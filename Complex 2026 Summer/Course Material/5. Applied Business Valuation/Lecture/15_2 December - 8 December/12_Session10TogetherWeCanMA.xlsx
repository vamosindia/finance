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Munka\!PUTanszek\!AppliedBusinessValuation\2024Fall\Week5\"/>
    </mc:Choice>
  </mc:AlternateContent>
  <xr:revisionPtr revIDLastSave="0" documentId="13_ncr:1_{36EF8CDC-F603-498D-8B5B-06D2B34E8517}" xr6:coauthVersionLast="47" xr6:coauthVersionMax="47" xr10:uidLastSave="{00000000-0000-0000-0000-000000000000}"/>
  <bookViews>
    <workbookView xWindow="-98" yWindow="-98" windowWidth="28996" windowHeight="15675" xr2:uid="{B869E576-A99B-4FEA-906C-625D59485636}"/>
  </bookViews>
  <sheets>
    <sheet name="Base ca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3" i="1" l="1"/>
  <c r="D3" i="1"/>
  <c r="P28" i="1"/>
  <c r="Q28" i="1" s="1"/>
  <c r="R28" i="1" s="1"/>
  <c r="S28" i="1" s="1"/>
  <c r="O28" i="1"/>
  <c r="D26" i="1"/>
  <c r="M25" i="1"/>
  <c r="M26" i="1"/>
  <c r="R30" i="1"/>
  <c r="S30" i="1"/>
  <c r="Q30" i="1"/>
  <c r="N29" i="1"/>
  <c r="O29" i="1"/>
  <c r="P29" i="1"/>
  <c r="Q29" i="1"/>
  <c r="R29" i="1"/>
  <c r="S29" i="1"/>
  <c r="N31" i="1"/>
  <c r="O31" i="1"/>
  <c r="P31" i="1"/>
  <c r="Q31" i="1"/>
  <c r="R31" i="1"/>
  <c r="S31" i="1"/>
  <c r="M31" i="1"/>
  <c r="M29" i="1"/>
  <c r="P23" i="1"/>
  <c r="N23" i="1"/>
  <c r="G23" i="1"/>
  <c r="E23" i="1"/>
</calcChain>
</file>

<file path=xl/sharedStrings.xml><?xml version="1.0" encoding="utf-8"?>
<sst xmlns="http://schemas.openxmlformats.org/spreadsheetml/2006/main" count="31" uniqueCount="19">
  <si>
    <t>WACC</t>
  </si>
  <si>
    <t>g</t>
  </si>
  <si>
    <t>Toy Story</t>
  </si>
  <si>
    <t>TV</t>
  </si>
  <si>
    <t>RONIC</t>
  </si>
  <si>
    <t>ROIC</t>
  </si>
  <si>
    <t>t</t>
  </si>
  <si>
    <t>WSIA before</t>
  </si>
  <si>
    <t>IC boy</t>
  </si>
  <si>
    <t>WSIA+Toy Story</t>
  </si>
  <si>
    <t>RONIC long term</t>
  </si>
  <si>
    <t>g long term</t>
  </si>
  <si>
    <t>Additional IC</t>
  </si>
  <si>
    <t>Debt</t>
  </si>
  <si>
    <t>Debt boy</t>
  </si>
  <si>
    <t>Transaction costs</t>
  </si>
  <si>
    <t>Seller</t>
  </si>
  <si>
    <t>Buyer</t>
  </si>
  <si>
    <t>Number of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</si>
</sst>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s>
  <fills count="4">
    <fill>
      <patternFill patternType="none"/>
    </fill>
    <fill>
      <patternFill patternType="gray125"/>
    </fill>
    <fill>
      <patternFill patternType="solid">
        <fgColor theme="0" tint="-0.249977111117893"/>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9" fontId="0" fillId="0" borderId="0" xfId="0" applyNumberFormat="1"/>
    <xf numFmtId="4" fontId="0" fillId="0" borderId="0" xfId="0" applyNumberFormat="1"/>
    <xf numFmtId="0" fontId="2" fillId="0" borderId="0" xfId="0" applyFont="1" applyAlignment="1">
      <alignment horizontal="center"/>
    </xf>
    <xf numFmtId="10" fontId="0" fillId="0" borderId="0" xfId="0" applyNumberFormat="1"/>
    <xf numFmtId="10" fontId="0" fillId="0" borderId="0" xfId="1" applyNumberFormat="1" applyFont="1"/>
    <xf numFmtId="10" fontId="0" fillId="2" borderId="0" xfId="0" applyNumberFormat="1" applyFill="1"/>
    <xf numFmtId="10" fontId="0" fillId="3" borderId="0" xfId="0" applyNumberFormat="1" applyFill="1"/>
    <xf numFmtId="4" fontId="0" fillId="3" borderId="0" xfId="0" applyNumberFormat="1" applyFill="1"/>
  </cellXfs>
  <cellStyles count="2">
    <cellStyle name="Normál" xfId="0" builtinId="0"/>
    <cellStyle name="Százalék"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21772</xdr:colOff>
      <xdr:row>0</xdr:row>
      <xdr:rowOff>174172</xdr:rowOff>
    </xdr:from>
    <xdr:to>
      <xdr:col>21</xdr:col>
      <xdr:colOff>359229</xdr:colOff>
      <xdr:row>20</xdr:row>
      <xdr:rowOff>76200</xdr:rowOff>
    </xdr:to>
    <xdr:sp macro="" textlink="">
      <xdr:nvSpPr>
        <xdr:cNvPr id="2" name="Szövegdoboz 1">
          <a:extLst>
            <a:ext uri="{FF2B5EF4-FFF2-40B4-BE49-F238E27FC236}">
              <a16:creationId xmlns:a16="http://schemas.microsoft.com/office/drawing/2014/main" id="{5DDCD563-CD55-2DCB-5696-58C704F1E452}"/>
            </a:ext>
          </a:extLst>
        </xdr:cNvPr>
        <xdr:cNvSpPr txBox="1"/>
      </xdr:nvSpPr>
      <xdr:spPr>
        <a:xfrm>
          <a:off x="8273143" y="2389415"/>
          <a:ext cx="8164286" cy="3929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dk1"/>
              </a:solidFill>
              <a:effectLst/>
              <a:latin typeface="+mn-lt"/>
              <a:ea typeface="+mn-ea"/>
              <a:cs typeface="+mn-cs"/>
            </a:rPr>
            <a:t>Together We Can</a:t>
          </a:r>
          <a:endParaRPr lang="hu-HU" sz="14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r>
            <a:rPr lang="hu-HU" sz="1200">
              <a:solidFill>
                <a:schemeClr val="dk1"/>
              </a:solidFill>
              <a:effectLst/>
              <a:latin typeface="+mn-lt"/>
              <a:ea typeface="+mn-ea"/>
              <a:cs typeface="+mn-cs"/>
            </a:rPr>
            <a:t>  </a:t>
          </a:r>
          <a:r>
            <a:rPr lang="en-GB" sz="1200">
              <a:solidFill>
                <a:schemeClr val="dk1"/>
              </a:solidFill>
              <a:effectLst/>
              <a:latin typeface="+mn-lt"/>
              <a:ea typeface="+mn-ea"/>
              <a:cs typeface="+mn-cs"/>
            </a:rPr>
            <a:t>Albert teamed up with Julian some ten years ago. They opened a toy retail shop, Toy Story, where they both had 50% ownership, but as Albert acted as a COE for a depressed wage, he received 60% of the dividends. Now, the huge grocery chain, WSIA (We Sell It All)</a:t>
          </a:r>
          <a:r>
            <a:rPr lang="hu-HU" sz="1200">
              <a:solidFill>
                <a:schemeClr val="dk1"/>
              </a:solidFill>
              <a:effectLst/>
              <a:latin typeface="+mn-lt"/>
              <a:ea typeface="+mn-ea"/>
              <a:cs typeface="+mn-cs"/>
            </a:rPr>
            <a:t> Co. </a:t>
          </a:r>
          <a:r>
            <a:rPr lang="en-GB" sz="1200">
              <a:solidFill>
                <a:schemeClr val="dk1"/>
              </a:solidFill>
              <a:effectLst/>
              <a:latin typeface="+mn-lt"/>
              <a:ea typeface="+mn-ea"/>
              <a:cs typeface="+mn-cs"/>
            </a:rPr>
            <a:t>has contacted them with a takeover offer. WSIA expects both to extend its operation with toy coverage and go online using the established web shop of Toy Story after some initial investment financed up to 50 percent from debt. </a:t>
          </a:r>
          <a:endParaRPr lang="hu-HU" sz="1200">
            <a:solidFill>
              <a:schemeClr val="dk1"/>
            </a:solidFill>
            <a:effectLst/>
            <a:latin typeface="+mn-lt"/>
            <a:ea typeface="+mn-ea"/>
            <a:cs typeface="+mn-cs"/>
          </a:endParaRPr>
        </a:p>
        <a:p>
          <a:r>
            <a:rPr lang="hu-HU" sz="1200">
              <a:solidFill>
                <a:schemeClr val="dk1"/>
              </a:solidFill>
              <a:effectLst/>
              <a:latin typeface="+mn-lt"/>
              <a:ea typeface="+mn-ea"/>
              <a:cs typeface="+mn-cs"/>
            </a:rPr>
            <a:t>  </a:t>
          </a:r>
          <a:r>
            <a:rPr lang="en-GB" sz="1200">
              <a:solidFill>
                <a:schemeClr val="dk1"/>
              </a:solidFill>
              <a:effectLst/>
              <a:latin typeface="+mn-lt"/>
              <a:ea typeface="+mn-ea"/>
              <a:cs typeface="+mn-cs"/>
            </a:rPr>
            <a:t>WSIA analysis predicts that thanks to some cost advantages (joint accounting, HR, one CEO), the joint ROIC will be higher than the weigher average, and the growth will also be boosted for a short period.</a:t>
          </a:r>
          <a:r>
            <a:rPr lang="hu-HU" sz="1200">
              <a:solidFill>
                <a:schemeClr val="dk1"/>
              </a:solidFill>
              <a:effectLst/>
              <a:latin typeface="+mn-lt"/>
              <a:ea typeface="+mn-ea"/>
              <a:cs typeface="+mn-cs"/>
            </a:rPr>
            <a:t> WSIA will apply it current D/IC strategy</a:t>
          </a:r>
          <a:r>
            <a:rPr lang="hu-HU" sz="1200" baseline="0">
              <a:solidFill>
                <a:schemeClr val="dk1"/>
              </a:solidFill>
              <a:effectLst/>
              <a:latin typeface="+mn-lt"/>
              <a:ea typeface="+mn-ea"/>
              <a:cs typeface="+mn-cs"/>
            </a:rPr>
            <a:t> after the transaction, while WACC is kept at the same level.</a:t>
          </a:r>
          <a:endParaRPr lang="hu-HU" sz="12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1. </a:t>
          </a:r>
          <a:r>
            <a:rPr lang="en-GB" sz="1200">
              <a:solidFill>
                <a:schemeClr val="dk1"/>
              </a:solidFill>
              <a:effectLst/>
              <a:latin typeface="+mn-lt"/>
              <a:ea typeface="+mn-ea"/>
              <a:cs typeface="+mn-cs"/>
            </a:rPr>
            <a:t>What is the minimum price Albert and Julian would accept? What is the maximum price WSIA would pay?</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2. </a:t>
          </a:r>
          <a:r>
            <a:rPr lang="en-GB" sz="1200">
              <a:solidFill>
                <a:schemeClr val="dk1"/>
              </a:solidFill>
              <a:effectLst/>
              <a:latin typeface="+mn-lt"/>
              <a:ea typeface="+mn-ea"/>
              <a:cs typeface="+mn-cs"/>
            </a:rPr>
            <a:t>How would your answer change if the seller faced transaction costs (advisory and legal costs) amounting to 300, while the buyer would have to pay 600 for the same?</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3. </a:t>
          </a:r>
          <a:r>
            <a:rPr lang="en-GB" sz="1200">
              <a:solidFill>
                <a:schemeClr val="dk1"/>
              </a:solidFill>
              <a:effectLst/>
              <a:latin typeface="+mn-lt"/>
              <a:ea typeface="+mn-ea"/>
              <a:cs typeface="+mn-cs"/>
            </a:rPr>
            <a:t>How much is the total synergy predicted? What part of that comes from cost synergy (change of initial ROIC) and sales synergy (higher growth)?</a:t>
          </a:r>
          <a:endParaRPr lang="hu-HU" sz="1200">
            <a:solidFill>
              <a:schemeClr val="dk1"/>
            </a:solidFill>
            <a:effectLst/>
            <a:latin typeface="+mn-lt"/>
            <a:ea typeface="+mn-ea"/>
            <a:cs typeface="+mn-cs"/>
          </a:endParaRPr>
        </a:p>
        <a:p>
          <a:pPr lvl="0"/>
          <a:r>
            <a:rPr lang="hu-HU" sz="1200">
              <a:solidFill>
                <a:schemeClr val="dk1"/>
              </a:solidFill>
              <a:effectLst/>
              <a:latin typeface="+mn-lt"/>
              <a:ea typeface="+mn-ea"/>
              <a:cs typeface="+mn-cs"/>
            </a:rPr>
            <a:t>4. </a:t>
          </a:r>
          <a:r>
            <a:rPr lang="en-GB" sz="1200">
              <a:solidFill>
                <a:schemeClr val="dk1"/>
              </a:solidFill>
              <a:effectLst/>
              <a:latin typeface="+mn-lt"/>
              <a:ea typeface="+mn-ea"/>
              <a:cs typeface="+mn-cs"/>
            </a:rPr>
            <a:t>After several weeks of bargaining, they agreed on a price that covers handing over 30 percent of the synergies expected by WSIA to the current owners. As Julian is in bad need of money, Toy Story owners ask for 40 percent of the price in cash, while for the remainder, they will become owners of the new, merged firm. What percentage of ownership should they get?</a:t>
          </a:r>
          <a:r>
            <a:rPr lang="hu-HU" sz="1200">
              <a:solidFill>
                <a:schemeClr val="dk1"/>
              </a:solidFill>
              <a:effectLst/>
              <a:latin typeface="+mn-lt"/>
              <a:ea typeface="+mn-ea"/>
              <a:cs typeface="+mn-cs"/>
            </a:rPr>
            <a:t> How many new shares have to be issued?</a:t>
          </a:r>
        </a:p>
        <a:p>
          <a:pPr lvl="0"/>
          <a:r>
            <a:rPr lang="hu-HU" sz="1200">
              <a:solidFill>
                <a:schemeClr val="dk1"/>
              </a:solidFill>
              <a:effectLst/>
              <a:latin typeface="+mn-lt"/>
              <a:ea typeface="+mn-ea"/>
              <a:cs typeface="+mn-cs"/>
            </a:rPr>
            <a:t>5. </a:t>
          </a:r>
          <a:r>
            <a:rPr lang="en-GB" sz="1200">
              <a:solidFill>
                <a:schemeClr val="dk1"/>
              </a:solidFill>
              <a:effectLst/>
              <a:latin typeface="+mn-lt"/>
              <a:ea typeface="+mn-ea"/>
              <a:cs typeface="+mn-cs"/>
            </a:rPr>
            <a:t>Would it make any difference in the takeover price if WSIA were of half the size (consider IC) as it is now?</a:t>
          </a:r>
          <a:endParaRPr lang="hu-HU" sz="1200">
            <a:solidFill>
              <a:schemeClr val="dk1"/>
            </a:solidFill>
            <a:effectLst/>
            <a:latin typeface="+mn-lt"/>
            <a:ea typeface="+mn-ea"/>
            <a:cs typeface="+mn-cs"/>
          </a:endParaRPr>
        </a:p>
        <a:p>
          <a:r>
            <a:rPr lang="en-GB" sz="1200">
              <a:solidFill>
                <a:schemeClr val="dk1"/>
              </a:solidFill>
              <a:effectLst/>
              <a:latin typeface="+mn-lt"/>
              <a:ea typeface="+mn-ea"/>
              <a:cs typeface="+mn-cs"/>
            </a:rPr>
            <a:t> </a:t>
          </a:r>
          <a:endParaRPr lang="hu-HU" sz="1200">
            <a:solidFill>
              <a:schemeClr val="dk1"/>
            </a:solidFill>
            <a:effectLst/>
            <a:latin typeface="+mn-lt"/>
            <a:ea typeface="+mn-ea"/>
            <a:cs typeface="+mn-cs"/>
          </a:endParaRPr>
        </a:p>
        <a:p>
          <a:endParaRPr lang="hu-HU" sz="120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D4511-B5D2-4481-A2F3-4730A225F3D4}">
  <dimension ref="C1:S32"/>
  <sheetViews>
    <sheetView tabSelected="1" workbookViewId="0">
      <selection activeCell="C32" sqref="C32"/>
    </sheetView>
  </sheetViews>
  <sheetFormatPr defaultRowHeight="15.75" x14ac:dyDescent="0.5"/>
  <cols>
    <col min="3" max="3" width="18.5625" bestFit="1" customWidth="1"/>
    <col min="4" max="4" width="11.625" bestFit="1" customWidth="1"/>
    <col min="5" max="6" width="14.9375" bestFit="1" customWidth="1"/>
    <col min="7" max="9" width="8.6875" bestFit="1" customWidth="1"/>
    <col min="10" max="10" width="6.6875" bestFit="1" customWidth="1"/>
    <col min="12" max="12" width="13.9375" bestFit="1" customWidth="1"/>
    <col min="13" max="13" width="9.6875" bestFit="1" customWidth="1"/>
    <col min="14" max="18" width="8.8125" bestFit="1" customWidth="1"/>
    <col min="19" max="19" width="7.6875" bestFit="1" customWidth="1"/>
  </cols>
  <sheetData>
    <row r="1" spans="3:7" x14ac:dyDescent="0.5">
      <c r="E1" s="4"/>
    </row>
    <row r="2" spans="3:7" x14ac:dyDescent="0.5">
      <c r="E2" s="4"/>
    </row>
    <row r="3" spans="3:7" x14ac:dyDescent="0.5">
      <c r="C3" t="s">
        <v>2</v>
      </c>
      <c r="D3" s="3">
        <f>+D23</f>
        <v>2025</v>
      </c>
      <c r="F3" t="s">
        <v>15</v>
      </c>
    </row>
    <row r="4" spans="3:7" x14ac:dyDescent="0.5">
      <c r="C4" t="s">
        <v>8</v>
      </c>
      <c r="D4" s="2">
        <v>6000</v>
      </c>
      <c r="F4" t="s">
        <v>16</v>
      </c>
      <c r="G4" s="2">
        <v>300</v>
      </c>
    </row>
    <row r="5" spans="3:7" x14ac:dyDescent="0.5">
      <c r="C5" t="s">
        <v>13</v>
      </c>
      <c r="D5" s="2">
        <v>2800</v>
      </c>
      <c r="F5" t="s">
        <v>17</v>
      </c>
      <c r="G5" s="2">
        <v>600</v>
      </c>
    </row>
    <row r="6" spans="3:7" x14ac:dyDescent="0.5">
      <c r="C6" t="s">
        <v>5</v>
      </c>
      <c r="D6" s="4">
        <v>0.14000000000000001</v>
      </c>
    </row>
    <row r="7" spans="3:7" x14ac:dyDescent="0.5">
      <c r="C7" t="s">
        <v>10</v>
      </c>
      <c r="D7" s="5">
        <v>0.12</v>
      </c>
    </row>
    <row r="8" spans="3:7" x14ac:dyDescent="0.5">
      <c r="C8" t="s">
        <v>0</v>
      </c>
      <c r="D8" s="4">
        <v>0.1</v>
      </c>
    </row>
    <row r="9" spans="3:7" x14ac:dyDescent="0.5">
      <c r="C9" t="s">
        <v>11</v>
      </c>
      <c r="D9" s="4">
        <v>0.06</v>
      </c>
    </row>
    <row r="10" spans="3:7" x14ac:dyDescent="0.5">
      <c r="C10" t="s">
        <v>6</v>
      </c>
      <c r="D10" s="4">
        <v>0.12</v>
      </c>
    </row>
    <row r="12" spans="3:7" x14ac:dyDescent="0.5">
      <c r="D12" s="5"/>
    </row>
    <row r="23" spans="3:19" x14ac:dyDescent="0.5">
      <c r="C23" t="s">
        <v>7</v>
      </c>
      <c r="D23" s="3">
        <v>2025</v>
      </c>
      <c r="E23" s="3">
        <f>+D23+1</f>
        <v>2026</v>
      </c>
      <c r="F23" s="3">
        <v>2025</v>
      </c>
      <c r="G23" s="3">
        <f t="shared" ref="G23" si="0">+F23+1</f>
        <v>2026</v>
      </c>
      <c r="H23" s="3">
        <v>2026</v>
      </c>
      <c r="I23" s="3" t="s">
        <v>3</v>
      </c>
      <c r="L23" t="s">
        <v>9</v>
      </c>
      <c r="M23" s="3">
        <f>+D23</f>
        <v>2025</v>
      </c>
      <c r="N23" s="3">
        <f>+M23+1</f>
        <v>2026</v>
      </c>
      <c r="O23" s="3">
        <v>2025</v>
      </c>
      <c r="P23" s="3">
        <f t="shared" ref="P23" si="1">+O23+1</f>
        <v>2026</v>
      </c>
      <c r="Q23" s="3">
        <v>2026</v>
      </c>
      <c r="R23" s="3" t="s">
        <v>3</v>
      </c>
    </row>
    <row r="24" spans="3:19" x14ac:dyDescent="0.5">
      <c r="E24" s="3"/>
      <c r="F24" s="3"/>
      <c r="G24" s="3"/>
      <c r="H24" s="3"/>
      <c r="I24" s="3"/>
      <c r="L24" t="s">
        <v>12</v>
      </c>
      <c r="M24" s="8">
        <v>1000</v>
      </c>
      <c r="N24" s="3"/>
      <c r="O24" s="3"/>
      <c r="P24" s="3"/>
      <c r="Q24" s="3"/>
      <c r="R24" s="3"/>
    </row>
    <row r="25" spans="3:19" x14ac:dyDescent="0.5">
      <c r="C25" t="s">
        <v>8</v>
      </c>
      <c r="D25" s="2">
        <v>30000</v>
      </c>
      <c r="E25" s="1"/>
      <c r="L25" t="s">
        <v>8</v>
      </c>
      <c r="M25" s="2">
        <f>+D25+D4+M24</f>
        <v>37000</v>
      </c>
      <c r="N25" s="1"/>
    </row>
    <row r="26" spans="3:19" x14ac:dyDescent="0.5">
      <c r="C26" t="s">
        <v>14</v>
      </c>
      <c r="D26" s="2">
        <f>+D25*50%</f>
        <v>15000</v>
      </c>
      <c r="E26" s="1"/>
      <c r="L26" t="s">
        <v>14</v>
      </c>
      <c r="M26" s="2">
        <f>+M25*50%</f>
        <v>18500</v>
      </c>
      <c r="N26" s="1"/>
    </row>
    <row r="27" spans="3:19" x14ac:dyDescent="0.5">
      <c r="C27" t="s">
        <v>5</v>
      </c>
      <c r="D27" s="4">
        <v>0.13</v>
      </c>
      <c r="L27" t="s">
        <v>5</v>
      </c>
      <c r="M27" s="7">
        <v>0.13400000000000001</v>
      </c>
    </row>
    <row r="28" spans="3:19" x14ac:dyDescent="0.5">
      <c r="C28" t="s">
        <v>4</v>
      </c>
      <c r="D28" s="4"/>
      <c r="E28" s="4">
        <v>0.11</v>
      </c>
      <c r="F28" s="4">
        <v>0.11</v>
      </c>
      <c r="G28" s="4">
        <v>0.11</v>
      </c>
      <c r="H28" s="4">
        <v>0.11</v>
      </c>
      <c r="I28" s="4">
        <v>0.11</v>
      </c>
      <c r="J28" s="4">
        <v>0.11</v>
      </c>
      <c r="L28" t="s">
        <v>4</v>
      </c>
      <c r="M28" s="4"/>
      <c r="N28" s="7">
        <v>0.11191542288552156</v>
      </c>
      <c r="O28" s="7">
        <f>+N28</f>
        <v>0.11191542288552156</v>
      </c>
      <c r="P28" s="7">
        <f t="shared" ref="P28:S28" si="2">+O28</f>
        <v>0.11191542288552156</v>
      </c>
      <c r="Q28" s="7">
        <f t="shared" si="2"/>
        <v>0.11191542288552156</v>
      </c>
      <c r="R28" s="7">
        <f t="shared" si="2"/>
        <v>0.11191542288552156</v>
      </c>
      <c r="S28" s="7">
        <f t="shared" si="2"/>
        <v>0.11191542288552156</v>
      </c>
    </row>
    <row r="29" spans="3:19" x14ac:dyDescent="0.5">
      <c r="C29" t="s">
        <v>0</v>
      </c>
      <c r="D29" s="4">
        <v>0.1</v>
      </c>
      <c r="E29" s="4">
        <v>0.1</v>
      </c>
      <c r="F29" s="4">
        <v>0.1</v>
      </c>
      <c r="G29" s="4">
        <v>0.1</v>
      </c>
      <c r="H29" s="4">
        <v>0.1</v>
      </c>
      <c r="I29" s="4">
        <v>0.1</v>
      </c>
      <c r="J29" s="4">
        <v>0.1</v>
      </c>
      <c r="L29" t="s">
        <v>0</v>
      </c>
      <c r="M29" s="6">
        <f>+D29</f>
        <v>0.1</v>
      </c>
      <c r="N29" s="6">
        <f t="shared" ref="N29:S30" si="3">+E29</f>
        <v>0.1</v>
      </c>
      <c r="O29" s="6">
        <f t="shared" si="3"/>
        <v>0.1</v>
      </c>
      <c r="P29" s="6">
        <f t="shared" si="3"/>
        <v>0.1</v>
      </c>
      <c r="Q29" s="6">
        <f t="shared" si="3"/>
        <v>0.1</v>
      </c>
      <c r="R29" s="6">
        <f t="shared" si="3"/>
        <v>0.1</v>
      </c>
      <c r="S29" s="6">
        <f t="shared" si="3"/>
        <v>0.1</v>
      </c>
    </row>
    <row r="30" spans="3:19" x14ac:dyDescent="0.5">
      <c r="C30" t="s">
        <v>1</v>
      </c>
      <c r="D30" s="4"/>
      <c r="E30" s="4">
        <v>0.06</v>
      </c>
      <c r="F30" s="4">
        <v>0.06</v>
      </c>
      <c r="G30" s="4">
        <v>0.06</v>
      </c>
      <c r="H30" s="4">
        <v>0.06</v>
      </c>
      <c r="I30" s="4">
        <v>0.06</v>
      </c>
      <c r="J30" s="4">
        <v>0.06</v>
      </c>
      <c r="L30" t="s">
        <v>1</v>
      </c>
      <c r="M30" s="4"/>
      <c r="N30" s="7">
        <v>0.12</v>
      </c>
      <c r="O30" s="7">
        <v>0.1</v>
      </c>
      <c r="P30" s="7">
        <v>0.08</v>
      </c>
      <c r="Q30" s="6">
        <f>+H30</f>
        <v>0.06</v>
      </c>
      <c r="R30" s="6">
        <f t="shared" si="3"/>
        <v>0.06</v>
      </c>
      <c r="S30" s="6">
        <f t="shared" si="3"/>
        <v>0.06</v>
      </c>
    </row>
    <row r="31" spans="3:19" x14ac:dyDescent="0.5">
      <c r="C31" t="s">
        <v>6</v>
      </c>
      <c r="D31" s="4">
        <v>0.12</v>
      </c>
      <c r="E31" s="4">
        <v>0.12</v>
      </c>
      <c r="F31" s="4">
        <v>0.12</v>
      </c>
      <c r="G31" s="4">
        <v>0.12</v>
      </c>
      <c r="H31" s="4">
        <v>0.12</v>
      </c>
      <c r="I31" s="4">
        <v>0.12</v>
      </c>
      <c r="J31" s="4">
        <v>0.12</v>
      </c>
      <c r="L31" t="s">
        <v>6</v>
      </c>
      <c r="M31" s="6">
        <f>+D31</f>
        <v>0.12</v>
      </c>
      <c r="N31" s="6">
        <f t="shared" ref="N31:S31" si="4">+E31</f>
        <v>0.12</v>
      </c>
      <c r="O31" s="6">
        <f t="shared" si="4"/>
        <v>0.12</v>
      </c>
      <c r="P31" s="6">
        <f t="shared" si="4"/>
        <v>0.12</v>
      </c>
      <c r="Q31" s="6">
        <f t="shared" si="4"/>
        <v>0.12</v>
      </c>
      <c r="R31" s="6">
        <f t="shared" si="4"/>
        <v>0.12</v>
      </c>
      <c r="S31" s="6">
        <f t="shared" si="4"/>
        <v>0.12</v>
      </c>
    </row>
    <row r="32" spans="3:19" x14ac:dyDescent="0.5">
      <c r="C32" t="s">
        <v>18</v>
      </c>
      <c r="D32" s="2">
        <v>1000000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Base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Juhász Péter</dc:creator>
  <cp:lastModifiedBy>Péter Juhász</cp:lastModifiedBy>
  <dcterms:created xsi:type="dcterms:W3CDTF">2022-11-15T19:56:26Z</dcterms:created>
  <dcterms:modified xsi:type="dcterms:W3CDTF">2024-11-30T18:17:25Z</dcterms:modified>
</cp:coreProperties>
</file>