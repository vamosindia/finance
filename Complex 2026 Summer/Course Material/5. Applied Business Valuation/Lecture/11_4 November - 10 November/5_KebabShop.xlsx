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Munka\!PUTanszek\!AppliedBusinessValuation\2024Fall\Week1\"/>
    </mc:Choice>
  </mc:AlternateContent>
  <xr:revisionPtr revIDLastSave="0" documentId="13_ncr:1_{911B0FFB-00BD-49F0-BBB1-1C0DFF4CD763}" xr6:coauthVersionLast="47" xr6:coauthVersionMax="47" xr10:uidLastSave="{00000000-0000-0000-0000-000000000000}"/>
  <bookViews>
    <workbookView xWindow="-98" yWindow="-98" windowWidth="28996" windowHeight="15675" xr2:uid="{EE2224F1-1A86-480D-9DF9-DD5525925017}"/>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8" i="1" l="1"/>
  <c r="F128" i="1"/>
  <c r="E129" i="1" s="1"/>
  <c r="G128" i="1"/>
  <c r="F129" i="1" s="1"/>
  <c r="H128" i="1"/>
  <c r="G129" i="1" s="1"/>
  <c r="D128" i="1"/>
  <c r="D129" i="1" s="1"/>
  <c r="E121" i="1"/>
  <c r="F121" i="1"/>
  <c r="G121" i="1"/>
  <c r="B123" i="1"/>
  <c r="D121" i="1"/>
  <c r="B119" i="1"/>
  <c r="E108" i="1"/>
  <c r="F108" i="1"/>
  <c r="G108" i="1"/>
  <c r="G116" i="1" s="1"/>
  <c r="E110" i="1"/>
  <c r="F110" i="1"/>
  <c r="G110" i="1"/>
  <c r="E111" i="1"/>
  <c r="F111" i="1"/>
  <c r="G111" i="1"/>
  <c r="E112" i="1"/>
  <c r="F112" i="1"/>
  <c r="G112" i="1"/>
  <c r="E113" i="1"/>
  <c r="F113" i="1"/>
  <c r="G113" i="1"/>
  <c r="E115" i="1"/>
  <c r="F115" i="1"/>
  <c r="G115" i="1"/>
  <c r="E116" i="1"/>
  <c r="F116" i="1"/>
  <c r="D115" i="1"/>
  <c r="D113" i="1"/>
  <c r="D111" i="1"/>
  <c r="D112" i="1"/>
  <c r="D110" i="1"/>
  <c r="D108" i="1"/>
  <c r="D116" i="1" s="1"/>
  <c r="B106" i="1"/>
  <c r="D106" i="1"/>
  <c r="E106" i="1"/>
  <c r="F106" i="1"/>
  <c r="G106" i="1"/>
  <c r="D119" i="1"/>
  <c r="E119" i="1"/>
  <c r="F119" i="1"/>
  <c r="G119" i="1"/>
  <c r="H108" i="1"/>
  <c r="H116" i="1" s="1"/>
  <c r="H119" i="1"/>
  <c r="H120" i="1" s="1"/>
  <c r="H112" i="1"/>
  <c r="I5" i="1"/>
  <c r="J5" i="1" s="1"/>
  <c r="K5" i="1" s="1"/>
  <c r="L5" i="1" s="1"/>
  <c r="M5" i="1" s="1"/>
  <c r="G5" i="1"/>
  <c r="F5" i="1" s="1"/>
  <c r="E5" i="1" s="1"/>
  <c r="D5" i="1" s="1"/>
  <c r="C5" i="1" s="1"/>
  <c r="D117" i="1" l="1"/>
  <c r="F117" i="1"/>
  <c r="E117" i="1"/>
  <c r="G117" i="1"/>
  <c r="G120" i="1"/>
  <c r="G107" i="1" l="1"/>
  <c r="H111" i="1"/>
  <c r="G123" i="1"/>
  <c r="H113" i="1"/>
  <c r="I111" i="1"/>
  <c r="G109" i="1" l="1"/>
  <c r="G114" i="1" s="1"/>
  <c r="G130" i="1"/>
  <c r="H110" i="1"/>
  <c r="D120" i="1"/>
  <c r="D107" i="1"/>
  <c r="F107" i="1"/>
  <c r="F120" i="1"/>
  <c r="E120" i="1"/>
  <c r="E107" i="1"/>
  <c r="E124" i="1"/>
  <c r="H106" i="1"/>
  <c r="H107" i="1" s="1"/>
  <c r="I112" i="1"/>
  <c r="G124" i="1"/>
  <c r="F123" i="1"/>
  <c r="F124" i="1"/>
  <c r="H115" i="1"/>
  <c r="H117" i="1" s="1"/>
  <c r="E123" i="1"/>
  <c r="I115" i="1"/>
  <c r="J112" i="1"/>
  <c r="I113" i="1"/>
  <c r="F109" i="1" l="1"/>
  <c r="F114" i="1" s="1"/>
  <c r="E132" i="1"/>
  <c r="F130" i="1"/>
  <c r="G134" i="1"/>
  <c r="G133" i="1"/>
  <c r="G135" i="1"/>
  <c r="D109" i="1"/>
  <c r="D114" i="1" s="1"/>
  <c r="D130" i="1"/>
  <c r="F132" i="1"/>
  <c r="H109" i="1"/>
  <c r="H114" i="1" s="1"/>
  <c r="H130" i="1"/>
  <c r="G132" i="1"/>
  <c r="E109" i="1"/>
  <c r="E114" i="1" s="1"/>
  <c r="D132" i="1"/>
  <c r="E130" i="1"/>
  <c r="I128" i="1"/>
  <c r="H129" i="1" s="1"/>
  <c r="H135" i="1" s="1"/>
  <c r="I119" i="1"/>
  <c r="I120" i="1" s="1"/>
  <c r="H121" i="1"/>
  <c r="D123" i="1"/>
  <c r="D124" i="1"/>
  <c r="I106" i="1"/>
  <c r="I107" i="1" s="1"/>
  <c r="I108" i="1"/>
  <c r="I116" i="1" s="1"/>
  <c r="I117" i="1" s="1"/>
  <c r="J111" i="1"/>
  <c r="I110" i="1"/>
  <c r="J113" i="1"/>
  <c r="J115" i="1"/>
  <c r="E133" i="1" l="1"/>
  <c r="E134" i="1"/>
  <c r="E135" i="1"/>
  <c r="D133" i="1"/>
  <c r="D135" i="1"/>
  <c r="I109" i="1"/>
  <c r="I114" i="1" s="1"/>
  <c r="I130" i="1"/>
  <c r="H132" i="1"/>
  <c r="F134" i="1"/>
  <c r="F133" i="1"/>
  <c r="F135" i="1"/>
  <c r="H134" i="1"/>
  <c r="H133" i="1"/>
  <c r="I121" i="1"/>
  <c r="H123" i="1"/>
  <c r="J110" i="1"/>
  <c r="K112" i="1"/>
  <c r="J106" i="1"/>
  <c r="J107" i="1" s="1"/>
  <c r="J108" i="1"/>
  <c r="J116" i="1" s="1"/>
  <c r="J117" i="1" s="1"/>
  <c r="K111" i="1"/>
  <c r="K113" i="1"/>
  <c r="J128" i="1"/>
  <c r="I129" i="1" s="1"/>
  <c r="I135" i="1" s="1"/>
  <c r="K115" i="1"/>
  <c r="L111" i="1"/>
  <c r="I134" i="1" l="1"/>
  <c r="I133" i="1"/>
  <c r="J109" i="1"/>
  <c r="J114" i="1" s="1"/>
  <c r="I132" i="1"/>
  <c r="J130" i="1"/>
  <c r="K106" i="1"/>
  <c r="K107" i="1" s="1"/>
  <c r="K108" i="1"/>
  <c r="K116" i="1" s="1"/>
  <c r="K117" i="1" s="1"/>
  <c r="K119" i="1"/>
  <c r="J121" i="1"/>
  <c r="J119" i="1"/>
  <c r="L112" i="1"/>
  <c r="H124" i="1"/>
  <c r="K110" i="1"/>
  <c r="K128" i="1"/>
  <c r="J129" i="1" s="1"/>
  <c r="L113" i="1"/>
  <c r="M112" i="1"/>
  <c r="M115" i="1"/>
  <c r="M111" i="1"/>
  <c r="J135" i="1" l="1"/>
  <c r="K109" i="1"/>
  <c r="K114" i="1" s="1"/>
  <c r="J132" i="1"/>
  <c r="K130" i="1"/>
  <c r="J134" i="1"/>
  <c r="J133" i="1"/>
  <c r="I123" i="1"/>
  <c r="I124" i="1"/>
  <c r="L115" i="1"/>
  <c r="J120" i="1"/>
  <c r="L119" i="1"/>
  <c r="L120" i="1" s="1"/>
  <c r="K121" i="1"/>
  <c r="L106" i="1"/>
  <c r="L107" i="1" s="1"/>
  <c r="L108" i="1"/>
  <c r="K120" i="1"/>
  <c r="L110" i="1"/>
  <c r="L128" i="1"/>
  <c r="K129" i="1" s="1"/>
  <c r="M113" i="1"/>
  <c r="M110" i="1"/>
  <c r="K135" i="1" l="1"/>
  <c r="K133" i="1"/>
  <c r="K134" i="1"/>
  <c r="L130" i="1"/>
  <c r="K132" i="1"/>
  <c r="J123" i="1"/>
  <c r="J124" i="1"/>
  <c r="L109" i="1"/>
  <c r="L114" i="1" s="1"/>
  <c r="L116" i="1"/>
  <c r="L117" i="1" s="1"/>
  <c r="M119" i="1"/>
  <c r="M120" i="1" s="1"/>
  <c r="L121" i="1"/>
  <c r="M106" i="1"/>
  <c r="M107" i="1" s="1"/>
  <c r="M108" i="1"/>
  <c r="M116" i="1" s="1"/>
  <c r="M117" i="1" s="1"/>
  <c r="K123" i="1"/>
  <c r="M128" i="1"/>
  <c r="L129" i="1" l="1"/>
  <c r="L135" i="1" s="1"/>
  <c r="M129" i="1"/>
  <c r="M109" i="1"/>
  <c r="M114" i="1" s="1"/>
  <c r="M130" i="1"/>
  <c r="L132" i="1"/>
  <c r="L133" i="1"/>
  <c r="L134" i="1"/>
  <c r="K124" i="1"/>
  <c r="M121" i="1"/>
  <c r="L123" i="1"/>
  <c r="M135" i="1" l="1"/>
  <c r="M133" i="1"/>
  <c r="M134" i="1"/>
  <c r="M123" i="1"/>
  <c r="L124" i="1"/>
  <c r="D118" i="1"/>
  <c r="G118" i="1"/>
  <c r="K118" i="1"/>
  <c r="I118" i="1"/>
  <c r="E118" i="1"/>
  <c r="F118" i="1"/>
  <c r="M118" i="1"/>
  <c r="J118" i="1"/>
  <c r="L118" i="1"/>
  <c r="H118" i="1"/>
  <c r="M122" i="1" l="1"/>
  <c r="M131" i="1"/>
  <c r="J122" i="1"/>
  <c r="J125" i="1" s="1"/>
  <c r="J131" i="1"/>
  <c r="I122" i="1"/>
  <c r="I125" i="1" s="1"/>
  <c r="I131" i="1"/>
  <c r="K122" i="1"/>
  <c r="K125" i="1" s="1"/>
  <c r="K131" i="1"/>
  <c r="L122" i="1"/>
  <c r="L125" i="1" s="1"/>
  <c r="L131" i="1"/>
  <c r="F122" i="1"/>
  <c r="F125" i="1" s="1"/>
  <c r="F131" i="1"/>
  <c r="E122" i="1"/>
  <c r="E125" i="1" s="1"/>
  <c r="E131" i="1"/>
  <c r="G122" i="1"/>
  <c r="G125" i="1" s="1"/>
  <c r="G131" i="1"/>
  <c r="D122" i="1"/>
  <c r="D125" i="1" s="1"/>
  <c r="D131" i="1"/>
  <c r="M124" i="1"/>
  <c r="H122" i="1"/>
  <c r="H125" i="1" s="1"/>
  <c r="H131" i="1"/>
  <c r="M125" i="1" l="1"/>
</calcChain>
</file>

<file path=xl/sharedStrings.xml><?xml version="1.0" encoding="utf-8"?>
<sst xmlns="http://schemas.openxmlformats.org/spreadsheetml/2006/main" count="53" uniqueCount="49">
  <si>
    <t>Sales</t>
  </si>
  <si>
    <t>Material Expenses</t>
  </si>
  <si>
    <t>Labour Expeneses</t>
  </si>
  <si>
    <t>D&amp;A</t>
  </si>
  <si>
    <t>Operational profit</t>
  </si>
  <si>
    <t>Interest</t>
  </si>
  <si>
    <t>Profit before tax</t>
  </si>
  <si>
    <t>Tax</t>
  </si>
  <si>
    <t>Profit after tax</t>
  </si>
  <si>
    <t>PP&amp;E</t>
  </si>
  <si>
    <t>Investory</t>
  </si>
  <si>
    <t>Receivables</t>
  </si>
  <si>
    <t>Cash</t>
  </si>
  <si>
    <t>Payables</t>
  </si>
  <si>
    <t>Debt</t>
  </si>
  <si>
    <t>Equity</t>
  </si>
  <si>
    <t>g Sales</t>
  </si>
  <si>
    <t>Material exp/Sales</t>
  </si>
  <si>
    <t>Labour exp/Sales</t>
  </si>
  <si>
    <t>D&amp;A/PPE boy</t>
  </si>
  <si>
    <t>PPE boy/Sales</t>
  </si>
  <si>
    <t>Inventory tod (raw material only!)</t>
  </si>
  <si>
    <t>Receivables tod</t>
  </si>
  <si>
    <t>Cash/Sales</t>
  </si>
  <si>
    <t>Payables tod</t>
  </si>
  <si>
    <t>Debt/IC</t>
  </si>
  <si>
    <t>rD</t>
  </si>
  <si>
    <t>t</t>
  </si>
  <si>
    <t>Noplat</t>
  </si>
  <si>
    <t>Gross CF</t>
  </si>
  <si>
    <t>dInv</t>
  </si>
  <si>
    <t>dREc</t>
  </si>
  <si>
    <t>dCash</t>
  </si>
  <si>
    <t>dPay</t>
  </si>
  <si>
    <t>CF form operation</t>
  </si>
  <si>
    <t>dPP&amp;E</t>
  </si>
  <si>
    <t>CF from Investment</t>
  </si>
  <si>
    <t>FCFF</t>
  </si>
  <si>
    <t>Tax shield</t>
  </si>
  <si>
    <t>dDebt</t>
  </si>
  <si>
    <t>FCFE</t>
  </si>
  <si>
    <t>Dequity w/o Ret Ear</t>
  </si>
  <si>
    <t>dUnneeded wealth</t>
  </si>
  <si>
    <t>IC boy</t>
  </si>
  <si>
    <t>ROIC</t>
  </si>
  <si>
    <t>RONIC</t>
  </si>
  <si>
    <t>g</t>
  </si>
  <si>
    <t>K</t>
  </si>
  <si>
    <t>dIC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</si>
</sst>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2" fillId="2" borderId="0" xfId="0" applyFont="1" applyFill="1" applyAlignment="1">
      <alignment horizontal="center"/>
    </xf>
    <xf numFmtId="0" fontId="2" fillId="0" borderId="0" xfId="0" applyFont="1" applyAlignment="1">
      <alignment horizontal="center"/>
    </xf>
    <xf numFmtId="9" fontId="0" fillId="3" borderId="0" xfId="0" applyNumberFormat="1" applyFill="1"/>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152400</xdr:colOff>
      <xdr:row>1</xdr:row>
      <xdr:rowOff>54428</xdr:rowOff>
    </xdr:from>
    <xdr:to>
      <xdr:col>24</xdr:col>
      <xdr:colOff>429986</xdr:colOff>
      <xdr:row>21</xdr:row>
      <xdr:rowOff>43543</xdr:rowOff>
    </xdr:to>
    <xdr:sp macro="" textlink="">
      <xdr:nvSpPr>
        <xdr:cNvPr id="2" name="Szövegdoboz 1">
          <a:extLst>
            <a:ext uri="{FF2B5EF4-FFF2-40B4-BE49-F238E27FC236}">
              <a16:creationId xmlns:a16="http://schemas.microsoft.com/office/drawing/2014/main" id="{BF3E39FE-9270-FBFF-D298-C228965B1D42}"/>
            </a:ext>
          </a:extLst>
        </xdr:cNvPr>
        <xdr:cNvSpPr txBox="1"/>
      </xdr:nvSpPr>
      <xdr:spPr>
        <a:xfrm>
          <a:off x="13585371" y="255814"/>
          <a:ext cx="6547758" cy="4016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Inheriting a Kebab Shop</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had an excellent personal connection to his grandfather, who arrived in Central Europe two decades ago. By now, he has established a small self-service restaurant called “The Kebab Shop”, selling Turkish and Arabic food in a big city some 100 kilometres away from the capital. As a child, John spent most of his time with his grandmother while his parents worked as doctors, sometimes even at night. The grandparents lived in a flat just above their small restaurant, often working more than 10 hours daily in the shop. Thus, John grew up there and was involved in operational activities early on.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While John learned how to manage a restaurant based on his real-life experience, he also gained a BA in Hotel management. During the last few years, the health of his grandparents deteriorated, and recently, on his grandfather’s 70</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birthday, Grandpa asked him to take over the daily management of the shop and made the impression that it might be John who would inherit the ownership of the shop sooner or later. John started his work as a CEO by analysing historical statements and setting up a new financial plan for the future. You see the data collected and predicted below.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Review the financial plan and give an overview of what the new strategy may look like.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Predict the financial statements of the company. (Assume 360-day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How much dividend can be paid in each of the years? (Assume that additional equity need is covered using retained earnings if possible.)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Calculate the business cash flow for all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5. </a:t>
          </a:r>
          <a:r>
            <a:rPr lang="en-GB" sz="1100">
              <a:solidFill>
                <a:schemeClr val="dk1"/>
              </a:solidFill>
              <a:effectLst/>
              <a:latin typeface="+mn-lt"/>
              <a:ea typeface="+mn-ea"/>
              <a:cs typeface="+mn-cs"/>
            </a:rPr>
            <a:t>Quantify the value drivers both historically and for the predicted years.</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29C3-5D86-411E-8DC3-4E35348195A5}">
  <dimension ref="B5:N135"/>
  <sheetViews>
    <sheetView tabSelected="1" workbookViewId="0">
      <selection activeCell="H6" sqref="H6"/>
    </sheetView>
  </sheetViews>
  <sheetFormatPr defaultRowHeight="15.75" x14ac:dyDescent="0.5"/>
  <cols>
    <col min="2" max="2" width="28.5" bestFit="1" customWidth="1"/>
    <col min="3" max="3" width="12.375" bestFit="1" customWidth="1"/>
    <col min="4" max="4" width="9.375" bestFit="1" customWidth="1"/>
    <col min="5" max="7" width="12.375" bestFit="1" customWidth="1"/>
    <col min="8" max="13" width="10.3125" bestFit="1" customWidth="1"/>
  </cols>
  <sheetData>
    <row r="5" spans="2:14" x14ac:dyDescent="0.5">
      <c r="C5" s="2">
        <f t="shared" ref="C5:F5" si="0">+D5-1</f>
        <v>2020</v>
      </c>
      <c r="D5" s="2">
        <f t="shared" si="0"/>
        <v>2021</v>
      </c>
      <c r="E5" s="2">
        <f t="shared" si="0"/>
        <v>2022</v>
      </c>
      <c r="F5" s="2">
        <f t="shared" si="0"/>
        <v>2023</v>
      </c>
      <c r="G5" s="2">
        <f>+H5-1</f>
        <v>2024</v>
      </c>
      <c r="H5" s="1">
        <v>2025</v>
      </c>
      <c r="I5" s="2">
        <f>+H5+1</f>
        <v>2026</v>
      </c>
      <c r="J5" s="2">
        <f t="shared" ref="J5:M5" si="1">+I5+1</f>
        <v>2027</v>
      </c>
      <c r="K5" s="2">
        <f t="shared" si="1"/>
        <v>2028</v>
      </c>
      <c r="L5" s="2">
        <f t="shared" si="1"/>
        <v>2029</v>
      </c>
      <c r="M5" s="2">
        <f t="shared" si="1"/>
        <v>2030</v>
      </c>
    </row>
    <row r="6" spans="2:14" x14ac:dyDescent="0.5">
      <c r="B6" t="s">
        <v>0</v>
      </c>
      <c r="C6" s="5">
        <v>10000</v>
      </c>
      <c r="D6" s="5">
        <v>10700</v>
      </c>
      <c r="E6" s="5">
        <v>11400</v>
      </c>
      <c r="F6" s="5">
        <v>12100</v>
      </c>
      <c r="G6" s="5">
        <v>12800</v>
      </c>
      <c r="H6" s="5"/>
      <c r="I6" s="5"/>
      <c r="J6" s="5"/>
      <c r="K6" s="5"/>
      <c r="L6" s="5"/>
      <c r="M6" s="5"/>
      <c r="N6" s="5"/>
    </row>
    <row r="7" spans="2:14" x14ac:dyDescent="0.5">
      <c r="B7" t="s">
        <v>1</v>
      </c>
      <c r="C7" s="5">
        <v>6500</v>
      </c>
      <c r="D7" s="5">
        <v>6900</v>
      </c>
      <c r="E7" s="5">
        <v>7300</v>
      </c>
      <c r="F7" s="5">
        <v>7800</v>
      </c>
      <c r="G7" s="5">
        <v>8200</v>
      </c>
      <c r="H7" s="5"/>
      <c r="I7" s="5"/>
      <c r="J7" s="5"/>
      <c r="K7" s="5"/>
      <c r="L7" s="5"/>
      <c r="M7" s="5"/>
    </row>
    <row r="8" spans="2:14" x14ac:dyDescent="0.5">
      <c r="B8" t="s">
        <v>2</v>
      </c>
      <c r="C8" s="5">
        <v>1800</v>
      </c>
      <c r="D8" s="5">
        <v>2000</v>
      </c>
      <c r="E8" s="5">
        <v>2100</v>
      </c>
      <c r="F8" s="5">
        <v>2200</v>
      </c>
      <c r="G8" s="5">
        <v>2400</v>
      </c>
      <c r="H8" s="5"/>
      <c r="I8" s="5"/>
      <c r="J8" s="5"/>
      <c r="K8" s="5"/>
      <c r="L8" s="5"/>
      <c r="M8" s="5"/>
    </row>
    <row r="9" spans="2:14" x14ac:dyDescent="0.5">
      <c r="B9" t="s">
        <v>3</v>
      </c>
      <c r="C9" s="5">
        <v>735</v>
      </c>
      <c r="D9" s="5">
        <v>750</v>
      </c>
      <c r="E9" s="5">
        <v>800</v>
      </c>
      <c r="F9" s="5">
        <v>890</v>
      </c>
      <c r="G9" s="5">
        <v>970</v>
      </c>
      <c r="H9" s="5"/>
      <c r="I9" s="5"/>
      <c r="J9" s="5"/>
      <c r="K9" s="5"/>
      <c r="L9" s="5"/>
      <c r="M9" s="5"/>
    </row>
    <row r="10" spans="2:14" x14ac:dyDescent="0.5">
      <c r="B10" t="s">
        <v>4</v>
      </c>
      <c r="C10" s="5">
        <v>965</v>
      </c>
      <c r="D10" s="5">
        <v>1050</v>
      </c>
      <c r="E10" s="5">
        <v>1200</v>
      </c>
      <c r="F10" s="5">
        <v>1210</v>
      </c>
      <c r="G10" s="5">
        <v>1230</v>
      </c>
      <c r="H10" s="5"/>
      <c r="I10" s="5"/>
      <c r="J10" s="5"/>
      <c r="K10" s="5"/>
      <c r="L10" s="5"/>
      <c r="M10" s="5"/>
    </row>
    <row r="11" spans="2:14" x14ac:dyDescent="0.5">
      <c r="B11" t="s">
        <v>5</v>
      </c>
      <c r="C11" s="5">
        <v>0</v>
      </c>
      <c r="D11" s="5">
        <v>0</v>
      </c>
      <c r="E11" s="5">
        <v>0</v>
      </c>
      <c r="F11" s="5">
        <v>0</v>
      </c>
      <c r="G11" s="5">
        <v>0</v>
      </c>
      <c r="H11" s="5"/>
      <c r="I11" s="5"/>
      <c r="J11" s="5"/>
      <c r="K11" s="5"/>
      <c r="L11" s="5"/>
      <c r="M11" s="5"/>
    </row>
    <row r="12" spans="2:14" x14ac:dyDescent="0.5">
      <c r="B12" t="s">
        <v>6</v>
      </c>
      <c r="C12" s="5">
        <v>965</v>
      </c>
      <c r="D12" s="5">
        <v>1050</v>
      </c>
      <c r="E12" s="5">
        <v>1200</v>
      </c>
      <c r="F12" s="5">
        <v>1210</v>
      </c>
      <c r="G12" s="5">
        <v>1230</v>
      </c>
      <c r="H12" s="5"/>
      <c r="I12" s="5"/>
      <c r="J12" s="5"/>
      <c r="K12" s="5"/>
      <c r="L12" s="5"/>
      <c r="M12" s="5"/>
    </row>
    <row r="13" spans="2:14" x14ac:dyDescent="0.5">
      <c r="B13" t="s">
        <v>7</v>
      </c>
      <c r="C13" s="5">
        <v>100</v>
      </c>
      <c r="D13" s="5">
        <v>90</v>
      </c>
      <c r="E13" s="5">
        <v>110</v>
      </c>
      <c r="F13" s="5">
        <v>100</v>
      </c>
      <c r="G13" s="5">
        <v>90</v>
      </c>
      <c r="H13" s="5"/>
      <c r="I13" s="5"/>
      <c r="J13" s="5"/>
      <c r="K13" s="5"/>
      <c r="L13" s="5"/>
      <c r="M13" s="5"/>
    </row>
    <row r="14" spans="2:14" x14ac:dyDescent="0.5">
      <c r="B14" t="s">
        <v>8</v>
      </c>
      <c r="C14" s="5">
        <v>865</v>
      </c>
      <c r="D14" s="5">
        <v>960</v>
      </c>
      <c r="E14" s="5">
        <v>1090</v>
      </c>
      <c r="F14" s="5">
        <v>1110</v>
      </c>
      <c r="G14" s="5">
        <v>1140</v>
      </c>
      <c r="H14" s="5"/>
      <c r="I14" s="5"/>
      <c r="J14" s="5"/>
      <c r="K14" s="5"/>
      <c r="L14" s="5"/>
      <c r="M14" s="5"/>
    </row>
    <row r="15" spans="2:14" x14ac:dyDescent="0.5">
      <c r="C15" s="5"/>
      <c r="D15" s="5"/>
      <c r="E15" s="5"/>
      <c r="F15" s="5"/>
      <c r="G15" s="5"/>
      <c r="H15" s="5"/>
      <c r="I15" s="5"/>
      <c r="J15" s="5"/>
      <c r="K15" s="5"/>
      <c r="L15" s="5"/>
      <c r="M15" s="5"/>
    </row>
    <row r="16" spans="2:14" x14ac:dyDescent="0.5">
      <c r="C16" s="5"/>
      <c r="D16" s="5"/>
      <c r="E16" s="5"/>
      <c r="F16" s="5"/>
      <c r="G16" s="5"/>
      <c r="H16" s="5"/>
      <c r="I16" s="5"/>
      <c r="J16" s="5"/>
      <c r="K16" s="5"/>
      <c r="L16" s="5"/>
      <c r="M16" s="5"/>
    </row>
    <row r="17" spans="2:14" x14ac:dyDescent="0.5">
      <c r="C17" s="5"/>
      <c r="D17" s="5"/>
      <c r="E17" s="5"/>
      <c r="F17" s="5"/>
      <c r="G17" s="5"/>
      <c r="H17" s="5"/>
      <c r="I17" s="5"/>
      <c r="J17" s="5"/>
      <c r="K17" s="5"/>
      <c r="L17" s="5"/>
      <c r="M17" s="5"/>
    </row>
    <row r="18" spans="2:14" x14ac:dyDescent="0.5">
      <c r="C18" s="5"/>
      <c r="D18" s="5"/>
      <c r="E18" s="5"/>
      <c r="F18" s="5"/>
      <c r="G18" s="5"/>
      <c r="H18" s="5"/>
      <c r="I18" s="5"/>
      <c r="J18" s="5"/>
      <c r="K18" s="5"/>
      <c r="L18" s="5"/>
      <c r="M18" s="5"/>
    </row>
    <row r="19" spans="2:14" x14ac:dyDescent="0.5">
      <c r="C19" s="5"/>
      <c r="D19" s="5"/>
      <c r="E19" s="5"/>
      <c r="F19" s="5"/>
      <c r="G19" s="5"/>
      <c r="H19" s="5"/>
      <c r="I19" s="5"/>
      <c r="J19" s="5"/>
      <c r="K19" s="5"/>
      <c r="L19" s="5"/>
      <c r="M19" s="5"/>
    </row>
    <row r="20" spans="2:14" x14ac:dyDescent="0.5">
      <c r="C20" s="5"/>
      <c r="D20" s="5"/>
      <c r="E20" s="5"/>
      <c r="F20" s="5"/>
      <c r="G20" s="5"/>
      <c r="H20" s="5"/>
      <c r="I20" s="5"/>
      <c r="J20" s="5"/>
      <c r="K20" s="5"/>
      <c r="L20" s="5"/>
      <c r="M20" s="5"/>
    </row>
    <row r="21" spans="2:14" x14ac:dyDescent="0.5">
      <c r="B21" t="s">
        <v>9</v>
      </c>
      <c r="C21" s="5">
        <v>9500</v>
      </c>
      <c r="D21" s="5">
        <v>10000</v>
      </c>
      <c r="E21" s="5">
        <v>11000</v>
      </c>
      <c r="F21" s="5">
        <v>11500</v>
      </c>
      <c r="G21" s="5">
        <v>12000</v>
      </c>
      <c r="H21" s="5"/>
      <c r="I21" s="5"/>
      <c r="J21" s="5"/>
      <c r="K21" s="5"/>
      <c r="L21" s="5"/>
      <c r="M21" s="5"/>
    </row>
    <row r="22" spans="2:14" x14ac:dyDescent="0.5">
      <c r="B22" t="s">
        <v>10</v>
      </c>
      <c r="C22" s="5">
        <v>115</v>
      </c>
      <c r="D22" s="5">
        <v>130</v>
      </c>
      <c r="E22" s="5">
        <v>135</v>
      </c>
      <c r="F22" s="5">
        <v>140</v>
      </c>
      <c r="G22" s="5">
        <v>155</v>
      </c>
      <c r="H22" s="5"/>
      <c r="I22" s="5"/>
      <c r="J22" s="5"/>
      <c r="K22" s="5"/>
      <c r="L22" s="5"/>
      <c r="M22" s="5"/>
    </row>
    <row r="23" spans="2:14" x14ac:dyDescent="0.5">
      <c r="B23" t="s">
        <v>11</v>
      </c>
      <c r="C23" s="5">
        <v>0</v>
      </c>
      <c r="D23" s="5">
        <v>0</v>
      </c>
      <c r="E23" s="5">
        <v>0</v>
      </c>
      <c r="F23" s="5">
        <v>0</v>
      </c>
      <c r="G23" s="5">
        <v>0</v>
      </c>
      <c r="H23" s="5"/>
      <c r="I23" s="5"/>
      <c r="J23" s="5"/>
      <c r="K23" s="5"/>
      <c r="L23" s="5"/>
      <c r="M23" s="5"/>
    </row>
    <row r="24" spans="2:14" x14ac:dyDescent="0.5">
      <c r="B24" t="s">
        <v>12</v>
      </c>
      <c r="C24" s="5">
        <v>430</v>
      </c>
      <c r="D24" s="5">
        <v>400</v>
      </c>
      <c r="E24" s="5">
        <v>470</v>
      </c>
      <c r="F24" s="5">
        <v>500</v>
      </c>
      <c r="G24" s="5">
        <v>520</v>
      </c>
      <c r="H24" s="5"/>
      <c r="I24" s="5"/>
      <c r="J24" s="5"/>
      <c r="K24" s="5"/>
      <c r="L24" s="5"/>
      <c r="M24" s="5"/>
    </row>
    <row r="25" spans="2:14" x14ac:dyDescent="0.5">
      <c r="C25" s="5"/>
      <c r="D25" s="5"/>
      <c r="E25" s="5"/>
      <c r="F25" s="5"/>
      <c r="G25" s="5"/>
      <c r="H25" s="5"/>
      <c r="I25" s="5"/>
      <c r="J25" s="5"/>
      <c r="K25" s="5"/>
      <c r="L25" s="5"/>
      <c r="M25" s="5"/>
    </row>
    <row r="26" spans="2:14" x14ac:dyDescent="0.5">
      <c r="B26" t="s">
        <v>13</v>
      </c>
      <c r="C26" s="5">
        <v>300</v>
      </c>
      <c r="D26" s="5">
        <v>350</v>
      </c>
      <c r="E26" s="5">
        <v>370</v>
      </c>
      <c r="F26" s="5">
        <v>390</v>
      </c>
      <c r="G26" s="5">
        <v>400</v>
      </c>
      <c r="H26" s="5"/>
      <c r="I26" s="5"/>
      <c r="J26" s="5"/>
      <c r="K26" s="5"/>
      <c r="L26" s="5"/>
      <c r="M26" s="5"/>
    </row>
    <row r="27" spans="2:14" x14ac:dyDescent="0.5">
      <c r="B27" t="s">
        <v>14</v>
      </c>
      <c r="C27" s="5">
        <v>0</v>
      </c>
      <c r="D27" s="5">
        <v>0</v>
      </c>
      <c r="E27" s="5">
        <v>0</v>
      </c>
      <c r="F27" s="5">
        <v>0</v>
      </c>
      <c r="G27" s="5">
        <v>0</v>
      </c>
      <c r="H27" s="5"/>
      <c r="I27" s="5"/>
      <c r="J27" s="5"/>
      <c r="K27" s="5"/>
      <c r="L27" s="5"/>
      <c r="M27" s="5"/>
    </row>
    <row r="28" spans="2:14" x14ac:dyDescent="0.5">
      <c r="B28" t="s">
        <v>15</v>
      </c>
      <c r="C28" s="5">
        <v>9745</v>
      </c>
      <c r="D28" s="5">
        <v>10180</v>
      </c>
      <c r="E28" s="5">
        <v>11235</v>
      </c>
      <c r="F28" s="5">
        <v>11750</v>
      </c>
      <c r="G28" s="5">
        <v>12275</v>
      </c>
      <c r="H28" s="5"/>
      <c r="I28" s="5"/>
      <c r="J28" s="5"/>
      <c r="K28" s="5"/>
      <c r="L28" s="5"/>
      <c r="M28" s="5"/>
    </row>
    <row r="30" spans="2:14" x14ac:dyDescent="0.5">
      <c r="B30" t="s">
        <v>16</v>
      </c>
      <c r="D30" s="4"/>
      <c r="E30" s="4"/>
      <c r="F30" s="4"/>
      <c r="G30" s="4"/>
      <c r="H30" s="3">
        <v>0.15</v>
      </c>
      <c r="I30" s="3">
        <v>0.12</v>
      </c>
      <c r="J30" s="3">
        <v>0.08</v>
      </c>
      <c r="K30" s="3">
        <v>0.06</v>
      </c>
      <c r="L30" s="3">
        <v>0.05</v>
      </c>
      <c r="M30" s="3">
        <v>0.05</v>
      </c>
      <c r="N30" s="3">
        <v>0.05</v>
      </c>
    </row>
    <row r="31" spans="2:14" x14ac:dyDescent="0.5">
      <c r="B31" t="s">
        <v>17</v>
      </c>
      <c r="C31" s="4"/>
      <c r="D31" s="4"/>
      <c r="E31" s="4"/>
      <c r="F31" s="4"/>
      <c r="G31" s="4"/>
      <c r="H31" s="3">
        <v>0.62</v>
      </c>
      <c r="I31" s="3">
        <v>0.62</v>
      </c>
      <c r="J31" s="3">
        <v>0.62</v>
      </c>
      <c r="K31" s="3">
        <v>0.62</v>
      </c>
      <c r="L31" s="3">
        <v>0.62</v>
      </c>
      <c r="M31" s="3">
        <v>0.62</v>
      </c>
    </row>
    <row r="32" spans="2:14" x14ac:dyDescent="0.5">
      <c r="B32" t="s">
        <v>18</v>
      </c>
      <c r="C32" s="4"/>
      <c r="D32" s="4"/>
      <c r="E32" s="4"/>
      <c r="F32" s="4"/>
      <c r="G32" s="4"/>
      <c r="H32" s="3">
        <v>0.16</v>
      </c>
      <c r="I32" s="3">
        <v>0.16</v>
      </c>
      <c r="J32" s="3">
        <v>0.16</v>
      </c>
      <c r="K32" s="3">
        <v>0.16</v>
      </c>
      <c r="L32" s="3">
        <v>0.16</v>
      </c>
      <c r="M32" s="3">
        <v>0.16</v>
      </c>
    </row>
    <row r="33" spans="2:14" x14ac:dyDescent="0.5">
      <c r="B33" t="s">
        <v>19</v>
      </c>
      <c r="D33" s="4"/>
      <c r="E33" s="4"/>
      <c r="F33" s="4"/>
      <c r="G33" s="4"/>
      <c r="H33" s="7">
        <v>8.3000000000000004E-2</v>
      </c>
      <c r="I33" s="7">
        <v>8.3000000000000004E-2</v>
      </c>
      <c r="J33" s="7">
        <v>8.3000000000000004E-2</v>
      </c>
      <c r="K33" s="7">
        <v>8.3000000000000004E-2</v>
      </c>
      <c r="L33" s="7">
        <v>8.3000000000000004E-2</v>
      </c>
      <c r="M33" s="7">
        <v>8.3000000000000004E-2</v>
      </c>
    </row>
    <row r="34" spans="2:14" x14ac:dyDescent="0.5">
      <c r="B34" t="s">
        <v>20</v>
      </c>
      <c r="D34" s="5"/>
      <c r="E34" s="5"/>
      <c r="F34" s="5"/>
      <c r="G34" s="5"/>
      <c r="H34" s="6"/>
      <c r="I34" s="8">
        <v>0.8</v>
      </c>
      <c r="J34" s="8">
        <v>0.8</v>
      </c>
      <c r="K34" s="8">
        <v>0.8</v>
      </c>
      <c r="L34" s="8">
        <v>0.8</v>
      </c>
      <c r="M34" s="8">
        <v>0.8</v>
      </c>
      <c r="N34" s="8">
        <v>0.8</v>
      </c>
    </row>
    <row r="35" spans="2:14" x14ac:dyDescent="0.5">
      <c r="B35" t="s">
        <v>21</v>
      </c>
      <c r="C35" s="5"/>
      <c r="D35" s="5"/>
      <c r="E35" s="5"/>
      <c r="F35" s="5"/>
      <c r="G35" s="5"/>
      <c r="H35" s="8">
        <v>7</v>
      </c>
      <c r="I35" s="8">
        <v>7</v>
      </c>
      <c r="J35" s="8">
        <v>7</v>
      </c>
      <c r="K35" s="8">
        <v>7</v>
      </c>
      <c r="L35" s="8">
        <v>7</v>
      </c>
      <c r="M35" s="8">
        <v>7</v>
      </c>
    </row>
    <row r="36" spans="2:14" x14ac:dyDescent="0.5">
      <c r="B36" t="s">
        <v>22</v>
      </c>
      <c r="C36" s="5"/>
      <c r="D36" s="5"/>
      <c r="E36" s="5"/>
      <c r="F36" s="5"/>
      <c r="G36" s="5"/>
      <c r="H36" s="8">
        <v>2</v>
      </c>
      <c r="I36" s="8">
        <v>5</v>
      </c>
      <c r="J36" s="8">
        <v>10</v>
      </c>
      <c r="K36" s="8">
        <v>10</v>
      </c>
      <c r="L36" s="8">
        <v>10</v>
      </c>
      <c r="M36" s="8">
        <v>10</v>
      </c>
    </row>
    <row r="37" spans="2:14" x14ac:dyDescent="0.5">
      <c r="B37" t="s">
        <v>23</v>
      </c>
      <c r="C37" s="4"/>
      <c r="D37" s="4"/>
      <c r="E37" s="4"/>
      <c r="F37" s="4"/>
      <c r="G37" s="4"/>
      <c r="H37" s="9">
        <v>0.04</v>
      </c>
      <c r="I37" s="9">
        <v>0.04</v>
      </c>
      <c r="J37" s="9">
        <v>0.04</v>
      </c>
      <c r="K37" s="9">
        <v>0.04</v>
      </c>
      <c r="L37" s="9">
        <v>0.04</v>
      </c>
      <c r="M37" s="9">
        <v>0.04</v>
      </c>
    </row>
    <row r="38" spans="2:14" x14ac:dyDescent="0.5">
      <c r="B38" t="s">
        <v>24</v>
      </c>
      <c r="C38" s="5"/>
      <c r="D38" s="5"/>
      <c r="E38" s="5"/>
      <c r="F38" s="5"/>
      <c r="G38" s="5"/>
      <c r="H38" s="8">
        <v>16</v>
      </c>
      <c r="I38" s="8">
        <v>17</v>
      </c>
      <c r="J38" s="8">
        <v>18</v>
      </c>
      <c r="K38" s="8">
        <v>19</v>
      </c>
      <c r="L38" s="8">
        <v>20</v>
      </c>
      <c r="M38" s="8">
        <v>20</v>
      </c>
    </row>
    <row r="39" spans="2:14" x14ac:dyDescent="0.5">
      <c r="B39" t="s">
        <v>25</v>
      </c>
      <c r="C39" s="4"/>
      <c r="D39" s="4"/>
      <c r="E39" s="4"/>
      <c r="F39" s="4"/>
      <c r="G39" s="4"/>
      <c r="H39" s="9">
        <v>0</v>
      </c>
      <c r="I39" s="9">
        <v>0.05</v>
      </c>
      <c r="J39" s="9">
        <v>0.1</v>
      </c>
      <c r="K39" s="9">
        <v>0.15</v>
      </c>
      <c r="L39" s="9">
        <v>0.2</v>
      </c>
      <c r="M39" s="9">
        <v>0.2</v>
      </c>
    </row>
    <row r="40" spans="2:14" x14ac:dyDescent="0.5">
      <c r="B40" t="s">
        <v>26</v>
      </c>
      <c r="C40" s="6"/>
      <c r="D40" s="6"/>
      <c r="E40" s="6"/>
      <c r="F40" s="6"/>
      <c r="G40" s="6"/>
      <c r="H40" s="6"/>
      <c r="I40" s="7">
        <v>7.0000000000000007E-2</v>
      </c>
      <c r="J40" s="7">
        <v>7.0000000000000007E-2</v>
      </c>
      <c r="K40" s="7">
        <v>7.0000000000000007E-2</v>
      </c>
      <c r="L40" s="7">
        <v>7.0000000000000007E-2</v>
      </c>
      <c r="M40" s="7">
        <v>7.0000000000000007E-2</v>
      </c>
    </row>
    <row r="41" spans="2:14" x14ac:dyDescent="0.5">
      <c r="B41" t="s">
        <v>27</v>
      </c>
      <c r="C41" s="4"/>
      <c r="D41" s="4"/>
      <c r="E41" s="4"/>
      <c r="F41" s="4"/>
      <c r="G41" s="4"/>
      <c r="H41" s="7">
        <v>0.2</v>
      </c>
      <c r="I41" s="7">
        <v>0.2</v>
      </c>
      <c r="J41" s="7">
        <v>0.2</v>
      </c>
      <c r="K41" s="7">
        <v>0.2</v>
      </c>
      <c r="L41" s="7">
        <v>0.2</v>
      </c>
      <c r="M41" s="7">
        <v>0.2</v>
      </c>
    </row>
    <row r="106" spans="2:13" x14ac:dyDescent="0.5">
      <c r="B106" s="5" t="str">
        <f>+B10</f>
        <v>Operational profit</v>
      </c>
      <c r="C106" s="5"/>
      <c r="D106" s="5">
        <f t="shared" ref="D106:M106" si="2">+D10</f>
        <v>1050</v>
      </c>
      <c r="E106" s="5">
        <f t="shared" si="2"/>
        <v>1200</v>
      </c>
      <c r="F106" s="5">
        <f t="shared" si="2"/>
        <v>1210</v>
      </c>
      <c r="G106" s="5">
        <f t="shared" si="2"/>
        <v>1230</v>
      </c>
      <c r="H106" s="5">
        <f t="shared" si="2"/>
        <v>0</v>
      </c>
      <c r="I106" s="5">
        <f t="shared" si="2"/>
        <v>0</v>
      </c>
      <c r="J106" s="5">
        <f t="shared" si="2"/>
        <v>0</v>
      </c>
      <c r="K106" s="5">
        <f t="shared" si="2"/>
        <v>0</v>
      </c>
      <c r="L106" s="5">
        <f t="shared" si="2"/>
        <v>0</v>
      </c>
      <c r="M106" s="5">
        <f t="shared" si="2"/>
        <v>0</v>
      </c>
    </row>
    <row r="107" spans="2:13" x14ac:dyDescent="0.5">
      <c r="B107" t="s">
        <v>28</v>
      </c>
      <c r="D107" s="5">
        <f>+D106*(1-D41)</f>
        <v>1050</v>
      </c>
      <c r="E107" s="5">
        <f t="shared" ref="E107:M107" si="3">+E106*(1-E41)</f>
        <v>1200</v>
      </c>
      <c r="F107" s="5">
        <f t="shared" si="3"/>
        <v>1210</v>
      </c>
      <c r="G107" s="5">
        <f t="shared" si="3"/>
        <v>1230</v>
      </c>
      <c r="H107" s="5">
        <f t="shared" si="3"/>
        <v>0</v>
      </c>
      <c r="I107" s="5">
        <f t="shared" si="3"/>
        <v>0</v>
      </c>
      <c r="J107" s="5">
        <f t="shared" si="3"/>
        <v>0</v>
      </c>
      <c r="K107" s="5">
        <f t="shared" si="3"/>
        <v>0</v>
      </c>
      <c r="L107" s="5">
        <f t="shared" si="3"/>
        <v>0</v>
      </c>
      <c r="M107" s="5">
        <f t="shared" si="3"/>
        <v>0</v>
      </c>
    </row>
    <row r="108" spans="2:13" x14ac:dyDescent="0.5">
      <c r="B108" t="s">
        <v>3</v>
      </c>
      <c r="D108" s="5">
        <f>+D9</f>
        <v>750</v>
      </c>
      <c r="E108" s="5">
        <f t="shared" ref="E108:M108" si="4">+E9</f>
        <v>800</v>
      </c>
      <c r="F108" s="5">
        <f t="shared" si="4"/>
        <v>890</v>
      </c>
      <c r="G108" s="5">
        <f t="shared" si="4"/>
        <v>970</v>
      </c>
      <c r="H108" s="5">
        <f t="shared" si="4"/>
        <v>0</v>
      </c>
      <c r="I108" s="5">
        <f t="shared" si="4"/>
        <v>0</v>
      </c>
      <c r="J108" s="5">
        <f t="shared" si="4"/>
        <v>0</v>
      </c>
      <c r="K108" s="5">
        <f t="shared" si="4"/>
        <v>0</v>
      </c>
      <c r="L108" s="5">
        <f t="shared" si="4"/>
        <v>0</v>
      </c>
      <c r="M108" s="5">
        <f t="shared" si="4"/>
        <v>0</v>
      </c>
    </row>
    <row r="109" spans="2:13" x14ac:dyDescent="0.5">
      <c r="B109" t="s">
        <v>29</v>
      </c>
      <c r="D109" s="5">
        <f>+D107+D108</f>
        <v>1800</v>
      </c>
      <c r="E109" s="5">
        <f t="shared" ref="E109:M109" si="5">+E107+E108</f>
        <v>2000</v>
      </c>
      <c r="F109" s="5">
        <f t="shared" si="5"/>
        <v>2100</v>
      </c>
      <c r="G109" s="5">
        <f t="shared" si="5"/>
        <v>2200</v>
      </c>
      <c r="H109" s="5">
        <f t="shared" si="5"/>
        <v>0</v>
      </c>
      <c r="I109" s="5">
        <f t="shared" si="5"/>
        <v>0</v>
      </c>
      <c r="J109" s="5">
        <f t="shared" si="5"/>
        <v>0</v>
      </c>
      <c r="K109" s="5">
        <f t="shared" si="5"/>
        <v>0</v>
      </c>
      <c r="L109" s="5">
        <f t="shared" si="5"/>
        <v>0</v>
      </c>
      <c r="M109" s="5">
        <f t="shared" si="5"/>
        <v>0</v>
      </c>
    </row>
    <row r="110" spans="2:13" x14ac:dyDescent="0.5">
      <c r="B110" t="s">
        <v>30</v>
      </c>
      <c r="D110" s="5">
        <f>+C22-D22</f>
        <v>-15</v>
      </c>
      <c r="E110" s="5">
        <f t="shared" ref="E110:M110" si="6">+D22-E22</f>
        <v>-5</v>
      </c>
      <c r="F110" s="5">
        <f t="shared" si="6"/>
        <v>-5</v>
      </c>
      <c r="G110" s="5">
        <f t="shared" si="6"/>
        <v>-15</v>
      </c>
      <c r="H110" s="5">
        <f t="shared" si="6"/>
        <v>155</v>
      </c>
      <c r="I110" s="5">
        <f t="shared" si="6"/>
        <v>0</v>
      </c>
      <c r="J110" s="5">
        <f t="shared" si="6"/>
        <v>0</v>
      </c>
      <c r="K110" s="5">
        <f t="shared" si="6"/>
        <v>0</v>
      </c>
      <c r="L110" s="5">
        <f t="shared" si="6"/>
        <v>0</v>
      </c>
      <c r="M110" s="5">
        <f t="shared" si="6"/>
        <v>0</v>
      </c>
    </row>
    <row r="111" spans="2:13" x14ac:dyDescent="0.5">
      <c r="B111" t="s">
        <v>31</v>
      </c>
      <c r="D111" s="5">
        <f>+C23-D23</f>
        <v>0</v>
      </c>
      <c r="E111" s="5">
        <f t="shared" ref="E111:M111" si="7">+D23-E23</f>
        <v>0</v>
      </c>
      <c r="F111" s="5">
        <f t="shared" si="7"/>
        <v>0</v>
      </c>
      <c r="G111" s="5">
        <f t="shared" si="7"/>
        <v>0</v>
      </c>
      <c r="H111" s="5">
        <f t="shared" si="7"/>
        <v>0</v>
      </c>
      <c r="I111" s="5">
        <f t="shared" si="7"/>
        <v>0</v>
      </c>
      <c r="J111" s="5">
        <f t="shared" si="7"/>
        <v>0</v>
      </c>
      <c r="K111" s="5">
        <f t="shared" si="7"/>
        <v>0</v>
      </c>
      <c r="L111" s="5">
        <f t="shared" si="7"/>
        <v>0</v>
      </c>
      <c r="M111" s="5">
        <f t="shared" si="7"/>
        <v>0</v>
      </c>
    </row>
    <row r="112" spans="2:13" x14ac:dyDescent="0.5">
      <c r="B112" t="s">
        <v>32</v>
      </c>
      <c r="D112" s="5">
        <f>+C24-D24</f>
        <v>30</v>
      </c>
      <c r="E112" s="5">
        <f t="shared" ref="E112:M112" si="8">+D24-E24</f>
        <v>-70</v>
      </c>
      <c r="F112" s="5">
        <f t="shared" si="8"/>
        <v>-30</v>
      </c>
      <c r="G112" s="5">
        <f t="shared" si="8"/>
        <v>-20</v>
      </c>
      <c r="H112" s="5">
        <f t="shared" si="8"/>
        <v>520</v>
      </c>
      <c r="I112" s="5">
        <f t="shared" si="8"/>
        <v>0</v>
      </c>
      <c r="J112" s="5">
        <f t="shared" si="8"/>
        <v>0</v>
      </c>
      <c r="K112" s="5">
        <f t="shared" si="8"/>
        <v>0</v>
      </c>
      <c r="L112" s="5">
        <f t="shared" si="8"/>
        <v>0</v>
      </c>
      <c r="M112" s="5">
        <f t="shared" si="8"/>
        <v>0</v>
      </c>
    </row>
    <row r="113" spans="2:13" x14ac:dyDescent="0.5">
      <c r="B113" t="s">
        <v>33</v>
      </c>
      <c r="D113" s="5">
        <f>+D26-C26</f>
        <v>50</v>
      </c>
      <c r="E113" s="5">
        <f t="shared" ref="E113:M113" si="9">+E26-D26</f>
        <v>20</v>
      </c>
      <c r="F113" s="5">
        <f t="shared" si="9"/>
        <v>20</v>
      </c>
      <c r="G113" s="5">
        <f t="shared" si="9"/>
        <v>10</v>
      </c>
      <c r="H113" s="5">
        <f t="shared" si="9"/>
        <v>-400</v>
      </c>
      <c r="I113" s="5">
        <f t="shared" si="9"/>
        <v>0</v>
      </c>
      <c r="J113" s="5">
        <f t="shared" si="9"/>
        <v>0</v>
      </c>
      <c r="K113" s="5">
        <f t="shared" si="9"/>
        <v>0</v>
      </c>
      <c r="L113" s="5">
        <f t="shared" si="9"/>
        <v>0</v>
      </c>
      <c r="M113" s="5">
        <f t="shared" si="9"/>
        <v>0</v>
      </c>
    </row>
    <row r="114" spans="2:13" x14ac:dyDescent="0.5">
      <c r="B114" t="s">
        <v>34</v>
      </c>
      <c r="D114" s="5">
        <f>+D109+D110+D111+D112+D113</f>
        <v>1865</v>
      </c>
      <c r="E114" s="5">
        <f t="shared" ref="E114:M114" si="10">+E109+E110+E111+E112+E113</f>
        <v>1945</v>
      </c>
      <c r="F114" s="5">
        <f t="shared" si="10"/>
        <v>2085</v>
      </c>
      <c r="G114" s="5">
        <f t="shared" si="10"/>
        <v>2175</v>
      </c>
      <c r="H114" s="5">
        <f t="shared" si="10"/>
        <v>275</v>
      </c>
      <c r="I114" s="5">
        <f t="shared" si="10"/>
        <v>0</v>
      </c>
      <c r="J114" s="5">
        <f t="shared" si="10"/>
        <v>0</v>
      </c>
      <c r="K114" s="5">
        <f t="shared" si="10"/>
        <v>0</v>
      </c>
      <c r="L114" s="5">
        <f t="shared" si="10"/>
        <v>0</v>
      </c>
      <c r="M114" s="5">
        <f t="shared" si="10"/>
        <v>0</v>
      </c>
    </row>
    <row r="115" spans="2:13" x14ac:dyDescent="0.5">
      <c r="B115" t="s">
        <v>35</v>
      </c>
      <c r="D115" s="5">
        <f>+C21-D21</f>
        <v>-500</v>
      </c>
      <c r="E115" s="5">
        <f t="shared" ref="E115:M115" si="11">+D21-E21</f>
        <v>-1000</v>
      </c>
      <c r="F115" s="5">
        <f t="shared" si="11"/>
        <v>-500</v>
      </c>
      <c r="G115" s="5">
        <f t="shared" si="11"/>
        <v>-500</v>
      </c>
      <c r="H115" s="5">
        <f t="shared" si="11"/>
        <v>12000</v>
      </c>
      <c r="I115" s="5">
        <f t="shared" si="11"/>
        <v>0</v>
      </c>
      <c r="J115" s="5">
        <f t="shared" si="11"/>
        <v>0</v>
      </c>
      <c r="K115" s="5">
        <f t="shared" si="11"/>
        <v>0</v>
      </c>
      <c r="L115" s="5">
        <f t="shared" si="11"/>
        <v>0</v>
      </c>
      <c r="M115" s="5">
        <f t="shared" si="11"/>
        <v>0</v>
      </c>
    </row>
    <row r="116" spans="2:13" x14ac:dyDescent="0.5">
      <c r="B116" t="s">
        <v>3</v>
      </c>
      <c r="D116" s="5">
        <f>-D108</f>
        <v>-750</v>
      </c>
      <c r="E116" s="5">
        <f t="shared" ref="E116:M116" si="12">-E108</f>
        <v>-800</v>
      </c>
      <c r="F116" s="5">
        <f t="shared" si="12"/>
        <v>-890</v>
      </c>
      <c r="G116" s="5">
        <f t="shared" si="12"/>
        <v>-970</v>
      </c>
      <c r="H116" s="5">
        <f t="shared" si="12"/>
        <v>0</v>
      </c>
      <c r="I116" s="5">
        <f t="shared" si="12"/>
        <v>0</v>
      </c>
      <c r="J116" s="5">
        <f t="shared" si="12"/>
        <v>0</v>
      </c>
      <c r="K116" s="5">
        <f t="shared" si="12"/>
        <v>0</v>
      </c>
      <c r="L116" s="5">
        <f t="shared" si="12"/>
        <v>0</v>
      </c>
      <c r="M116" s="5">
        <f t="shared" si="12"/>
        <v>0</v>
      </c>
    </row>
    <row r="117" spans="2:13" x14ac:dyDescent="0.5">
      <c r="B117" t="s">
        <v>36</v>
      </c>
      <c r="D117" s="5">
        <f>+D115+D116</f>
        <v>-1250</v>
      </c>
      <c r="E117" s="5">
        <f t="shared" ref="E117:M117" si="13">+E115+E116</f>
        <v>-1800</v>
      </c>
      <c r="F117" s="5">
        <f t="shared" si="13"/>
        <v>-1390</v>
      </c>
      <c r="G117" s="5">
        <f t="shared" si="13"/>
        <v>-1470</v>
      </c>
      <c r="H117" s="5">
        <f t="shared" si="13"/>
        <v>12000</v>
      </c>
      <c r="I117" s="5">
        <f t="shared" si="13"/>
        <v>0</v>
      </c>
      <c r="J117" s="5">
        <f t="shared" si="13"/>
        <v>0</v>
      </c>
      <c r="K117" s="5">
        <f t="shared" si="13"/>
        <v>0</v>
      </c>
      <c r="L117" s="5">
        <f t="shared" si="13"/>
        <v>0</v>
      </c>
      <c r="M117" s="5">
        <f t="shared" si="13"/>
        <v>0</v>
      </c>
    </row>
    <row r="118" spans="2:13" x14ac:dyDescent="0.5">
      <c r="B118" t="s">
        <v>37</v>
      </c>
      <c r="D118" s="5">
        <f>+D117+D114</f>
        <v>615</v>
      </c>
      <c r="E118" s="5">
        <f t="shared" ref="E118:M118" si="14">+E117+E114</f>
        <v>145</v>
      </c>
      <c r="F118" s="5">
        <f t="shared" si="14"/>
        <v>695</v>
      </c>
      <c r="G118" s="5">
        <f t="shared" si="14"/>
        <v>705</v>
      </c>
      <c r="H118" s="5">
        <f t="shared" si="14"/>
        <v>12275</v>
      </c>
      <c r="I118" s="5">
        <f t="shared" si="14"/>
        <v>0</v>
      </c>
      <c r="J118" s="5">
        <f t="shared" si="14"/>
        <v>0</v>
      </c>
      <c r="K118" s="5">
        <f t="shared" si="14"/>
        <v>0</v>
      </c>
      <c r="L118" s="5">
        <f t="shared" si="14"/>
        <v>0</v>
      </c>
      <c r="M118" s="5">
        <f t="shared" si="14"/>
        <v>0</v>
      </c>
    </row>
    <row r="119" spans="2:13" x14ac:dyDescent="0.5">
      <c r="B119" t="str">
        <f>+B11</f>
        <v>Interest</v>
      </c>
      <c r="D119" s="5">
        <f>-D11</f>
        <v>0</v>
      </c>
      <c r="E119" s="5">
        <f t="shared" ref="E119:M119" si="15">-E11</f>
        <v>0</v>
      </c>
      <c r="F119" s="5">
        <f t="shared" si="15"/>
        <v>0</v>
      </c>
      <c r="G119" s="5">
        <f t="shared" si="15"/>
        <v>0</v>
      </c>
      <c r="H119" s="5">
        <f t="shared" si="15"/>
        <v>0</v>
      </c>
      <c r="I119" s="5">
        <f t="shared" si="15"/>
        <v>0</v>
      </c>
      <c r="J119" s="5">
        <f t="shared" si="15"/>
        <v>0</v>
      </c>
      <c r="K119" s="5">
        <f t="shared" si="15"/>
        <v>0</v>
      </c>
      <c r="L119" s="5">
        <f t="shared" si="15"/>
        <v>0</v>
      </c>
      <c r="M119" s="5">
        <f t="shared" si="15"/>
        <v>0</v>
      </c>
    </row>
    <row r="120" spans="2:13" x14ac:dyDescent="0.5">
      <c r="B120" t="s">
        <v>38</v>
      </c>
      <c r="D120" s="5">
        <f>-D119*D41</f>
        <v>0</v>
      </c>
      <c r="E120" s="5">
        <f t="shared" ref="E120:M120" si="16">-E119*E41</f>
        <v>0</v>
      </c>
      <c r="F120" s="5">
        <f t="shared" si="16"/>
        <v>0</v>
      </c>
      <c r="G120" s="5">
        <f t="shared" si="16"/>
        <v>0</v>
      </c>
      <c r="H120" s="5">
        <f t="shared" si="16"/>
        <v>0</v>
      </c>
      <c r="I120" s="5">
        <f t="shared" si="16"/>
        <v>0</v>
      </c>
      <c r="J120" s="5">
        <f t="shared" si="16"/>
        <v>0</v>
      </c>
      <c r="K120" s="5">
        <f t="shared" si="16"/>
        <v>0</v>
      </c>
      <c r="L120" s="5">
        <f t="shared" si="16"/>
        <v>0</v>
      </c>
      <c r="M120" s="5">
        <f t="shared" si="16"/>
        <v>0</v>
      </c>
    </row>
    <row r="121" spans="2:13" x14ac:dyDescent="0.5">
      <c r="B121" t="s">
        <v>39</v>
      </c>
      <c r="D121" s="5">
        <f>+D27-C27</f>
        <v>0</v>
      </c>
      <c r="E121" s="5">
        <f t="shared" ref="E121:M121" si="17">+E27-D27</f>
        <v>0</v>
      </c>
      <c r="F121" s="5">
        <f t="shared" si="17"/>
        <v>0</v>
      </c>
      <c r="G121" s="5">
        <f t="shared" si="17"/>
        <v>0</v>
      </c>
      <c r="H121" s="5">
        <f t="shared" si="17"/>
        <v>0</v>
      </c>
      <c r="I121" s="5">
        <f t="shared" si="17"/>
        <v>0</v>
      </c>
      <c r="J121" s="5">
        <f t="shared" si="17"/>
        <v>0</v>
      </c>
      <c r="K121" s="5">
        <f t="shared" si="17"/>
        <v>0</v>
      </c>
      <c r="L121" s="5">
        <f t="shared" si="17"/>
        <v>0</v>
      </c>
      <c r="M121" s="5">
        <f t="shared" si="17"/>
        <v>0</v>
      </c>
    </row>
    <row r="122" spans="2:13" x14ac:dyDescent="0.5">
      <c r="B122" t="s">
        <v>40</v>
      </c>
      <c r="D122" s="5">
        <f>SUM(D118:D121)</f>
        <v>615</v>
      </c>
      <c r="E122" s="5">
        <f t="shared" ref="E122:M122" si="18">SUM(E118:E121)</f>
        <v>145</v>
      </c>
      <c r="F122" s="5">
        <f t="shared" si="18"/>
        <v>695</v>
      </c>
      <c r="G122" s="5">
        <f t="shared" si="18"/>
        <v>705</v>
      </c>
      <c r="H122" s="5">
        <f t="shared" si="18"/>
        <v>12275</v>
      </c>
      <c r="I122" s="5">
        <f t="shared" si="18"/>
        <v>0</v>
      </c>
      <c r="J122" s="5">
        <f t="shared" si="18"/>
        <v>0</v>
      </c>
      <c r="K122" s="5">
        <f t="shared" si="18"/>
        <v>0</v>
      </c>
      <c r="L122" s="5">
        <f t="shared" si="18"/>
        <v>0</v>
      </c>
      <c r="M122" s="5">
        <f t="shared" si="18"/>
        <v>0</v>
      </c>
    </row>
    <row r="123" spans="2:13" x14ac:dyDescent="0.5">
      <c r="B123">
        <f>+B15</f>
        <v>0</v>
      </c>
      <c r="D123" s="5">
        <f>-D15</f>
        <v>0</v>
      </c>
      <c r="E123" s="5">
        <f t="shared" ref="E123:M123" si="19">-E15</f>
        <v>0</v>
      </c>
      <c r="F123" s="5">
        <f t="shared" si="19"/>
        <v>0</v>
      </c>
      <c r="G123" s="5">
        <f t="shared" si="19"/>
        <v>0</v>
      </c>
      <c r="H123" s="5">
        <f t="shared" si="19"/>
        <v>0</v>
      </c>
      <c r="I123" s="5">
        <f t="shared" si="19"/>
        <v>0</v>
      </c>
      <c r="J123" s="5">
        <f t="shared" si="19"/>
        <v>0</v>
      </c>
      <c r="K123" s="5">
        <f t="shared" si="19"/>
        <v>0</v>
      </c>
      <c r="L123" s="5">
        <f t="shared" si="19"/>
        <v>0</v>
      </c>
      <c r="M123" s="5">
        <f t="shared" si="19"/>
        <v>0</v>
      </c>
    </row>
    <row r="124" spans="2:13" x14ac:dyDescent="0.5">
      <c r="B124" t="s">
        <v>41</v>
      </c>
      <c r="D124" s="5">
        <f>+D28-C28-D16</f>
        <v>435</v>
      </c>
      <c r="E124" s="5">
        <f t="shared" ref="E124:M124" si="20">+E28-D28-E16</f>
        <v>1055</v>
      </c>
      <c r="F124" s="5">
        <f t="shared" si="20"/>
        <v>515</v>
      </c>
      <c r="G124" s="5">
        <f t="shared" si="20"/>
        <v>525</v>
      </c>
      <c r="H124" s="5">
        <f t="shared" si="20"/>
        <v>-12275</v>
      </c>
      <c r="I124" s="5">
        <f t="shared" si="20"/>
        <v>0</v>
      </c>
      <c r="J124" s="5">
        <f t="shared" si="20"/>
        <v>0</v>
      </c>
      <c r="K124" s="5">
        <f t="shared" si="20"/>
        <v>0</v>
      </c>
      <c r="L124" s="5">
        <f t="shared" si="20"/>
        <v>0</v>
      </c>
      <c r="M124" s="5">
        <f t="shared" si="20"/>
        <v>0</v>
      </c>
    </row>
    <row r="125" spans="2:13" x14ac:dyDescent="0.5">
      <c r="B125" t="s">
        <v>42</v>
      </c>
      <c r="D125" s="5">
        <f>+D122+D123+D124</f>
        <v>1050</v>
      </c>
      <c r="E125" s="5">
        <f t="shared" ref="E125:M125" si="21">+E122+E123+E124</f>
        <v>1200</v>
      </c>
      <c r="F125" s="5">
        <f t="shared" si="21"/>
        <v>1210</v>
      </c>
      <c r="G125" s="5">
        <f t="shared" si="21"/>
        <v>1230</v>
      </c>
      <c r="H125" s="5">
        <f t="shared" si="21"/>
        <v>0</v>
      </c>
      <c r="I125" s="5">
        <f t="shared" si="21"/>
        <v>0</v>
      </c>
      <c r="J125" s="5">
        <f t="shared" si="21"/>
        <v>0</v>
      </c>
      <c r="K125" s="5">
        <f t="shared" si="21"/>
        <v>0</v>
      </c>
      <c r="L125" s="5">
        <f t="shared" si="21"/>
        <v>0</v>
      </c>
      <c r="M125" s="5">
        <f t="shared" si="21"/>
        <v>0</v>
      </c>
    </row>
    <row r="128" spans="2:13" x14ac:dyDescent="0.5">
      <c r="B128" t="s">
        <v>43</v>
      </c>
      <c r="D128" s="5">
        <f>+C27+C28</f>
        <v>9745</v>
      </c>
      <c r="E128" s="5">
        <f t="shared" ref="E128:M128" si="22">+D27+D28</f>
        <v>10180</v>
      </c>
      <c r="F128" s="5">
        <f t="shared" si="22"/>
        <v>11235</v>
      </c>
      <c r="G128" s="5">
        <f t="shared" si="22"/>
        <v>11750</v>
      </c>
      <c r="H128" s="5">
        <f t="shared" si="22"/>
        <v>12275</v>
      </c>
      <c r="I128" s="5">
        <f t="shared" si="22"/>
        <v>0</v>
      </c>
      <c r="J128" s="5">
        <f t="shared" si="22"/>
        <v>0</v>
      </c>
      <c r="K128" s="5">
        <f t="shared" si="22"/>
        <v>0</v>
      </c>
      <c r="L128" s="5">
        <f t="shared" si="22"/>
        <v>0</v>
      </c>
      <c r="M128" s="5">
        <f t="shared" si="22"/>
        <v>0</v>
      </c>
    </row>
    <row r="129" spans="2:13" x14ac:dyDescent="0.5">
      <c r="B129" t="s">
        <v>48</v>
      </c>
      <c r="D129" s="5">
        <f>+E128-D128</f>
        <v>435</v>
      </c>
      <c r="E129" s="5">
        <f t="shared" ref="E129:M129" si="23">+F128-E128</f>
        <v>1055</v>
      </c>
      <c r="F129" s="5">
        <f t="shared" si="23"/>
        <v>515</v>
      </c>
      <c r="G129" s="5">
        <f t="shared" si="23"/>
        <v>525</v>
      </c>
      <c r="H129" s="5">
        <f t="shared" si="23"/>
        <v>-12275</v>
      </c>
      <c r="I129" s="5">
        <f t="shared" si="23"/>
        <v>0</v>
      </c>
      <c r="J129" s="5">
        <f t="shared" si="23"/>
        <v>0</v>
      </c>
      <c r="K129" s="5">
        <f t="shared" si="23"/>
        <v>0</v>
      </c>
      <c r="L129" s="5">
        <f t="shared" si="23"/>
        <v>0</v>
      </c>
      <c r="M129" s="5">
        <f t="shared" si="23"/>
        <v>0</v>
      </c>
    </row>
    <row r="130" spans="2:13" x14ac:dyDescent="0.5">
      <c r="B130" t="s">
        <v>28</v>
      </c>
      <c r="D130" s="5">
        <f>+D107</f>
        <v>1050</v>
      </c>
      <c r="E130" s="5">
        <f t="shared" ref="E130:M130" si="24">+E107</f>
        <v>1200</v>
      </c>
      <c r="F130" s="5">
        <f t="shared" si="24"/>
        <v>1210</v>
      </c>
      <c r="G130" s="5">
        <f t="shared" si="24"/>
        <v>1230</v>
      </c>
      <c r="H130" s="5">
        <f t="shared" si="24"/>
        <v>0</v>
      </c>
      <c r="I130" s="5">
        <f t="shared" si="24"/>
        <v>0</v>
      </c>
      <c r="J130" s="5">
        <f t="shared" si="24"/>
        <v>0</v>
      </c>
      <c r="K130" s="5">
        <f t="shared" si="24"/>
        <v>0</v>
      </c>
      <c r="L130" s="5">
        <f t="shared" si="24"/>
        <v>0</v>
      </c>
      <c r="M130" s="5">
        <f t="shared" si="24"/>
        <v>0</v>
      </c>
    </row>
    <row r="131" spans="2:13" x14ac:dyDescent="0.5">
      <c r="B131" t="s">
        <v>37</v>
      </c>
      <c r="D131" s="5">
        <f>+D118</f>
        <v>615</v>
      </c>
      <c r="E131" s="5">
        <f t="shared" ref="E131:M131" si="25">+E118</f>
        <v>145</v>
      </c>
      <c r="F131" s="5">
        <f t="shared" si="25"/>
        <v>695</v>
      </c>
      <c r="G131" s="5">
        <f t="shared" si="25"/>
        <v>705</v>
      </c>
      <c r="H131" s="5">
        <f t="shared" si="25"/>
        <v>12275</v>
      </c>
      <c r="I131" s="5">
        <f t="shared" si="25"/>
        <v>0</v>
      </c>
      <c r="J131" s="5">
        <f t="shared" si="25"/>
        <v>0</v>
      </c>
      <c r="K131" s="5">
        <f t="shared" si="25"/>
        <v>0</v>
      </c>
      <c r="L131" s="5">
        <f t="shared" si="25"/>
        <v>0</v>
      </c>
      <c r="M131" s="5">
        <f t="shared" si="25"/>
        <v>0</v>
      </c>
    </row>
    <row r="132" spans="2:13" x14ac:dyDescent="0.5">
      <c r="B132" t="s">
        <v>46</v>
      </c>
      <c r="D132" s="4">
        <f>+E107/D107-1</f>
        <v>0.14285714285714279</v>
      </c>
      <c r="E132" s="4">
        <f t="shared" ref="E132:L132" si="26">+F107/E107-1</f>
        <v>8.3333333333333037E-3</v>
      </c>
      <c r="F132" s="4">
        <f t="shared" si="26"/>
        <v>1.6528925619834656E-2</v>
      </c>
      <c r="G132" s="4">
        <f t="shared" si="26"/>
        <v>-1</v>
      </c>
      <c r="H132" s="4" t="e">
        <f t="shared" si="26"/>
        <v>#DIV/0!</v>
      </c>
      <c r="I132" s="4" t="e">
        <f t="shared" si="26"/>
        <v>#DIV/0!</v>
      </c>
      <c r="J132" s="4" t="e">
        <f t="shared" si="26"/>
        <v>#DIV/0!</v>
      </c>
      <c r="K132" s="4" t="e">
        <f t="shared" si="26"/>
        <v>#DIV/0!</v>
      </c>
      <c r="L132" s="4" t="e">
        <f t="shared" si="26"/>
        <v>#DIV/0!</v>
      </c>
      <c r="M132" s="4"/>
    </row>
    <row r="133" spans="2:13" x14ac:dyDescent="0.5">
      <c r="B133" t="s">
        <v>44</v>
      </c>
      <c r="D133" s="4">
        <f>+D130/D128</f>
        <v>0.10774756285274499</v>
      </c>
      <c r="E133" s="4">
        <f t="shared" ref="E133:M133" si="27">+E130/E128</f>
        <v>0.11787819253438114</v>
      </c>
      <c r="F133" s="4">
        <f t="shared" si="27"/>
        <v>0.10769915442812639</v>
      </c>
      <c r="G133" s="4">
        <f t="shared" si="27"/>
        <v>0.10468085106382979</v>
      </c>
      <c r="H133" s="4">
        <f t="shared" si="27"/>
        <v>0</v>
      </c>
      <c r="I133" s="4" t="e">
        <f t="shared" si="27"/>
        <v>#DIV/0!</v>
      </c>
      <c r="J133" s="4" t="e">
        <f t="shared" si="27"/>
        <v>#DIV/0!</v>
      </c>
      <c r="K133" s="4" t="e">
        <f t="shared" si="27"/>
        <v>#DIV/0!</v>
      </c>
      <c r="L133" s="4" t="e">
        <f t="shared" si="27"/>
        <v>#DIV/0!</v>
      </c>
      <c r="M133" s="4" t="e">
        <f t="shared" si="27"/>
        <v>#DIV/0!</v>
      </c>
    </row>
    <row r="134" spans="2:13" x14ac:dyDescent="0.5">
      <c r="B134" t="s">
        <v>45</v>
      </c>
      <c r="E134" s="4">
        <f>+(E130-D130)/D129</f>
        <v>0.34482758620689657</v>
      </c>
      <c r="F134" s="4">
        <f t="shared" ref="F134:M134" si="28">+(F130-E130)/E129</f>
        <v>9.4786729857819912E-3</v>
      </c>
      <c r="G134" s="4">
        <f t="shared" si="28"/>
        <v>3.8834951456310676E-2</v>
      </c>
      <c r="H134" s="4">
        <f t="shared" si="28"/>
        <v>-2.342857142857143</v>
      </c>
      <c r="I134" s="4">
        <f t="shared" si="28"/>
        <v>0</v>
      </c>
      <c r="J134" s="4" t="e">
        <f t="shared" si="28"/>
        <v>#DIV/0!</v>
      </c>
      <c r="K134" s="4" t="e">
        <f t="shared" si="28"/>
        <v>#DIV/0!</v>
      </c>
      <c r="L134" s="4" t="e">
        <f t="shared" si="28"/>
        <v>#DIV/0!</v>
      </c>
      <c r="M134" s="4" t="e">
        <f t="shared" si="28"/>
        <v>#DIV/0!</v>
      </c>
    </row>
    <row r="135" spans="2:13" x14ac:dyDescent="0.5">
      <c r="B135" t="s">
        <v>47</v>
      </c>
      <c r="D135" s="4">
        <f>+D129/D130</f>
        <v>0.41428571428571431</v>
      </c>
      <c r="E135" s="4">
        <f t="shared" ref="E135:M135" si="29">+E129/E130</f>
        <v>0.87916666666666665</v>
      </c>
      <c r="F135" s="4">
        <f t="shared" si="29"/>
        <v>0.42561983471074383</v>
      </c>
      <c r="G135" s="4">
        <f t="shared" si="29"/>
        <v>0.42682926829268292</v>
      </c>
      <c r="H135" s="4" t="e">
        <f t="shared" si="29"/>
        <v>#DIV/0!</v>
      </c>
      <c r="I135" s="4" t="e">
        <f t="shared" si="29"/>
        <v>#DIV/0!</v>
      </c>
      <c r="J135" s="4" t="e">
        <f t="shared" si="29"/>
        <v>#DIV/0!</v>
      </c>
      <c r="K135" s="4" t="e">
        <f t="shared" si="29"/>
        <v>#DIV/0!</v>
      </c>
      <c r="L135" s="4" t="e">
        <f t="shared" si="29"/>
        <v>#DIV/0!</v>
      </c>
      <c r="M135" s="4" t="e">
        <f t="shared" si="29"/>
        <v>#DIV/0!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Dr. Juhász Péter</cp:lastModifiedBy>
  <dcterms:created xsi:type="dcterms:W3CDTF">2023-11-05T11:18:39Z</dcterms:created>
  <dcterms:modified xsi:type="dcterms:W3CDTF">2024-11-02T16:45:14Z</dcterms:modified>
</cp:coreProperties>
</file>