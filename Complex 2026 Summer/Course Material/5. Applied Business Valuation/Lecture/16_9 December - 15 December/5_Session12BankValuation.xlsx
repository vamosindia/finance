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!PUTanszek\!AppliedBusinessValuation\2024Fall\Week6\"/>
    </mc:Choice>
  </mc:AlternateContent>
  <xr:revisionPtr revIDLastSave="0" documentId="13_ncr:1_{B3D0BEAA-5460-4674-86E0-B21B905303FA}" xr6:coauthVersionLast="47" xr6:coauthVersionMax="47" xr10:uidLastSave="{00000000-0000-0000-0000-000000000000}"/>
  <bookViews>
    <workbookView xWindow="-98" yWindow="-98" windowWidth="28996" windowHeight="15675" xr2:uid="{B762E922-43B5-4588-A3FF-B9B8040C353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D10" i="1" s="1"/>
  <c r="D70" i="1" l="1"/>
  <c r="D76" i="1" s="1"/>
  <c r="D65" i="1"/>
  <c r="D58" i="1"/>
  <c r="D62" i="1" s="1"/>
  <c r="K10" i="1"/>
  <c r="K23" i="1" s="1"/>
  <c r="K31" i="1" s="1"/>
  <c r="D23" i="1"/>
  <c r="D31" i="1" s="1"/>
  <c r="E48" i="1"/>
  <c r="F48" i="1" s="1"/>
  <c r="D77" i="1" l="1"/>
  <c r="D78" i="1" s="1"/>
  <c r="F58" i="1"/>
  <c r="E58" i="1"/>
  <c r="E10" i="1"/>
  <c r="E23" i="1" s="1"/>
  <c r="E31" i="1" s="1"/>
  <c r="G48" i="1"/>
  <c r="F10" i="1"/>
  <c r="F23" i="1" s="1"/>
  <c r="F31" i="1" s="1"/>
  <c r="F65" i="1" l="1"/>
  <c r="E65" i="1"/>
  <c r="D80" i="1"/>
  <c r="G58" i="1"/>
  <c r="H48" i="1"/>
  <c r="G10" i="1"/>
  <c r="G23" i="1" s="1"/>
  <c r="G31" i="1" s="1"/>
  <c r="G65" i="1" l="1"/>
  <c r="H65" i="1"/>
  <c r="I48" i="1"/>
  <c r="H10" i="1"/>
  <c r="H23" i="1" s="1"/>
  <c r="H31" i="1" s="1"/>
  <c r="H58" i="1" l="1"/>
  <c r="I65" i="1"/>
  <c r="J48" i="1"/>
  <c r="J10" i="1" s="1"/>
  <c r="J23" i="1" s="1"/>
  <c r="J31" i="1" s="1"/>
  <c r="I10" i="1"/>
  <c r="I23" i="1" s="1"/>
  <c r="I31" i="1" s="1"/>
  <c r="I58" i="1" l="1"/>
  <c r="J65" i="1"/>
  <c r="J58" i="1" l="1"/>
  <c r="K65" i="1"/>
  <c r="K58" i="1" l="1"/>
</calcChain>
</file>

<file path=xl/sharedStrings.xml><?xml version="1.0" encoding="utf-8"?>
<sst xmlns="http://schemas.openxmlformats.org/spreadsheetml/2006/main" count="71" uniqueCount="45">
  <si>
    <t>Assets</t>
  </si>
  <si>
    <t>Credit card loans</t>
  </si>
  <si>
    <t>Consumer loans</t>
  </si>
  <si>
    <t>Mortgages</t>
  </si>
  <si>
    <t>Car loans</t>
  </si>
  <si>
    <t>SME loans</t>
  </si>
  <si>
    <t>Corporate loans</t>
  </si>
  <si>
    <t>Growth</t>
  </si>
  <si>
    <t>TV</t>
  </si>
  <si>
    <t>Writedowns</t>
  </si>
  <si>
    <t>Interests</t>
  </si>
  <si>
    <t>Loans</t>
  </si>
  <si>
    <t>Deposits</t>
  </si>
  <si>
    <t>Total</t>
  </si>
  <si>
    <t>Cash</t>
  </si>
  <si>
    <t>Short term deposit</t>
  </si>
  <si>
    <t>Long term deposit</t>
  </si>
  <si>
    <t>Equity</t>
  </si>
  <si>
    <t>Bank market financing</t>
  </si>
  <si>
    <t>Interest income</t>
  </si>
  <si>
    <t>Interest expense</t>
  </si>
  <si>
    <t>Net interest Income</t>
  </si>
  <si>
    <t>Operational expenses</t>
  </si>
  <si>
    <t>Aquisition expenses</t>
  </si>
  <si>
    <t>D&amp;A</t>
  </si>
  <si>
    <t>PP&amp;E</t>
  </si>
  <si>
    <t>Operating Income</t>
  </si>
  <si>
    <t>Income taxes</t>
  </si>
  <si>
    <t>Profit after tax</t>
  </si>
  <si>
    <t>Capital adequacy ratio (CAR)</t>
  </si>
  <si>
    <t>Market investments</t>
  </si>
  <si>
    <t>Risk weights</t>
  </si>
  <si>
    <t xml:space="preserve"> Risk weighted assets RWA</t>
  </si>
  <si>
    <t>Cash/Loans</t>
  </si>
  <si>
    <t>Inter-bank finanicing</t>
  </si>
  <si>
    <t>Operational expeneses</t>
  </si>
  <si>
    <t>D&amp;A1/PP&amp;E0</t>
  </si>
  <si>
    <t>Tax rate</t>
  </si>
  <si>
    <t>Retained earnings</t>
  </si>
  <si>
    <t>Dividend</t>
  </si>
  <si>
    <t>rF</t>
  </si>
  <si>
    <t>market risk premium</t>
  </si>
  <si>
    <t>betaE</t>
  </si>
  <si>
    <t>Aquisition costs on new amounts</t>
  </si>
  <si>
    <t>Non-interest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</si>
</sst>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9" fontId="0" fillId="2" borderId="0" xfId="0" applyNumberFormat="1" applyFill="1"/>
    <xf numFmtId="4" fontId="0" fillId="0" borderId="0" xfId="0" applyNumberFormat="1" applyAlignment="1">
      <alignment horizontal="right"/>
    </xf>
    <xf numFmtId="4" fontId="2" fillId="0" borderId="0" xfId="0" applyNumberFormat="1" applyFont="1"/>
    <xf numFmtId="10" fontId="0" fillId="2" borderId="0" xfId="1" applyNumberFormat="1" applyFont="1" applyFill="1"/>
    <xf numFmtId="10" fontId="0" fillId="2" borderId="0" xfId="0" applyNumberFormat="1" applyFill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659945</xdr:colOff>
      <xdr:row>0</xdr:row>
      <xdr:rowOff>57830</xdr:rowOff>
    </xdr:from>
    <xdr:to>
      <xdr:col>19</xdr:col>
      <xdr:colOff>656543</xdr:colOff>
      <xdr:row>9</xdr:row>
      <xdr:rowOff>139898</xdr:rowOff>
    </xdr:to>
    <xdr:sp macro="" textlink="">
      <xdr:nvSpPr>
        <xdr:cNvPr id="2" name="Szövegdoboz 1">
          <a:extLst>
            <a:ext uri="{FF2B5EF4-FFF2-40B4-BE49-F238E27FC236}">
              <a16:creationId xmlns:a16="http://schemas.microsoft.com/office/drawing/2014/main" id="{1EE7CEBD-1031-4400-A267-9FF38426A225}"/>
            </a:ext>
          </a:extLst>
        </xdr:cNvPr>
        <xdr:cNvSpPr txBox="1"/>
      </xdr:nvSpPr>
      <xdr:spPr>
        <a:xfrm>
          <a:off x="9741438" y="57830"/>
          <a:ext cx="5473473" cy="1876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Seven Smurfs</a:t>
          </a:r>
          <a:r>
            <a:rPr lang="hu-HU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Savings </a:t>
          </a:r>
          <a:r>
            <a:rPr lang="hu-H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Bank Co.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December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202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Your job is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write an equity research report on the shares of the bank. </a:t>
          </a:r>
        </a:p>
        <a:p>
          <a:pPr algn="just"/>
          <a:endParaRPr lang="hu-HU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just"/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Prepare the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financial plan for the bank.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Prepare a DCF valuation on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bank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Calculate the ROE ratio of reach year.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What </a:t>
          </a:r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current P/BV, P/S, and P/E ratios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hu-HU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hu-H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are the best ways to improve the SHV added of the bank?</a:t>
          </a:r>
          <a:endParaRPr lang="hu-H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hu-HU" sz="1100"/>
        </a:p>
      </xdr:txBody>
    </xdr:sp>
    <xdr:clientData/>
  </xdr:twoCellAnchor>
  <xdr:twoCellAnchor editAs="oneCell">
    <xdr:from>
      <xdr:col>11</xdr:col>
      <xdr:colOff>676848</xdr:colOff>
      <xdr:row>10</xdr:row>
      <xdr:rowOff>20409</xdr:rowOff>
    </xdr:from>
    <xdr:to>
      <xdr:col>15</xdr:col>
      <xdr:colOff>295954</xdr:colOff>
      <xdr:row>19</xdr:row>
      <xdr:rowOff>12862</xdr:rowOff>
    </xdr:to>
    <xdr:pic>
      <xdr:nvPicPr>
        <xdr:cNvPr id="3" name="Kép 2" descr="The Smurfs should do premium banking in Sri Lanka - Adaderana Biz English |  Sri Lanka Business News">
          <a:extLst>
            <a:ext uri="{FF2B5EF4-FFF2-40B4-BE49-F238E27FC236}">
              <a16:creationId xmlns:a16="http://schemas.microsoft.com/office/drawing/2014/main" id="{06E8BD64-68F2-5079-130A-128E7F49A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7125" y="2027463"/>
          <a:ext cx="2408571" cy="179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B0B0-19B2-419E-961E-D6325AC59D8D}">
  <dimension ref="B1:K81"/>
  <sheetViews>
    <sheetView tabSelected="1" zoomScale="160" zoomScaleNormal="160" workbookViewId="0">
      <selection activeCell="C9" sqref="C9"/>
    </sheetView>
  </sheetViews>
  <sheetFormatPr defaultRowHeight="15.75" x14ac:dyDescent="0.5"/>
  <cols>
    <col min="2" max="2" width="10.6875" bestFit="1" customWidth="1"/>
    <col min="3" max="3" width="28.5625" bestFit="1" customWidth="1"/>
    <col min="4" max="11" width="8.875" bestFit="1" customWidth="1"/>
  </cols>
  <sheetData>
    <row r="1" spans="3:11" x14ac:dyDescent="0.5">
      <c r="C1" t="s">
        <v>33</v>
      </c>
      <c r="E1" s="10">
        <v>0.02</v>
      </c>
      <c r="F1" s="10">
        <v>0.02</v>
      </c>
      <c r="G1" s="10">
        <v>0.02</v>
      </c>
      <c r="H1" s="10">
        <v>0.02</v>
      </c>
      <c r="I1" s="10">
        <v>0.02</v>
      </c>
      <c r="J1" s="10">
        <v>0.02</v>
      </c>
      <c r="K1" s="10">
        <v>0.02</v>
      </c>
    </row>
    <row r="2" spans="3:11" x14ac:dyDescent="0.5">
      <c r="C2" t="s">
        <v>36</v>
      </c>
      <c r="E2" s="10">
        <v>0.15</v>
      </c>
      <c r="F2" s="10">
        <v>0.15</v>
      </c>
      <c r="G2" s="10">
        <v>0.15</v>
      </c>
      <c r="H2" s="10">
        <v>0.15</v>
      </c>
      <c r="I2" s="10">
        <v>0.15</v>
      </c>
      <c r="J2" s="10">
        <v>0.15</v>
      </c>
      <c r="K2" s="10">
        <v>0.15</v>
      </c>
    </row>
    <row r="3" spans="3:11" x14ac:dyDescent="0.5">
      <c r="C3" t="s">
        <v>37</v>
      </c>
      <c r="D3" s="10">
        <v>0.3</v>
      </c>
      <c r="E3" s="10">
        <v>0.3</v>
      </c>
      <c r="F3" s="10">
        <v>0.3</v>
      </c>
      <c r="G3" s="10">
        <v>0.3</v>
      </c>
      <c r="H3" s="10">
        <v>0.3</v>
      </c>
      <c r="I3" s="10">
        <v>0.3</v>
      </c>
      <c r="J3" s="10">
        <v>0.3</v>
      </c>
      <c r="K3" s="10">
        <v>0.3</v>
      </c>
    </row>
    <row r="4" spans="3:11" x14ac:dyDescent="0.5">
      <c r="C4" t="s">
        <v>29</v>
      </c>
      <c r="D4" s="11">
        <v>0.1</v>
      </c>
      <c r="E4" s="11">
        <v>0.1</v>
      </c>
      <c r="F4" s="11">
        <v>0.1</v>
      </c>
      <c r="G4" s="11">
        <v>0.1</v>
      </c>
      <c r="H4" s="11">
        <v>0.1</v>
      </c>
      <c r="I4" s="11">
        <v>0.1</v>
      </c>
      <c r="J4" s="11">
        <v>0.1</v>
      </c>
      <c r="K4" s="11">
        <v>0.1</v>
      </c>
    </row>
    <row r="5" spans="3:11" x14ac:dyDescent="0.5">
      <c r="C5" t="s">
        <v>40</v>
      </c>
      <c r="D5" s="4"/>
      <c r="E5" s="11">
        <v>0.03</v>
      </c>
      <c r="F5" s="11">
        <v>0.03</v>
      </c>
      <c r="G5" s="11">
        <v>0.03</v>
      </c>
      <c r="H5" s="11">
        <v>0.03</v>
      </c>
      <c r="I5" s="11">
        <v>0.03</v>
      </c>
      <c r="J5" s="11">
        <v>0.03</v>
      </c>
      <c r="K5" s="11">
        <v>0.03</v>
      </c>
    </row>
    <row r="6" spans="3:11" x14ac:dyDescent="0.5">
      <c r="C6" t="s">
        <v>41</v>
      </c>
      <c r="D6" s="4"/>
      <c r="E6" s="11">
        <v>0.06</v>
      </c>
      <c r="F6" s="11">
        <v>0.06</v>
      </c>
      <c r="G6" s="11">
        <v>0.06</v>
      </c>
      <c r="H6" s="11">
        <v>0.06</v>
      </c>
      <c r="I6" s="11">
        <v>0.06</v>
      </c>
      <c r="J6" s="11">
        <v>0.06</v>
      </c>
      <c r="K6" s="11">
        <v>0.06</v>
      </c>
    </row>
    <row r="7" spans="3:11" x14ac:dyDescent="0.5">
      <c r="C7" t="s">
        <v>42</v>
      </c>
      <c r="D7" s="4"/>
      <c r="E7" s="6">
        <v>0.6</v>
      </c>
      <c r="F7" s="6">
        <v>0.6</v>
      </c>
      <c r="G7" s="6">
        <v>0.6</v>
      </c>
      <c r="H7" s="6">
        <v>0.6</v>
      </c>
      <c r="I7" s="6">
        <v>0.6</v>
      </c>
      <c r="J7" s="6">
        <v>0.6</v>
      </c>
      <c r="K7" s="6">
        <v>0.6</v>
      </c>
    </row>
    <row r="8" spans="3:11" x14ac:dyDescent="0.5">
      <c r="D8" s="4"/>
      <c r="E8" s="4"/>
      <c r="F8" s="4"/>
      <c r="G8" s="4"/>
      <c r="H8" s="4"/>
      <c r="I8" s="4"/>
      <c r="J8" s="4"/>
      <c r="K8" s="4"/>
    </row>
    <row r="10" spans="3:11" x14ac:dyDescent="0.5">
      <c r="C10" s="3" t="s">
        <v>7</v>
      </c>
      <c r="D10" s="3">
        <f ca="1">+D48</f>
        <v>2024</v>
      </c>
      <c r="E10" s="3">
        <f t="shared" ref="D10:K10" ca="1" si="0">+E48</f>
        <v>2025</v>
      </c>
      <c r="F10" s="3">
        <f t="shared" ca="1" si="0"/>
        <v>2026</v>
      </c>
      <c r="G10" s="3">
        <f t="shared" ca="1" si="0"/>
        <v>2027</v>
      </c>
      <c r="H10" s="3">
        <f t="shared" ca="1" si="0"/>
        <v>2028</v>
      </c>
      <c r="I10" s="3">
        <f t="shared" ca="1" si="0"/>
        <v>2029</v>
      </c>
      <c r="J10" s="3">
        <f t="shared" ca="1" si="0"/>
        <v>2030</v>
      </c>
      <c r="K10" s="3" t="str">
        <f t="shared" si="0"/>
        <v>TV</v>
      </c>
    </row>
    <row r="11" spans="3:11" x14ac:dyDescent="0.5">
      <c r="C11" t="s">
        <v>25</v>
      </c>
      <c r="E11" s="11">
        <v>1.7999999999999999E-2</v>
      </c>
      <c r="F11" s="11">
        <v>1.7999999999999999E-2</v>
      </c>
      <c r="G11" s="11">
        <v>1.7999999999999999E-2</v>
      </c>
      <c r="H11" s="11">
        <v>1.7999999999999999E-2</v>
      </c>
      <c r="I11" s="11">
        <v>1.7999999999999999E-2</v>
      </c>
      <c r="J11" s="11">
        <v>1.7999999999999999E-2</v>
      </c>
      <c r="K11" s="11">
        <v>3.5000000000000003E-2</v>
      </c>
    </row>
    <row r="12" spans="3:11" x14ac:dyDescent="0.5">
      <c r="C12" t="s">
        <v>1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>
        <v>3.5000000000000003E-2</v>
      </c>
    </row>
    <row r="13" spans="3:11" x14ac:dyDescent="0.5">
      <c r="C13" t="s">
        <v>2</v>
      </c>
      <c r="E13" s="11">
        <v>0.02</v>
      </c>
      <c r="F13" s="11">
        <v>0.02</v>
      </c>
      <c r="G13" s="11">
        <v>0.02</v>
      </c>
      <c r="H13" s="11">
        <v>0.02</v>
      </c>
      <c r="I13" s="11">
        <v>0.02</v>
      </c>
      <c r="J13" s="11">
        <v>0.02</v>
      </c>
      <c r="K13" s="11">
        <v>3.5000000000000003E-2</v>
      </c>
    </row>
    <row r="14" spans="3:11" x14ac:dyDescent="0.5">
      <c r="C14" t="s">
        <v>4</v>
      </c>
      <c r="E14" s="11">
        <v>2.5000000000000001E-2</v>
      </c>
      <c r="F14" s="11">
        <v>2.5000000000000001E-2</v>
      </c>
      <c r="G14" s="11">
        <v>2.5000000000000001E-2</v>
      </c>
      <c r="H14" s="11">
        <v>2.5000000000000001E-2</v>
      </c>
      <c r="I14" s="11">
        <v>2.5000000000000001E-2</v>
      </c>
      <c r="J14" s="11">
        <v>2.5000000000000001E-2</v>
      </c>
      <c r="K14" s="11">
        <v>3.5000000000000003E-2</v>
      </c>
    </row>
    <row r="15" spans="3:11" x14ac:dyDescent="0.5">
      <c r="C15" t="s">
        <v>3</v>
      </c>
      <c r="E15" s="11">
        <v>3.5000000000000003E-2</v>
      </c>
      <c r="F15" s="11">
        <v>3.5000000000000003E-2</v>
      </c>
      <c r="G15" s="11">
        <v>3.5000000000000003E-2</v>
      </c>
      <c r="H15" s="11">
        <v>3.5000000000000003E-2</v>
      </c>
      <c r="I15" s="11">
        <v>3.5000000000000003E-2</v>
      </c>
      <c r="J15" s="11">
        <v>3.5000000000000003E-2</v>
      </c>
      <c r="K15" s="11">
        <v>3.5000000000000003E-2</v>
      </c>
    </row>
    <row r="16" spans="3:11" x14ac:dyDescent="0.5">
      <c r="C16" t="s">
        <v>5</v>
      </c>
      <c r="E16" s="11">
        <v>0.06</v>
      </c>
      <c r="F16" s="11">
        <v>0.06</v>
      </c>
      <c r="G16" s="11">
        <v>0.06</v>
      </c>
      <c r="H16" s="11">
        <v>0.06</v>
      </c>
      <c r="I16" s="11">
        <v>0.06</v>
      </c>
      <c r="J16" s="11">
        <v>0.06</v>
      </c>
      <c r="K16" s="11">
        <v>3.5000000000000003E-2</v>
      </c>
    </row>
    <row r="17" spans="3:11" x14ac:dyDescent="0.5">
      <c r="C17" t="s">
        <v>6</v>
      </c>
      <c r="E17" s="11">
        <v>0.04</v>
      </c>
      <c r="F17" s="11">
        <v>0.04</v>
      </c>
      <c r="G17" s="11">
        <v>0.04</v>
      </c>
      <c r="H17" s="11">
        <v>0.04</v>
      </c>
      <c r="I17" s="11">
        <v>0.04</v>
      </c>
      <c r="J17" s="11">
        <v>0.04</v>
      </c>
      <c r="K17" s="11">
        <v>3.5000000000000003E-2</v>
      </c>
    </row>
    <row r="18" spans="3:11" x14ac:dyDescent="0.5">
      <c r="C18" t="s">
        <v>15</v>
      </c>
      <c r="E18" s="11">
        <v>3.2000000000000001E-2</v>
      </c>
      <c r="F18" s="11">
        <v>3.2000000000000001E-2</v>
      </c>
      <c r="G18" s="11">
        <v>3.2000000000000001E-2</v>
      </c>
      <c r="H18" s="11">
        <v>3.2000000000000001E-2</v>
      </c>
      <c r="I18" s="11">
        <v>3.2000000000000001E-2</v>
      </c>
      <c r="J18" s="11">
        <v>3.2000000000000001E-2</v>
      </c>
      <c r="K18" s="11">
        <v>3.5000000000000003E-2</v>
      </c>
    </row>
    <row r="19" spans="3:11" x14ac:dyDescent="0.5">
      <c r="C19" t="s">
        <v>16</v>
      </c>
      <c r="E19" s="11">
        <v>3.3000000000000002E-2</v>
      </c>
      <c r="F19" s="11">
        <v>3.3000000000000002E-2</v>
      </c>
      <c r="G19" s="11">
        <v>3.3000000000000002E-2</v>
      </c>
      <c r="H19" s="11">
        <v>3.3000000000000002E-2</v>
      </c>
      <c r="I19" s="11">
        <v>3.3000000000000002E-2</v>
      </c>
      <c r="J19" s="11">
        <v>3.3000000000000002E-2</v>
      </c>
      <c r="K19" s="11">
        <v>3.5000000000000003E-2</v>
      </c>
    </row>
    <row r="20" spans="3:11" x14ac:dyDescent="0.5">
      <c r="C20" t="s">
        <v>35</v>
      </c>
      <c r="E20" s="11">
        <v>3.9E-2</v>
      </c>
      <c r="F20" s="11">
        <v>3.9E-2</v>
      </c>
      <c r="G20" s="11">
        <v>3.9E-2</v>
      </c>
      <c r="H20" s="11">
        <v>3.9E-2</v>
      </c>
      <c r="I20" s="11">
        <v>3.9E-2</v>
      </c>
      <c r="J20" s="11">
        <v>3.9E-2</v>
      </c>
      <c r="K20" s="11">
        <v>3.5000000000000003E-2</v>
      </c>
    </row>
    <row r="21" spans="3:11" x14ac:dyDescent="0.5">
      <c r="C21" t="s">
        <v>44</v>
      </c>
      <c r="E21" s="11">
        <v>3.5000000000000003E-2</v>
      </c>
      <c r="F21" s="11">
        <v>3.5000000000000003E-2</v>
      </c>
      <c r="G21" s="11">
        <v>3.5000000000000003E-2</v>
      </c>
      <c r="H21" s="11">
        <v>3.5000000000000003E-2</v>
      </c>
      <c r="I21" s="11">
        <v>3.5000000000000003E-2</v>
      </c>
      <c r="J21" s="11">
        <v>3.5000000000000003E-2</v>
      </c>
      <c r="K21" s="11">
        <v>3.5000000000000003E-2</v>
      </c>
    </row>
    <row r="23" spans="3:11" x14ac:dyDescent="0.5">
      <c r="C23" s="3" t="s">
        <v>9</v>
      </c>
      <c r="D23" s="3">
        <f ca="1">+D10</f>
        <v>2024</v>
      </c>
      <c r="E23" s="3">
        <f t="shared" ref="E23:K23" ca="1" si="1">+E10</f>
        <v>2025</v>
      </c>
      <c r="F23" s="3">
        <f t="shared" ca="1" si="1"/>
        <v>2026</v>
      </c>
      <c r="G23" s="3">
        <f t="shared" ca="1" si="1"/>
        <v>2027</v>
      </c>
      <c r="H23" s="3">
        <f t="shared" ca="1" si="1"/>
        <v>2028</v>
      </c>
      <c r="I23" s="3">
        <f t="shared" ca="1" si="1"/>
        <v>2029</v>
      </c>
      <c r="J23" s="3">
        <f t="shared" ca="1" si="1"/>
        <v>2030</v>
      </c>
      <c r="K23" s="3" t="str">
        <f t="shared" si="1"/>
        <v>TV</v>
      </c>
    </row>
    <row r="24" spans="3:11" x14ac:dyDescent="0.5">
      <c r="C24" t="s">
        <v>1</v>
      </c>
      <c r="E24" s="11">
        <v>0.04</v>
      </c>
      <c r="F24" s="11">
        <v>0.04</v>
      </c>
      <c r="G24" s="11">
        <v>0.04</v>
      </c>
      <c r="H24" s="11">
        <v>0.04</v>
      </c>
      <c r="I24" s="11">
        <v>0.04</v>
      </c>
      <c r="J24" s="11">
        <v>0.04</v>
      </c>
      <c r="K24" s="11">
        <v>0.04</v>
      </c>
    </row>
    <row r="25" spans="3:11" x14ac:dyDescent="0.5">
      <c r="C25" t="s">
        <v>2</v>
      </c>
      <c r="E25" s="11">
        <v>0.03</v>
      </c>
      <c r="F25" s="11">
        <v>0.03</v>
      </c>
      <c r="G25" s="11">
        <v>0.03</v>
      </c>
      <c r="H25" s="11">
        <v>0.03</v>
      </c>
      <c r="I25" s="11">
        <v>0.03</v>
      </c>
      <c r="J25" s="11">
        <v>0.03</v>
      </c>
      <c r="K25" s="11">
        <v>0.03</v>
      </c>
    </row>
    <row r="26" spans="3:11" x14ac:dyDescent="0.5">
      <c r="C26" t="s">
        <v>4</v>
      </c>
      <c r="E26" s="11">
        <v>2.5000000000000001E-2</v>
      </c>
      <c r="F26" s="11">
        <v>2.5000000000000001E-2</v>
      </c>
      <c r="G26" s="11">
        <v>2.5000000000000001E-2</v>
      </c>
      <c r="H26" s="11">
        <v>2.5000000000000001E-2</v>
      </c>
      <c r="I26" s="11">
        <v>2.5000000000000001E-2</v>
      </c>
      <c r="J26" s="11">
        <v>2.5000000000000001E-2</v>
      </c>
      <c r="K26" s="11">
        <v>2.5000000000000001E-2</v>
      </c>
    </row>
    <row r="27" spans="3:11" x14ac:dyDescent="0.5">
      <c r="C27" t="s">
        <v>3</v>
      </c>
      <c r="E27" s="11">
        <v>1.4999999999999999E-2</v>
      </c>
      <c r="F27" s="11">
        <v>1.4999999999999999E-2</v>
      </c>
      <c r="G27" s="11">
        <v>1.4999999999999999E-2</v>
      </c>
      <c r="H27" s="11">
        <v>1.4999999999999999E-2</v>
      </c>
      <c r="I27" s="11">
        <v>1.4999999999999999E-2</v>
      </c>
      <c r="J27" s="11">
        <v>1.4999999999999999E-2</v>
      </c>
      <c r="K27" s="11">
        <v>1.4999999999999999E-2</v>
      </c>
    </row>
    <row r="28" spans="3:11" x14ac:dyDescent="0.5">
      <c r="C28" t="s">
        <v>5</v>
      </c>
      <c r="E28" s="11">
        <v>2.3E-2</v>
      </c>
      <c r="F28" s="11">
        <v>2.3E-2</v>
      </c>
      <c r="G28" s="11">
        <v>2.3E-2</v>
      </c>
      <c r="H28" s="11">
        <v>2.3E-2</v>
      </c>
      <c r="I28" s="11">
        <v>2.3E-2</v>
      </c>
      <c r="J28" s="11">
        <v>2.3E-2</v>
      </c>
      <c r="K28" s="11">
        <v>2.3E-2</v>
      </c>
    </row>
    <row r="29" spans="3:11" x14ac:dyDescent="0.5">
      <c r="C29" t="s">
        <v>6</v>
      </c>
      <c r="E29" s="11">
        <v>1.6E-2</v>
      </c>
      <c r="F29" s="11">
        <v>1.6E-2</v>
      </c>
      <c r="G29" s="11">
        <v>1.6E-2</v>
      </c>
      <c r="H29" s="11">
        <v>1.6E-2</v>
      </c>
      <c r="I29" s="11">
        <v>1.6E-2</v>
      </c>
      <c r="J29" s="11">
        <v>1.6E-2</v>
      </c>
      <c r="K29" s="11">
        <v>1.6E-2</v>
      </c>
    </row>
    <row r="31" spans="3:11" x14ac:dyDescent="0.5">
      <c r="C31" s="3" t="s">
        <v>10</v>
      </c>
      <c r="D31" s="3">
        <f ca="1">+D23</f>
        <v>2024</v>
      </c>
      <c r="E31" s="3">
        <f t="shared" ref="E31:K31" ca="1" si="2">+E23</f>
        <v>2025</v>
      </c>
      <c r="F31" s="3">
        <f t="shared" ca="1" si="2"/>
        <v>2026</v>
      </c>
      <c r="G31" s="3">
        <f t="shared" ca="1" si="2"/>
        <v>2027</v>
      </c>
      <c r="H31" s="3">
        <f t="shared" ca="1" si="2"/>
        <v>2028</v>
      </c>
      <c r="I31" s="3">
        <f t="shared" ca="1" si="2"/>
        <v>2029</v>
      </c>
      <c r="J31" s="3">
        <f t="shared" ca="1" si="2"/>
        <v>2030</v>
      </c>
      <c r="K31" s="3" t="str">
        <f t="shared" si="2"/>
        <v>TV</v>
      </c>
    </row>
    <row r="32" spans="3:11" x14ac:dyDescent="0.5">
      <c r="C32" t="s">
        <v>1</v>
      </c>
      <c r="E32" s="11">
        <v>0.16</v>
      </c>
      <c r="F32" s="11">
        <v>0.16</v>
      </c>
      <c r="G32" s="11">
        <v>0.16</v>
      </c>
      <c r="H32" s="11">
        <v>0.16</v>
      </c>
      <c r="I32" s="11">
        <v>0.16</v>
      </c>
      <c r="J32" s="11">
        <v>0.16</v>
      </c>
      <c r="K32" s="11">
        <v>0.16</v>
      </c>
    </row>
    <row r="33" spans="2:11" x14ac:dyDescent="0.5">
      <c r="C33" t="s">
        <v>2</v>
      </c>
      <c r="E33" s="11">
        <v>0.11</v>
      </c>
      <c r="F33" s="11">
        <v>0.11</v>
      </c>
      <c r="G33" s="11">
        <v>0.11</v>
      </c>
      <c r="H33" s="11">
        <v>0.11</v>
      </c>
      <c r="I33" s="11">
        <v>0.11</v>
      </c>
      <c r="J33" s="11">
        <v>0.11</v>
      </c>
      <c r="K33" s="11">
        <v>0.11</v>
      </c>
    </row>
    <row r="34" spans="2:11" x14ac:dyDescent="0.5">
      <c r="C34" t="s">
        <v>4</v>
      </c>
      <c r="E34" s="11">
        <v>0.09</v>
      </c>
      <c r="F34" s="11">
        <v>0.09</v>
      </c>
      <c r="G34" s="11">
        <v>0.09</v>
      </c>
      <c r="H34" s="11">
        <v>0.09</v>
      </c>
      <c r="I34" s="11">
        <v>0.09</v>
      </c>
      <c r="J34" s="11">
        <v>0.09</v>
      </c>
      <c r="K34" s="11">
        <v>0.09</v>
      </c>
    </row>
    <row r="35" spans="2:11" x14ac:dyDescent="0.5">
      <c r="C35" t="s">
        <v>3</v>
      </c>
      <c r="E35" s="11">
        <v>0.06</v>
      </c>
      <c r="F35" s="11">
        <v>0.06</v>
      </c>
      <c r="G35" s="11">
        <v>0.06</v>
      </c>
      <c r="H35" s="11">
        <v>0.06</v>
      </c>
      <c r="I35" s="11">
        <v>0.06</v>
      </c>
      <c r="J35" s="11">
        <v>0.06</v>
      </c>
      <c r="K35" s="11">
        <v>0.06</v>
      </c>
    </row>
    <row r="36" spans="2:11" x14ac:dyDescent="0.5">
      <c r="C36" t="s">
        <v>5</v>
      </c>
      <c r="E36" s="11">
        <v>7.4999999999999997E-2</v>
      </c>
      <c r="F36" s="11">
        <v>7.4999999999999997E-2</v>
      </c>
      <c r="G36" s="11">
        <v>7.4999999999999997E-2</v>
      </c>
      <c r="H36" s="11">
        <v>7.4999999999999997E-2</v>
      </c>
      <c r="I36" s="11">
        <v>7.4999999999999997E-2</v>
      </c>
      <c r="J36" s="11">
        <v>7.4999999999999997E-2</v>
      </c>
      <c r="K36" s="11">
        <v>7.4999999999999997E-2</v>
      </c>
    </row>
    <row r="37" spans="2:11" x14ac:dyDescent="0.5">
      <c r="C37" t="s">
        <v>6</v>
      </c>
      <c r="E37" s="11">
        <v>5.5E-2</v>
      </c>
      <c r="F37" s="11">
        <v>5.5E-2</v>
      </c>
      <c r="G37" s="11">
        <v>5.5E-2</v>
      </c>
      <c r="H37" s="11">
        <v>5.5E-2</v>
      </c>
      <c r="I37" s="11">
        <v>5.5E-2</v>
      </c>
      <c r="J37" s="11">
        <v>5.5E-2</v>
      </c>
      <c r="K37" s="11">
        <v>5.5E-2</v>
      </c>
    </row>
    <row r="38" spans="2:11" x14ac:dyDescent="0.5">
      <c r="C38" t="s">
        <v>30</v>
      </c>
      <c r="E38" s="11">
        <v>5.1999999999999998E-2</v>
      </c>
      <c r="F38" s="11">
        <v>5.1999999999999998E-2</v>
      </c>
      <c r="G38" s="11">
        <v>5.1999999999999998E-2</v>
      </c>
      <c r="H38" s="11">
        <v>5.1999999999999998E-2</v>
      </c>
      <c r="I38" s="11">
        <v>5.1999999999999998E-2</v>
      </c>
      <c r="J38" s="11">
        <v>5.1999999999999998E-2</v>
      </c>
      <c r="K38" s="11">
        <v>5.1999999999999998E-2</v>
      </c>
    </row>
    <row r="39" spans="2:11" x14ac:dyDescent="0.5">
      <c r="C39" t="s">
        <v>15</v>
      </c>
      <c r="E39" s="11">
        <v>2.8000000000000001E-2</v>
      </c>
      <c r="F39" s="11">
        <v>2.8000000000000001E-2</v>
      </c>
      <c r="G39" s="11">
        <v>2.8000000000000001E-2</v>
      </c>
      <c r="H39" s="11">
        <v>2.8000000000000001E-2</v>
      </c>
      <c r="I39" s="11">
        <v>2.8000000000000001E-2</v>
      </c>
      <c r="J39" s="11">
        <v>2.8000000000000001E-2</v>
      </c>
      <c r="K39" s="11">
        <v>2.8000000000000001E-2</v>
      </c>
    </row>
    <row r="40" spans="2:11" x14ac:dyDescent="0.5">
      <c r="C40" t="s">
        <v>16</v>
      </c>
      <c r="E40" s="11">
        <v>3.5000000000000003E-2</v>
      </c>
      <c r="F40" s="11">
        <v>3.5000000000000003E-2</v>
      </c>
      <c r="G40" s="11">
        <v>3.5000000000000003E-2</v>
      </c>
      <c r="H40" s="11">
        <v>3.5000000000000003E-2</v>
      </c>
      <c r="I40" s="11">
        <v>3.5000000000000003E-2</v>
      </c>
      <c r="J40" s="11">
        <v>3.5000000000000003E-2</v>
      </c>
      <c r="K40" s="11">
        <v>3.5000000000000003E-2</v>
      </c>
    </row>
    <row r="41" spans="2:11" x14ac:dyDescent="0.5">
      <c r="C41" t="s">
        <v>34</v>
      </c>
      <c r="E41" s="11">
        <v>4.2000000000000003E-2</v>
      </c>
      <c r="F41" s="11">
        <v>4.2000000000000003E-2</v>
      </c>
      <c r="G41" s="11">
        <v>4.2000000000000003E-2</v>
      </c>
      <c r="H41" s="11">
        <v>4.2000000000000003E-2</v>
      </c>
      <c r="I41" s="11">
        <v>4.2000000000000003E-2</v>
      </c>
      <c r="J41" s="11">
        <v>4.2000000000000003E-2</v>
      </c>
      <c r="K41" s="11">
        <v>4.2000000000000003E-2</v>
      </c>
    </row>
    <row r="43" spans="2:11" x14ac:dyDescent="0.5">
      <c r="C43" s="3" t="s">
        <v>43</v>
      </c>
    </row>
    <row r="44" spans="2:11" x14ac:dyDescent="0.5">
      <c r="C44" t="s">
        <v>11</v>
      </c>
      <c r="E44" s="11">
        <v>0.02</v>
      </c>
      <c r="F44" s="11">
        <v>0.02</v>
      </c>
      <c r="G44" s="11">
        <v>0.02</v>
      </c>
      <c r="H44" s="11">
        <v>0.02</v>
      </c>
      <c r="I44" s="11">
        <v>0.02</v>
      </c>
      <c r="J44" s="11">
        <v>0.02</v>
      </c>
      <c r="K44" s="11">
        <v>0.02</v>
      </c>
    </row>
    <row r="45" spans="2:11" x14ac:dyDescent="0.5">
      <c r="C45" t="s">
        <v>12</v>
      </c>
      <c r="E45" s="11">
        <v>3.0000000000000001E-3</v>
      </c>
      <c r="F45" s="11">
        <v>3.0000000000000001E-3</v>
      </c>
      <c r="G45" s="11">
        <v>3.0000000000000001E-3</v>
      </c>
      <c r="H45" s="11">
        <v>3.0000000000000001E-3</v>
      </c>
      <c r="I45" s="11">
        <v>3.0000000000000001E-3</v>
      </c>
      <c r="J45" s="11">
        <v>3.0000000000000001E-3</v>
      </c>
      <c r="K45" s="11">
        <v>3.0000000000000001E-3</v>
      </c>
    </row>
    <row r="48" spans="2:11" x14ac:dyDescent="0.5">
      <c r="B48" t="s">
        <v>31</v>
      </c>
      <c r="C48" t="s">
        <v>0</v>
      </c>
      <c r="D48" s="2">
        <f ca="1">+YEAR(TODAY())</f>
        <v>2024</v>
      </c>
      <c r="E48" s="3">
        <f ca="1">+D48+1</f>
        <v>2025</v>
      </c>
      <c r="F48" s="3">
        <f t="shared" ref="F48:J48" ca="1" si="3">+E48+1</f>
        <v>2026</v>
      </c>
      <c r="G48" s="3">
        <f t="shared" ca="1" si="3"/>
        <v>2027</v>
      </c>
      <c r="H48" s="3">
        <f t="shared" ca="1" si="3"/>
        <v>2028</v>
      </c>
      <c r="I48" s="3">
        <f t="shared" ca="1" si="3"/>
        <v>2029</v>
      </c>
      <c r="J48" s="3">
        <f t="shared" ca="1" si="3"/>
        <v>2030</v>
      </c>
      <c r="K48" s="3" t="s">
        <v>8</v>
      </c>
    </row>
    <row r="49" spans="2:11" x14ac:dyDescent="0.5">
      <c r="B49" s="7">
        <v>0.4</v>
      </c>
      <c r="C49" t="s">
        <v>25</v>
      </c>
      <c r="D49" s="6">
        <v>1500</v>
      </c>
      <c r="E49" s="8"/>
      <c r="F49" s="8"/>
      <c r="G49" s="8"/>
      <c r="H49" s="8"/>
      <c r="I49" s="8"/>
      <c r="J49" s="8"/>
      <c r="K49" s="8"/>
    </row>
    <row r="50" spans="2:11" x14ac:dyDescent="0.5">
      <c r="B50" s="7">
        <v>1.5</v>
      </c>
      <c r="C50" t="s">
        <v>1</v>
      </c>
      <c r="D50" s="6">
        <v>6000</v>
      </c>
      <c r="E50" s="8"/>
      <c r="F50" s="8"/>
      <c r="G50" s="8"/>
      <c r="H50" s="8"/>
      <c r="I50" s="8"/>
      <c r="J50" s="8"/>
      <c r="K50" s="8"/>
    </row>
    <row r="51" spans="2:11" x14ac:dyDescent="0.5">
      <c r="B51" s="7">
        <v>1.2</v>
      </c>
      <c r="C51" t="s">
        <v>2</v>
      </c>
      <c r="D51" s="6">
        <v>3000</v>
      </c>
      <c r="E51" s="8"/>
      <c r="F51" s="8"/>
      <c r="G51" s="8"/>
      <c r="H51" s="8"/>
      <c r="I51" s="8"/>
      <c r="J51" s="8"/>
      <c r="K51" s="8"/>
    </row>
    <row r="52" spans="2:11" x14ac:dyDescent="0.5">
      <c r="B52" s="7">
        <v>1</v>
      </c>
      <c r="C52" t="s">
        <v>4</v>
      </c>
      <c r="D52" s="6">
        <v>4000</v>
      </c>
      <c r="E52" s="8"/>
      <c r="F52" s="8"/>
      <c r="G52" s="8"/>
      <c r="H52" s="8"/>
      <c r="I52" s="8"/>
      <c r="J52" s="8"/>
      <c r="K52" s="8"/>
    </row>
    <row r="53" spans="2:11" x14ac:dyDescent="0.5">
      <c r="B53" s="7">
        <v>0.5</v>
      </c>
      <c r="C53" t="s">
        <v>3</v>
      </c>
      <c r="D53" s="6">
        <v>15000</v>
      </c>
      <c r="E53" s="8"/>
      <c r="F53" s="8"/>
      <c r="G53" s="8"/>
      <c r="H53" s="8"/>
      <c r="I53" s="8"/>
      <c r="J53" s="8"/>
      <c r="K53" s="8"/>
    </row>
    <row r="54" spans="2:11" x14ac:dyDescent="0.5">
      <c r="B54" s="7">
        <v>1.2</v>
      </c>
      <c r="C54" t="s">
        <v>5</v>
      </c>
      <c r="D54" s="6">
        <v>4000</v>
      </c>
      <c r="E54" s="8"/>
      <c r="F54" s="8"/>
      <c r="G54" s="8"/>
      <c r="H54" s="8"/>
      <c r="I54" s="8"/>
      <c r="J54" s="8"/>
      <c r="K54" s="8"/>
    </row>
    <row r="55" spans="2:11" x14ac:dyDescent="0.5">
      <c r="B55" s="7">
        <v>1</v>
      </c>
      <c r="C55" t="s">
        <v>6</v>
      </c>
      <c r="D55" s="6">
        <v>20000</v>
      </c>
      <c r="E55" s="8"/>
      <c r="F55" s="8"/>
      <c r="G55" s="8"/>
      <c r="H55" s="8"/>
      <c r="I55" s="8"/>
      <c r="J55" s="8"/>
      <c r="K55" s="8"/>
    </row>
    <row r="56" spans="2:11" x14ac:dyDescent="0.5">
      <c r="B56" s="7">
        <v>0.3</v>
      </c>
      <c r="C56" t="s">
        <v>30</v>
      </c>
      <c r="D56" s="6">
        <v>1000</v>
      </c>
      <c r="E56" s="8"/>
      <c r="F56" s="8"/>
      <c r="G56" s="8"/>
      <c r="H56" s="8"/>
      <c r="I56" s="8"/>
      <c r="J56" s="8"/>
      <c r="K56" s="8"/>
    </row>
    <row r="57" spans="2:11" x14ac:dyDescent="0.5">
      <c r="B57" s="7">
        <v>0</v>
      </c>
      <c r="C57" t="s">
        <v>14</v>
      </c>
      <c r="D57" s="6">
        <v>1000</v>
      </c>
      <c r="E57" s="8"/>
      <c r="F57" s="8"/>
      <c r="G57" s="8"/>
      <c r="H57" s="8"/>
      <c r="I57" s="8"/>
      <c r="J57" s="8"/>
      <c r="K57" s="8"/>
    </row>
    <row r="58" spans="2:11" x14ac:dyDescent="0.5">
      <c r="C58" s="1" t="s">
        <v>13</v>
      </c>
      <c r="D58" s="9">
        <f>SUM(D49:D57)</f>
        <v>55500</v>
      </c>
      <c r="E58" s="9">
        <f t="shared" ref="E58:K58" si="4">SUM(E49:E57)</f>
        <v>0</v>
      </c>
      <c r="F58" s="9">
        <f t="shared" si="4"/>
        <v>0</v>
      </c>
      <c r="G58" s="9">
        <f t="shared" si="4"/>
        <v>0</v>
      </c>
      <c r="H58" s="9">
        <f t="shared" si="4"/>
        <v>0</v>
      </c>
      <c r="I58" s="9">
        <f t="shared" si="4"/>
        <v>0</v>
      </c>
      <c r="J58" s="9">
        <f t="shared" si="4"/>
        <v>0</v>
      </c>
      <c r="K58" s="9">
        <f t="shared" si="4"/>
        <v>0</v>
      </c>
    </row>
    <row r="59" spans="2:11" x14ac:dyDescent="0.5">
      <c r="D59" s="5"/>
    </row>
    <row r="60" spans="2:11" x14ac:dyDescent="0.5">
      <c r="C60" t="s">
        <v>15</v>
      </c>
      <c r="D60" s="6">
        <v>20000</v>
      </c>
      <c r="E60" s="5"/>
      <c r="F60" s="5"/>
      <c r="G60" s="5"/>
      <c r="H60" s="5"/>
      <c r="I60" s="5"/>
      <c r="J60" s="5"/>
      <c r="K60" s="5"/>
    </row>
    <row r="61" spans="2:11" x14ac:dyDescent="0.5">
      <c r="C61" t="s">
        <v>16</v>
      </c>
      <c r="D61" s="6">
        <v>25000</v>
      </c>
      <c r="E61" s="5"/>
      <c r="F61" s="5"/>
      <c r="G61" s="5"/>
      <c r="H61" s="5"/>
      <c r="I61" s="5"/>
      <c r="J61" s="5"/>
      <c r="K61" s="5"/>
    </row>
    <row r="62" spans="2:11" x14ac:dyDescent="0.5">
      <c r="C62" t="s">
        <v>18</v>
      </c>
      <c r="D62" s="5">
        <f>+D58-D60-D61-D63</f>
        <v>5500</v>
      </c>
      <c r="E62" s="5"/>
      <c r="F62" s="5"/>
      <c r="G62" s="5"/>
      <c r="H62" s="5"/>
      <c r="I62" s="5"/>
      <c r="J62" s="5"/>
      <c r="K62" s="5"/>
    </row>
    <row r="63" spans="2:11" x14ac:dyDescent="0.5">
      <c r="C63" t="s">
        <v>17</v>
      </c>
      <c r="D63" s="6">
        <v>5000</v>
      </c>
      <c r="E63" s="5"/>
      <c r="F63" s="5"/>
      <c r="G63" s="5"/>
      <c r="H63" s="5"/>
      <c r="I63" s="5"/>
      <c r="J63" s="5"/>
      <c r="K63" s="5"/>
    </row>
    <row r="64" spans="2:11" x14ac:dyDescent="0.5">
      <c r="D64" s="5"/>
    </row>
    <row r="65" spans="3:11" x14ac:dyDescent="0.5">
      <c r="C65" t="s">
        <v>32</v>
      </c>
      <c r="D65" s="5">
        <f>+SUMPRODUCT($B$49:$B$57,D49:D57)</f>
        <v>49800</v>
      </c>
      <c r="E65" s="5">
        <f t="shared" ref="E65:K65" si="5">+SUMPRODUCT($B$49:$B$57,E49:E57)</f>
        <v>0</v>
      </c>
      <c r="F65" s="5">
        <f t="shared" si="5"/>
        <v>0</v>
      </c>
      <c r="G65" s="5">
        <f t="shared" si="5"/>
        <v>0</v>
      </c>
      <c r="H65" s="5">
        <f t="shared" si="5"/>
        <v>0</v>
      </c>
      <c r="I65" s="5">
        <f t="shared" si="5"/>
        <v>0</v>
      </c>
      <c r="J65" s="5">
        <f t="shared" si="5"/>
        <v>0</v>
      </c>
      <c r="K65" s="5">
        <f t="shared" si="5"/>
        <v>0</v>
      </c>
    </row>
    <row r="68" spans="3:11" x14ac:dyDescent="0.5">
      <c r="C68" t="s">
        <v>19</v>
      </c>
      <c r="D68" s="6">
        <v>4830</v>
      </c>
      <c r="E68" s="5"/>
      <c r="F68" s="5"/>
      <c r="G68" s="5"/>
      <c r="H68" s="5"/>
      <c r="I68" s="5"/>
      <c r="J68" s="5"/>
      <c r="K68" s="5"/>
    </row>
    <row r="69" spans="3:11" x14ac:dyDescent="0.5">
      <c r="C69" t="s">
        <v>20</v>
      </c>
      <c r="D69" s="6">
        <v>1880</v>
      </c>
      <c r="E69" s="5"/>
      <c r="F69" s="5"/>
      <c r="G69" s="5"/>
      <c r="H69" s="5"/>
      <c r="I69" s="5"/>
      <c r="J69" s="5"/>
      <c r="K69" s="5"/>
    </row>
    <row r="70" spans="3:11" x14ac:dyDescent="0.5">
      <c r="C70" t="s">
        <v>21</v>
      </c>
      <c r="D70" s="5">
        <f>+D68-D69</f>
        <v>2950</v>
      </c>
      <c r="E70" s="5"/>
      <c r="F70" s="5"/>
      <c r="G70" s="5"/>
      <c r="H70" s="5"/>
      <c r="I70" s="5"/>
      <c r="J70" s="5"/>
      <c r="K70" s="5"/>
    </row>
    <row r="71" spans="3:11" x14ac:dyDescent="0.5">
      <c r="C71" t="s">
        <v>44</v>
      </c>
      <c r="D71" s="6">
        <v>1000</v>
      </c>
      <c r="E71" s="5"/>
      <c r="F71" s="5"/>
      <c r="G71" s="5"/>
      <c r="H71" s="5"/>
      <c r="I71" s="5"/>
      <c r="J71" s="5"/>
      <c r="K71" s="5"/>
    </row>
    <row r="72" spans="3:11" x14ac:dyDescent="0.5">
      <c r="C72" t="s">
        <v>23</v>
      </c>
      <c r="D72" s="6">
        <v>60</v>
      </c>
      <c r="E72" s="5"/>
      <c r="F72" s="5"/>
      <c r="G72" s="5"/>
      <c r="H72" s="5"/>
      <c r="I72" s="5"/>
      <c r="J72" s="5"/>
      <c r="K72" s="5"/>
    </row>
    <row r="73" spans="3:11" x14ac:dyDescent="0.5">
      <c r="C73" t="s">
        <v>9</v>
      </c>
      <c r="D73" s="6">
        <v>1000</v>
      </c>
      <c r="E73" s="5"/>
      <c r="F73" s="5"/>
      <c r="G73" s="5"/>
      <c r="H73" s="5"/>
      <c r="I73" s="5"/>
      <c r="J73" s="5"/>
      <c r="K73" s="5"/>
    </row>
    <row r="74" spans="3:11" x14ac:dyDescent="0.5">
      <c r="C74" t="s">
        <v>22</v>
      </c>
      <c r="D74" s="6">
        <v>1500</v>
      </c>
      <c r="E74" s="5"/>
      <c r="F74" s="5"/>
      <c r="G74" s="5"/>
      <c r="H74" s="5"/>
      <c r="I74" s="5"/>
      <c r="J74" s="5"/>
      <c r="K74" s="5"/>
    </row>
    <row r="75" spans="3:11" x14ac:dyDescent="0.5">
      <c r="C75" t="s">
        <v>24</v>
      </c>
      <c r="D75" s="6">
        <v>200</v>
      </c>
      <c r="E75" s="5"/>
      <c r="F75" s="5"/>
      <c r="G75" s="5"/>
      <c r="H75" s="5"/>
      <c r="I75" s="5"/>
      <c r="J75" s="5"/>
      <c r="K75" s="5"/>
    </row>
    <row r="76" spans="3:11" x14ac:dyDescent="0.5">
      <c r="C76" t="s">
        <v>26</v>
      </c>
      <c r="D76" s="5">
        <f>+D70-D72-D74-D75-D73+D71</f>
        <v>1190</v>
      </c>
      <c r="E76" s="5"/>
      <c r="F76" s="5"/>
      <c r="G76" s="5"/>
      <c r="H76" s="5"/>
      <c r="I76" s="5"/>
      <c r="J76" s="5"/>
      <c r="K76" s="5"/>
    </row>
    <row r="77" spans="3:11" x14ac:dyDescent="0.5">
      <c r="C77" t="s">
        <v>27</v>
      </c>
      <c r="D77" s="5">
        <f>+D76*D3</f>
        <v>357</v>
      </c>
      <c r="E77" s="5"/>
      <c r="F77" s="5"/>
      <c r="G77" s="5"/>
      <c r="H77" s="5"/>
      <c r="I77" s="5"/>
      <c r="J77" s="5"/>
      <c r="K77" s="5"/>
    </row>
    <row r="78" spans="3:11" x14ac:dyDescent="0.5">
      <c r="C78" t="s">
        <v>28</v>
      </c>
      <c r="D78" s="5">
        <f>+D76-D77</f>
        <v>833</v>
      </c>
      <c r="E78" s="5"/>
      <c r="F78" s="5"/>
      <c r="G78" s="5"/>
      <c r="H78" s="5"/>
      <c r="I78" s="5"/>
      <c r="J78" s="5"/>
      <c r="K78" s="5"/>
    </row>
    <row r="79" spans="3:11" x14ac:dyDescent="0.5">
      <c r="C79" t="s">
        <v>39</v>
      </c>
      <c r="D79" s="6">
        <v>550</v>
      </c>
      <c r="E79" s="5"/>
      <c r="F79" s="5"/>
      <c r="G79" s="5"/>
      <c r="H79" s="5"/>
      <c r="I79" s="5"/>
      <c r="J79" s="5"/>
      <c r="K79" s="5"/>
    </row>
    <row r="80" spans="3:11" x14ac:dyDescent="0.5">
      <c r="C80" t="s">
        <v>38</v>
      </c>
      <c r="D80" s="5">
        <f>+D78-D79</f>
        <v>283</v>
      </c>
      <c r="E80" s="5"/>
      <c r="F80" s="5"/>
      <c r="G80" s="5"/>
      <c r="H80" s="5"/>
      <c r="I80" s="5"/>
      <c r="J80" s="5"/>
      <c r="K80" s="5"/>
    </row>
    <row r="81" spans="4:11" x14ac:dyDescent="0.5">
      <c r="D81" s="5"/>
      <c r="E81" s="5"/>
      <c r="F81" s="5"/>
      <c r="G81" s="5"/>
      <c r="H81" s="5"/>
      <c r="I81" s="5"/>
      <c r="J81" s="5"/>
      <c r="K8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Juhász Péter</dc:creator>
  <cp:lastModifiedBy>Péter Juhász</cp:lastModifiedBy>
  <dcterms:created xsi:type="dcterms:W3CDTF">2023-12-17T16:04:49Z</dcterms:created>
  <dcterms:modified xsi:type="dcterms:W3CDTF">2024-12-08T11:13:19Z</dcterms:modified>
</cp:coreProperties>
</file>