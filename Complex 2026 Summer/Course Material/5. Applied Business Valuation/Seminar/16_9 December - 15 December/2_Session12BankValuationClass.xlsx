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S:\!Aktualis\2024ősz\Applied Business Valuation\Week6\"/>
    </mc:Choice>
  </mc:AlternateContent>
  <xr:revisionPtr revIDLastSave="0" documentId="13_ncr:1_{9810C8C8-E604-43B9-A206-DEAB743372D0}" xr6:coauthVersionLast="47" xr6:coauthVersionMax="47" xr10:uidLastSave="{00000000-0000-0000-0000-000000000000}"/>
  <bookViews>
    <workbookView xWindow="-120" yWindow="-120" windowWidth="19440" windowHeight="14880" activeTab="1" xr2:uid="{B762E922-43B5-4588-A3FF-B9B8040C353E}"/>
  </bookViews>
  <sheets>
    <sheet name="BaseCase" sheetId="1" r:id="rId1"/>
    <sheet name="Improved" sheetId="3" r:id="rId2"/>
    <sheet name="DIV&lt;&gt;FCFE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9" i="3" l="1"/>
  <c r="G39" i="3" s="1"/>
  <c r="H39" i="3" s="1"/>
  <c r="I39" i="3" s="1"/>
  <c r="J39" i="3" s="1"/>
  <c r="K39" i="3" s="1"/>
  <c r="G5" i="3"/>
  <c r="H5" i="3" s="1"/>
  <c r="F5" i="3"/>
  <c r="G4" i="3"/>
  <c r="H4" i="3" s="1"/>
  <c r="I4" i="3" s="1"/>
  <c r="J4" i="3" s="1"/>
  <c r="K4" i="3" s="1"/>
  <c r="F4" i="3"/>
  <c r="E117" i="3"/>
  <c r="F1" i="3"/>
  <c r="G1" i="3" s="1"/>
  <c r="H1" i="3" s="1"/>
  <c r="I1" i="3" s="1"/>
  <c r="J1" i="3" s="1"/>
  <c r="K1" i="3" s="1"/>
  <c r="E105" i="3"/>
  <c r="C101" i="3"/>
  <c r="F96" i="3"/>
  <c r="E96" i="3"/>
  <c r="E102" i="3" s="1"/>
  <c r="C95" i="3"/>
  <c r="C89" i="3"/>
  <c r="C86" i="3"/>
  <c r="E75" i="3"/>
  <c r="E74" i="3"/>
  <c r="F74" i="3" s="1"/>
  <c r="G74" i="3" s="1"/>
  <c r="H74" i="3" s="1"/>
  <c r="I74" i="3" s="1"/>
  <c r="J74" i="3" s="1"/>
  <c r="K74" i="3" s="1"/>
  <c r="F73" i="3"/>
  <c r="E73" i="3"/>
  <c r="E71" i="3"/>
  <c r="F71" i="3" s="1"/>
  <c r="G71" i="3" s="1"/>
  <c r="H71" i="3" s="1"/>
  <c r="I71" i="3" s="1"/>
  <c r="J71" i="3" s="1"/>
  <c r="K71" i="3" s="1"/>
  <c r="D70" i="3"/>
  <c r="D76" i="3" s="1"/>
  <c r="D65" i="3"/>
  <c r="E61" i="3"/>
  <c r="F61" i="3" s="1"/>
  <c r="G61" i="3" s="1"/>
  <c r="H61" i="3" s="1"/>
  <c r="I61" i="3" s="1"/>
  <c r="J61" i="3" s="1"/>
  <c r="K61" i="3" s="1"/>
  <c r="E60" i="3"/>
  <c r="D58" i="3"/>
  <c r="D62" i="3" s="1"/>
  <c r="F56" i="3"/>
  <c r="G56" i="3" s="1"/>
  <c r="H56" i="3" s="1"/>
  <c r="I56" i="3" s="1"/>
  <c r="J56" i="3" s="1"/>
  <c r="K56" i="3" s="1"/>
  <c r="E56" i="3"/>
  <c r="E55" i="3"/>
  <c r="F55" i="3" s="1"/>
  <c r="G55" i="3" s="1"/>
  <c r="H55" i="3" s="1"/>
  <c r="I55" i="3" s="1"/>
  <c r="J55" i="3" s="1"/>
  <c r="K55" i="3" s="1"/>
  <c r="E54" i="3"/>
  <c r="F54" i="3" s="1"/>
  <c r="G54" i="3" s="1"/>
  <c r="H54" i="3" s="1"/>
  <c r="I54" i="3" s="1"/>
  <c r="J54" i="3" s="1"/>
  <c r="K54" i="3" s="1"/>
  <c r="E53" i="3"/>
  <c r="F53" i="3" s="1"/>
  <c r="G53" i="3" s="1"/>
  <c r="H53" i="3" s="1"/>
  <c r="I53" i="3" s="1"/>
  <c r="J53" i="3" s="1"/>
  <c r="K53" i="3" s="1"/>
  <c r="E52" i="3"/>
  <c r="F52" i="3" s="1"/>
  <c r="G52" i="3" s="1"/>
  <c r="H52" i="3" s="1"/>
  <c r="I52" i="3" s="1"/>
  <c r="J52" i="3" s="1"/>
  <c r="K52" i="3" s="1"/>
  <c r="E51" i="3"/>
  <c r="F51" i="3" s="1"/>
  <c r="G51" i="3" s="1"/>
  <c r="H51" i="3" s="1"/>
  <c r="I51" i="3" s="1"/>
  <c r="J51" i="3" s="1"/>
  <c r="K51" i="3" s="1"/>
  <c r="E50" i="3"/>
  <c r="E49" i="3"/>
  <c r="F75" i="3" s="1"/>
  <c r="D48" i="3"/>
  <c r="E48" i="3" s="1"/>
  <c r="F48" i="3" s="1"/>
  <c r="K23" i="3"/>
  <c r="K31" i="3" s="1"/>
  <c r="K10" i="3"/>
  <c r="E112" i="1"/>
  <c r="E111" i="1"/>
  <c r="E110" i="1"/>
  <c r="F108" i="1"/>
  <c r="G108" i="1"/>
  <c r="H108" i="1"/>
  <c r="I108" i="1"/>
  <c r="J108" i="1"/>
  <c r="K108" i="1"/>
  <c r="E108" i="1"/>
  <c r="E105" i="2"/>
  <c r="E102" i="2"/>
  <c r="C101" i="2"/>
  <c r="K96" i="2"/>
  <c r="J96" i="2"/>
  <c r="I96" i="2"/>
  <c r="H96" i="2"/>
  <c r="G96" i="2"/>
  <c r="F96" i="2"/>
  <c r="E96" i="2"/>
  <c r="C95" i="2"/>
  <c r="C89" i="2"/>
  <c r="C86" i="2"/>
  <c r="D77" i="2"/>
  <c r="D78" i="2" s="1"/>
  <c r="F75" i="2"/>
  <c r="E75" i="2"/>
  <c r="E74" i="2"/>
  <c r="F74" i="2" s="1"/>
  <c r="G74" i="2" s="1"/>
  <c r="H74" i="2" s="1"/>
  <c r="I74" i="2" s="1"/>
  <c r="J74" i="2" s="1"/>
  <c r="K74" i="2" s="1"/>
  <c r="E73" i="2"/>
  <c r="E71" i="2"/>
  <c r="F71" i="2" s="1"/>
  <c r="G71" i="2" s="1"/>
  <c r="H71" i="2" s="1"/>
  <c r="I71" i="2" s="1"/>
  <c r="J71" i="2" s="1"/>
  <c r="K71" i="2" s="1"/>
  <c r="D70" i="2"/>
  <c r="D76" i="2" s="1"/>
  <c r="D65" i="2"/>
  <c r="D62" i="2"/>
  <c r="E61" i="2"/>
  <c r="F61" i="2" s="1"/>
  <c r="G61" i="2" s="1"/>
  <c r="H61" i="2" s="1"/>
  <c r="I61" i="2" s="1"/>
  <c r="J61" i="2" s="1"/>
  <c r="K61" i="2" s="1"/>
  <c r="E60" i="2"/>
  <c r="D58" i="2"/>
  <c r="E56" i="2"/>
  <c r="F56" i="2" s="1"/>
  <c r="G56" i="2" s="1"/>
  <c r="H56" i="2" s="1"/>
  <c r="I56" i="2" s="1"/>
  <c r="J56" i="2" s="1"/>
  <c r="K56" i="2" s="1"/>
  <c r="E55" i="2"/>
  <c r="F55" i="2" s="1"/>
  <c r="G55" i="2" s="1"/>
  <c r="H55" i="2" s="1"/>
  <c r="I55" i="2" s="1"/>
  <c r="J55" i="2" s="1"/>
  <c r="K55" i="2" s="1"/>
  <c r="E54" i="2"/>
  <c r="E53" i="2"/>
  <c r="F53" i="2" s="1"/>
  <c r="G53" i="2" s="1"/>
  <c r="H53" i="2" s="1"/>
  <c r="I53" i="2" s="1"/>
  <c r="J53" i="2" s="1"/>
  <c r="K53" i="2" s="1"/>
  <c r="E52" i="2"/>
  <c r="F52" i="2" s="1"/>
  <c r="G52" i="2" s="1"/>
  <c r="H52" i="2" s="1"/>
  <c r="I52" i="2" s="1"/>
  <c r="J52" i="2" s="1"/>
  <c r="K52" i="2" s="1"/>
  <c r="E51" i="2"/>
  <c r="F50" i="2"/>
  <c r="E50" i="2"/>
  <c r="F49" i="2"/>
  <c r="G75" i="2" s="1"/>
  <c r="E49" i="2"/>
  <c r="D48" i="2"/>
  <c r="D10" i="2" s="1"/>
  <c r="D23" i="2" s="1"/>
  <c r="D31" i="2" s="1"/>
  <c r="K23" i="2"/>
  <c r="K31" i="2" s="1"/>
  <c r="K10" i="2"/>
  <c r="F105" i="1"/>
  <c r="G105" i="1"/>
  <c r="H105" i="1"/>
  <c r="H106" i="1" s="1"/>
  <c r="I105" i="1"/>
  <c r="I106" i="1" s="1"/>
  <c r="J105" i="1"/>
  <c r="J106" i="1" s="1"/>
  <c r="K105" i="1"/>
  <c r="K106" i="1" s="1"/>
  <c r="F106" i="1"/>
  <c r="G106" i="1"/>
  <c r="E106" i="1"/>
  <c r="E105" i="1"/>
  <c r="I104" i="1"/>
  <c r="H104" i="1" s="1"/>
  <c r="G104" i="1" s="1"/>
  <c r="F104" i="1" s="1"/>
  <c r="E104" i="1" s="1"/>
  <c r="J104" i="1"/>
  <c r="K104" i="1"/>
  <c r="G101" i="1"/>
  <c r="H101" i="1"/>
  <c r="I101" i="1"/>
  <c r="J101" i="1"/>
  <c r="K101" i="1"/>
  <c r="G102" i="1"/>
  <c r="H102" i="1"/>
  <c r="I102" i="1"/>
  <c r="J102" i="1"/>
  <c r="K102" i="1"/>
  <c r="G103" i="1"/>
  <c r="H103" i="1"/>
  <c r="I103" i="1"/>
  <c r="J103" i="1"/>
  <c r="K103" i="1"/>
  <c r="F102" i="1"/>
  <c r="F103" i="1" s="1"/>
  <c r="E103" i="1"/>
  <c r="E102" i="1"/>
  <c r="E101" i="1"/>
  <c r="F101" i="1"/>
  <c r="C101" i="1"/>
  <c r="C95" i="1"/>
  <c r="I97" i="1"/>
  <c r="H97" i="1" s="1"/>
  <c r="G97" i="1" s="1"/>
  <c r="F97" i="1" s="1"/>
  <c r="E97" i="1" s="1"/>
  <c r="J97" i="1"/>
  <c r="K97" i="1"/>
  <c r="F96" i="1"/>
  <c r="G96" i="1"/>
  <c r="H96" i="1"/>
  <c r="I96" i="1"/>
  <c r="J96" i="1"/>
  <c r="K96" i="1"/>
  <c r="E96" i="1"/>
  <c r="E95" i="1"/>
  <c r="F95" i="1"/>
  <c r="G95" i="1"/>
  <c r="H95" i="1"/>
  <c r="I95" i="1"/>
  <c r="J95" i="1"/>
  <c r="K95" i="1"/>
  <c r="F87" i="1"/>
  <c r="F88" i="1" s="1"/>
  <c r="F91" i="1" s="1"/>
  <c r="G87" i="1"/>
  <c r="G88" i="1" s="1"/>
  <c r="G91" i="1" s="1"/>
  <c r="H87" i="1"/>
  <c r="I87" i="1"/>
  <c r="J87" i="1"/>
  <c r="K87" i="1"/>
  <c r="H88" i="1"/>
  <c r="H91" i="1" s="1"/>
  <c r="I88" i="1"/>
  <c r="I91" i="1" s="1"/>
  <c r="J88" i="1"/>
  <c r="J91" i="1" s="1"/>
  <c r="K88" i="1"/>
  <c r="K91" i="1" s="1"/>
  <c r="F89" i="1"/>
  <c r="G89" i="1"/>
  <c r="H89" i="1"/>
  <c r="I89" i="1"/>
  <c r="J89" i="1"/>
  <c r="K89" i="1"/>
  <c r="F90" i="1"/>
  <c r="G90" i="1"/>
  <c r="H90" i="1"/>
  <c r="I90" i="1"/>
  <c r="J90" i="1"/>
  <c r="K90" i="1"/>
  <c r="E91" i="1"/>
  <c r="E90" i="1"/>
  <c r="E89" i="1"/>
  <c r="C89" i="1"/>
  <c r="E79" i="1"/>
  <c r="E88" i="1"/>
  <c r="E87" i="1"/>
  <c r="D86" i="1"/>
  <c r="E86" i="1"/>
  <c r="F86" i="1"/>
  <c r="G86" i="1"/>
  <c r="H86" i="1"/>
  <c r="I86" i="1"/>
  <c r="J86" i="1"/>
  <c r="K86" i="1"/>
  <c r="C86" i="1"/>
  <c r="F82" i="1"/>
  <c r="F80" i="1" s="1"/>
  <c r="G82" i="1"/>
  <c r="G80" i="1" s="1"/>
  <c r="H82" i="1"/>
  <c r="H80" i="1" s="1"/>
  <c r="I82" i="1"/>
  <c r="J82" i="1"/>
  <c r="K82" i="1"/>
  <c r="E82" i="1"/>
  <c r="E80" i="1"/>
  <c r="E83" i="1" s="1"/>
  <c r="F76" i="1"/>
  <c r="G76" i="1"/>
  <c r="H76" i="1"/>
  <c r="H77" i="1" s="1"/>
  <c r="H78" i="1" s="1"/>
  <c r="I76" i="1"/>
  <c r="J76" i="1"/>
  <c r="K76" i="1"/>
  <c r="F77" i="1"/>
  <c r="G77" i="1"/>
  <c r="I77" i="1"/>
  <c r="J77" i="1"/>
  <c r="K77" i="1"/>
  <c r="F78" i="1"/>
  <c r="G78" i="1"/>
  <c r="I78" i="1"/>
  <c r="J78" i="1"/>
  <c r="K78" i="1"/>
  <c r="E78" i="1"/>
  <c r="E77" i="1"/>
  <c r="E76" i="1"/>
  <c r="F75" i="1"/>
  <c r="G75" i="1"/>
  <c r="H75" i="1"/>
  <c r="I75" i="1"/>
  <c r="J75" i="1"/>
  <c r="K75" i="1"/>
  <c r="E75" i="1"/>
  <c r="F74" i="1"/>
  <c r="G74" i="1"/>
  <c r="H74" i="1"/>
  <c r="I74" i="1"/>
  <c r="J74" i="1" s="1"/>
  <c r="K74" i="1" s="1"/>
  <c r="E74" i="1"/>
  <c r="F73" i="1"/>
  <c r="G73" i="1"/>
  <c r="H73" i="1"/>
  <c r="I73" i="1"/>
  <c r="J73" i="1"/>
  <c r="K73" i="1"/>
  <c r="E73" i="1"/>
  <c r="F72" i="1"/>
  <c r="G72" i="1"/>
  <c r="H72" i="1"/>
  <c r="I72" i="1"/>
  <c r="J72" i="1"/>
  <c r="K72" i="1"/>
  <c r="E72" i="1"/>
  <c r="F68" i="1"/>
  <c r="G68" i="1"/>
  <c r="H68" i="1"/>
  <c r="I68" i="1"/>
  <c r="J68" i="1"/>
  <c r="K68" i="1"/>
  <c r="F69" i="1"/>
  <c r="G69" i="1"/>
  <c r="H69" i="1"/>
  <c r="I69" i="1"/>
  <c r="J69" i="1"/>
  <c r="K69" i="1"/>
  <c r="F70" i="1"/>
  <c r="G70" i="1"/>
  <c r="H70" i="1"/>
  <c r="I70" i="1"/>
  <c r="J70" i="1"/>
  <c r="K70" i="1"/>
  <c r="F71" i="1"/>
  <c r="G71" i="1" s="1"/>
  <c r="H71" i="1" s="1"/>
  <c r="I71" i="1" s="1"/>
  <c r="J71" i="1" s="1"/>
  <c r="K71" i="1" s="1"/>
  <c r="E71" i="1"/>
  <c r="E70" i="1"/>
  <c r="E69" i="1"/>
  <c r="E68" i="1"/>
  <c r="F63" i="1"/>
  <c r="G63" i="1"/>
  <c r="H63" i="1"/>
  <c r="I63" i="1"/>
  <c r="J63" i="1"/>
  <c r="K63" i="1"/>
  <c r="E63" i="1"/>
  <c r="E65" i="1"/>
  <c r="F57" i="1"/>
  <c r="G57" i="1"/>
  <c r="H57" i="1"/>
  <c r="I57" i="1"/>
  <c r="J57" i="1"/>
  <c r="K57" i="1"/>
  <c r="E57" i="1"/>
  <c r="F60" i="1"/>
  <c r="G60" i="1"/>
  <c r="H60" i="1"/>
  <c r="I60" i="1"/>
  <c r="J60" i="1"/>
  <c r="K60" i="1"/>
  <c r="F61" i="1"/>
  <c r="G61" i="1"/>
  <c r="H61" i="1"/>
  <c r="I61" i="1" s="1"/>
  <c r="J61" i="1" s="1"/>
  <c r="K61" i="1" s="1"/>
  <c r="E61" i="1"/>
  <c r="E60" i="1"/>
  <c r="F56" i="1"/>
  <c r="G56" i="1"/>
  <c r="H56" i="1"/>
  <c r="I56" i="1"/>
  <c r="J56" i="1"/>
  <c r="K56" i="1"/>
  <c r="E56" i="1"/>
  <c r="K49" i="1"/>
  <c r="K50" i="1"/>
  <c r="K51" i="1"/>
  <c r="K52" i="1"/>
  <c r="K53" i="1"/>
  <c r="K54" i="1"/>
  <c r="K55" i="1"/>
  <c r="F49" i="1"/>
  <c r="G49" i="1"/>
  <c r="H49" i="1"/>
  <c r="I49" i="1"/>
  <c r="J49" i="1"/>
  <c r="F50" i="1"/>
  <c r="G50" i="1"/>
  <c r="H50" i="1" s="1"/>
  <c r="I50" i="1" s="1"/>
  <c r="J50" i="1" s="1"/>
  <c r="F51" i="1"/>
  <c r="G51" i="1"/>
  <c r="H51" i="1"/>
  <c r="I51" i="1"/>
  <c r="J51" i="1"/>
  <c r="F52" i="1"/>
  <c r="G52" i="1"/>
  <c r="H52" i="1"/>
  <c r="I52" i="1"/>
  <c r="J52" i="1"/>
  <c r="F53" i="1"/>
  <c r="G53" i="1"/>
  <c r="H53" i="1"/>
  <c r="I53" i="1"/>
  <c r="J53" i="1"/>
  <c r="F54" i="1"/>
  <c r="G54" i="1"/>
  <c r="H54" i="1"/>
  <c r="I54" i="1"/>
  <c r="J54" i="1"/>
  <c r="F55" i="1"/>
  <c r="G55" i="1"/>
  <c r="H55" i="1"/>
  <c r="I55" i="1"/>
  <c r="J55" i="1"/>
  <c r="E50" i="1"/>
  <c r="E51" i="1"/>
  <c r="E52" i="1"/>
  <c r="E53" i="1"/>
  <c r="E54" i="1"/>
  <c r="E55" i="1"/>
  <c r="E49" i="1"/>
  <c r="D48" i="1"/>
  <c r="D10" i="1" s="1"/>
  <c r="I5" i="3" l="1"/>
  <c r="H96" i="3"/>
  <c r="G96" i="3"/>
  <c r="D77" i="3"/>
  <c r="D78" i="3"/>
  <c r="G48" i="3"/>
  <c r="F10" i="3"/>
  <c r="F23" i="3" s="1"/>
  <c r="F31" i="3" s="1"/>
  <c r="F49" i="3"/>
  <c r="E10" i="3"/>
  <c r="E23" i="3" s="1"/>
  <c r="E31" i="3" s="1"/>
  <c r="E72" i="3"/>
  <c r="F50" i="3"/>
  <c r="E68" i="3"/>
  <c r="D10" i="3"/>
  <c r="D23" i="3" s="1"/>
  <c r="D31" i="3" s="1"/>
  <c r="F60" i="3"/>
  <c r="E57" i="3"/>
  <c r="F54" i="2"/>
  <c r="G54" i="2" s="1"/>
  <c r="H54" i="2" s="1"/>
  <c r="I54" i="2" s="1"/>
  <c r="J54" i="2" s="1"/>
  <c r="K54" i="2" s="1"/>
  <c r="E68" i="2"/>
  <c r="D86" i="2"/>
  <c r="D80" i="2"/>
  <c r="G50" i="2"/>
  <c r="F60" i="2"/>
  <c r="F73" i="2"/>
  <c r="E72" i="2"/>
  <c r="E57" i="2"/>
  <c r="E65" i="2" s="1"/>
  <c r="E63" i="2" s="1"/>
  <c r="F51" i="2"/>
  <c r="F72" i="2" s="1"/>
  <c r="E48" i="2"/>
  <c r="G49" i="2"/>
  <c r="I83" i="1"/>
  <c r="H79" i="1"/>
  <c r="H83" i="1"/>
  <c r="G79" i="1"/>
  <c r="G83" i="1"/>
  <c r="F83" i="1"/>
  <c r="F79" i="1"/>
  <c r="K80" i="1"/>
  <c r="K79" i="1" s="1"/>
  <c r="J80" i="1"/>
  <c r="J79" i="1" s="1"/>
  <c r="I80" i="1"/>
  <c r="I79" i="1" s="1"/>
  <c r="D70" i="1"/>
  <c r="D76" i="1" s="1"/>
  <c r="D65" i="1"/>
  <c r="D58" i="1"/>
  <c r="D62" i="1" s="1"/>
  <c r="K10" i="1"/>
  <c r="K23" i="1" s="1"/>
  <c r="K31" i="1" s="1"/>
  <c r="D23" i="1"/>
  <c r="D31" i="1" s="1"/>
  <c r="E48" i="1"/>
  <c r="F48" i="1" s="1"/>
  <c r="J5" i="3" l="1"/>
  <c r="I96" i="3"/>
  <c r="G75" i="3"/>
  <c r="G49" i="3"/>
  <c r="H48" i="3"/>
  <c r="G10" i="3"/>
  <c r="G23" i="3" s="1"/>
  <c r="G31" i="3" s="1"/>
  <c r="D80" i="3"/>
  <c r="D86" i="3"/>
  <c r="E65" i="3"/>
  <c r="E63" i="3" s="1"/>
  <c r="E58" i="3"/>
  <c r="G60" i="3"/>
  <c r="F57" i="3"/>
  <c r="F65" i="3" s="1"/>
  <c r="F63" i="3" s="1"/>
  <c r="F68" i="3"/>
  <c r="G50" i="3"/>
  <c r="G73" i="3"/>
  <c r="F72" i="3"/>
  <c r="F57" i="2"/>
  <c r="E87" i="2"/>
  <c r="F105" i="2"/>
  <c r="E82" i="2"/>
  <c r="F102" i="2"/>
  <c r="F68" i="2"/>
  <c r="E58" i="2"/>
  <c r="E62" i="2" s="1"/>
  <c r="E69" i="2" s="1"/>
  <c r="E76" i="2" s="1"/>
  <c r="E10" i="2"/>
  <c r="E23" i="2" s="1"/>
  <c r="E31" i="2" s="1"/>
  <c r="F48" i="2"/>
  <c r="G51" i="2"/>
  <c r="H51" i="2" s="1"/>
  <c r="I51" i="2" s="1"/>
  <c r="J51" i="2" s="1"/>
  <c r="K51" i="2" s="1"/>
  <c r="F65" i="2"/>
  <c r="F63" i="2" s="1"/>
  <c r="G60" i="2"/>
  <c r="H73" i="2"/>
  <c r="G72" i="2"/>
  <c r="G57" i="2"/>
  <c r="G68" i="2"/>
  <c r="H50" i="2"/>
  <c r="G73" i="2"/>
  <c r="F58" i="2"/>
  <c r="H49" i="2"/>
  <c r="H75" i="2"/>
  <c r="J83" i="1"/>
  <c r="K83" i="1"/>
  <c r="D77" i="1"/>
  <c r="D78" i="1" s="1"/>
  <c r="F58" i="1"/>
  <c r="F62" i="1" s="1"/>
  <c r="E58" i="1"/>
  <c r="E62" i="1" s="1"/>
  <c r="E10" i="1"/>
  <c r="E23" i="1" s="1"/>
  <c r="E31" i="1" s="1"/>
  <c r="G48" i="1"/>
  <c r="F10" i="1"/>
  <c r="F23" i="1" s="1"/>
  <c r="F31" i="1" s="1"/>
  <c r="J96" i="3" l="1"/>
  <c r="K5" i="3"/>
  <c r="K96" i="3" s="1"/>
  <c r="G105" i="3"/>
  <c r="F87" i="3"/>
  <c r="F82" i="3"/>
  <c r="G102" i="3"/>
  <c r="E62" i="3"/>
  <c r="E69" i="3" s="1"/>
  <c r="E70" i="3" s="1"/>
  <c r="E76" i="3" s="1"/>
  <c r="H60" i="3"/>
  <c r="H75" i="3"/>
  <c r="H49" i="3"/>
  <c r="F105" i="3"/>
  <c r="E87" i="3"/>
  <c r="E82" i="3"/>
  <c r="F102" i="3"/>
  <c r="H10" i="3"/>
  <c r="H23" i="3" s="1"/>
  <c r="H31" i="3" s="1"/>
  <c r="I48" i="3"/>
  <c r="H73" i="3"/>
  <c r="G72" i="3"/>
  <c r="H50" i="3"/>
  <c r="H68" i="3" s="1"/>
  <c r="G57" i="3"/>
  <c r="G58" i="3" s="1"/>
  <c r="G68" i="3"/>
  <c r="F58" i="3"/>
  <c r="F62" i="3" s="1"/>
  <c r="F69" i="3" s="1"/>
  <c r="F70" i="3" s="1"/>
  <c r="F76" i="3" s="1"/>
  <c r="E77" i="2"/>
  <c r="E78" i="2" s="1"/>
  <c r="H57" i="2"/>
  <c r="H58" i="2" s="1"/>
  <c r="H62" i="2" s="1"/>
  <c r="I73" i="2"/>
  <c r="H68" i="2"/>
  <c r="I50" i="2"/>
  <c r="H60" i="2"/>
  <c r="F82" i="2"/>
  <c r="G105" i="2"/>
  <c r="F87" i="2"/>
  <c r="G102" i="2"/>
  <c r="G48" i="2"/>
  <c r="F10" i="2"/>
  <c r="F23" i="2" s="1"/>
  <c r="F31" i="2" s="1"/>
  <c r="F70" i="2"/>
  <c r="F76" i="2" s="1"/>
  <c r="G65" i="2"/>
  <c r="G63" i="2" s="1"/>
  <c r="I49" i="2"/>
  <c r="I75" i="2"/>
  <c r="H65" i="2"/>
  <c r="H63" i="2" s="1"/>
  <c r="G58" i="2"/>
  <c r="F62" i="2"/>
  <c r="F69" i="2" s="1"/>
  <c r="F65" i="1"/>
  <c r="D80" i="1"/>
  <c r="G58" i="1"/>
  <c r="G62" i="1" s="1"/>
  <c r="H48" i="1"/>
  <c r="G10" i="1"/>
  <c r="G23" i="1" s="1"/>
  <c r="G31" i="1" s="1"/>
  <c r="G65" i="3" l="1"/>
  <c r="G63" i="3" s="1"/>
  <c r="H105" i="3" s="1"/>
  <c r="F77" i="3"/>
  <c r="F78" i="3" s="1"/>
  <c r="I10" i="3"/>
  <c r="I23" i="3" s="1"/>
  <c r="I31" i="3" s="1"/>
  <c r="J48" i="3"/>
  <c r="J10" i="3" s="1"/>
  <c r="J23" i="3" s="1"/>
  <c r="J31" i="3" s="1"/>
  <c r="I60" i="3"/>
  <c r="I50" i="3"/>
  <c r="I73" i="3"/>
  <c r="H72" i="3"/>
  <c r="H57" i="3"/>
  <c r="H65" i="3" s="1"/>
  <c r="H63" i="3" s="1"/>
  <c r="I49" i="3"/>
  <c r="I75" i="3"/>
  <c r="E77" i="3"/>
  <c r="E78" i="3" s="1"/>
  <c r="E101" i="2"/>
  <c r="E103" i="2" s="1"/>
  <c r="E86" i="2"/>
  <c r="E88" i="2" s="1"/>
  <c r="E80" i="2"/>
  <c r="F77" i="2"/>
  <c r="F78" i="2" s="1"/>
  <c r="H48" i="2"/>
  <c r="G10" i="2"/>
  <c r="G23" i="2" s="1"/>
  <c r="G31" i="2" s="1"/>
  <c r="G62" i="2"/>
  <c r="G69" i="2" s="1"/>
  <c r="G70" i="2" s="1"/>
  <c r="G76" i="2" s="1"/>
  <c r="I57" i="2"/>
  <c r="J73" i="2"/>
  <c r="I68" i="2"/>
  <c r="I72" i="2"/>
  <c r="J50" i="2"/>
  <c r="I65" i="2"/>
  <c r="I63" i="2" s="1"/>
  <c r="J49" i="2"/>
  <c r="J75" i="2"/>
  <c r="I58" i="2"/>
  <c r="I62" i="2" s="1"/>
  <c r="G82" i="2"/>
  <c r="H105" i="2"/>
  <c r="G87" i="2"/>
  <c r="H102" i="2"/>
  <c r="H69" i="2"/>
  <c r="H70" i="2" s="1"/>
  <c r="H76" i="2" s="1"/>
  <c r="I60" i="2"/>
  <c r="H82" i="2"/>
  <c r="I105" i="2"/>
  <c r="H87" i="2"/>
  <c r="I102" i="2"/>
  <c r="H72" i="2"/>
  <c r="G65" i="1"/>
  <c r="H65" i="1"/>
  <c r="I48" i="1"/>
  <c r="H10" i="1"/>
  <c r="H23" i="1" s="1"/>
  <c r="H31" i="1" s="1"/>
  <c r="H58" i="3" l="1"/>
  <c r="H62" i="3" s="1"/>
  <c r="H69" i="3" s="1"/>
  <c r="H70" i="3" s="1"/>
  <c r="H76" i="3" s="1"/>
  <c r="G62" i="3"/>
  <c r="G69" i="3" s="1"/>
  <c r="G70" i="3" s="1"/>
  <c r="G76" i="3" s="1"/>
  <c r="H102" i="3"/>
  <c r="G82" i="3"/>
  <c r="G87" i="3"/>
  <c r="I102" i="3"/>
  <c r="H87" i="3"/>
  <c r="H82" i="3"/>
  <c r="I105" i="3"/>
  <c r="I68" i="3"/>
  <c r="J50" i="3"/>
  <c r="J73" i="3"/>
  <c r="I57" i="3"/>
  <c r="I58" i="3" s="1"/>
  <c r="I72" i="3"/>
  <c r="J60" i="3"/>
  <c r="F101" i="3"/>
  <c r="F103" i="3" s="1"/>
  <c r="F80" i="3"/>
  <c r="F79" i="3" s="1"/>
  <c r="F89" i="3" s="1"/>
  <c r="F86" i="3"/>
  <c r="E80" i="3"/>
  <c r="E79" i="3" s="1"/>
  <c r="E89" i="3" s="1"/>
  <c r="E101" i="3"/>
  <c r="E103" i="3" s="1"/>
  <c r="E86" i="3"/>
  <c r="J75" i="3"/>
  <c r="J49" i="3"/>
  <c r="F101" i="2"/>
  <c r="F103" i="2" s="1"/>
  <c r="F80" i="2"/>
  <c r="F86" i="2"/>
  <c r="F88" i="2" s="1"/>
  <c r="H78" i="2"/>
  <c r="H77" i="2"/>
  <c r="K49" i="2"/>
  <c r="K75" i="2"/>
  <c r="J57" i="2"/>
  <c r="J65" i="2" s="1"/>
  <c r="J63" i="2" s="1"/>
  <c r="K73" i="2"/>
  <c r="J68" i="2"/>
  <c r="J72" i="2"/>
  <c r="K50" i="2"/>
  <c r="I70" i="2"/>
  <c r="I76" i="2" s="1"/>
  <c r="E90" i="2"/>
  <c r="E83" i="2"/>
  <c r="J105" i="2"/>
  <c r="I82" i="2"/>
  <c r="I87" i="2"/>
  <c r="J102" i="2"/>
  <c r="E95" i="2"/>
  <c r="G77" i="2"/>
  <c r="G78" i="2"/>
  <c r="I48" i="2"/>
  <c r="H10" i="2"/>
  <c r="H23" i="2" s="1"/>
  <c r="H31" i="2" s="1"/>
  <c r="I69" i="2"/>
  <c r="J60" i="2"/>
  <c r="E79" i="2"/>
  <c r="E89" i="2" s="1"/>
  <c r="H58" i="1"/>
  <c r="H62" i="1" s="1"/>
  <c r="I65" i="1"/>
  <c r="J48" i="1"/>
  <c r="J10" i="1" s="1"/>
  <c r="J23" i="1" s="1"/>
  <c r="J31" i="1" s="1"/>
  <c r="I10" i="1"/>
  <c r="I23" i="1" s="1"/>
  <c r="I31" i="1" s="1"/>
  <c r="G77" i="3" l="1"/>
  <c r="G78" i="3" s="1"/>
  <c r="G80" i="3" s="1"/>
  <c r="K60" i="3"/>
  <c r="F90" i="3"/>
  <c r="F83" i="3"/>
  <c r="I65" i="3"/>
  <c r="I63" i="3" s="1"/>
  <c r="E88" i="3"/>
  <c r="E108" i="3"/>
  <c r="J68" i="3"/>
  <c r="K50" i="3"/>
  <c r="J57" i="3"/>
  <c r="J72" i="3"/>
  <c r="K73" i="3"/>
  <c r="J58" i="3"/>
  <c r="J65" i="3"/>
  <c r="J63" i="3" s="1"/>
  <c r="K75" i="3"/>
  <c r="K49" i="3"/>
  <c r="E90" i="3"/>
  <c r="E83" i="3"/>
  <c r="F88" i="3"/>
  <c r="F108" i="3"/>
  <c r="H77" i="3"/>
  <c r="H78" i="3" s="1"/>
  <c r="E91" i="2"/>
  <c r="K105" i="2"/>
  <c r="J82" i="2"/>
  <c r="J87" i="2"/>
  <c r="K102" i="2"/>
  <c r="J58" i="2"/>
  <c r="J62" i="2" s="1"/>
  <c r="K65" i="2"/>
  <c r="K63" i="2" s="1"/>
  <c r="K58" i="2"/>
  <c r="H80" i="2"/>
  <c r="H101" i="2"/>
  <c r="H103" i="2" s="1"/>
  <c r="H86" i="2"/>
  <c r="H88" i="2" s="1"/>
  <c r="H79" i="2"/>
  <c r="H89" i="2" s="1"/>
  <c r="I77" i="2"/>
  <c r="I78" i="2" s="1"/>
  <c r="J48" i="2"/>
  <c r="J10" i="2" s="1"/>
  <c r="J23" i="2" s="1"/>
  <c r="J31" i="2" s="1"/>
  <c r="I10" i="2"/>
  <c r="I23" i="2" s="1"/>
  <c r="I31" i="2" s="1"/>
  <c r="G80" i="2"/>
  <c r="G101" i="2"/>
  <c r="G103" i="2" s="1"/>
  <c r="G86" i="2"/>
  <c r="G88" i="2" s="1"/>
  <c r="F90" i="2"/>
  <c r="F83" i="2"/>
  <c r="K57" i="2"/>
  <c r="K68" i="2"/>
  <c r="J69" i="2"/>
  <c r="J70" i="2" s="1"/>
  <c r="J76" i="2" s="1"/>
  <c r="K60" i="2"/>
  <c r="F95" i="2"/>
  <c r="F79" i="2"/>
  <c r="F89" i="2" s="1"/>
  <c r="F91" i="2" s="1"/>
  <c r="I58" i="1"/>
  <c r="I62" i="1" s="1"/>
  <c r="J65" i="1"/>
  <c r="G86" i="3" l="1"/>
  <c r="G88" i="3" s="1"/>
  <c r="G101" i="3"/>
  <c r="G103" i="3" s="1"/>
  <c r="J62" i="3"/>
  <c r="J69" i="3" s="1"/>
  <c r="J70" i="3" s="1"/>
  <c r="J76" i="3" s="1"/>
  <c r="K68" i="3"/>
  <c r="K72" i="3"/>
  <c r="K57" i="3"/>
  <c r="K65" i="3" s="1"/>
  <c r="K63" i="3" s="1"/>
  <c r="J87" i="3"/>
  <c r="J82" i="3"/>
  <c r="K105" i="3"/>
  <c r="K102" i="3"/>
  <c r="H101" i="3"/>
  <c r="H103" i="3" s="1"/>
  <c r="H86" i="3"/>
  <c r="H80" i="3"/>
  <c r="E91" i="3"/>
  <c r="E95" i="3"/>
  <c r="I87" i="3"/>
  <c r="I82" i="3"/>
  <c r="J102" i="3"/>
  <c r="J105" i="3"/>
  <c r="F91" i="3"/>
  <c r="F95" i="3"/>
  <c r="G90" i="3"/>
  <c r="G83" i="3"/>
  <c r="G79" i="3"/>
  <c r="G89" i="3" s="1"/>
  <c r="I62" i="3"/>
  <c r="I69" i="3" s="1"/>
  <c r="I70" i="3" s="1"/>
  <c r="I76" i="3" s="1"/>
  <c r="I101" i="2"/>
  <c r="I103" i="2" s="1"/>
  <c r="I86" i="2"/>
  <c r="I88" i="2" s="1"/>
  <c r="I80" i="2"/>
  <c r="I79" i="2" s="1"/>
  <c r="I89" i="2" s="1"/>
  <c r="J77" i="2"/>
  <c r="J78" i="2" s="1"/>
  <c r="G90" i="2"/>
  <c r="G83" i="2"/>
  <c r="H95" i="2"/>
  <c r="G95" i="2"/>
  <c r="G91" i="2"/>
  <c r="K72" i="2"/>
  <c r="H90" i="2"/>
  <c r="H91" i="2" s="1"/>
  <c r="H83" i="2"/>
  <c r="K62" i="2"/>
  <c r="K69" i="2" s="1"/>
  <c r="K70" i="2" s="1"/>
  <c r="K76" i="2" s="1"/>
  <c r="K82" i="2"/>
  <c r="K87" i="2"/>
  <c r="G79" i="2"/>
  <c r="G89" i="2" s="1"/>
  <c r="J58" i="1"/>
  <c r="J62" i="1" s="1"/>
  <c r="K65" i="1"/>
  <c r="G108" i="3" l="1"/>
  <c r="K58" i="3"/>
  <c r="K62" i="3" s="1"/>
  <c r="K69" i="3" s="1"/>
  <c r="K70" i="3" s="1"/>
  <c r="K76" i="3" s="1"/>
  <c r="J77" i="3"/>
  <c r="J78" i="3" s="1"/>
  <c r="H90" i="3"/>
  <c r="H83" i="3"/>
  <c r="I77" i="3"/>
  <c r="I78" i="3" s="1"/>
  <c r="H88" i="3"/>
  <c r="H108" i="3"/>
  <c r="H79" i="3"/>
  <c r="H89" i="3" s="1"/>
  <c r="G91" i="3"/>
  <c r="G95" i="3"/>
  <c r="K87" i="3"/>
  <c r="K82" i="3"/>
  <c r="K77" i="2"/>
  <c r="K78" i="2"/>
  <c r="J86" i="2"/>
  <c r="J88" i="2" s="1"/>
  <c r="J101" i="2"/>
  <c r="J103" i="2" s="1"/>
  <c r="J80" i="2"/>
  <c r="I95" i="2"/>
  <c r="I90" i="2"/>
  <c r="I91" i="2" s="1"/>
  <c r="I83" i="2"/>
  <c r="K58" i="1"/>
  <c r="K62" i="1" s="1"/>
  <c r="K77" i="3" l="1"/>
  <c r="K78" i="3" s="1"/>
  <c r="J101" i="3"/>
  <c r="J103" i="3" s="1"/>
  <c r="J80" i="3"/>
  <c r="J79" i="3" s="1"/>
  <c r="J89" i="3" s="1"/>
  <c r="J86" i="3"/>
  <c r="H95" i="3"/>
  <c r="H91" i="3"/>
  <c r="I101" i="3"/>
  <c r="I103" i="3" s="1"/>
  <c r="I80" i="3"/>
  <c r="I86" i="3"/>
  <c r="J90" i="2"/>
  <c r="J83" i="2"/>
  <c r="J79" i="2"/>
  <c r="J89" i="2" s="1"/>
  <c r="J91" i="2"/>
  <c r="J95" i="2"/>
  <c r="K86" i="2"/>
  <c r="K88" i="2" s="1"/>
  <c r="K80" i="2"/>
  <c r="K101" i="2"/>
  <c r="K103" i="2" s="1"/>
  <c r="K79" i="2"/>
  <c r="K89" i="2" s="1"/>
  <c r="K101" i="3" l="1"/>
  <c r="K103" i="3" s="1"/>
  <c r="K80" i="3"/>
  <c r="K86" i="3"/>
  <c r="I90" i="3"/>
  <c r="I83" i="3"/>
  <c r="I108" i="3"/>
  <c r="I88" i="3"/>
  <c r="J108" i="3"/>
  <c r="J88" i="3"/>
  <c r="I79" i="3"/>
  <c r="I89" i="3" s="1"/>
  <c r="J90" i="3"/>
  <c r="J83" i="3"/>
  <c r="K90" i="2"/>
  <c r="K83" i="2"/>
  <c r="K95" i="2"/>
  <c r="K97" i="2" s="1"/>
  <c r="K104" i="2" s="1"/>
  <c r="K91" i="2"/>
  <c r="J97" i="2"/>
  <c r="I97" i="2" s="1"/>
  <c r="H97" i="2" s="1"/>
  <c r="G97" i="2" s="1"/>
  <c r="F97" i="2" s="1"/>
  <c r="E97" i="2" s="1"/>
  <c r="J95" i="3" l="1"/>
  <c r="J91" i="3"/>
  <c r="I95" i="3"/>
  <c r="I91" i="3"/>
  <c r="K108" i="3"/>
  <c r="K88" i="3"/>
  <c r="K90" i="3"/>
  <c r="K83" i="3"/>
  <c r="K79" i="3"/>
  <c r="K89" i="3" s="1"/>
  <c r="K106" i="2"/>
  <c r="J104" i="2"/>
  <c r="K95" i="3" l="1"/>
  <c r="K97" i="3" s="1"/>
  <c r="K104" i="3" s="1"/>
  <c r="K91" i="3"/>
  <c r="J106" i="2"/>
  <c r="I104" i="2"/>
  <c r="J97" i="3" l="1"/>
  <c r="I97" i="3" s="1"/>
  <c r="H97" i="3" s="1"/>
  <c r="G97" i="3" s="1"/>
  <c r="F97" i="3" s="1"/>
  <c r="E97" i="3" s="1"/>
  <c r="K106" i="3"/>
  <c r="J104" i="3"/>
  <c r="I106" i="2"/>
  <c r="H104" i="2"/>
  <c r="L106" i="3" l="1"/>
  <c r="K114" i="3" s="1"/>
  <c r="K115" i="3" s="1"/>
  <c r="J106" i="3"/>
  <c r="I104" i="3"/>
  <c r="H106" i="2"/>
  <c r="G104" i="2"/>
  <c r="J114" i="3" l="1"/>
  <c r="J115" i="3" s="1"/>
  <c r="I106" i="3"/>
  <c r="I114" i="3" s="1"/>
  <c r="I115" i="3" s="1"/>
  <c r="H104" i="3"/>
  <c r="G106" i="2"/>
  <c r="F104" i="2"/>
  <c r="H106" i="3" l="1"/>
  <c r="G104" i="3"/>
  <c r="F106" i="2"/>
  <c r="E104" i="2"/>
  <c r="E106" i="2" s="1"/>
  <c r="H114" i="3" l="1"/>
  <c r="H115" i="3" s="1"/>
  <c r="G106" i="3"/>
  <c r="F104" i="3"/>
  <c r="G114" i="3" l="1"/>
  <c r="G115" i="3" s="1"/>
  <c r="F106" i="3"/>
  <c r="E104" i="3"/>
  <c r="E106" i="3" s="1"/>
  <c r="E119" i="3" s="1"/>
  <c r="E118" i="3" s="1"/>
  <c r="E114" i="3" l="1"/>
  <c r="E115" i="3" s="1"/>
  <c r="F114" i="3"/>
  <c r="F115" i="3" s="1"/>
  <c r="E112" i="3"/>
  <c r="E111" i="3"/>
  <c r="E110" i="3"/>
</calcChain>
</file>

<file path=xl/sharedStrings.xml><?xml version="1.0" encoding="utf-8"?>
<sst xmlns="http://schemas.openxmlformats.org/spreadsheetml/2006/main" count="283" uniqueCount="72">
  <si>
    <t>Assets</t>
  </si>
  <si>
    <t>Credit card loans</t>
  </si>
  <si>
    <t>Consumer loans</t>
  </si>
  <si>
    <t>Mortgages</t>
  </si>
  <si>
    <t>Car loans</t>
  </si>
  <si>
    <t>SME loans</t>
  </si>
  <si>
    <t>Corporate loans</t>
  </si>
  <si>
    <t>Growth</t>
  </si>
  <si>
    <t>TV</t>
  </si>
  <si>
    <t>Writedowns</t>
  </si>
  <si>
    <t>Interests</t>
  </si>
  <si>
    <t>Loans</t>
  </si>
  <si>
    <t>Deposits</t>
  </si>
  <si>
    <t>Total</t>
  </si>
  <si>
    <t>Cash</t>
  </si>
  <si>
    <t>Short term deposit</t>
  </si>
  <si>
    <t>Long term deposit</t>
  </si>
  <si>
    <t>Equity</t>
  </si>
  <si>
    <t>Bank market financing</t>
  </si>
  <si>
    <t>Interest income</t>
  </si>
  <si>
    <t>Interest expense</t>
  </si>
  <si>
    <t>Net interest Income</t>
  </si>
  <si>
    <t>Operational expenses</t>
  </si>
  <si>
    <t>Aquisition expenses</t>
  </si>
  <si>
    <t>D&amp;A</t>
  </si>
  <si>
    <t>PP&amp;E</t>
  </si>
  <si>
    <t>Operating Income</t>
  </si>
  <si>
    <t>Income taxes</t>
  </si>
  <si>
    <t>Profit after tax</t>
  </si>
  <si>
    <t>Market investments</t>
  </si>
  <si>
    <t>Risk weights</t>
  </si>
  <si>
    <t xml:space="preserve"> Risk weighted assets RWA</t>
  </si>
  <si>
    <t>Cash/Loans</t>
  </si>
  <si>
    <t>Inter-bank finanicing</t>
  </si>
  <si>
    <t>Operational expeneses</t>
  </si>
  <si>
    <t>D&amp;A1/PP&amp;E0</t>
  </si>
  <si>
    <t>Tax rate</t>
  </si>
  <si>
    <t>Retained earnings</t>
  </si>
  <si>
    <t>Dividend</t>
  </si>
  <si>
    <t>rF</t>
  </si>
  <si>
    <t>market risk premium</t>
  </si>
  <si>
    <t>betaE</t>
  </si>
  <si>
    <t>Aquisition costs on new amounts</t>
  </si>
  <si>
    <t>Non-interest income</t>
  </si>
  <si>
    <t>Capital adequacy ratio (CAR) Equity/RWA</t>
  </si>
  <si>
    <t>d BV Equity</t>
  </si>
  <si>
    <t>Shareissue/buyback</t>
  </si>
  <si>
    <t>d BVE</t>
  </si>
  <si>
    <t>Noplat</t>
  </si>
  <si>
    <t>-d IC</t>
  </si>
  <si>
    <t>FCFF</t>
  </si>
  <si>
    <t>FCFE</t>
  </si>
  <si>
    <t>dNon-op assets</t>
  </si>
  <si>
    <t>dBV E w/o Ret earnings</t>
  </si>
  <si>
    <t>rE</t>
  </si>
  <si>
    <t>E boy</t>
  </si>
  <si>
    <t>DIV</t>
  </si>
  <si>
    <t>RI// rE</t>
  </si>
  <si>
    <t>BV E * rE</t>
  </si>
  <si>
    <t>RI</t>
  </si>
  <si>
    <t>PV RI</t>
  </si>
  <si>
    <t>E boy - BV E boy</t>
  </si>
  <si>
    <t>BV E boy</t>
  </si>
  <si>
    <t>ROE</t>
  </si>
  <si>
    <t>P/E</t>
  </si>
  <si>
    <t>P/S or P/R</t>
  </si>
  <si>
    <t>P/B or P/BV</t>
  </si>
  <si>
    <t>SVA</t>
  </si>
  <si>
    <t>TSR</t>
  </si>
  <si>
    <t>Base Case E boy</t>
  </si>
  <si>
    <t>%change</t>
  </si>
  <si>
    <t>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</si>
</sst>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charset val="238"/>
      <scheme val="minor"/>
    </font>
    <font>
      <sz val="12"/>
      <color theme="1"/>
      <name val="Calibri"/>
      <family val="2"/>
      <charset val="238"/>
      <scheme val="minor"/>
    </font>
    <font>
      <b/>
      <sz val="12"/>
      <color theme="1"/>
      <name val="Calibri"/>
      <family val="2"/>
      <charset val="238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2" fillId="0" borderId="0" xfId="0" applyFont="1"/>
    <xf numFmtId="0" fontId="2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10" fontId="0" fillId="0" borderId="0" xfId="0" applyNumberFormat="1"/>
    <xf numFmtId="4" fontId="0" fillId="0" borderId="0" xfId="0" applyNumberFormat="1"/>
    <xf numFmtId="4" fontId="0" fillId="2" borderId="0" xfId="0" applyNumberFormat="1" applyFill="1"/>
    <xf numFmtId="9" fontId="0" fillId="2" borderId="0" xfId="0" applyNumberFormat="1" applyFill="1"/>
    <xf numFmtId="4" fontId="0" fillId="0" borderId="0" xfId="0" applyNumberFormat="1" applyAlignment="1">
      <alignment horizontal="right"/>
    </xf>
    <xf numFmtId="4" fontId="2" fillId="0" borderId="0" xfId="0" applyNumberFormat="1" applyFont="1"/>
    <xf numFmtId="10" fontId="0" fillId="2" borderId="0" xfId="1" applyNumberFormat="1" applyFont="1" applyFill="1"/>
    <xf numFmtId="10" fontId="0" fillId="2" borderId="0" xfId="0" applyNumberFormat="1" applyFill="1"/>
    <xf numFmtId="4" fontId="0" fillId="3" borderId="0" xfId="0" applyNumberFormat="1" applyFill="1"/>
    <xf numFmtId="0" fontId="0" fillId="0" borderId="0" xfId="0" quotePrefix="1"/>
    <xf numFmtId="10" fontId="0" fillId="0" borderId="0" xfId="1" applyNumberFormat="1" applyFont="1"/>
    <xf numFmtId="4" fontId="0" fillId="4" borderId="0" xfId="0" applyNumberFormat="1" applyFill="1"/>
    <xf numFmtId="0" fontId="2" fillId="4" borderId="0" xfId="0" applyFont="1" applyFill="1"/>
    <xf numFmtId="4" fontId="2" fillId="4" borderId="0" xfId="0" applyNumberFormat="1" applyFont="1" applyFill="1"/>
    <xf numFmtId="4" fontId="0" fillId="5" borderId="0" xfId="0" applyNumberFormat="1" applyFill="1"/>
    <xf numFmtId="10" fontId="0" fillId="6" borderId="0" xfId="1" applyNumberFormat="1" applyFont="1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659945</xdr:colOff>
      <xdr:row>0</xdr:row>
      <xdr:rowOff>57830</xdr:rowOff>
    </xdr:from>
    <xdr:to>
      <xdr:col>19</xdr:col>
      <xdr:colOff>656543</xdr:colOff>
      <xdr:row>9</xdr:row>
      <xdr:rowOff>139898</xdr:rowOff>
    </xdr:to>
    <xdr:sp macro="" textlink="">
      <xdr:nvSpPr>
        <xdr:cNvPr id="2" name="Szövegdoboz 1">
          <a:extLst>
            <a:ext uri="{FF2B5EF4-FFF2-40B4-BE49-F238E27FC236}">
              <a16:creationId xmlns:a16="http://schemas.microsoft.com/office/drawing/2014/main" id="{1EE7CEBD-1031-4400-A267-9FF38426A225}"/>
            </a:ext>
          </a:extLst>
        </xdr:cNvPr>
        <xdr:cNvSpPr txBox="1"/>
      </xdr:nvSpPr>
      <xdr:spPr>
        <a:xfrm>
          <a:off x="9741438" y="57830"/>
          <a:ext cx="5473473" cy="187693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hu-HU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Seven Smurfs</a:t>
          </a:r>
          <a:r>
            <a:rPr lang="hu-HU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Savings </a:t>
          </a:r>
          <a:r>
            <a:rPr lang="hu-HU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Bank Co.</a:t>
          </a:r>
          <a:endParaRPr lang="hu-HU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hu-HU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just"/>
          <a:r>
            <a:rPr lang="hu-H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It is </a:t>
          </a:r>
          <a:r>
            <a:rPr lang="hu-H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December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202</a:t>
          </a:r>
          <a:r>
            <a:rPr lang="hu-H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</a:t>
          </a:r>
          <a:r>
            <a:rPr lang="hu-H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Your job is</a:t>
          </a:r>
          <a:r>
            <a:rPr lang="hu-HU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to write an equity research report on the shares of the bank. </a:t>
          </a:r>
        </a:p>
        <a:p>
          <a:pPr algn="just"/>
          <a:endParaRPr lang="hu-HU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just"/>
          <a:r>
            <a:rPr lang="hu-H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1. Prepare the</a:t>
          </a:r>
          <a:r>
            <a:rPr lang="hu-HU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financial plan for the bank. </a:t>
          </a:r>
          <a:endParaRPr lang="hu-HU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hu-H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Prepare a DCF valuation on</a:t>
          </a:r>
          <a:r>
            <a:rPr lang="hu-HU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the bank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</a:t>
          </a:r>
          <a:endParaRPr lang="hu-HU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hu-H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r>
            <a:rPr lang="hu-HU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Calculate the ROE ratio of reach year.</a:t>
          </a:r>
          <a:endParaRPr lang="hu-HU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hu-H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What </a:t>
          </a:r>
          <a:r>
            <a:rPr lang="hu-H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are</a:t>
          </a:r>
          <a:r>
            <a:rPr lang="hu-HU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the current P/BV, P/S, and P/E ratios of the bank?</a:t>
          </a:r>
          <a:endParaRPr lang="hu-HU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hu-H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r>
            <a:rPr lang="hu-HU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What are the best ways to improve the SHV added of the bank?</a:t>
          </a:r>
          <a:endParaRPr lang="hu-HU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hu-HU" sz="1100"/>
        </a:p>
      </xdr:txBody>
    </xdr:sp>
    <xdr:clientData/>
  </xdr:twoCellAnchor>
  <xdr:twoCellAnchor editAs="oneCell">
    <xdr:from>
      <xdr:col>11</xdr:col>
      <xdr:colOff>676848</xdr:colOff>
      <xdr:row>10</xdr:row>
      <xdr:rowOff>20409</xdr:rowOff>
    </xdr:from>
    <xdr:to>
      <xdr:col>15</xdr:col>
      <xdr:colOff>295955</xdr:colOff>
      <xdr:row>19</xdr:row>
      <xdr:rowOff>12862</xdr:rowOff>
    </xdr:to>
    <xdr:pic>
      <xdr:nvPicPr>
        <xdr:cNvPr id="3" name="Kép 2" descr="The Smurfs should do premium banking in Sri Lanka - Adaderana Biz English |  Sri Lanka Business News">
          <a:extLst>
            <a:ext uri="{FF2B5EF4-FFF2-40B4-BE49-F238E27FC236}">
              <a16:creationId xmlns:a16="http://schemas.microsoft.com/office/drawing/2014/main" id="{06E8BD64-68F2-5079-130A-128E7F49AD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125" y="2027463"/>
          <a:ext cx="2408571" cy="1798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659945</xdr:colOff>
      <xdr:row>0</xdr:row>
      <xdr:rowOff>57830</xdr:rowOff>
    </xdr:from>
    <xdr:to>
      <xdr:col>19</xdr:col>
      <xdr:colOff>656543</xdr:colOff>
      <xdr:row>9</xdr:row>
      <xdr:rowOff>139898</xdr:rowOff>
    </xdr:to>
    <xdr:sp macro="" textlink="">
      <xdr:nvSpPr>
        <xdr:cNvPr id="2" name="Szövegdoboz 1">
          <a:extLst>
            <a:ext uri="{FF2B5EF4-FFF2-40B4-BE49-F238E27FC236}">
              <a16:creationId xmlns:a16="http://schemas.microsoft.com/office/drawing/2014/main" id="{F235050A-17C8-4299-80BB-1A027BA91096}"/>
            </a:ext>
          </a:extLst>
        </xdr:cNvPr>
        <xdr:cNvSpPr txBox="1"/>
      </xdr:nvSpPr>
      <xdr:spPr>
        <a:xfrm>
          <a:off x="10261145" y="57830"/>
          <a:ext cx="5482998" cy="188229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hu-HU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Seven Smurfs</a:t>
          </a:r>
          <a:r>
            <a:rPr lang="hu-HU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Savings </a:t>
          </a:r>
          <a:r>
            <a:rPr lang="hu-HU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Bank Co.</a:t>
          </a:r>
          <a:endParaRPr lang="hu-HU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hu-HU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just"/>
          <a:r>
            <a:rPr lang="hu-H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It is </a:t>
          </a:r>
          <a:r>
            <a:rPr lang="hu-H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December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202</a:t>
          </a:r>
          <a:r>
            <a:rPr lang="hu-H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</a:t>
          </a:r>
          <a:r>
            <a:rPr lang="hu-H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Your job is</a:t>
          </a:r>
          <a:r>
            <a:rPr lang="hu-HU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to write an equity research report on the shares of the bank. </a:t>
          </a:r>
        </a:p>
        <a:p>
          <a:pPr algn="just"/>
          <a:endParaRPr lang="hu-HU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just"/>
          <a:r>
            <a:rPr lang="hu-H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1. Prepare the</a:t>
          </a:r>
          <a:r>
            <a:rPr lang="hu-HU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financial plan for the bank. </a:t>
          </a:r>
          <a:endParaRPr lang="hu-HU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hu-H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Prepare a DCF valuation on</a:t>
          </a:r>
          <a:r>
            <a:rPr lang="hu-HU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the bank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</a:t>
          </a:r>
          <a:endParaRPr lang="hu-HU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hu-H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r>
            <a:rPr lang="hu-HU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Calculate the ROE ratio of reach year.</a:t>
          </a:r>
          <a:endParaRPr lang="hu-HU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hu-H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What </a:t>
          </a:r>
          <a:r>
            <a:rPr lang="hu-H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are</a:t>
          </a:r>
          <a:r>
            <a:rPr lang="hu-HU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the current P/BV, P/S, and P/E ratios of the bank?</a:t>
          </a:r>
          <a:endParaRPr lang="hu-HU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hu-H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r>
            <a:rPr lang="hu-HU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What are the best ways to improve the SHV added of the bank?</a:t>
          </a:r>
          <a:endParaRPr lang="hu-HU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hu-HU" sz="1100"/>
        </a:p>
      </xdr:txBody>
    </xdr:sp>
    <xdr:clientData/>
  </xdr:twoCellAnchor>
  <xdr:twoCellAnchor editAs="oneCell">
    <xdr:from>
      <xdr:col>11</xdr:col>
      <xdr:colOff>676848</xdr:colOff>
      <xdr:row>10</xdr:row>
      <xdr:rowOff>20409</xdr:rowOff>
    </xdr:from>
    <xdr:to>
      <xdr:col>15</xdr:col>
      <xdr:colOff>295955</xdr:colOff>
      <xdr:row>19</xdr:row>
      <xdr:rowOff>12862</xdr:rowOff>
    </xdr:to>
    <xdr:pic>
      <xdr:nvPicPr>
        <xdr:cNvPr id="3" name="Kép 2" descr="The Smurfs should do premium banking in Sri Lanka - Adaderana Biz English |  Sri Lanka Business News">
          <a:extLst>
            <a:ext uri="{FF2B5EF4-FFF2-40B4-BE49-F238E27FC236}">
              <a16:creationId xmlns:a16="http://schemas.microsoft.com/office/drawing/2014/main" id="{94E9AC59-80B2-4668-99B7-0C2D42D24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78048" y="2020659"/>
          <a:ext cx="2362307" cy="17926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659945</xdr:colOff>
      <xdr:row>0</xdr:row>
      <xdr:rowOff>57830</xdr:rowOff>
    </xdr:from>
    <xdr:to>
      <xdr:col>19</xdr:col>
      <xdr:colOff>656543</xdr:colOff>
      <xdr:row>9</xdr:row>
      <xdr:rowOff>139898</xdr:rowOff>
    </xdr:to>
    <xdr:sp macro="" textlink="">
      <xdr:nvSpPr>
        <xdr:cNvPr id="2" name="Szövegdoboz 1">
          <a:extLst>
            <a:ext uri="{FF2B5EF4-FFF2-40B4-BE49-F238E27FC236}">
              <a16:creationId xmlns:a16="http://schemas.microsoft.com/office/drawing/2014/main" id="{D147B684-7D9F-4CCC-A66C-8CD7BC717490}"/>
            </a:ext>
          </a:extLst>
        </xdr:cNvPr>
        <xdr:cNvSpPr txBox="1"/>
      </xdr:nvSpPr>
      <xdr:spPr>
        <a:xfrm>
          <a:off x="10261145" y="57830"/>
          <a:ext cx="5482998" cy="188229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hu-HU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Seven Smurfs</a:t>
          </a:r>
          <a:r>
            <a:rPr lang="hu-HU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Savings </a:t>
          </a:r>
          <a:r>
            <a:rPr lang="hu-HU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Bank Co.</a:t>
          </a:r>
          <a:endParaRPr lang="hu-HU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hu-HU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just"/>
          <a:r>
            <a:rPr lang="hu-H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It is </a:t>
          </a:r>
          <a:r>
            <a:rPr lang="hu-H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December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202</a:t>
          </a:r>
          <a:r>
            <a:rPr lang="hu-H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</a:t>
          </a:r>
          <a:r>
            <a:rPr lang="hu-H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Your job is</a:t>
          </a:r>
          <a:r>
            <a:rPr lang="hu-HU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to write an equity research report on the shares of the bank. </a:t>
          </a:r>
        </a:p>
        <a:p>
          <a:pPr algn="just"/>
          <a:endParaRPr lang="hu-HU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just"/>
          <a:r>
            <a:rPr lang="hu-H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1. Prepare the</a:t>
          </a:r>
          <a:r>
            <a:rPr lang="hu-HU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financial plan for the bank. </a:t>
          </a:r>
          <a:endParaRPr lang="hu-HU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hu-H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Prepare a DCF valuation on</a:t>
          </a:r>
          <a:r>
            <a:rPr lang="hu-HU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the bank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</a:t>
          </a:r>
          <a:endParaRPr lang="hu-HU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hu-H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r>
            <a:rPr lang="hu-HU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Calculate the ROE ratio of reach year.</a:t>
          </a:r>
          <a:endParaRPr lang="hu-HU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hu-H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What </a:t>
          </a:r>
          <a:r>
            <a:rPr lang="hu-H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are</a:t>
          </a:r>
          <a:r>
            <a:rPr lang="hu-HU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the current P/BV, P/S, and P/E ratios of the bank?</a:t>
          </a:r>
          <a:endParaRPr lang="hu-HU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hu-H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r>
            <a:rPr lang="hu-HU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What are the best ways to improve the SHV added of the bank?</a:t>
          </a:r>
          <a:endParaRPr lang="hu-HU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hu-HU" sz="1100"/>
        </a:p>
      </xdr:txBody>
    </xdr:sp>
    <xdr:clientData/>
  </xdr:twoCellAnchor>
  <xdr:twoCellAnchor editAs="oneCell">
    <xdr:from>
      <xdr:col>11</xdr:col>
      <xdr:colOff>676848</xdr:colOff>
      <xdr:row>10</xdr:row>
      <xdr:rowOff>20409</xdr:rowOff>
    </xdr:from>
    <xdr:to>
      <xdr:col>15</xdr:col>
      <xdr:colOff>295955</xdr:colOff>
      <xdr:row>19</xdr:row>
      <xdr:rowOff>12862</xdr:rowOff>
    </xdr:to>
    <xdr:pic>
      <xdr:nvPicPr>
        <xdr:cNvPr id="3" name="Kép 2" descr="The Smurfs should do premium banking in Sri Lanka - Adaderana Biz English |  Sri Lanka Business News">
          <a:extLst>
            <a:ext uri="{FF2B5EF4-FFF2-40B4-BE49-F238E27FC236}">
              <a16:creationId xmlns:a16="http://schemas.microsoft.com/office/drawing/2014/main" id="{4E38CDAC-7E41-4138-B6A1-248D9B5FF2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78048" y="2020659"/>
          <a:ext cx="2362307" cy="17926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0B0B0-19B2-419E-961E-D6325AC59D8D}">
  <dimension ref="A1:L112"/>
  <sheetViews>
    <sheetView topLeftCell="A91" zoomScale="140" zoomScaleNormal="140" workbookViewId="0">
      <selection activeCell="B112" sqref="B112"/>
    </sheetView>
  </sheetViews>
  <sheetFormatPr defaultRowHeight="15.75" x14ac:dyDescent="0.25"/>
  <cols>
    <col min="2" max="2" width="10.75" bestFit="1" customWidth="1"/>
    <col min="3" max="3" width="35.25" bestFit="1" customWidth="1"/>
    <col min="4" max="11" width="8.875" bestFit="1" customWidth="1"/>
  </cols>
  <sheetData>
    <row r="1" spans="3:11" x14ac:dyDescent="0.25">
      <c r="C1" t="s">
        <v>32</v>
      </c>
      <c r="E1" s="10">
        <v>0.02</v>
      </c>
      <c r="F1" s="10">
        <v>0.02</v>
      </c>
      <c r="G1" s="10">
        <v>0.02</v>
      </c>
      <c r="H1" s="10">
        <v>0.02</v>
      </c>
      <c r="I1" s="10">
        <v>0.02</v>
      </c>
      <c r="J1" s="10">
        <v>0.02</v>
      </c>
      <c r="K1" s="10">
        <v>0.02</v>
      </c>
    </row>
    <row r="2" spans="3:11" x14ac:dyDescent="0.25">
      <c r="C2" t="s">
        <v>35</v>
      </c>
      <c r="E2" s="10">
        <v>0.15</v>
      </c>
      <c r="F2" s="10">
        <v>0.15</v>
      </c>
      <c r="G2" s="10">
        <v>0.15</v>
      </c>
      <c r="H2" s="10">
        <v>0.15</v>
      </c>
      <c r="I2" s="10">
        <v>0.15</v>
      </c>
      <c r="J2" s="10">
        <v>0.15</v>
      </c>
      <c r="K2" s="10">
        <v>0.15</v>
      </c>
    </row>
    <row r="3" spans="3:11" x14ac:dyDescent="0.25">
      <c r="C3" t="s">
        <v>36</v>
      </c>
      <c r="D3" s="10">
        <v>0.3</v>
      </c>
      <c r="E3" s="10">
        <v>0.3</v>
      </c>
      <c r="F3" s="10">
        <v>0.3</v>
      </c>
      <c r="G3" s="10">
        <v>0.3</v>
      </c>
      <c r="H3" s="10">
        <v>0.3</v>
      </c>
      <c r="I3" s="10">
        <v>0.3</v>
      </c>
      <c r="J3" s="10">
        <v>0.3</v>
      </c>
      <c r="K3" s="10">
        <v>0.3</v>
      </c>
    </row>
    <row r="4" spans="3:11" x14ac:dyDescent="0.25">
      <c r="C4" t="s">
        <v>44</v>
      </c>
      <c r="D4" s="11">
        <v>0.1</v>
      </c>
      <c r="E4" s="11">
        <v>0.1</v>
      </c>
      <c r="F4" s="11">
        <v>0.1</v>
      </c>
      <c r="G4" s="11">
        <v>0.1</v>
      </c>
      <c r="H4" s="11">
        <v>0.1</v>
      </c>
      <c r="I4" s="11">
        <v>0.1</v>
      </c>
      <c r="J4" s="11">
        <v>0.1</v>
      </c>
      <c r="K4" s="11">
        <v>0.1</v>
      </c>
    </row>
    <row r="5" spans="3:11" x14ac:dyDescent="0.25">
      <c r="C5" t="s">
        <v>39</v>
      </c>
      <c r="D5" s="4"/>
      <c r="E5" s="11">
        <v>0.03</v>
      </c>
      <c r="F5" s="11">
        <v>0.03</v>
      </c>
      <c r="G5" s="11">
        <v>0.03</v>
      </c>
      <c r="H5" s="11">
        <v>0.03</v>
      </c>
      <c r="I5" s="11">
        <v>0.03</v>
      </c>
      <c r="J5" s="11">
        <v>0.03</v>
      </c>
      <c r="K5" s="11">
        <v>0.03</v>
      </c>
    </row>
    <row r="6" spans="3:11" x14ac:dyDescent="0.25">
      <c r="C6" t="s">
        <v>40</v>
      </c>
      <c r="D6" s="4"/>
      <c r="E6" s="11">
        <v>0.06</v>
      </c>
      <c r="F6" s="11">
        <v>0.06</v>
      </c>
      <c r="G6" s="11">
        <v>0.06</v>
      </c>
      <c r="H6" s="11">
        <v>0.06</v>
      </c>
      <c r="I6" s="11">
        <v>0.06</v>
      </c>
      <c r="J6" s="11">
        <v>0.06</v>
      </c>
      <c r="K6" s="11">
        <v>0.06</v>
      </c>
    </row>
    <row r="7" spans="3:11" x14ac:dyDescent="0.25">
      <c r="C7" t="s">
        <v>41</v>
      </c>
      <c r="D7" s="4"/>
      <c r="E7" s="6">
        <v>0.6</v>
      </c>
      <c r="F7" s="6">
        <v>0.6</v>
      </c>
      <c r="G7" s="6">
        <v>0.6</v>
      </c>
      <c r="H7" s="6">
        <v>0.6</v>
      </c>
      <c r="I7" s="6">
        <v>0.6</v>
      </c>
      <c r="J7" s="6">
        <v>0.6</v>
      </c>
      <c r="K7" s="6">
        <v>0.6</v>
      </c>
    </row>
    <row r="8" spans="3:11" x14ac:dyDescent="0.25">
      <c r="D8" s="4"/>
      <c r="E8" s="4"/>
      <c r="F8" s="4"/>
      <c r="G8" s="4"/>
      <c r="H8" s="4"/>
      <c r="I8" s="4"/>
      <c r="J8" s="4"/>
      <c r="K8" s="4"/>
    </row>
    <row r="10" spans="3:11" x14ac:dyDescent="0.25">
      <c r="C10" s="3" t="s">
        <v>7</v>
      </c>
      <c r="D10" s="3">
        <f ca="1">+D48</f>
        <v>2024</v>
      </c>
      <c r="E10" s="3">
        <f t="shared" ref="E10:K10" ca="1" si="0">+E48</f>
        <v>2025</v>
      </c>
      <c r="F10" s="3">
        <f t="shared" ca="1" si="0"/>
        <v>2026</v>
      </c>
      <c r="G10" s="3">
        <f t="shared" ca="1" si="0"/>
        <v>2027</v>
      </c>
      <c r="H10" s="3">
        <f t="shared" ca="1" si="0"/>
        <v>2028</v>
      </c>
      <c r="I10" s="3">
        <f t="shared" ca="1" si="0"/>
        <v>2029</v>
      </c>
      <c r="J10" s="3">
        <f t="shared" ca="1" si="0"/>
        <v>2030</v>
      </c>
      <c r="K10" s="3" t="str">
        <f t="shared" si="0"/>
        <v>TV</v>
      </c>
    </row>
    <row r="11" spans="3:11" x14ac:dyDescent="0.25">
      <c r="C11" t="s">
        <v>25</v>
      </c>
      <c r="E11" s="11">
        <v>1.7999999999999999E-2</v>
      </c>
      <c r="F11" s="11">
        <v>1.7999999999999999E-2</v>
      </c>
      <c r="G11" s="11">
        <v>1.7999999999999999E-2</v>
      </c>
      <c r="H11" s="11">
        <v>1.7999999999999999E-2</v>
      </c>
      <c r="I11" s="11">
        <v>1.7999999999999999E-2</v>
      </c>
      <c r="J11" s="11">
        <v>1.7999999999999999E-2</v>
      </c>
      <c r="K11" s="11">
        <v>3.5000000000000003E-2</v>
      </c>
    </row>
    <row r="12" spans="3:11" x14ac:dyDescent="0.25">
      <c r="C12" t="s">
        <v>1</v>
      </c>
      <c r="E12" s="11">
        <v>0.03</v>
      </c>
      <c r="F12" s="11">
        <v>0.03</v>
      </c>
      <c r="G12" s="11">
        <v>0.03</v>
      </c>
      <c r="H12" s="11">
        <v>0.03</v>
      </c>
      <c r="I12" s="11">
        <v>0.03</v>
      </c>
      <c r="J12" s="11">
        <v>0.03</v>
      </c>
      <c r="K12" s="11">
        <v>3.5000000000000003E-2</v>
      </c>
    </row>
    <row r="13" spans="3:11" x14ac:dyDescent="0.25">
      <c r="C13" t="s">
        <v>2</v>
      </c>
      <c r="E13" s="11">
        <v>0.02</v>
      </c>
      <c r="F13" s="11">
        <v>0.02</v>
      </c>
      <c r="G13" s="11">
        <v>0.02</v>
      </c>
      <c r="H13" s="11">
        <v>0.02</v>
      </c>
      <c r="I13" s="11">
        <v>0.02</v>
      </c>
      <c r="J13" s="11">
        <v>0.02</v>
      </c>
      <c r="K13" s="11">
        <v>3.5000000000000003E-2</v>
      </c>
    </row>
    <row r="14" spans="3:11" x14ac:dyDescent="0.25">
      <c r="C14" t="s">
        <v>4</v>
      </c>
      <c r="E14" s="11">
        <v>2.5000000000000001E-2</v>
      </c>
      <c r="F14" s="11">
        <v>2.5000000000000001E-2</v>
      </c>
      <c r="G14" s="11">
        <v>2.5000000000000001E-2</v>
      </c>
      <c r="H14" s="11">
        <v>2.5000000000000001E-2</v>
      </c>
      <c r="I14" s="11">
        <v>2.5000000000000001E-2</v>
      </c>
      <c r="J14" s="11">
        <v>2.5000000000000001E-2</v>
      </c>
      <c r="K14" s="11">
        <v>3.5000000000000003E-2</v>
      </c>
    </row>
    <row r="15" spans="3:11" x14ac:dyDescent="0.25">
      <c r="C15" t="s">
        <v>3</v>
      </c>
      <c r="E15" s="11">
        <v>3.5000000000000003E-2</v>
      </c>
      <c r="F15" s="11">
        <v>3.5000000000000003E-2</v>
      </c>
      <c r="G15" s="11">
        <v>3.5000000000000003E-2</v>
      </c>
      <c r="H15" s="11">
        <v>3.5000000000000003E-2</v>
      </c>
      <c r="I15" s="11">
        <v>3.5000000000000003E-2</v>
      </c>
      <c r="J15" s="11">
        <v>3.5000000000000003E-2</v>
      </c>
      <c r="K15" s="11">
        <v>3.5000000000000003E-2</v>
      </c>
    </row>
    <row r="16" spans="3:11" x14ac:dyDescent="0.25">
      <c r="C16" t="s">
        <v>5</v>
      </c>
      <c r="E16" s="11">
        <v>0.06</v>
      </c>
      <c r="F16" s="11">
        <v>0.06</v>
      </c>
      <c r="G16" s="11">
        <v>0.06</v>
      </c>
      <c r="H16" s="11">
        <v>0.06</v>
      </c>
      <c r="I16" s="11">
        <v>0.06</v>
      </c>
      <c r="J16" s="11">
        <v>0.06</v>
      </c>
      <c r="K16" s="11">
        <v>3.5000000000000003E-2</v>
      </c>
    </row>
    <row r="17" spans="3:11" x14ac:dyDescent="0.25">
      <c r="C17" t="s">
        <v>6</v>
      </c>
      <c r="E17" s="11">
        <v>0.04</v>
      </c>
      <c r="F17" s="11">
        <v>0.04</v>
      </c>
      <c r="G17" s="11">
        <v>0.04</v>
      </c>
      <c r="H17" s="11">
        <v>0.04</v>
      </c>
      <c r="I17" s="11">
        <v>0.04</v>
      </c>
      <c r="J17" s="11">
        <v>0.04</v>
      </c>
      <c r="K17" s="11">
        <v>3.5000000000000003E-2</v>
      </c>
    </row>
    <row r="18" spans="3:11" x14ac:dyDescent="0.25">
      <c r="C18" t="s">
        <v>15</v>
      </c>
      <c r="E18" s="11">
        <v>3.2000000000000001E-2</v>
      </c>
      <c r="F18" s="11">
        <v>3.2000000000000001E-2</v>
      </c>
      <c r="G18" s="11">
        <v>3.2000000000000001E-2</v>
      </c>
      <c r="H18" s="11">
        <v>3.2000000000000001E-2</v>
      </c>
      <c r="I18" s="11">
        <v>3.2000000000000001E-2</v>
      </c>
      <c r="J18" s="11">
        <v>3.2000000000000001E-2</v>
      </c>
      <c r="K18" s="11">
        <v>3.5000000000000003E-2</v>
      </c>
    </row>
    <row r="19" spans="3:11" x14ac:dyDescent="0.25">
      <c r="C19" t="s">
        <v>16</v>
      </c>
      <c r="E19" s="11">
        <v>3.3000000000000002E-2</v>
      </c>
      <c r="F19" s="11">
        <v>3.3000000000000002E-2</v>
      </c>
      <c r="G19" s="11">
        <v>3.3000000000000002E-2</v>
      </c>
      <c r="H19" s="11">
        <v>3.3000000000000002E-2</v>
      </c>
      <c r="I19" s="11">
        <v>3.3000000000000002E-2</v>
      </c>
      <c r="J19" s="11">
        <v>3.3000000000000002E-2</v>
      </c>
      <c r="K19" s="11">
        <v>3.5000000000000003E-2</v>
      </c>
    </row>
    <row r="20" spans="3:11" x14ac:dyDescent="0.25">
      <c r="C20" t="s">
        <v>34</v>
      </c>
      <c r="E20" s="11">
        <v>3.9E-2</v>
      </c>
      <c r="F20" s="11">
        <v>3.9E-2</v>
      </c>
      <c r="G20" s="11">
        <v>3.9E-2</v>
      </c>
      <c r="H20" s="11">
        <v>3.9E-2</v>
      </c>
      <c r="I20" s="11">
        <v>3.9E-2</v>
      </c>
      <c r="J20" s="11">
        <v>3.9E-2</v>
      </c>
      <c r="K20" s="11">
        <v>3.5000000000000003E-2</v>
      </c>
    </row>
    <row r="21" spans="3:11" x14ac:dyDescent="0.25">
      <c r="C21" t="s">
        <v>43</v>
      </c>
      <c r="E21" s="11">
        <v>3.5000000000000003E-2</v>
      </c>
      <c r="F21" s="11">
        <v>3.5000000000000003E-2</v>
      </c>
      <c r="G21" s="11">
        <v>3.5000000000000003E-2</v>
      </c>
      <c r="H21" s="11">
        <v>3.5000000000000003E-2</v>
      </c>
      <c r="I21" s="11">
        <v>3.5000000000000003E-2</v>
      </c>
      <c r="J21" s="11">
        <v>3.5000000000000003E-2</v>
      </c>
      <c r="K21" s="11">
        <v>3.5000000000000003E-2</v>
      </c>
    </row>
    <row r="23" spans="3:11" x14ac:dyDescent="0.25">
      <c r="C23" s="3" t="s">
        <v>9</v>
      </c>
      <c r="D23" s="3">
        <f ca="1">+D10</f>
        <v>2024</v>
      </c>
      <c r="E23" s="3">
        <f t="shared" ref="E23:K23" ca="1" si="1">+E10</f>
        <v>2025</v>
      </c>
      <c r="F23" s="3">
        <f t="shared" ca="1" si="1"/>
        <v>2026</v>
      </c>
      <c r="G23" s="3">
        <f t="shared" ca="1" si="1"/>
        <v>2027</v>
      </c>
      <c r="H23" s="3">
        <f t="shared" ca="1" si="1"/>
        <v>2028</v>
      </c>
      <c r="I23" s="3">
        <f t="shared" ca="1" si="1"/>
        <v>2029</v>
      </c>
      <c r="J23" s="3">
        <f t="shared" ca="1" si="1"/>
        <v>2030</v>
      </c>
      <c r="K23" s="3" t="str">
        <f t="shared" si="1"/>
        <v>TV</v>
      </c>
    </row>
    <row r="24" spans="3:11" x14ac:dyDescent="0.25">
      <c r="C24" t="s">
        <v>1</v>
      </c>
      <c r="E24" s="11">
        <v>0.04</v>
      </c>
      <c r="F24" s="11">
        <v>0.04</v>
      </c>
      <c r="G24" s="11">
        <v>0.04</v>
      </c>
      <c r="H24" s="11">
        <v>0.04</v>
      </c>
      <c r="I24" s="11">
        <v>0.04</v>
      </c>
      <c r="J24" s="11">
        <v>0.04</v>
      </c>
      <c r="K24" s="11">
        <v>0.04</v>
      </c>
    </row>
    <row r="25" spans="3:11" x14ac:dyDescent="0.25">
      <c r="C25" t="s">
        <v>2</v>
      </c>
      <c r="E25" s="11">
        <v>0.03</v>
      </c>
      <c r="F25" s="11">
        <v>0.03</v>
      </c>
      <c r="G25" s="11">
        <v>0.03</v>
      </c>
      <c r="H25" s="11">
        <v>0.03</v>
      </c>
      <c r="I25" s="11">
        <v>0.03</v>
      </c>
      <c r="J25" s="11">
        <v>0.03</v>
      </c>
      <c r="K25" s="11">
        <v>0.03</v>
      </c>
    </row>
    <row r="26" spans="3:11" x14ac:dyDescent="0.25">
      <c r="C26" t="s">
        <v>4</v>
      </c>
      <c r="E26" s="11">
        <v>2.5000000000000001E-2</v>
      </c>
      <c r="F26" s="11">
        <v>2.5000000000000001E-2</v>
      </c>
      <c r="G26" s="11">
        <v>2.5000000000000001E-2</v>
      </c>
      <c r="H26" s="11">
        <v>2.5000000000000001E-2</v>
      </c>
      <c r="I26" s="11">
        <v>2.5000000000000001E-2</v>
      </c>
      <c r="J26" s="11">
        <v>2.5000000000000001E-2</v>
      </c>
      <c r="K26" s="11">
        <v>2.5000000000000001E-2</v>
      </c>
    </row>
    <row r="27" spans="3:11" x14ac:dyDescent="0.25">
      <c r="C27" t="s">
        <v>3</v>
      </c>
      <c r="E27" s="11">
        <v>1.4999999999999999E-2</v>
      </c>
      <c r="F27" s="11">
        <v>1.4999999999999999E-2</v>
      </c>
      <c r="G27" s="11">
        <v>1.4999999999999999E-2</v>
      </c>
      <c r="H27" s="11">
        <v>1.4999999999999999E-2</v>
      </c>
      <c r="I27" s="11">
        <v>1.4999999999999999E-2</v>
      </c>
      <c r="J27" s="11">
        <v>1.4999999999999999E-2</v>
      </c>
      <c r="K27" s="11">
        <v>1.4999999999999999E-2</v>
      </c>
    </row>
    <row r="28" spans="3:11" x14ac:dyDescent="0.25">
      <c r="C28" t="s">
        <v>5</v>
      </c>
      <c r="E28" s="11">
        <v>2.3E-2</v>
      </c>
      <c r="F28" s="11">
        <v>2.3E-2</v>
      </c>
      <c r="G28" s="11">
        <v>2.3E-2</v>
      </c>
      <c r="H28" s="11">
        <v>2.3E-2</v>
      </c>
      <c r="I28" s="11">
        <v>2.3E-2</v>
      </c>
      <c r="J28" s="11">
        <v>2.3E-2</v>
      </c>
      <c r="K28" s="11">
        <v>2.3E-2</v>
      </c>
    </row>
    <row r="29" spans="3:11" x14ac:dyDescent="0.25">
      <c r="C29" t="s">
        <v>6</v>
      </c>
      <c r="E29" s="11">
        <v>1.6E-2</v>
      </c>
      <c r="F29" s="11">
        <v>1.6E-2</v>
      </c>
      <c r="G29" s="11">
        <v>1.6E-2</v>
      </c>
      <c r="H29" s="11">
        <v>1.6E-2</v>
      </c>
      <c r="I29" s="11">
        <v>1.6E-2</v>
      </c>
      <c r="J29" s="11">
        <v>1.6E-2</v>
      </c>
      <c r="K29" s="11">
        <v>1.6E-2</v>
      </c>
    </row>
    <row r="31" spans="3:11" x14ac:dyDescent="0.25">
      <c r="C31" s="3" t="s">
        <v>10</v>
      </c>
      <c r="D31" s="3">
        <f ca="1">+D23</f>
        <v>2024</v>
      </c>
      <c r="E31" s="3">
        <f t="shared" ref="E31:K31" ca="1" si="2">+E23</f>
        <v>2025</v>
      </c>
      <c r="F31" s="3">
        <f t="shared" ca="1" si="2"/>
        <v>2026</v>
      </c>
      <c r="G31" s="3">
        <f t="shared" ca="1" si="2"/>
        <v>2027</v>
      </c>
      <c r="H31" s="3">
        <f t="shared" ca="1" si="2"/>
        <v>2028</v>
      </c>
      <c r="I31" s="3">
        <f t="shared" ca="1" si="2"/>
        <v>2029</v>
      </c>
      <c r="J31" s="3">
        <f t="shared" ca="1" si="2"/>
        <v>2030</v>
      </c>
      <c r="K31" s="3" t="str">
        <f t="shared" si="2"/>
        <v>TV</v>
      </c>
    </row>
    <row r="32" spans="3:11" x14ac:dyDescent="0.25">
      <c r="C32" t="s">
        <v>1</v>
      </c>
      <c r="E32" s="11">
        <v>0.16</v>
      </c>
      <c r="F32" s="11">
        <v>0.16</v>
      </c>
      <c r="G32" s="11">
        <v>0.16</v>
      </c>
      <c r="H32" s="11">
        <v>0.16</v>
      </c>
      <c r="I32" s="11">
        <v>0.16</v>
      </c>
      <c r="J32" s="11">
        <v>0.16</v>
      </c>
      <c r="K32" s="11">
        <v>0.16</v>
      </c>
    </row>
    <row r="33" spans="2:11" x14ac:dyDescent="0.25">
      <c r="C33" t="s">
        <v>2</v>
      </c>
      <c r="E33" s="11">
        <v>0.11</v>
      </c>
      <c r="F33" s="11">
        <v>0.11</v>
      </c>
      <c r="G33" s="11">
        <v>0.11</v>
      </c>
      <c r="H33" s="11">
        <v>0.11</v>
      </c>
      <c r="I33" s="11">
        <v>0.11</v>
      </c>
      <c r="J33" s="11">
        <v>0.11</v>
      </c>
      <c r="K33" s="11">
        <v>0.11</v>
      </c>
    </row>
    <row r="34" spans="2:11" x14ac:dyDescent="0.25">
      <c r="C34" t="s">
        <v>4</v>
      </c>
      <c r="E34" s="11">
        <v>0.09</v>
      </c>
      <c r="F34" s="11">
        <v>0.09</v>
      </c>
      <c r="G34" s="11">
        <v>0.09</v>
      </c>
      <c r="H34" s="11">
        <v>0.09</v>
      </c>
      <c r="I34" s="11">
        <v>0.09</v>
      </c>
      <c r="J34" s="11">
        <v>0.09</v>
      </c>
      <c r="K34" s="11">
        <v>0.09</v>
      </c>
    </row>
    <row r="35" spans="2:11" x14ac:dyDescent="0.25">
      <c r="C35" t="s">
        <v>3</v>
      </c>
      <c r="E35" s="11">
        <v>0.06</v>
      </c>
      <c r="F35" s="11">
        <v>0.06</v>
      </c>
      <c r="G35" s="11">
        <v>0.06</v>
      </c>
      <c r="H35" s="11">
        <v>0.06</v>
      </c>
      <c r="I35" s="11">
        <v>0.06</v>
      </c>
      <c r="J35" s="11">
        <v>0.06</v>
      </c>
      <c r="K35" s="11">
        <v>0.06</v>
      </c>
    </row>
    <row r="36" spans="2:11" x14ac:dyDescent="0.25">
      <c r="C36" t="s">
        <v>5</v>
      </c>
      <c r="E36" s="11">
        <v>7.4999999999999997E-2</v>
      </c>
      <c r="F36" s="11">
        <v>7.4999999999999997E-2</v>
      </c>
      <c r="G36" s="11">
        <v>7.4999999999999997E-2</v>
      </c>
      <c r="H36" s="11">
        <v>7.4999999999999997E-2</v>
      </c>
      <c r="I36" s="11">
        <v>7.4999999999999997E-2</v>
      </c>
      <c r="J36" s="11">
        <v>7.4999999999999997E-2</v>
      </c>
      <c r="K36" s="11">
        <v>7.4999999999999997E-2</v>
      </c>
    </row>
    <row r="37" spans="2:11" x14ac:dyDescent="0.25">
      <c r="C37" t="s">
        <v>6</v>
      </c>
      <c r="E37" s="11">
        <v>5.5E-2</v>
      </c>
      <c r="F37" s="11">
        <v>5.5E-2</v>
      </c>
      <c r="G37" s="11">
        <v>5.5E-2</v>
      </c>
      <c r="H37" s="11">
        <v>5.5E-2</v>
      </c>
      <c r="I37" s="11">
        <v>5.5E-2</v>
      </c>
      <c r="J37" s="11">
        <v>5.5E-2</v>
      </c>
      <c r="K37" s="11">
        <v>5.5E-2</v>
      </c>
    </row>
    <row r="38" spans="2:11" x14ac:dyDescent="0.25">
      <c r="C38" t="s">
        <v>29</v>
      </c>
      <c r="E38" s="11">
        <v>5.1999999999999998E-2</v>
      </c>
      <c r="F38" s="11">
        <v>5.1999999999999998E-2</v>
      </c>
      <c r="G38" s="11">
        <v>5.1999999999999998E-2</v>
      </c>
      <c r="H38" s="11">
        <v>5.1999999999999998E-2</v>
      </c>
      <c r="I38" s="11">
        <v>5.1999999999999998E-2</v>
      </c>
      <c r="J38" s="11">
        <v>5.1999999999999998E-2</v>
      </c>
      <c r="K38" s="11">
        <v>5.1999999999999998E-2</v>
      </c>
    </row>
    <row r="39" spans="2:11" x14ac:dyDescent="0.25">
      <c r="C39" t="s">
        <v>15</v>
      </c>
      <c r="E39" s="11">
        <v>2.8000000000000001E-2</v>
      </c>
      <c r="F39" s="11">
        <v>2.8000000000000001E-2</v>
      </c>
      <c r="G39" s="11">
        <v>2.8000000000000001E-2</v>
      </c>
      <c r="H39" s="11">
        <v>2.8000000000000001E-2</v>
      </c>
      <c r="I39" s="11">
        <v>2.8000000000000001E-2</v>
      </c>
      <c r="J39" s="11">
        <v>2.8000000000000001E-2</v>
      </c>
      <c r="K39" s="11">
        <v>2.8000000000000001E-2</v>
      </c>
    </row>
    <row r="40" spans="2:11" x14ac:dyDescent="0.25">
      <c r="C40" t="s">
        <v>16</v>
      </c>
      <c r="E40" s="11">
        <v>3.5000000000000003E-2</v>
      </c>
      <c r="F40" s="11">
        <v>3.5000000000000003E-2</v>
      </c>
      <c r="G40" s="11">
        <v>3.5000000000000003E-2</v>
      </c>
      <c r="H40" s="11">
        <v>3.5000000000000003E-2</v>
      </c>
      <c r="I40" s="11">
        <v>3.5000000000000003E-2</v>
      </c>
      <c r="J40" s="11">
        <v>3.5000000000000003E-2</v>
      </c>
      <c r="K40" s="11">
        <v>3.5000000000000003E-2</v>
      </c>
    </row>
    <row r="41" spans="2:11" x14ac:dyDescent="0.25">
      <c r="C41" t="s">
        <v>33</v>
      </c>
      <c r="E41" s="11">
        <v>4.2000000000000003E-2</v>
      </c>
      <c r="F41" s="11">
        <v>4.2000000000000003E-2</v>
      </c>
      <c r="G41" s="11">
        <v>4.2000000000000003E-2</v>
      </c>
      <c r="H41" s="11">
        <v>4.2000000000000003E-2</v>
      </c>
      <c r="I41" s="11">
        <v>4.2000000000000003E-2</v>
      </c>
      <c r="J41" s="11">
        <v>4.2000000000000003E-2</v>
      </c>
      <c r="K41" s="11">
        <v>4.2000000000000003E-2</v>
      </c>
    </row>
    <row r="43" spans="2:11" x14ac:dyDescent="0.25">
      <c r="C43" s="3" t="s">
        <v>42</v>
      </c>
    </row>
    <row r="44" spans="2:11" x14ac:dyDescent="0.25">
      <c r="C44" t="s">
        <v>11</v>
      </c>
      <c r="E44" s="11">
        <v>0.02</v>
      </c>
      <c r="F44" s="11">
        <v>0.02</v>
      </c>
      <c r="G44" s="11">
        <v>0.02</v>
      </c>
      <c r="H44" s="11">
        <v>0.02</v>
      </c>
      <c r="I44" s="11">
        <v>0.02</v>
      </c>
      <c r="J44" s="11">
        <v>0.02</v>
      </c>
      <c r="K44" s="11">
        <v>0.02</v>
      </c>
    </row>
    <row r="45" spans="2:11" x14ac:dyDescent="0.25">
      <c r="C45" t="s">
        <v>12</v>
      </c>
      <c r="E45" s="11">
        <v>3.0000000000000001E-3</v>
      </c>
      <c r="F45" s="11">
        <v>3.0000000000000001E-3</v>
      </c>
      <c r="G45" s="11">
        <v>3.0000000000000001E-3</v>
      </c>
      <c r="H45" s="11">
        <v>3.0000000000000001E-3</v>
      </c>
      <c r="I45" s="11">
        <v>3.0000000000000001E-3</v>
      </c>
      <c r="J45" s="11">
        <v>3.0000000000000001E-3</v>
      </c>
      <c r="K45" s="11">
        <v>3.0000000000000001E-3</v>
      </c>
    </row>
    <row r="48" spans="2:11" x14ac:dyDescent="0.25">
      <c r="B48" t="s">
        <v>30</v>
      </c>
      <c r="C48" t="s">
        <v>0</v>
      </c>
      <c r="D48" s="2">
        <f ca="1">+YEAR(TODAY())</f>
        <v>2024</v>
      </c>
      <c r="E48" s="3">
        <f ca="1">+D48+1</f>
        <v>2025</v>
      </c>
      <c r="F48" s="3">
        <f t="shared" ref="F48:J48" ca="1" si="3">+E48+1</f>
        <v>2026</v>
      </c>
      <c r="G48" s="3">
        <f t="shared" ca="1" si="3"/>
        <v>2027</v>
      </c>
      <c r="H48" s="3">
        <f t="shared" ca="1" si="3"/>
        <v>2028</v>
      </c>
      <c r="I48" s="3">
        <f t="shared" ca="1" si="3"/>
        <v>2029</v>
      </c>
      <c r="J48" s="3">
        <f t="shared" ca="1" si="3"/>
        <v>2030</v>
      </c>
      <c r="K48" s="3" t="s">
        <v>8</v>
      </c>
    </row>
    <row r="49" spans="2:11" x14ac:dyDescent="0.25">
      <c r="B49" s="7">
        <v>0.4</v>
      </c>
      <c r="C49" t="s">
        <v>25</v>
      </c>
      <c r="D49" s="6">
        <v>1500</v>
      </c>
      <c r="E49" s="8">
        <f>+D49*(1+E11)</f>
        <v>1527</v>
      </c>
      <c r="F49" s="8">
        <f t="shared" ref="F49:J49" si="4">+E49*(1+F11)</f>
        <v>1554.4860000000001</v>
      </c>
      <c r="G49" s="8">
        <f t="shared" si="4"/>
        <v>1582.4667480000001</v>
      </c>
      <c r="H49" s="8">
        <f t="shared" si="4"/>
        <v>1610.9511494640001</v>
      </c>
      <c r="I49" s="8">
        <f t="shared" si="4"/>
        <v>1639.948270154352</v>
      </c>
      <c r="J49" s="8">
        <f t="shared" si="4"/>
        <v>1669.4673390171304</v>
      </c>
      <c r="K49" s="8">
        <f>+J49*(1+K11)</f>
        <v>1727.8986958827297</v>
      </c>
    </row>
    <row r="50" spans="2:11" x14ac:dyDescent="0.25">
      <c r="B50" s="7">
        <v>1.5</v>
      </c>
      <c r="C50" t="s">
        <v>1</v>
      </c>
      <c r="D50" s="6">
        <v>6000</v>
      </c>
      <c r="E50" s="8">
        <f t="shared" ref="E50:K56" si="5">+D50*(1+E12)</f>
        <v>6180</v>
      </c>
      <c r="F50" s="8">
        <f t="shared" si="5"/>
        <v>6365.4000000000005</v>
      </c>
      <c r="G50" s="8">
        <f t="shared" si="5"/>
        <v>6556.362000000001</v>
      </c>
      <c r="H50" s="8">
        <f t="shared" si="5"/>
        <v>6753.0528600000016</v>
      </c>
      <c r="I50" s="8">
        <f t="shared" si="5"/>
        <v>6955.6444458000014</v>
      </c>
      <c r="J50" s="8">
        <f t="shared" si="5"/>
        <v>7164.3137791740019</v>
      </c>
      <c r="K50" s="8">
        <f t="shared" ref="K50" si="6">+J50*(1+K12)</f>
        <v>7415.0647614450918</v>
      </c>
    </row>
    <row r="51" spans="2:11" x14ac:dyDescent="0.25">
      <c r="B51" s="7">
        <v>1.2</v>
      </c>
      <c r="C51" t="s">
        <v>2</v>
      </c>
      <c r="D51" s="6">
        <v>3000</v>
      </c>
      <c r="E51" s="8">
        <f t="shared" si="5"/>
        <v>3060</v>
      </c>
      <c r="F51" s="8">
        <f t="shared" si="5"/>
        <v>3121.2000000000003</v>
      </c>
      <c r="G51" s="8">
        <f t="shared" si="5"/>
        <v>3183.6240000000003</v>
      </c>
      <c r="H51" s="8">
        <f t="shared" si="5"/>
        <v>3247.2964800000004</v>
      </c>
      <c r="I51" s="8">
        <f t="shared" si="5"/>
        <v>3312.2424096000004</v>
      </c>
      <c r="J51" s="8">
        <f t="shared" si="5"/>
        <v>3378.4872577920005</v>
      </c>
      <c r="K51" s="8">
        <f t="shared" ref="K51" si="7">+J51*(1+K13)</f>
        <v>3496.7343118147201</v>
      </c>
    </row>
    <row r="52" spans="2:11" x14ac:dyDescent="0.25">
      <c r="B52" s="7">
        <v>1</v>
      </c>
      <c r="C52" t="s">
        <v>4</v>
      </c>
      <c r="D52" s="6">
        <v>4000</v>
      </c>
      <c r="E52" s="8">
        <f t="shared" si="5"/>
        <v>4100</v>
      </c>
      <c r="F52" s="8">
        <f t="shared" si="5"/>
        <v>4202.5</v>
      </c>
      <c r="G52" s="8">
        <f t="shared" si="5"/>
        <v>4307.5625</v>
      </c>
      <c r="H52" s="8">
        <f t="shared" si="5"/>
        <v>4415.2515624999996</v>
      </c>
      <c r="I52" s="8">
        <f t="shared" si="5"/>
        <v>4525.6328515624991</v>
      </c>
      <c r="J52" s="8">
        <f t="shared" si="5"/>
        <v>4638.7736728515611</v>
      </c>
      <c r="K52" s="8">
        <f t="shared" ref="K52" si="8">+J52*(1+K14)</f>
        <v>4801.1307514013652</v>
      </c>
    </row>
    <row r="53" spans="2:11" x14ac:dyDescent="0.25">
      <c r="B53" s="7">
        <v>0.5</v>
      </c>
      <c r="C53" t="s">
        <v>3</v>
      </c>
      <c r="D53" s="6">
        <v>15000</v>
      </c>
      <c r="E53" s="8">
        <f t="shared" si="5"/>
        <v>15524.999999999998</v>
      </c>
      <c r="F53" s="8">
        <f t="shared" si="5"/>
        <v>16068.374999999996</v>
      </c>
      <c r="G53" s="8">
        <f t="shared" si="5"/>
        <v>16630.768124999995</v>
      </c>
      <c r="H53" s="8">
        <f t="shared" si="5"/>
        <v>17212.845009374993</v>
      </c>
      <c r="I53" s="8">
        <f t="shared" si="5"/>
        <v>17815.294584703115</v>
      </c>
      <c r="J53" s="8">
        <f t="shared" si="5"/>
        <v>18438.829895167724</v>
      </c>
      <c r="K53" s="8">
        <f t="shared" ref="K53" si="9">+J53*(1+K15)</f>
        <v>19084.188941498593</v>
      </c>
    </row>
    <row r="54" spans="2:11" x14ac:dyDescent="0.25">
      <c r="B54" s="7">
        <v>1.2</v>
      </c>
      <c r="C54" t="s">
        <v>5</v>
      </c>
      <c r="D54" s="6">
        <v>4000</v>
      </c>
      <c r="E54" s="8">
        <f t="shared" si="5"/>
        <v>4240</v>
      </c>
      <c r="F54" s="8">
        <f t="shared" si="5"/>
        <v>4494.4000000000005</v>
      </c>
      <c r="G54" s="8">
        <f t="shared" si="5"/>
        <v>4764.0640000000012</v>
      </c>
      <c r="H54" s="8">
        <f t="shared" si="5"/>
        <v>5049.9078400000017</v>
      </c>
      <c r="I54" s="8">
        <f t="shared" si="5"/>
        <v>5352.9023104000016</v>
      </c>
      <c r="J54" s="8">
        <f t="shared" si="5"/>
        <v>5674.0764490240017</v>
      </c>
      <c r="K54" s="8">
        <f t="shared" ref="K54" si="10">+J54*(1+K16)</f>
        <v>5872.6691247398412</v>
      </c>
    </row>
    <row r="55" spans="2:11" x14ac:dyDescent="0.25">
      <c r="B55" s="7">
        <v>1</v>
      </c>
      <c r="C55" t="s">
        <v>6</v>
      </c>
      <c r="D55" s="6">
        <v>20000</v>
      </c>
      <c r="E55" s="8">
        <f t="shared" si="5"/>
        <v>20800</v>
      </c>
      <c r="F55" s="8">
        <f t="shared" si="5"/>
        <v>21632</v>
      </c>
      <c r="G55" s="8">
        <f t="shared" si="5"/>
        <v>22497.280000000002</v>
      </c>
      <c r="H55" s="8">
        <f t="shared" si="5"/>
        <v>23397.171200000004</v>
      </c>
      <c r="I55" s="8">
        <f t="shared" si="5"/>
        <v>24333.058048000006</v>
      </c>
      <c r="J55" s="8">
        <f t="shared" si="5"/>
        <v>25306.380369920007</v>
      </c>
      <c r="K55" s="8">
        <f t="shared" ref="K55" si="11">+J55*(1+K17)</f>
        <v>26192.103682867204</v>
      </c>
    </row>
    <row r="56" spans="2:11" x14ac:dyDescent="0.25">
      <c r="B56" s="7">
        <v>0.3</v>
      </c>
      <c r="C56" t="s">
        <v>29</v>
      </c>
      <c r="D56" s="6">
        <v>1000</v>
      </c>
      <c r="E56" s="8">
        <f t="shared" si="5"/>
        <v>1032</v>
      </c>
      <c r="F56" s="8">
        <f t="shared" si="5"/>
        <v>1065.0240000000001</v>
      </c>
      <c r="G56" s="8">
        <f t="shared" si="5"/>
        <v>1099.1047680000001</v>
      </c>
      <c r="H56" s="8">
        <f t="shared" si="5"/>
        <v>1134.2761205760003</v>
      </c>
      <c r="I56" s="8">
        <f t="shared" si="5"/>
        <v>1170.5729564344324</v>
      </c>
      <c r="J56" s="8">
        <f t="shared" si="5"/>
        <v>1208.0312910403343</v>
      </c>
      <c r="K56" s="8">
        <f t="shared" si="5"/>
        <v>1250.312386226746</v>
      </c>
    </row>
    <row r="57" spans="2:11" x14ac:dyDescent="0.25">
      <c r="B57" s="7">
        <v>0</v>
      </c>
      <c r="C57" t="s">
        <v>14</v>
      </c>
      <c r="D57" s="6">
        <v>1000</v>
      </c>
      <c r="E57" s="8">
        <f>+SUM(E50:E55)*E1</f>
        <v>1078.0999999999999</v>
      </c>
      <c r="F57" s="8">
        <f t="shared" ref="F57:K57" si="12">+SUM(F50:F55)*F1</f>
        <v>1117.6775</v>
      </c>
      <c r="G57" s="8">
        <f t="shared" si="12"/>
        <v>1158.7932125000002</v>
      </c>
      <c r="H57" s="8">
        <f t="shared" si="12"/>
        <v>1201.5104990375</v>
      </c>
      <c r="I57" s="8">
        <f t="shared" si="12"/>
        <v>1245.8954930013124</v>
      </c>
      <c r="J57" s="8">
        <f t="shared" si="12"/>
        <v>1292.017228478586</v>
      </c>
      <c r="K57" s="8">
        <f t="shared" si="12"/>
        <v>1337.2378314753364</v>
      </c>
    </row>
    <row r="58" spans="2:11" x14ac:dyDescent="0.25">
      <c r="C58" s="1" t="s">
        <v>13</v>
      </c>
      <c r="D58" s="9">
        <f>SUM(D49:D57)</f>
        <v>55500</v>
      </c>
      <c r="E58" s="9">
        <f t="shared" ref="E58:K58" si="13">SUM(E49:E57)</f>
        <v>57542.1</v>
      </c>
      <c r="F58" s="9">
        <f t="shared" si="13"/>
        <v>59621.062499999993</v>
      </c>
      <c r="G58" s="9">
        <f t="shared" si="13"/>
        <v>61780.025353499994</v>
      </c>
      <c r="H58" s="9">
        <f t="shared" si="13"/>
        <v>64022.262720952502</v>
      </c>
      <c r="I58" s="9">
        <f t="shared" si="13"/>
        <v>66351.191369655717</v>
      </c>
      <c r="J58" s="9">
        <f t="shared" si="13"/>
        <v>68770.377282465328</v>
      </c>
      <c r="K58" s="9">
        <f t="shared" si="13"/>
        <v>71177.340487351627</v>
      </c>
    </row>
    <row r="59" spans="2:11" x14ac:dyDescent="0.25">
      <c r="D59" s="5"/>
    </row>
    <row r="60" spans="2:11" x14ac:dyDescent="0.25">
      <c r="C60" t="s">
        <v>15</v>
      </c>
      <c r="D60" s="6">
        <v>20000</v>
      </c>
      <c r="E60" s="5">
        <f>+D60*(1+E39)</f>
        <v>20560</v>
      </c>
      <c r="F60" s="5">
        <f t="shared" ref="F60:K60" si="14">+E60*(1+F39)</f>
        <v>21135.68</v>
      </c>
      <c r="G60" s="5">
        <f t="shared" si="14"/>
        <v>21727.479040000002</v>
      </c>
      <c r="H60" s="5">
        <f t="shared" si="14"/>
        <v>22335.848453120001</v>
      </c>
      <c r="I60" s="5">
        <f t="shared" si="14"/>
        <v>22961.25220980736</v>
      </c>
      <c r="J60" s="5">
        <f t="shared" si="14"/>
        <v>23604.167271681967</v>
      </c>
      <c r="K60" s="5">
        <f t="shared" si="14"/>
        <v>24265.083955289061</v>
      </c>
    </row>
    <row r="61" spans="2:11" x14ac:dyDescent="0.25">
      <c r="C61" t="s">
        <v>16</v>
      </c>
      <c r="D61" s="6">
        <v>25000</v>
      </c>
      <c r="E61" s="5">
        <f t="shared" ref="E61:K62" si="15">+D61*(1+E40)</f>
        <v>25874.999999999996</v>
      </c>
      <c r="F61" s="5">
        <f t="shared" si="15"/>
        <v>26780.624999999993</v>
      </c>
      <c r="G61" s="5">
        <f t="shared" si="15"/>
        <v>27717.946874999991</v>
      </c>
      <c r="H61" s="5">
        <f t="shared" si="15"/>
        <v>28688.075015624989</v>
      </c>
      <c r="I61" s="5">
        <f t="shared" si="15"/>
        <v>29692.15764117186</v>
      </c>
      <c r="J61" s="5">
        <f t="shared" si="15"/>
        <v>30731.383158612873</v>
      </c>
      <c r="K61" s="5">
        <f t="shared" si="15"/>
        <v>31806.98156916432</v>
      </c>
    </row>
    <row r="62" spans="2:11" x14ac:dyDescent="0.25">
      <c r="C62" t="s">
        <v>18</v>
      </c>
      <c r="D62" s="5">
        <f>+D58-D60-D61-D63</f>
        <v>5500</v>
      </c>
      <c r="E62" s="5">
        <f>+E58-E60-E61-E63</f>
        <v>5945.8100000000013</v>
      </c>
      <c r="F62" s="5">
        <f t="shared" ref="F62:K62" si="16">+F58-F60-F61-F63</f>
        <v>6355.0765899999997</v>
      </c>
      <c r="G62" s="5">
        <f t="shared" si="16"/>
        <v>6789.1281092899972</v>
      </c>
      <c r="H62" s="5">
        <f t="shared" si="16"/>
        <v>7249.3659484929212</v>
      </c>
      <c r="I62" s="5">
        <f t="shared" si="16"/>
        <v>7737.2685467158826</v>
      </c>
      <c r="J62" s="5">
        <f t="shared" si="16"/>
        <v>8254.395609149029</v>
      </c>
      <c r="K62" s="5">
        <f t="shared" si="16"/>
        <v>8708.5286263710368</v>
      </c>
    </row>
    <row r="63" spans="2:11" x14ac:dyDescent="0.25">
      <c r="C63" t="s">
        <v>17</v>
      </c>
      <c r="D63" s="6">
        <v>5000</v>
      </c>
      <c r="E63" s="12">
        <f>+E65*E4</f>
        <v>5161.2900000000009</v>
      </c>
      <c r="F63" s="12">
        <f t="shared" ref="F63:K63" si="17">+F65*F4</f>
        <v>5349.68091</v>
      </c>
      <c r="G63" s="12">
        <f t="shared" si="17"/>
        <v>5545.4713292100005</v>
      </c>
      <c r="H63" s="12">
        <f t="shared" si="17"/>
        <v>5748.9733037145907</v>
      </c>
      <c r="I63" s="12">
        <f t="shared" si="17"/>
        <v>5960.5129719606139</v>
      </c>
      <c r="J63" s="12">
        <f t="shared" si="17"/>
        <v>6180.4312430214595</v>
      </c>
      <c r="K63" s="12">
        <f t="shared" si="17"/>
        <v>6396.7463365272088</v>
      </c>
    </row>
    <row r="64" spans="2:11" x14ac:dyDescent="0.25">
      <c r="D64" s="5"/>
    </row>
    <row r="65" spans="3:11" x14ac:dyDescent="0.25">
      <c r="C65" t="s">
        <v>31</v>
      </c>
      <c r="D65" s="5">
        <f>+SUMPRODUCT($B$49:$B$57,D49:D57)</f>
        <v>49800</v>
      </c>
      <c r="E65" s="5">
        <f>+SUMPRODUCT($B$49:$B$57,E49:E57)</f>
        <v>51612.9</v>
      </c>
      <c r="F65" s="5">
        <f t="shared" ref="E65:K65" si="18">+SUMPRODUCT($B$49:$B$57,F49:F57)</f>
        <v>53496.809099999999</v>
      </c>
      <c r="G65" s="5">
        <f t="shared" si="18"/>
        <v>55454.713292100001</v>
      </c>
      <c r="H65" s="5">
        <f t="shared" si="18"/>
        <v>57489.733037145903</v>
      </c>
      <c r="I65" s="5">
        <f t="shared" si="18"/>
        <v>59605.129719606135</v>
      </c>
      <c r="J65" s="5">
        <f t="shared" si="18"/>
        <v>61804.312430214595</v>
      </c>
      <c r="K65" s="5">
        <f t="shared" si="18"/>
        <v>63967.463365272088</v>
      </c>
    </row>
    <row r="68" spans="3:11" x14ac:dyDescent="0.25">
      <c r="C68" t="s">
        <v>19</v>
      </c>
      <c r="D68" s="6">
        <v>4830</v>
      </c>
      <c r="E68" s="5">
        <f>+SUMPRODUCT(E50:E56,E32:E38)</f>
        <v>4141.5640000000003</v>
      </c>
      <c r="F68" s="5">
        <f t="shared" ref="F68:K68" si="19">+SUMPRODUCT(F50:F56,F32:F38)</f>
        <v>4286.3447479999995</v>
      </c>
      <c r="G68" s="5">
        <f t="shared" si="19"/>
        <v>4436.5519204359998</v>
      </c>
      <c r="H68" s="5">
        <f t="shared" si="19"/>
        <v>4592.4042738574517</v>
      </c>
      <c r="I68" s="5">
        <f t="shared" si="19"/>
        <v>4754.1300677614026</v>
      </c>
      <c r="J68" s="5">
        <f t="shared" si="19"/>
        <v>4921.9675084481614</v>
      </c>
      <c r="K68" s="5">
        <f t="shared" si="19"/>
        <v>5094.2363712438482</v>
      </c>
    </row>
    <row r="69" spans="3:11" x14ac:dyDescent="0.25">
      <c r="C69" t="s">
        <v>20</v>
      </c>
      <c r="D69" s="6">
        <v>1880</v>
      </c>
      <c r="E69" s="5">
        <f>+SUMPRODUCT(E60:E62,E39:E41)</f>
        <v>1731.0290200000002</v>
      </c>
      <c r="F69" s="5">
        <f t="shared" ref="F69:K69" si="20">+SUMPRODUCT(F60:F62,F39:F41)</f>
        <v>1796.0341317800001</v>
      </c>
      <c r="G69" s="5">
        <f t="shared" si="20"/>
        <v>1863.64093433518</v>
      </c>
      <c r="H69" s="5">
        <f t="shared" si="20"/>
        <v>1933.9597520709374</v>
      </c>
      <c r="I69" s="5">
        <f t="shared" si="20"/>
        <v>2007.1058582776884</v>
      </c>
      <c r="J69" s="5">
        <f t="shared" si="20"/>
        <v>2083.1997097428048</v>
      </c>
      <c r="K69" s="5">
        <f t="shared" si="20"/>
        <v>2158.4249079764286</v>
      </c>
    </row>
    <row r="70" spans="3:11" x14ac:dyDescent="0.25">
      <c r="C70" t="s">
        <v>21</v>
      </c>
      <c r="D70" s="5">
        <f>+D68-D69</f>
        <v>2950</v>
      </c>
      <c r="E70" s="5">
        <f>+E68-E69</f>
        <v>2410.5349800000004</v>
      </c>
      <c r="F70" s="5">
        <f t="shared" ref="F70:K70" si="21">+F68-F69</f>
        <v>2490.3106162199992</v>
      </c>
      <c r="G70" s="5">
        <f t="shared" si="21"/>
        <v>2572.9109861008201</v>
      </c>
      <c r="H70" s="5">
        <f t="shared" si="21"/>
        <v>2658.4445217865141</v>
      </c>
      <c r="I70" s="5">
        <f t="shared" si="21"/>
        <v>2747.024209483714</v>
      </c>
      <c r="J70" s="5">
        <f t="shared" si="21"/>
        <v>2838.7677987053567</v>
      </c>
      <c r="K70" s="5">
        <f t="shared" si="21"/>
        <v>2935.8114632674196</v>
      </c>
    </row>
    <row r="71" spans="3:11" x14ac:dyDescent="0.25">
      <c r="C71" t="s">
        <v>43</v>
      </c>
      <c r="D71" s="6">
        <v>1000</v>
      </c>
      <c r="E71" s="5">
        <f>+D71*(1+E21)</f>
        <v>1035</v>
      </c>
      <c r="F71" s="5">
        <f t="shared" ref="F71:K71" si="22">+E71*(1+F21)</f>
        <v>1071.2249999999999</v>
      </c>
      <c r="G71" s="5">
        <f t="shared" si="22"/>
        <v>1108.7178749999998</v>
      </c>
      <c r="H71" s="5">
        <f t="shared" si="22"/>
        <v>1147.5230006249997</v>
      </c>
      <c r="I71" s="5">
        <f t="shared" si="22"/>
        <v>1187.6863056468746</v>
      </c>
      <c r="J71" s="5">
        <f t="shared" si="22"/>
        <v>1229.2553263445152</v>
      </c>
      <c r="K71" s="5">
        <f t="shared" si="22"/>
        <v>1272.2792627665731</v>
      </c>
    </row>
    <row r="72" spans="3:11" x14ac:dyDescent="0.25">
      <c r="C72" t="s">
        <v>23</v>
      </c>
      <c r="D72" s="6">
        <v>60</v>
      </c>
      <c r="E72" s="5">
        <f>+(SUM(E50:E55)-SUM(D50:D55))*E44+(SUM(E60:E61)-SUM(D60:D61))*E45</f>
        <v>42.405000000000001</v>
      </c>
      <c r="F72" s="5">
        <f t="shared" ref="F72:K72" si="23">+(SUM(F50:F55)-SUM(E50:E55))*F44+(SUM(F60:F61)-SUM(E60:E61))*F45</f>
        <v>44.021414999999976</v>
      </c>
      <c r="G72" s="5">
        <f t="shared" si="23"/>
        <v>45.703075245000079</v>
      </c>
      <c r="H72" s="5">
        <f t="shared" si="23"/>
        <v>47.452779198734895</v>
      </c>
      <c r="I72" s="5">
        <f t="shared" si="23"/>
        <v>49.273453110515142</v>
      </c>
      <c r="J72" s="5">
        <f t="shared" si="23"/>
        <v>51.168157215220461</v>
      </c>
      <c r="K72" s="5">
        <f t="shared" si="23"/>
        <v>50.430148279225875</v>
      </c>
    </row>
    <row r="73" spans="3:11" x14ac:dyDescent="0.25">
      <c r="C73" t="s">
        <v>9</v>
      </c>
      <c r="D73" s="6">
        <v>1000</v>
      </c>
      <c r="E73" s="5">
        <f>+SUMPRODUCT(E24:E29,D50:D55)</f>
        <v>1067</v>
      </c>
      <c r="F73" s="5">
        <f t="shared" ref="F73:K73" si="24">+SUMPRODUCT(F24:F29,E50:E55)</f>
        <v>1104.6949999999999</v>
      </c>
      <c r="G73" s="5">
        <f t="shared" si="24"/>
        <v>1143.8233250000001</v>
      </c>
      <c r="H73" s="5">
        <f t="shared" si="24"/>
        <v>1184.4437363750001</v>
      </c>
      <c r="I73" s="5">
        <f t="shared" si="24"/>
        <v>1226.617592523125</v>
      </c>
      <c r="J73" s="5">
        <f t="shared" si="24"/>
        <v>1270.4089720868092</v>
      </c>
      <c r="K73" s="5">
        <f t="shared" si="24"/>
        <v>1315.884803395797</v>
      </c>
    </row>
    <row r="74" spans="3:11" x14ac:dyDescent="0.25">
      <c r="C74" t="s">
        <v>22</v>
      </c>
      <c r="D74" s="6">
        <v>1500</v>
      </c>
      <c r="E74" s="5">
        <f>+D74*(1+E20)</f>
        <v>1558.4999999999998</v>
      </c>
      <c r="F74" s="5">
        <f t="shared" ref="F74:K74" si="25">+E74*(1+F20)</f>
        <v>1619.2814999999996</v>
      </c>
      <c r="G74" s="5">
        <f t="shared" si="25"/>
        <v>1682.4334784999994</v>
      </c>
      <c r="H74" s="5">
        <f t="shared" si="25"/>
        <v>1748.0483841614994</v>
      </c>
      <c r="I74" s="5">
        <f t="shared" si="25"/>
        <v>1816.2222711437978</v>
      </c>
      <c r="J74" s="5">
        <f t="shared" si="25"/>
        <v>1887.0549397184059</v>
      </c>
      <c r="K74" s="5">
        <f t="shared" si="25"/>
        <v>1953.1018626085499</v>
      </c>
    </row>
    <row r="75" spans="3:11" x14ac:dyDescent="0.25">
      <c r="C75" t="s">
        <v>24</v>
      </c>
      <c r="D75" s="6">
        <v>200</v>
      </c>
      <c r="E75" s="5">
        <f>+D49*E2</f>
        <v>225</v>
      </c>
      <c r="F75" s="5">
        <f t="shared" ref="F75:K75" si="26">+E49*F2</f>
        <v>229.04999999999998</v>
      </c>
      <c r="G75" s="5">
        <f t="shared" si="26"/>
        <v>233.1729</v>
      </c>
      <c r="H75" s="5">
        <f t="shared" si="26"/>
        <v>237.37001219999999</v>
      </c>
      <c r="I75" s="5">
        <f t="shared" si="26"/>
        <v>241.64267241959999</v>
      </c>
      <c r="J75" s="5">
        <f t="shared" si="26"/>
        <v>245.99224052315279</v>
      </c>
      <c r="K75" s="5">
        <f t="shared" si="26"/>
        <v>250.42010085256953</v>
      </c>
    </row>
    <row r="76" spans="3:11" x14ac:dyDescent="0.25">
      <c r="C76" t="s">
        <v>26</v>
      </c>
      <c r="D76" s="5">
        <f>+D70-D72-D74-D75-D73+D71</f>
        <v>1190</v>
      </c>
      <c r="E76" s="5">
        <f>+E70+E71-E72-E73-E74-E75</f>
        <v>552.62998000000039</v>
      </c>
      <c r="F76" s="5">
        <f t="shared" ref="F76:K76" si="27">+F70+F71-F72-F73-F74-F75</f>
        <v>564.48770121999928</v>
      </c>
      <c r="G76" s="5">
        <f t="shared" si="27"/>
        <v>576.49608235582059</v>
      </c>
      <c r="H76" s="5">
        <f t="shared" si="27"/>
        <v>588.65261047627905</v>
      </c>
      <c r="I76" s="5">
        <f t="shared" si="27"/>
        <v>600.9545259335506</v>
      </c>
      <c r="J76" s="5">
        <f t="shared" si="27"/>
        <v>613.39881550628343</v>
      </c>
      <c r="K76" s="5">
        <f t="shared" si="27"/>
        <v>638.25381089785014</v>
      </c>
    </row>
    <row r="77" spans="3:11" x14ac:dyDescent="0.25">
      <c r="C77" t="s">
        <v>27</v>
      </c>
      <c r="D77" s="5">
        <f>+D76*D3</f>
        <v>357</v>
      </c>
      <c r="E77" s="5">
        <f>+E76*E3</f>
        <v>165.78899400000012</v>
      </c>
      <c r="F77" s="5">
        <f t="shared" ref="F77:K77" si="28">+F76*F3</f>
        <v>169.34631036599978</v>
      </c>
      <c r="G77" s="5">
        <f t="shared" si="28"/>
        <v>172.94882470674617</v>
      </c>
      <c r="H77" s="5">
        <f t="shared" si="28"/>
        <v>176.5957831428837</v>
      </c>
      <c r="I77" s="5">
        <f t="shared" si="28"/>
        <v>180.28635778006517</v>
      </c>
      <c r="J77" s="5">
        <f t="shared" si="28"/>
        <v>184.01964465188502</v>
      </c>
      <c r="K77" s="5">
        <f t="shared" si="28"/>
        <v>191.47614326935505</v>
      </c>
    </row>
    <row r="78" spans="3:11" x14ac:dyDescent="0.25">
      <c r="C78" t="s">
        <v>28</v>
      </c>
      <c r="D78" s="5">
        <f>+D76-D77</f>
        <v>833</v>
      </c>
      <c r="E78" s="5">
        <f>+E76-E77</f>
        <v>386.84098600000027</v>
      </c>
      <c r="F78" s="5">
        <f t="shared" ref="F78:K78" si="29">+F76-F77</f>
        <v>395.1413908539995</v>
      </c>
      <c r="G78" s="5">
        <f t="shared" si="29"/>
        <v>403.54725764907442</v>
      </c>
      <c r="H78" s="5">
        <f t="shared" si="29"/>
        <v>412.05682733339535</v>
      </c>
      <c r="I78" s="5">
        <f t="shared" si="29"/>
        <v>420.66816815348545</v>
      </c>
      <c r="J78" s="5">
        <f t="shared" si="29"/>
        <v>429.37917085439841</v>
      </c>
      <c r="K78" s="5">
        <f t="shared" si="29"/>
        <v>446.77766762849512</v>
      </c>
    </row>
    <row r="79" spans="3:11" x14ac:dyDescent="0.25">
      <c r="C79" t="s">
        <v>38</v>
      </c>
      <c r="D79" s="6">
        <v>550</v>
      </c>
      <c r="E79" s="5">
        <f>+E78-E80</f>
        <v>225.5509859999994</v>
      </c>
      <c r="F79" s="5">
        <f t="shared" ref="F79:K79" si="30">+F78-F80</f>
        <v>206.75048085400033</v>
      </c>
      <c r="G79" s="5">
        <f t="shared" si="30"/>
        <v>207.75683843907399</v>
      </c>
      <c r="H79" s="5">
        <f t="shared" si="30"/>
        <v>208.55485282880517</v>
      </c>
      <c r="I79" s="5">
        <f t="shared" si="30"/>
        <v>209.12849990746224</v>
      </c>
      <c r="J79" s="5">
        <f t="shared" si="30"/>
        <v>209.46089979355276</v>
      </c>
      <c r="K79" s="5">
        <f t="shared" si="30"/>
        <v>230.46257412274588</v>
      </c>
    </row>
    <row r="80" spans="3:11" x14ac:dyDescent="0.25">
      <c r="C80" t="s">
        <v>37</v>
      </c>
      <c r="D80" s="5">
        <f>+D78-D79</f>
        <v>283</v>
      </c>
      <c r="E80" s="5">
        <f>+IF(E78&lt;0,E78,MAX(0,MIN(E78,E82)))</f>
        <v>161.29000000000087</v>
      </c>
      <c r="F80" s="5">
        <f t="shared" ref="F80:K80" si="31">+IF(F78&lt;0,F78,MAX(0,MIN(F78,F82)))</f>
        <v>188.39090999999917</v>
      </c>
      <c r="G80" s="5">
        <f t="shared" si="31"/>
        <v>195.79041921000044</v>
      </c>
      <c r="H80" s="5">
        <f t="shared" si="31"/>
        <v>203.50197450459018</v>
      </c>
      <c r="I80" s="5">
        <f t="shared" si="31"/>
        <v>211.53966824602321</v>
      </c>
      <c r="J80" s="5">
        <f t="shared" si="31"/>
        <v>219.91827106084565</v>
      </c>
      <c r="K80" s="5">
        <f t="shared" si="31"/>
        <v>216.31509350574925</v>
      </c>
    </row>
    <row r="81" spans="1:11" x14ac:dyDescent="0.25">
      <c r="D81" s="5"/>
      <c r="E81" s="5"/>
      <c r="F81" s="5"/>
      <c r="G81" s="5"/>
      <c r="H81" s="5"/>
      <c r="I81" s="5"/>
      <c r="J81" s="5"/>
      <c r="K81" s="5"/>
    </row>
    <row r="82" spans="1:11" x14ac:dyDescent="0.25">
      <c r="C82" t="s">
        <v>45</v>
      </c>
      <c r="E82" s="5">
        <f>+E63-D63</f>
        <v>161.29000000000087</v>
      </c>
      <c r="F82" s="5">
        <f t="shared" ref="F82:K82" si="32">+F63-E63</f>
        <v>188.39090999999917</v>
      </c>
      <c r="G82" s="5">
        <f t="shared" si="32"/>
        <v>195.79041921000044</v>
      </c>
      <c r="H82" s="5">
        <f t="shared" si="32"/>
        <v>203.50197450459018</v>
      </c>
      <c r="I82" s="5">
        <f t="shared" si="32"/>
        <v>211.53966824602321</v>
      </c>
      <c r="J82" s="5">
        <f t="shared" si="32"/>
        <v>219.91827106084565</v>
      </c>
      <c r="K82" s="5">
        <f t="shared" si="32"/>
        <v>216.31509350574925</v>
      </c>
    </row>
    <row r="83" spans="1:11" x14ac:dyDescent="0.25">
      <c r="C83" t="s">
        <v>46</v>
      </c>
      <c r="E83" s="5">
        <f>+E82-E80</f>
        <v>0</v>
      </c>
      <c r="F83" s="5">
        <f t="shared" ref="F83:K83" si="33">+F82-F80</f>
        <v>0</v>
      </c>
      <c r="G83" s="5">
        <f t="shared" si="33"/>
        <v>0</v>
      </c>
      <c r="H83" s="5">
        <f t="shared" si="33"/>
        <v>0</v>
      </c>
      <c r="I83" s="5">
        <f t="shared" si="33"/>
        <v>0</v>
      </c>
      <c r="J83" s="5">
        <f t="shared" si="33"/>
        <v>0</v>
      </c>
      <c r="K83" s="5">
        <f t="shared" si="33"/>
        <v>0</v>
      </c>
    </row>
    <row r="86" spans="1:11" x14ac:dyDescent="0.25">
      <c r="A86" t="s">
        <v>48</v>
      </c>
      <c r="C86" s="5" t="str">
        <f>+C78</f>
        <v>Profit after tax</v>
      </c>
      <c r="D86" s="5">
        <f t="shared" ref="D86:K86" si="34">+D78</f>
        <v>833</v>
      </c>
      <c r="E86" s="5">
        <f t="shared" si="34"/>
        <v>386.84098600000027</v>
      </c>
      <c r="F86" s="5">
        <f t="shared" si="34"/>
        <v>395.1413908539995</v>
      </c>
      <c r="G86" s="5">
        <f t="shared" si="34"/>
        <v>403.54725764907442</v>
      </c>
      <c r="H86" s="5">
        <f t="shared" si="34"/>
        <v>412.05682733339535</v>
      </c>
      <c r="I86" s="5">
        <f t="shared" si="34"/>
        <v>420.66816815348545</v>
      </c>
      <c r="J86" s="5">
        <f t="shared" si="34"/>
        <v>429.37917085439841</v>
      </c>
      <c r="K86" s="5">
        <f t="shared" si="34"/>
        <v>446.77766762849512</v>
      </c>
    </row>
    <row r="87" spans="1:11" x14ac:dyDescent="0.25">
      <c r="A87" s="13" t="s">
        <v>49</v>
      </c>
      <c r="C87" t="s">
        <v>47</v>
      </c>
      <c r="E87" s="5">
        <f>+E63-D63</f>
        <v>161.29000000000087</v>
      </c>
      <c r="F87" s="5">
        <f t="shared" ref="F87:K87" si="35">+F63-E63</f>
        <v>188.39090999999917</v>
      </c>
      <c r="G87" s="5">
        <f t="shared" si="35"/>
        <v>195.79041921000044</v>
      </c>
      <c r="H87" s="5">
        <f t="shared" si="35"/>
        <v>203.50197450459018</v>
      </c>
      <c r="I87" s="5">
        <f t="shared" si="35"/>
        <v>211.53966824602321</v>
      </c>
      <c r="J87" s="5">
        <f t="shared" si="35"/>
        <v>219.91827106084565</v>
      </c>
      <c r="K87" s="5">
        <f t="shared" si="35"/>
        <v>216.31509350574925</v>
      </c>
    </row>
    <row r="88" spans="1:11" x14ac:dyDescent="0.25">
      <c r="A88" t="s">
        <v>50</v>
      </c>
      <c r="C88" t="s">
        <v>51</v>
      </c>
      <c r="E88" s="5">
        <f>+E86-E87</f>
        <v>225.5509859999994</v>
      </c>
      <c r="F88" s="5">
        <f t="shared" ref="F88:K88" si="36">+F86-F87</f>
        <v>206.75048085400033</v>
      </c>
      <c r="G88" s="5">
        <f t="shared" si="36"/>
        <v>207.75683843907399</v>
      </c>
      <c r="H88" s="5">
        <f t="shared" si="36"/>
        <v>208.55485282880517</v>
      </c>
      <c r="I88" s="5">
        <f t="shared" si="36"/>
        <v>209.12849990746224</v>
      </c>
      <c r="J88" s="5">
        <f t="shared" si="36"/>
        <v>209.46089979355276</v>
      </c>
      <c r="K88" s="5">
        <f t="shared" si="36"/>
        <v>230.46257412274588</v>
      </c>
    </row>
    <row r="89" spans="1:11" x14ac:dyDescent="0.25">
      <c r="C89" t="str">
        <f>+C79</f>
        <v>Dividend</v>
      </c>
      <c r="E89" s="5">
        <f t="shared" ref="D89:E89" si="37">+E79</f>
        <v>225.5509859999994</v>
      </c>
      <c r="F89" s="5">
        <f t="shared" ref="F89:K89" si="38">+F79</f>
        <v>206.75048085400033</v>
      </c>
      <c r="G89" s="5">
        <f t="shared" si="38"/>
        <v>207.75683843907399</v>
      </c>
      <c r="H89" s="5">
        <f t="shared" si="38"/>
        <v>208.55485282880517</v>
      </c>
      <c r="I89" s="5">
        <f t="shared" si="38"/>
        <v>209.12849990746224</v>
      </c>
      <c r="J89" s="5">
        <f t="shared" si="38"/>
        <v>209.46089979355276</v>
      </c>
      <c r="K89" s="5">
        <f t="shared" si="38"/>
        <v>230.46257412274588</v>
      </c>
    </row>
    <row r="90" spans="1:11" x14ac:dyDescent="0.25">
      <c r="C90" t="s">
        <v>53</v>
      </c>
      <c r="E90" s="5">
        <f>+E63-D63-E80</f>
        <v>0</v>
      </c>
      <c r="F90" s="5">
        <f t="shared" ref="F90:K90" si="39">+F63-E63-F80</f>
        <v>0</v>
      </c>
      <c r="G90" s="5">
        <f t="shared" si="39"/>
        <v>0</v>
      </c>
      <c r="H90" s="5">
        <f t="shared" si="39"/>
        <v>0</v>
      </c>
      <c r="I90" s="5">
        <f t="shared" si="39"/>
        <v>0</v>
      </c>
      <c r="J90" s="5">
        <f t="shared" si="39"/>
        <v>0</v>
      </c>
      <c r="K90" s="5">
        <f t="shared" si="39"/>
        <v>0</v>
      </c>
    </row>
    <row r="91" spans="1:11" x14ac:dyDescent="0.25">
      <c r="C91" t="s">
        <v>52</v>
      </c>
      <c r="E91" s="5">
        <f>+E88-E89+E90</f>
        <v>0</v>
      </c>
      <c r="F91" s="5">
        <f t="shared" ref="F91:K91" si="40">+F88-F89+F90</f>
        <v>0</v>
      </c>
      <c r="G91" s="5">
        <f t="shared" si="40"/>
        <v>0</v>
      </c>
      <c r="H91" s="5">
        <f t="shared" si="40"/>
        <v>0</v>
      </c>
      <c r="I91" s="5">
        <f t="shared" si="40"/>
        <v>0</v>
      </c>
      <c r="J91" s="5">
        <f t="shared" si="40"/>
        <v>0</v>
      </c>
      <c r="K91" s="5">
        <f t="shared" si="40"/>
        <v>0</v>
      </c>
    </row>
    <row r="95" spans="1:11" x14ac:dyDescent="0.25">
      <c r="B95" t="s">
        <v>56</v>
      </c>
      <c r="C95" s="5" t="str">
        <f>+C88</f>
        <v>FCFE</v>
      </c>
      <c r="D95" s="5"/>
      <c r="E95" s="5">
        <f t="shared" ref="D95:K95" si="41">+E88</f>
        <v>225.5509859999994</v>
      </c>
      <c r="F95" s="5">
        <f t="shared" si="41"/>
        <v>206.75048085400033</v>
      </c>
      <c r="G95" s="5">
        <f t="shared" si="41"/>
        <v>207.75683843907399</v>
      </c>
      <c r="H95" s="5">
        <f t="shared" si="41"/>
        <v>208.55485282880517</v>
      </c>
      <c r="I95" s="5">
        <f t="shared" si="41"/>
        <v>209.12849990746224</v>
      </c>
      <c r="J95" s="5">
        <f t="shared" si="41"/>
        <v>209.46089979355276</v>
      </c>
      <c r="K95" s="5">
        <f t="shared" si="41"/>
        <v>230.46257412274588</v>
      </c>
    </row>
    <row r="96" spans="1:11" x14ac:dyDescent="0.25">
      <c r="C96" t="s">
        <v>54</v>
      </c>
      <c r="E96" s="14">
        <f>+E5+E6*E7</f>
        <v>6.6000000000000003E-2</v>
      </c>
      <c r="F96" s="14">
        <f t="shared" ref="F96:K96" si="42">+F5+F6*F7</f>
        <v>6.6000000000000003E-2</v>
      </c>
      <c r="G96" s="14">
        <f t="shared" si="42"/>
        <v>6.6000000000000003E-2</v>
      </c>
      <c r="H96" s="14">
        <f t="shared" si="42"/>
        <v>6.6000000000000003E-2</v>
      </c>
      <c r="I96" s="14">
        <f t="shared" si="42"/>
        <v>6.6000000000000003E-2</v>
      </c>
      <c r="J96" s="14">
        <f t="shared" si="42"/>
        <v>6.6000000000000003E-2</v>
      </c>
      <c r="K96" s="14">
        <f t="shared" si="42"/>
        <v>6.6000000000000003E-2</v>
      </c>
    </row>
    <row r="97" spans="3:12" x14ac:dyDescent="0.25">
      <c r="C97" s="16" t="s">
        <v>55</v>
      </c>
      <c r="D97" s="16"/>
      <c r="E97" s="17">
        <f t="shared" ref="E97:I97" si="43">+(E95+F97)/(1+E96)</f>
        <v>6087.5650910123522</v>
      </c>
      <c r="F97" s="15">
        <f t="shared" si="43"/>
        <v>6263.7934010191684</v>
      </c>
      <c r="G97" s="15">
        <f t="shared" si="43"/>
        <v>6470.4532846324337</v>
      </c>
      <c r="H97" s="15">
        <f t="shared" si="43"/>
        <v>6689.7463629791</v>
      </c>
      <c r="I97" s="15">
        <f t="shared" si="43"/>
        <v>6922.7147701069152</v>
      </c>
      <c r="J97" s="15">
        <f>+(J95+K97)/(1+J96)</f>
        <v>7170.4854450265093</v>
      </c>
      <c r="K97" s="15">
        <f>+K95/(K96-K11)</f>
        <v>7434.2765846047059</v>
      </c>
    </row>
    <row r="100" spans="3:12" x14ac:dyDescent="0.25">
      <c r="C100" t="s">
        <v>57</v>
      </c>
    </row>
    <row r="101" spans="3:12" x14ac:dyDescent="0.25">
      <c r="C101" t="str">
        <f>+C78</f>
        <v>Profit after tax</v>
      </c>
      <c r="E101" s="5">
        <f t="shared" ref="D101:F101" si="44">+E78</f>
        <v>386.84098600000027</v>
      </c>
      <c r="F101" s="5">
        <f t="shared" si="44"/>
        <v>395.1413908539995</v>
      </c>
      <c r="G101" s="5">
        <f t="shared" ref="G101:K101" si="45">+G78</f>
        <v>403.54725764907442</v>
      </c>
      <c r="H101" s="5">
        <f t="shared" si="45"/>
        <v>412.05682733339535</v>
      </c>
      <c r="I101" s="5">
        <f t="shared" si="45"/>
        <v>420.66816815348545</v>
      </c>
      <c r="J101" s="5">
        <f t="shared" si="45"/>
        <v>429.37917085439841</v>
      </c>
      <c r="K101" s="5">
        <f t="shared" si="45"/>
        <v>446.77766762849512</v>
      </c>
    </row>
    <row r="102" spans="3:12" x14ac:dyDescent="0.25">
      <c r="C102" t="s">
        <v>58</v>
      </c>
      <c r="E102" s="5">
        <f>+E96*D63</f>
        <v>330</v>
      </c>
      <c r="F102" s="5">
        <f>+F96*E63</f>
        <v>340.64514000000008</v>
      </c>
      <c r="G102" s="5">
        <f t="shared" ref="G102:K102" si="46">+G96*F63</f>
        <v>353.07894006000004</v>
      </c>
      <c r="H102" s="5">
        <f t="shared" si="46"/>
        <v>366.00110772786007</v>
      </c>
      <c r="I102" s="5">
        <f t="shared" si="46"/>
        <v>379.43223804516299</v>
      </c>
      <c r="J102" s="5">
        <f t="shared" si="46"/>
        <v>393.39385614940051</v>
      </c>
      <c r="K102" s="5">
        <f t="shared" si="46"/>
        <v>407.90846203941635</v>
      </c>
    </row>
    <row r="103" spans="3:12" x14ac:dyDescent="0.25">
      <c r="C103" t="s">
        <v>59</v>
      </c>
      <c r="E103" s="5">
        <f>+E101-E102</f>
        <v>56.840986000000271</v>
      </c>
      <c r="F103" s="5">
        <f>+F101-F102</f>
        <v>54.496250853999413</v>
      </c>
      <c r="G103" s="5">
        <f t="shared" ref="G103:K103" si="47">+G101-G102</f>
        <v>50.468317589074388</v>
      </c>
      <c r="H103" s="5">
        <f t="shared" si="47"/>
        <v>46.055719605535273</v>
      </c>
      <c r="I103" s="5">
        <f t="shared" si="47"/>
        <v>41.235930108322464</v>
      </c>
      <c r="J103" s="5">
        <f t="shared" si="47"/>
        <v>35.985314704997904</v>
      </c>
      <c r="K103" s="5">
        <f t="shared" si="47"/>
        <v>38.869205589078774</v>
      </c>
    </row>
    <row r="104" spans="3:12" x14ac:dyDescent="0.25">
      <c r="C104" t="s">
        <v>60</v>
      </c>
      <c r="E104" s="5">
        <f t="shared" ref="E104:I104" si="48">+(E103+F104)/(1+E96)</f>
        <v>1087.5650910123516</v>
      </c>
      <c r="F104" s="5">
        <f t="shared" si="48"/>
        <v>1102.5034010191666</v>
      </c>
      <c r="G104" s="5">
        <f t="shared" si="48"/>
        <v>1120.7723746324323</v>
      </c>
      <c r="H104" s="5">
        <f t="shared" si="48"/>
        <v>1144.2750337690986</v>
      </c>
      <c r="I104" s="5">
        <f t="shared" si="48"/>
        <v>1173.7414663923241</v>
      </c>
      <c r="J104" s="5">
        <f>+(J103+K104)/(1+J96)</f>
        <v>1209.9724730658952</v>
      </c>
      <c r="K104" s="18">
        <f>+K97-J63</f>
        <v>1253.8453415832464</v>
      </c>
      <c r="L104" t="s">
        <v>61</v>
      </c>
    </row>
    <row r="105" spans="3:12" x14ac:dyDescent="0.25">
      <c r="C105" t="s">
        <v>62</v>
      </c>
      <c r="E105" s="5">
        <f>+D63</f>
        <v>5000</v>
      </c>
      <c r="F105" s="5">
        <f t="shared" ref="F105:K105" si="49">+E63</f>
        <v>5161.2900000000009</v>
      </c>
      <c r="G105" s="5">
        <f t="shared" si="49"/>
        <v>5349.68091</v>
      </c>
      <c r="H105" s="5">
        <f t="shared" si="49"/>
        <v>5545.4713292100005</v>
      </c>
      <c r="I105" s="5">
        <f t="shared" si="49"/>
        <v>5748.9733037145907</v>
      </c>
      <c r="J105" s="5">
        <f t="shared" si="49"/>
        <v>5960.5129719606139</v>
      </c>
      <c r="K105" s="5">
        <f t="shared" si="49"/>
        <v>6180.4312430214595</v>
      </c>
    </row>
    <row r="106" spans="3:12" x14ac:dyDescent="0.25">
      <c r="C106" s="16" t="s">
        <v>55</v>
      </c>
      <c r="D106" s="16"/>
      <c r="E106" s="17">
        <f>+E104+E105</f>
        <v>6087.5650910123513</v>
      </c>
      <c r="F106" s="17">
        <f t="shared" ref="F106:K106" si="50">+F104+F105</f>
        <v>6263.7934010191675</v>
      </c>
      <c r="G106" s="17">
        <f t="shared" si="50"/>
        <v>6470.4532846324328</v>
      </c>
      <c r="H106" s="17">
        <f t="shared" si="50"/>
        <v>6689.7463629790991</v>
      </c>
      <c r="I106" s="17">
        <f t="shared" si="50"/>
        <v>6922.7147701069152</v>
      </c>
      <c r="J106" s="17">
        <f t="shared" si="50"/>
        <v>7170.4854450265093</v>
      </c>
      <c r="K106" s="17">
        <f t="shared" si="50"/>
        <v>7434.2765846047059</v>
      </c>
    </row>
    <row r="108" spans="3:12" x14ac:dyDescent="0.25">
      <c r="C108" t="s">
        <v>63</v>
      </c>
      <c r="E108" s="14">
        <f>+E86/D63</f>
        <v>7.7368197200000058E-2</v>
      </c>
      <c r="F108" s="14">
        <f t="shared" ref="F108:K108" si="51">+F86/E63</f>
        <v>7.6558649262877962E-2</v>
      </c>
      <c r="G108" s="14">
        <f t="shared" si="51"/>
        <v>7.5433893056076576E-2</v>
      </c>
      <c r="H108" s="14">
        <f t="shared" si="51"/>
        <v>7.4305104628878557E-2</v>
      </c>
      <c r="I108" s="14">
        <f t="shared" si="51"/>
        <v>7.3172746841888903E-2</v>
      </c>
      <c r="J108" s="14">
        <f t="shared" si="51"/>
        <v>7.2037284856904041E-2</v>
      </c>
      <c r="K108" s="14">
        <f t="shared" si="51"/>
        <v>7.2289076613054698E-2</v>
      </c>
    </row>
    <row r="110" spans="3:12" x14ac:dyDescent="0.25">
      <c r="C110" t="s">
        <v>64</v>
      </c>
      <c r="E110" s="5">
        <f>+E106/E78</f>
        <v>15.736608351557523</v>
      </c>
    </row>
    <row r="111" spans="3:12" x14ac:dyDescent="0.25">
      <c r="C111" t="s">
        <v>66</v>
      </c>
      <c r="E111" s="5">
        <f>+E106/E105</f>
        <v>1.2175130182024703</v>
      </c>
    </row>
    <row r="112" spans="3:12" x14ac:dyDescent="0.25">
      <c r="C112" t="s">
        <v>65</v>
      </c>
      <c r="E112" s="5">
        <f>+E106/(E70+E71)</f>
        <v>1.7667982262111153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D57AD-1C1A-43AA-A71E-944E86C3E3AF}">
  <dimension ref="A1:L119"/>
  <sheetViews>
    <sheetView tabSelected="1" topLeftCell="B16" zoomScale="140" zoomScaleNormal="140" workbookViewId="0">
      <selection activeCell="F27" sqref="F27"/>
    </sheetView>
  </sheetViews>
  <sheetFormatPr defaultRowHeight="15.75" x14ac:dyDescent="0.25"/>
  <cols>
    <col min="2" max="2" width="10.75" bestFit="1" customWidth="1"/>
    <col min="3" max="3" width="35.25" bestFit="1" customWidth="1"/>
    <col min="4" max="11" width="8.875" bestFit="1" customWidth="1"/>
  </cols>
  <sheetData>
    <row r="1" spans="3:11" x14ac:dyDescent="0.25">
      <c r="C1" t="s">
        <v>32</v>
      </c>
      <c r="E1" s="10">
        <v>0.02</v>
      </c>
      <c r="F1" s="19">
        <f>+E1</f>
        <v>0.02</v>
      </c>
      <c r="G1" s="19">
        <f t="shared" ref="G1:K1" si="0">+F1</f>
        <v>0.02</v>
      </c>
      <c r="H1" s="19">
        <f t="shared" si="0"/>
        <v>0.02</v>
      </c>
      <c r="I1" s="19">
        <f t="shared" si="0"/>
        <v>0.02</v>
      </c>
      <c r="J1" s="19">
        <f t="shared" si="0"/>
        <v>0.02</v>
      </c>
      <c r="K1" s="19">
        <f t="shared" si="0"/>
        <v>0.02</v>
      </c>
    </row>
    <row r="2" spans="3:11" x14ac:dyDescent="0.25">
      <c r="C2" t="s">
        <v>35</v>
      </c>
      <c r="E2" s="10">
        <v>0.15</v>
      </c>
      <c r="F2" s="10">
        <v>0.15</v>
      </c>
      <c r="G2" s="10">
        <v>0.15</v>
      </c>
      <c r="H2" s="10">
        <v>0.15</v>
      </c>
      <c r="I2" s="10">
        <v>0.15</v>
      </c>
      <c r="J2" s="10">
        <v>0.15</v>
      </c>
      <c r="K2" s="10">
        <v>0.15</v>
      </c>
    </row>
    <row r="3" spans="3:11" x14ac:dyDescent="0.25">
      <c r="C3" t="s">
        <v>36</v>
      </c>
      <c r="D3" s="10">
        <v>0.3</v>
      </c>
      <c r="E3" s="10">
        <v>0.3</v>
      </c>
      <c r="F3" s="10">
        <v>0.3</v>
      </c>
      <c r="G3" s="10">
        <v>0.3</v>
      </c>
      <c r="H3" s="10">
        <v>0.3</v>
      </c>
      <c r="I3" s="10">
        <v>0.3</v>
      </c>
      <c r="J3" s="10">
        <v>0.3</v>
      </c>
      <c r="K3" s="10">
        <v>0.3</v>
      </c>
    </row>
    <row r="4" spans="3:11" x14ac:dyDescent="0.25">
      <c r="C4" t="s">
        <v>44</v>
      </c>
      <c r="D4" s="11">
        <v>0.1</v>
      </c>
      <c r="E4" s="11">
        <v>0.1</v>
      </c>
      <c r="F4" s="19">
        <f>+E4</f>
        <v>0.1</v>
      </c>
      <c r="G4" s="19">
        <f t="shared" ref="G4:K4" si="1">+F4</f>
        <v>0.1</v>
      </c>
      <c r="H4" s="19">
        <f t="shared" si="1"/>
        <v>0.1</v>
      </c>
      <c r="I4" s="19">
        <f t="shared" si="1"/>
        <v>0.1</v>
      </c>
      <c r="J4" s="19">
        <f t="shared" si="1"/>
        <v>0.1</v>
      </c>
      <c r="K4" s="19">
        <f t="shared" si="1"/>
        <v>0.1</v>
      </c>
    </row>
    <row r="5" spans="3:11" x14ac:dyDescent="0.25">
      <c r="C5" t="s">
        <v>39</v>
      </c>
      <c r="D5" s="4"/>
      <c r="E5" s="11">
        <v>0.03</v>
      </c>
      <c r="F5" s="19">
        <f>+E5</f>
        <v>0.03</v>
      </c>
      <c r="G5" s="19">
        <f t="shared" ref="G5:K5" si="2">+F5</f>
        <v>0.03</v>
      </c>
      <c r="H5" s="19">
        <f t="shared" si="2"/>
        <v>0.03</v>
      </c>
      <c r="I5" s="19">
        <f t="shared" si="2"/>
        <v>0.03</v>
      </c>
      <c r="J5" s="19">
        <f t="shared" si="2"/>
        <v>0.03</v>
      </c>
      <c r="K5" s="19">
        <f t="shared" si="2"/>
        <v>0.03</v>
      </c>
    </row>
    <row r="6" spans="3:11" x14ac:dyDescent="0.25">
      <c r="C6" t="s">
        <v>40</v>
      </c>
      <c r="D6" s="4"/>
      <c r="E6" s="11">
        <v>0.06</v>
      </c>
      <c r="F6" s="11">
        <v>0.06</v>
      </c>
      <c r="G6" s="11">
        <v>0.06</v>
      </c>
      <c r="H6" s="11">
        <v>0.06</v>
      </c>
      <c r="I6" s="11">
        <v>0.06</v>
      </c>
      <c r="J6" s="11">
        <v>0.06</v>
      </c>
      <c r="K6" s="11">
        <v>0.06</v>
      </c>
    </row>
    <row r="7" spans="3:11" x14ac:dyDescent="0.25">
      <c r="C7" t="s">
        <v>41</v>
      </c>
      <c r="D7" s="4"/>
      <c r="E7" s="6">
        <v>0.6</v>
      </c>
      <c r="F7" s="6">
        <v>0.6</v>
      </c>
      <c r="G7" s="6">
        <v>0.6</v>
      </c>
      <c r="H7" s="6">
        <v>0.6</v>
      </c>
      <c r="I7" s="6">
        <v>0.6</v>
      </c>
      <c r="J7" s="6">
        <v>0.6</v>
      </c>
      <c r="K7" s="6">
        <v>0.6</v>
      </c>
    </row>
    <row r="8" spans="3:11" x14ac:dyDescent="0.25">
      <c r="D8" s="4"/>
      <c r="E8" s="4"/>
      <c r="F8" s="4"/>
      <c r="G8" s="4"/>
      <c r="H8" s="4"/>
      <c r="I8" s="4"/>
      <c r="J8" s="4"/>
      <c r="K8" s="4"/>
    </row>
    <row r="10" spans="3:11" x14ac:dyDescent="0.25">
      <c r="C10" s="3" t="s">
        <v>7</v>
      </c>
      <c r="D10" s="3">
        <f ca="1">+D48</f>
        <v>2024</v>
      </c>
      <c r="E10" s="3">
        <f t="shared" ref="E10:K10" ca="1" si="3">+E48</f>
        <v>2025</v>
      </c>
      <c r="F10" s="3">
        <f t="shared" ca="1" si="3"/>
        <v>2026</v>
      </c>
      <c r="G10" s="3">
        <f t="shared" ca="1" si="3"/>
        <v>2027</v>
      </c>
      <c r="H10" s="3">
        <f t="shared" ca="1" si="3"/>
        <v>2028</v>
      </c>
      <c r="I10" s="3">
        <f t="shared" ca="1" si="3"/>
        <v>2029</v>
      </c>
      <c r="J10" s="3">
        <f t="shared" ca="1" si="3"/>
        <v>2030</v>
      </c>
      <c r="K10" s="3" t="str">
        <f t="shared" si="3"/>
        <v>TV</v>
      </c>
    </row>
    <row r="11" spans="3:11" x14ac:dyDescent="0.25">
      <c r="C11" t="s">
        <v>25</v>
      </c>
      <c r="E11" s="11">
        <v>1.7999999999999999E-2</v>
      </c>
      <c r="F11" s="11">
        <v>1.7999999999999999E-2</v>
      </c>
      <c r="G11" s="11">
        <v>1.7999999999999999E-2</v>
      </c>
      <c r="H11" s="11">
        <v>1.7999999999999999E-2</v>
      </c>
      <c r="I11" s="11">
        <v>1.7999999999999999E-2</v>
      </c>
      <c r="J11" s="11">
        <v>1.7999999999999999E-2</v>
      </c>
      <c r="K11" s="11">
        <v>3.5000000000000003E-2</v>
      </c>
    </row>
    <row r="12" spans="3:11" x14ac:dyDescent="0.25">
      <c r="C12" t="s">
        <v>1</v>
      </c>
      <c r="E12" s="11">
        <v>0.03</v>
      </c>
      <c r="F12" s="11">
        <v>0.03</v>
      </c>
      <c r="G12" s="11">
        <v>0.03</v>
      </c>
      <c r="H12" s="11">
        <v>0.03</v>
      </c>
      <c r="I12" s="11">
        <v>0.03</v>
      </c>
      <c r="J12" s="11">
        <v>0.03</v>
      </c>
      <c r="K12" s="11">
        <v>3.5000000000000003E-2</v>
      </c>
    </row>
    <row r="13" spans="3:11" x14ac:dyDescent="0.25">
      <c r="C13" t="s">
        <v>2</v>
      </c>
      <c r="E13" s="11">
        <v>0.02</v>
      </c>
      <c r="F13" s="11">
        <v>0.02</v>
      </c>
      <c r="G13" s="11">
        <v>0.02</v>
      </c>
      <c r="H13" s="11">
        <v>0.02</v>
      </c>
      <c r="I13" s="11">
        <v>0.02</v>
      </c>
      <c r="J13" s="11">
        <v>0.02</v>
      </c>
      <c r="K13" s="11">
        <v>3.5000000000000003E-2</v>
      </c>
    </row>
    <row r="14" spans="3:11" x14ac:dyDescent="0.25">
      <c r="C14" t="s">
        <v>4</v>
      </c>
      <c r="E14" s="11">
        <v>2.5000000000000001E-2</v>
      </c>
      <c r="F14" s="11">
        <v>2.5000000000000001E-2</v>
      </c>
      <c r="G14" s="11">
        <v>2.5000000000000001E-2</v>
      </c>
      <c r="H14" s="11">
        <v>2.5000000000000001E-2</v>
      </c>
      <c r="I14" s="11">
        <v>2.5000000000000001E-2</v>
      </c>
      <c r="J14" s="11">
        <v>2.5000000000000001E-2</v>
      </c>
      <c r="K14" s="11">
        <v>3.5000000000000003E-2</v>
      </c>
    </row>
    <row r="15" spans="3:11" x14ac:dyDescent="0.25">
      <c r="C15" t="s">
        <v>3</v>
      </c>
      <c r="E15" s="11">
        <v>3.5000000000000003E-2</v>
      </c>
      <c r="F15" s="11">
        <v>3.5000000000000003E-2</v>
      </c>
      <c r="G15" s="11">
        <v>3.5000000000000003E-2</v>
      </c>
      <c r="H15" s="11">
        <v>3.5000000000000003E-2</v>
      </c>
      <c r="I15" s="11">
        <v>3.5000000000000003E-2</v>
      </c>
      <c r="J15" s="11">
        <v>3.5000000000000003E-2</v>
      </c>
      <c r="K15" s="11">
        <v>3.5000000000000003E-2</v>
      </c>
    </row>
    <row r="16" spans="3:11" x14ac:dyDescent="0.25">
      <c r="C16" t="s">
        <v>5</v>
      </c>
      <c r="E16" s="11">
        <v>0.06</v>
      </c>
      <c r="F16" s="11">
        <v>0.06</v>
      </c>
      <c r="G16" s="11">
        <v>0.06</v>
      </c>
      <c r="H16" s="11">
        <v>0.06</v>
      </c>
      <c r="I16" s="11">
        <v>0.06</v>
      </c>
      <c r="J16" s="11">
        <v>0.06</v>
      </c>
      <c r="K16" s="11">
        <v>3.5000000000000003E-2</v>
      </c>
    </row>
    <row r="17" spans="3:11" x14ac:dyDescent="0.25">
      <c r="C17" t="s">
        <v>6</v>
      </c>
      <c r="E17" s="11">
        <v>0.04</v>
      </c>
      <c r="F17" s="11">
        <v>0.04</v>
      </c>
      <c r="G17" s="11">
        <v>0.04</v>
      </c>
      <c r="H17" s="11">
        <v>0.04</v>
      </c>
      <c r="I17" s="11">
        <v>0.04</v>
      </c>
      <c r="J17" s="11">
        <v>0.04</v>
      </c>
      <c r="K17" s="11">
        <v>3.5000000000000003E-2</v>
      </c>
    </row>
    <row r="18" spans="3:11" x14ac:dyDescent="0.25">
      <c r="C18" t="s">
        <v>15</v>
      </c>
      <c r="E18" s="11">
        <v>3.2000000000000001E-2</v>
      </c>
      <c r="F18" s="11">
        <v>3.2000000000000001E-2</v>
      </c>
      <c r="G18" s="11">
        <v>3.2000000000000001E-2</v>
      </c>
      <c r="H18" s="11">
        <v>3.2000000000000001E-2</v>
      </c>
      <c r="I18" s="11">
        <v>3.2000000000000001E-2</v>
      </c>
      <c r="J18" s="11">
        <v>3.2000000000000001E-2</v>
      </c>
      <c r="K18" s="11">
        <v>3.5000000000000003E-2</v>
      </c>
    </row>
    <row r="19" spans="3:11" x14ac:dyDescent="0.25">
      <c r="C19" t="s">
        <v>16</v>
      </c>
      <c r="E19" s="11">
        <v>3.3000000000000002E-2</v>
      </c>
      <c r="F19" s="11">
        <v>3.3000000000000002E-2</v>
      </c>
      <c r="G19" s="11">
        <v>3.3000000000000002E-2</v>
      </c>
      <c r="H19" s="11">
        <v>3.3000000000000002E-2</v>
      </c>
      <c r="I19" s="11">
        <v>3.3000000000000002E-2</v>
      </c>
      <c r="J19" s="11">
        <v>3.3000000000000002E-2</v>
      </c>
      <c r="K19" s="11">
        <v>3.5000000000000003E-2</v>
      </c>
    </row>
    <row r="20" spans="3:11" x14ac:dyDescent="0.25">
      <c r="C20" t="s">
        <v>34</v>
      </c>
      <c r="E20" s="11">
        <v>3.9E-2</v>
      </c>
      <c r="F20" s="11">
        <v>3.9E-2</v>
      </c>
      <c r="G20" s="11">
        <v>3.9E-2</v>
      </c>
      <c r="H20" s="11">
        <v>3.9E-2</v>
      </c>
      <c r="I20" s="11">
        <v>3.9E-2</v>
      </c>
      <c r="J20" s="11">
        <v>3.9E-2</v>
      </c>
      <c r="K20" s="11">
        <v>3.5000000000000003E-2</v>
      </c>
    </row>
    <row r="21" spans="3:11" x14ac:dyDescent="0.25">
      <c r="C21" t="s">
        <v>43</v>
      </c>
      <c r="E21" s="11">
        <v>3.5000000000000003E-2</v>
      </c>
      <c r="F21" s="11">
        <v>3.5000000000000003E-2</v>
      </c>
      <c r="G21" s="11">
        <v>3.5000000000000003E-2</v>
      </c>
      <c r="H21" s="11">
        <v>3.5000000000000003E-2</v>
      </c>
      <c r="I21" s="11">
        <v>3.5000000000000003E-2</v>
      </c>
      <c r="J21" s="11">
        <v>3.5000000000000003E-2</v>
      </c>
      <c r="K21" s="11">
        <v>3.5000000000000003E-2</v>
      </c>
    </row>
    <row r="23" spans="3:11" x14ac:dyDescent="0.25">
      <c r="C23" s="3" t="s">
        <v>9</v>
      </c>
      <c r="D23" s="3">
        <f ca="1">+D10</f>
        <v>2024</v>
      </c>
      <c r="E23" s="3">
        <f t="shared" ref="E23:K23" ca="1" si="4">+E10</f>
        <v>2025</v>
      </c>
      <c r="F23" s="3">
        <f t="shared" ca="1" si="4"/>
        <v>2026</v>
      </c>
      <c r="G23" s="3">
        <f t="shared" ca="1" si="4"/>
        <v>2027</v>
      </c>
      <c r="H23" s="3">
        <f t="shared" ca="1" si="4"/>
        <v>2028</v>
      </c>
      <c r="I23" s="3">
        <f t="shared" ca="1" si="4"/>
        <v>2029</v>
      </c>
      <c r="J23" s="3">
        <f t="shared" ca="1" si="4"/>
        <v>2030</v>
      </c>
      <c r="K23" s="3" t="str">
        <f t="shared" si="4"/>
        <v>TV</v>
      </c>
    </row>
    <row r="24" spans="3:11" x14ac:dyDescent="0.25">
      <c r="C24" t="s">
        <v>1</v>
      </c>
      <c r="E24" s="11">
        <v>0.04</v>
      </c>
      <c r="F24" s="11">
        <v>0.04</v>
      </c>
      <c r="G24" s="11">
        <v>0.04</v>
      </c>
      <c r="H24" s="11">
        <v>0.04</v>
      </c>
      <c r="I24" s="11">
        <v>0.04</v>
      </c>
      <c r="J24" s="11">
        <v>0.04</v>
      </c>
      <c r="K24" s="11">
        <v>0.04</v>
      </c>
    </row>
    <row r="25" spans="3:11" x14ac:dyDescent="0.25">
      <c r="C25" t="s">
        <v>2</v>
      </c>
      <c r="E25" s="11">
        <v>0.03</v>
      </c>
      <c r="F25" s="11">
        <v>0.03</v>
      </c>
      <c r="G25" s="11">
        <v>0.03</v>
      </c>
      <c r="H25" s="11">
        <v>0.03</v>
      </c>
      <c r="I25" s="11">
        <v>0.03</v>
      </c>
      <c r="J25" s="11">
        <v>0.03</v>
      </c>
      <c r="K25" s="11">
        <v>0.03</v>
      </c>
    </row>
    <row r="26" spans="3:11" x14ac:dyDescent="0.25">
      <c r="C26" t="s">
        <v>4</v>
      </c>
      <c r="E26" s="11">
        <v>2.5000000000000001E-2</v>
      </c>
      <c r="F26" s="11">
        <v>2.5000000000000001E-2</v>
      </c>
      <c r="G26" s="11">
        <v>2.5000000000000001E-2</v>
      </c>
      <c r="H26" s="11">
        <v>2.5000000000000001E-2</v>
      </c>
      <c r="I26" s="11">
        <v>2.5000000000000001E-2</v>
      </c>
      <c r="J26" s="11">
        <v>2.5000000000000001E-2</v>
      </c>
      <c r="K26" s="11">
        <v>2.5000000000000001E-2</v>
      </c>
    </row>
    <row r="27" spans="3:11" x14ac:dyDescent="0.25">
      <c r="C27" t="s">
        <v>3</v>
      </c>
      <c r="E27" s="11">
        <v>1.4999999999999999E-2</v>
      </c>
      <c r="F27" s="11">
        <v>1.4999999999999999E-2</v>
      </c>
      <c r="G27" s="11">
        <v>1.4999999999999999E-2</v>
      </c>
      <c r="H27" s="11">
        <v>1.4999999999999999E-2</v>
      </c>
      <c r="I27" s="11">
        <v>1.4999999999999999E-2</v>
      </c>
      <c r="J27" s="11">
        <v>1.4999999999999999E-2</v>
      </c>
      <c r="K27" s="11">
        <v>1.4999999999999999E-2</v>
      </c>
    </row>
    <row r="28" spans="3:11" x14ac:dyDescent="0.25">
      <c r="C28" t="s">
        <v>5</v>
      </c>
      <c r="E28" s="11">
        <v>2.3E-2</v>
      </c>
      <c r="F28" s="11">
        <v>2.3E-2</v>
      </c>
      <c r="G28" s="11">
        <v>2.3E-2</v>
      </c>
      <c r="H28" s="11">
        <v>2.3E-2</v>
      </c>
      <c r="I28" s="11">
        <v>2.3E-2</v>
      </c>
      <c r="J28" s="11">
        <v>2.3E-2</v>
      </c>
      <c r="K28" s="11">
        <v>2.3E-2</v>
      </c>
    </row>
    <row r="29" spans="3:11" x14ac:dyDescent="0.25">
      <c r="C29" t="s">
        <v>6</v>
      </c>
      <c r="E29" s="11">
        <v>1.6E-2</v>
      </c>
      <c r="F29" s="11">
        <v>1.6E-2</v>
      </c>
      <c r="G29" s="11">
        <v>1.6E-2</v>
      </c>
      <c r="H29" s="11">
        <v>1.6E-2</v>
      </c>
      <c r="I29" s="11">
        <v>1.6E-2</v>
      </c>
      <c r="J29" s="11">
        <v>1.6E-2</v>
      </c>
      <c r="K29" s="11">
        <v>1.6E-2</v>
      </c>
    </row>
    <row r="31" spans="3:11" x14ac:dyDescent="0.25">
      <c r="C31" s="3" t="s">
        <v>10</v>
      </c>
      <c r="D31" s="3">
        <f ca="1">+D23</f>
        <v>2024</v>
      </c>
      <c r="E31" s="3">
        <f t="shared" ref="E31:K31" ca="1" si="5">+E23</f>
        <v>2025</v>
      </c>
      <c r="F31" s="3">
        <f t="shared" ca="1" si="5"/>
        <v>2026</v>
      </c>
      <c r="G31" s="3">
        <f t="shared" ca="1" si="5"/>
        <v>2027</v>
      </c>
      <c r="H31" s="3">
        <f t="shared" ca="1" si="5"/>
        <v>2028</v>
      </c>
      <c r="I31" s="3">
        <f t="shared" ca="1" si="5"/>
        <v>2029</v>
      </c>
      <c r="J31" s="3">
        <f t="shared" ca="1" si="5"/>
        <v>2030</v>
      </c>
      <c r="K31" s="3" t="str">
        <f t="shared" si="5"/>
        <v>TV</v>
      </c>
    </row>
    <row r="32" spans="3:11" x14ac:dyDescent="0.25">
      <c r="C32" t="s">
        <v>1</v>
      </c>
      <c r="E32" s="11">
        <v>0.16</v>
      </c>
      <c r="F32" s="11">
        <v>0.16</v>
      </c>
      <c r="G32" s="11">
        <v>0.16</v>
      </c>
      <c r="H32" s="11">
        <v>0.16</v>
      </c>
      <c r="I32" s="11">
        <v>0.16</v>
      </c>
      <c r="J32" s="11">
        <v>0.16</v>
      </c>
      <c r="K32" s="11">
        <v>0.16</v>
      </c>
    </row>
    <row r="33" spans="2:11" x14ac:dyDescent="0.25">
      <c r="C33" t="s">
        <v>2</v>
      </c>
      <c r="E33" s="11">
        <v>0.11</v>
      </c>
      <c r="F33" s="11">
        <v>0.11</v>
      </c>
      <c r="G33" s="11">
        <v>0.11</v>
      </c>
      <c r="H33" s="11">
        <v>0.11</v>
      </c>
      <c r="I33" s="11">
        <v>0.11</v>
      </c>
      <c r="J33" s="11">
        <v>0.11</v>
      </c>
      <c r="K33" s="11">
        <v>0.11</v>
      </c>
    </row>
    <row r="34" spans="2:11" x14ac:dyDescent="0.25">
      <c r="C34" t="s">
        <v>4</v>
      </c>
      <c r="E34" s="11">
        <v>0.09</v>
      </c>
      <c r="F34" s="11">
        <v>0.09</v>
      </c>
      <c r="G34" s="11">
        <v>0.09</v>
      </c>
      <c r="H34" s="11">
        <v>0.09</v>
      </c>
      <c r="I34" s="11">
        <v>0.09</v>
      </c>
      <c r="J34" s="11">
        <v>0.09</v>
      </c>
      <c r="K34" s="11">
        <v>0.09</v>
      </c>
    </row>
    <row r="35" spans="2:11" x14ac:dyDescent="0.25">
      <c r="C35" t="s">
        <v>3</v>
      </c>
      <c r="E35" s="11">
        <v>0.06</v>
      </c>
      <c r="F35" s="11">
        <v>0.06</v>
      </c>
      <c r="G35" s="11">
        <v>0.06</v>
      </c>
      <c r="H35" s="11">
        <v>0.06</v>
      </c>
      <c r="I35" s="11">
        <v>0.06</v>
      </c>
      <c r="J35" s="11">
        <v>0.06</v>
      </c>
      <c r="K35" s="11">
        <v>0.06</v>
      </c>
    </row>
    <row r="36" spans="2:11" x14ac:dyDescent="0.25">
      <c r="C36" t="s">
        <v>5</v>
      </c>
      <c r="E36" s="11">
        <v>7.4999999999999997E-2</v>
      </c>
      <c r="F36" s="11">
        <v>7.4999999999999997E-2</v>
      </c>
      <c r="G36" s="11">
        <v>7.4999999999999997E-2</v>
      </c>
      <c r="H36" s="11">
        <v>7.4999999999999997E-2</v>
      </c>
      <c r="I36" s="11">
        <v>7.4999999999999997E-2</v>
      </c>
      <c r="J36" s="11">
        <v>7.4999999999999997E-2</v>
      </c>
      <c r="K36" s="11">
        <v>7.4999999999999997E-2</v>
      </c>
    </row>
    <row r="37" spans="2:11" x14ac:dyDescent="0.25">
      <c r="C37" t="s">
        <v>6</v>
      </c>
      <c r="E37" s="11">
        <v>5.5E-2</v>
      </c>
      <c r="F37" s="11">
        <v>5.5E-2</v>
      </c>
      <c r="G37" s="11">
        <v>5.5E-2</v>
      </c>
      <c r="H37" s="11">
        <v>5.5E-2</v>
      </c>
      <c r="I37" s="11">
        <v>5.5E-2</v>
      </c>
      <c r="J37" s="11">
        <v>5.5E-2</v>
      </c>
      <c r="K37" s="11">
        <v>5.5E-2</v>
      </c>
    </row>
    <row r="38" spans="2:11" x14ac:dyDescent="0.25">
      <c r="C38" t="s">
        <v>29</v>
      </c>
      <c r="E38" s="11">
        <v>5.1999999999999998E-2</v>
      </c>
      <c r="F38" s="11">
        <v>5.1999999999999998E-2</v>
      </c>
      <c r="G38" s="11">
        <v>5.1999999999999998E-2</v>
      </c>
      <c r="H38" s="11">
        <v>5.1999999999999998E-2</v>
      </c>
      <c r="I38" s="11">
        <v>5.1999999999999998E-2</v>
      </c>
      <c r="J38" s="11">
        <v>5.1999999999999998E-2</v>
      </c>
      <c r="K38" s="11">
        <v>5.1999999999999998E-2</v>
      </c>
    </row>
    <row r="39" spans="2:11" x14ac:dyDescent="0.25">
      <c r="C39" t="s">
        <v>15</v>
      </c>
      <c r="E39" s="11">
        <v>2.8000000000000001E-2</v>
      </c>
      <c r="F39" s="19">
        <f>+E39</f>
        <v>2.8000000000000001E-2</v>
      </c>
      <c r="G39" s="19">
        <f t="shared" ref="G39:K39" si="6">+F39</f>
        <v>2.8000000000000001E-2</v>
      </c>
      <c r="H39" s="19">
        <f t="shared" si="6"/>
        <v>2.8000000000000001E-2</v>
      </c>
      <c r="I39" s="19">
        <f t="shared" si="6"/>
        <v>2.8000000000000001E-2</v>
      </c>
      <c r="J39" s="19">
        <f t="shared" si="6"/>
        <v>2.8000000000000001E-2</v>
      </c>
      <c r="K39" s="19">
        <f t="shared" si="6"/>
        <v>2.8000000000000001E-2</v>
      </c>
    </row>
    <row r="40" spans="2:11" x14ac:dyDescent="0.25">
      <c r="C40" t="s">
        <v>16</v>
      </c>
      <c r="E40" s="11">
        <v>3.5000000000000003E-2</v>
      </c>
      <c r="F40" s="11">
        <v>3.5000000000000003E-2</v>
      </c>
      <c r="G40" s="11">
        <v>3.5000000000000003E-2</v>
      </c>
      <c r="H40" s="11">
        <v>3.5000000000000003E-2</v>
      </c>
      <c r="I40" s="11">
        <v>3.5000000000000003E-2</v>
      </c>
      <c r="J40" s="11">
        <v>3.5000000000000003E-2</v>
      </c>
      <c r="K40" s="11">
        <v>3.5000000000000003E-2</v>
      </c>
    </row>
    <row r="41" spans="2:11" x14ac:dyDescent="0.25">
      <c r="C41" t="s">
        <v>33</v>
      </c>
      <c r="E41" s="11">
        <v>4.2000000000000003E-2</v>
      </c>
      <c r="F41" s="11">
        <v>4.2000000000000003E-2</v>
      </c>
      <c r="G41" s="11">
        <v>4.2000000000000003E-2</v>
      </c>
      <c r="H41" s="11">
        <v>4.2000000000000003E-2</v>
      </c>
      <c r="I41" s="11">
        <v>4.2000000000000003E-2</v>
      </c>
      <c r="J41" s="11">
        <v>4.2000000000000003E-2</v>
      </c>
      <c r="K41" s="11">
        <v>4.2000000000000003E-2</v>
      </c>
    </row>
    <row r="43" spans="2:11" x14ac:dyDescent="0.25">
      <c r="C43" s="3" t="s">
        <v>42</v>
      </c>
    </row>
    <row r="44" spans="2:11" x14ac:dyDescent="0.25">
      <c r="C44" t="s">
        <v>11</v>
      </c>
      <c r="E44" s="11">
        <v>0.02</v>
      </c>
      <c r="F44" s="11">
        <v>0.02</v>
      </c>
      <c r="G44" s="11">
        <v>0.02</v>
      </c>
      <c r="H44" s="11">
        <v>0.02</v>
      </c>
      <c r="I44" s="11">
        <v>0.02</v>
      </c>
      <c r="J44" s="11">
        <v>0.02</v>
      </c>
      <c r="K44" s="11">
        <v>0.02</v>
      </c>
    </row>
    <row r="45" spans="2:11" x14ac:dyDescent="0.25">
      <c r="C45" t="s">
        <v>12</v>
      </c>
      <c r="E45" s="11">
        <v>3.0000000000000001E-3</v>
      </c>
      <c r="F45" s="11">
        <v>3.0000000000000001E-3</v>
      </c>
      <c r="G45" s="11">
        <v>3.0000000000000001E-3</v>
      </c>
      <c r="H45" s="11">
        <v>3.0000000000000001E-3</v>
      </c>
      <c r="I45" s="11">
        <v>3.0000000000000001E-3</v>
      </c>
      <c r="J45" s="11">
        <v>3.0000000000000001E-3</v>
      </c>
      <c r="K45" s="11">
        <v>3.0000000000000001E-3</v>
      </c>
    </row>
    <row r="48" spans="2:11" x14ac:dyDescent="0.25">
      <c r="B48" t="s">
        <v>30</v>
      </c>
      <c r="C48" t="s">
        <v>0</v>
      </c>
      <c r="D48" s="2">
        <f ca="1">+YEAR(TODAY())</f>
        <v>2024</v>
      </c>
      <c r="E48" s="3">
        <f ca="1">+D48+1</f>
        <v>2025</v>
      </c>
      <c r="F48" s="3">
        <f t="shared" ref="F48:J48" ca="1" si="7">+E48+1</f>
        <v>2026</v>
      </c>
      <c r="G48" s="3">
        <f t="shared" ca="1" si="7"/>
        <v>2027</v>
      </c>
      <c r="H48" s="3">
        <f t="shared" ca="1" si="7"/>
        <v>2028</v>
      </c>
      <c r="I48" s="3">
        <f t="shared" ca="1" si="7"/>
        <v>2029</v>
      </c>
      <c r="J48" s="3">
        <f t="shared" ca="1" si="7"/>
        <v>2030</v>
      </c>
      <c r="K48" s="3" t="s">
        <v>8</v>
      </c>
    </row>
    <row r="49" spans="2:11" x14ac:dyDescent="0.25">
      <c r="B49" s="7">
        <v>0.4</v>
      </c>
      <c r="C49" t="s">
        <v>25</v>
      </c>
      <c r="D49" s="6">
        <v>1500</v>
      </c>
      <c r="E49" s="8">
        <f>+D49*(1+E11)</f>
        <v>1527</v>
      </c>
      <c r="F49" s="8">
        <f t="shared" ref="F49:J49" si="8">+E49*(1+F11)</f>
        <v>1554.4860000000001</v>
      </c>
      <c r="G49" s="8">
        <f t="shared" si="8"/>
        <v>1582.4667480000001</v>
      </c>
      <c r="H49" s="8">
        <f t="shared" si="8"/>
        <v>1610.9511494640001</v>
      </c>
      <c r="I49" s="8">
        <f t="shared" si="8"/>
        <v>1639.948270154352</v>
      </c>
      <c r="J49" s="8">
        <f t="shared" si="8"/>
        <v>1669.4673390171304</v>
      </c>
      <c r="K49" s="8">
        <f>+J49*(1+K11)</f>
        <v>1727.8986958827297</v>
      </c>
    </row>
    <row r="50" spans="2:11" x14ac:dyDescent="0.25">
      <c r="B50" s="7">
        <v>1.5</v>
      </c>
      <c r="C50" t="s">
        <v>1</v>
      </c>
      <c r="D50" s="6">
        <v>6000</v>
      </c>
      <c r="E50" s="8">
        <f t="shared" ref="E50:K56" si="9">+D50*(1+E12)</f>
        <v>6180</v>
      </c>
      <c r="F50" s="8">
        <f t="shared" si="9"/>
        <v>6365.4000000000005</v>
      </c>
      <c r="G50" s="8">
        <f t="shared" si="9"/>
        <v>6556.362000000001</v>
      </c>
      <c r="H50" s="8">
        <f t="shared" si="9"/>
        <v>6753.0528600000016</v>
      </c>
      <c r="I50" s="8">
        <f t="shared" si="9"/>
        <v>6955.6444458000014</v>
      </c>
      <c r="J50" s="8">
        <f t="shared" si="9"/>
        <v>7164.3137791740019</v>
      </c>
      <c r="K50" s="8">
        <f t="shared" si="9"/>
        <v>7415.0647614450918</v>
      </c>
    </row>
    <row r="51" spans="2:11" x14ac:dyDescent="0.25">
      <c r="B51" s="7">
        <v>1.2</v>
      </c>
      <c r="C51" t="s">
        <v>2</v>
      </c>
      <c r="D51" s="6">
        <v>3000</v>
      </c>
      <c r="E51" s="8">
        <f t="shared" si="9"/>
        <v>3060</v>
      </c>
      <c r="F51" s="8">
        <f t="shared" si="9"/>
        <v>3121.2000000000003</v>
      </c>
      <c r="G51" s="8">
        <f t="shared" si="9"/>
        <v>3183.6240000000003</v>
      </c>
      <c r="H51" s="8">
        <f t="shared" si="9"/>
        <v>3247.2964800000004</v>
      </c>
      <c r="I51" s="8">
        <f t="shared" si="9"/>
        <v>3312.2424096000004</v>
      </c>
      <c r="J51" s="8">
        <f t="shared" si="9"/>
        <v>3378.4872577920005</v>
      </c>
      <c r="K51" s="8">
        <f t="shared" si="9"/>
        <v>3496.7343118147201</v>
      </c>
    </row>
    <row r="52" spans="2:11" x14ac:dyDescent="0.25">
      <c r="B52" s="7">
        <v>1</v>
      </c>
      <c r="C52" t="s">
        <v>4</v>
      </c>
      <c r="D52" s="6">
        <v>4000</v>
      </c>
      <c r="E52" s="8">
        <f t="shared" si="9"/>
        <v>4100</v>
      </c>
      <c r="F52" s="8">
        <f t="shared" si="9"/>
        <v>4202.5</v>
      </c>
      <c r="G52" s="8">
        <f t="shared" si="9"/>
        <v>4307.5625</v>
      </c>
      <c r="H52" s="8">
        <f t="shared" si="9"/>
        <v>4415.2515624999996</v>
      </c>
      <c r="I52" s="8">
        <f t="shared" si="9"/>
        <v>4525.6328515624991</v>
      </c>
      <c r="J52" s="8">
        <f t="shared" si="9"/>
        <v>4638.7736728515611</v>
      </c>
      <c r="K52" s="8">
        <f t="shared" si="9"/>
        <v>4801.1307514013652</v>
      </c>
    </row>
    <row r="53" spans="2:11" x14ac:dyDescent="0.25">
      <c r="B53" s="7">
        <v>0.5</v>
      </c>
      <c r="C53" t="s">
        <v>3</v>
      </c>
      <c r="D53" s="6">
        <v>15000</v>
      </c>
      <c r="E53" s="8">
        <f t="shared" si="9"/>
        <v>15524.999999999998</v>
      </c>
      <c r="F53" s="8">
        <f t="shared" si="9"/>
        <v>16068.374999999996</v>
      </c>
      <c r="G53" s="8">
        <f t="shared" si="9"/>
        <v>16630.768124999995</v>
      </c>
      <c r="H53" s="8">
        <f t="shared" si="9"/>
        <v>17212.845009374993</v>
      </c>
      <c r="I53" s="8">
        <f t="shared" si="9"/>
        <v>17815.294584703115</v>
      </c>
      <c r="J53" s="8">
        <f t="shared" si="9"/>
        <v>18438.829895167724</v>
      </c>
      <c r="K53" s="8">
        <f t="shared" si="9"/>
        <v>19084.188941498593</v>
      </c>
    </row>
    <row r="54" spans="2:11" x14ac:dyDescent="0.25">
      <c r="B54" s="7">
        <v>1.2</v>
      </c>
      <c r="C54" t="s">
        <v>5</v>
      </c>
      <c r="D54" s="6">
        <v>4000</v>
      </c>
      <c r="E54" s="8">
        <f t="shared" si="9"/>
        <v>4240</v>
      </c>
      <c r="F54" s="8">
        <f t="shared" si="9"/>
        <v>4494.4000000000005</v>
      </c>
      <c r="G54" s="8">
        <f t="shared" si="9"/>
        <v>4764.0640000000012</v>
      </c>
      <c r="H54" s="8">
        <f t="shared" si="9"/>
        <v>5049.9078400000017</v>
      </c>
      <c r="I54" s="8">
        <f t="shared" si="9"/>
        <v>5352.9023104000016</v>
      </c>
      <c r="J54" s="8">
        <f t="shared" si="9"/>
        <v>5674.0764490240017</v>
      </c>
      <c r="K54" s="8">
        <f t="shared" si="9"/>
        <v>5872.6691247398412</v>
      </c>
    </row>
    <row r="55" spans="2:11" x14ac:dyDescent="0.25">
      <c r="B55" s="7">
        <v>1</v>
      </c>
      <c r="C55" t="s">
        <v>6</v>
      </c>
      <c r="D55" s="6">
        <v>20000</v>
      </c>
      <c r="E55" s="8">
        <f t="shared" si="9"/>
        <v>20800</v>
      </c>
      <c r="F55" s="8">
        <f t="shared" si="9"/>
        <v>21632</v>
      </c>
      <c r="G55" s="8">
        <f t="shared" si="9"/>
        <v>22497.280000000002</v>
      </c>
      <c r="H55" s="8">
        <f t="shared" si="9"/>
        <v>23397.171200000004</v>
      </c>
      <c r="I55" s="8">
        <f t="shared" si="9"/>
        <v>24333.058048000006</v>
      </c>
      <c r="J55" s="8">
        <f t="shared" si="9"/>
        <v>25306.380369920007</v>
      </c>
      <c r="K55" s="8">
        <f t="shared" si="9"/>
        <v>26192.103682867204</v>
      </c>
    </row>
    <row r="56" spans="2:11" x14ac:dyDescent="0.25">
      <c r="B56" s="7">
        <v>0.3</v>
      </c>
      <c r="C56" t="s">
        <v>29</v>
      </c>
      <c r="D56" s="6">
        <v>1000</v>
      </c>
      <c r="E56" s="8">
        <f t="shared" si="9"/>
        <v>1032</v>
      </c>
      <c r="F56" s="8">
        <f t="shared" si="9"/>
        <v>1065.0240000000001</v>
      </c>
      <c r="G56" s="8">
        <f t="shared" si="9"/>
        <v>1099.1047680000001</v>
      </c>
      <c r="H56" s="8">
        <f t="shared" si="9"/>
        <v>1134.2761205760003</v>
      </c>
      <c r="I56" s="8">
        <f t="shared" si="9"/>
        <v>1170.5729564344324</v>
      </c>
      <c r="J56" s="8">
        <f t="shared" si="9"/>
        <v>1208.0312910403343</v>
      </c>
      <c r="K56" s="8">
        <f t="shared" si="9"/>
        <v>1250.312386226746</v>
      </c>
    </row>
    <row r="57" spans="2:11" x14ac:dyDescent="0.25">
      <c r="B57" s="7">
        <v>0</v>
      </c>
      <c r="C57" t="s">
        <v>14</v>
      </c>
      <c r="D57" s="6">
        <v>1000</v>
      </c>
      <c r="E57" s="8">
        <f>+SUM(E50:E55)*E1</f>
        <v>1078.0999999999999</v>
      </c>
      <c r="F57" s="8">
        <f t="shared" ref="F57:K57" si="10">+SUM(F50:F55)*F1</f>
        <v>1117.6775</v>
      </c>
      <c r="G57" s="8">
        <f t="shared" si="10"/>
        <v>1158.7932125000002</v>
      </c>
      <c r="H57" s="8">
        <f t="shared" si="10"/>
        <v>1201.5104990375</v>
      </c>
      <c r="I57" s="8">
        <f t="shared" si="10"/>
        <v>1245.8954930013124</v>
      </c>
      <c r="J57" s="8">
        <f t="shared" si="10"/>
        <v>1292.017228478586</v>
      </c>
      <c r="K57" s="8">
        <f t="shared" si="10"/>
        <v>1337.2378314753364</v>
      </c>
    </row>
    <row r="58" spans="2:11" x14ac:dyDescent="0.25">
      <c r="C58" s="1" t="s">
        <v>13</v>
      </c>
      <c r="D58" s="9">
        <f>SUM(D49:D57)</f>
        <v>55500</v>
      </c>
      <c r="E58" s="9">
        <f t="shared" ref="E58:K58" si="11">SUM(E49:E57)</f>
        <v>57542.1</v>
      </c>
      <c r="F58" s="9">
        <f t="shared" si="11"/>
        <v>59621.062499999993</v>
      </c>
      <c r="G58" s="9">
        <f t="shared" si="11"/>
        <v>61780.025353499994</v>
      </c>
      <c r="H58" s="9">
        <f t="shared" si="11"/>
        <v>64022.262720952502</v>
      </c>
      <c r="I58" s="9">
        <f t="shared" si="11"/>
        <v>66351.191369655717</v>
      </c>
      <c r="J58" s="9">
        <f t="shared" si="11"/>
        <v>68770.377282465328</v>
      </c>
      <c r="K58" s="9">
        <f t="shared" si="11"/>
        <v>71177.340487351627</v>
      </c>
    </row>
    <row r="59" spans="2:11" x14ac:dyDescent="0.25">
      <c r="D59" s="5"/>
    </row>
    <row r="60" spans="2:11" x14ac:dyDescent="0.25">
      <c r="C60" t="s">
        <v>15</v>
      </c>
      <c r="D60" s="6">
        <v>20000</v>
      </c>
      <c r="E60" s="5">
        <f>+D60*(1+E39)</f>
        <v>20560</v>
      </c>
      <c r="F60" s="5">
        <f t="shared" ref="F60:K60" si="12">+E60*(1+F39)</f>
        <v>21135.68</v>
      </c>
      <c r="G60" s="5">
        <f t="shared" si="12"/>
        <v>21727.479040000002</v>
      </c>
      <c r="H60" s="5">
        <f t="shared" si="12"/>
        <v>22335.848453120001</v>
      </c>
      <c r="I60" s="5">
        <f t="shared" si="12"/>
        <v>22961.25220980736</v>
      </c>
      <c r="J60" s="5">
        <f t="shared" si="12"/>
        <v>23604.167271681967</v>
      </c>
      <c r="K60" s="5">
        <f t="shared" si="12"/>
        <v>24265.083955289061</v>
      </c>
    </row>
    <row r="61" spans="2:11" x14ac:dyDescent="0.25">
      <c r="C61" t="s">
        <v>16</v>
      </c>
      <c r="D61" s="6">
        <v>25000</v>
      </c>
      <c r="E61" s="5">
        <f t="shared" ref="E61:K61" si="13">+D61*(1+E40)</f>
        <v>25874.999999999996</v>
      </c>
      <c r="F61" s="5">
        <f t="shared" si="13"/>
        <v>26780.624999999993</v>
      </c>
      <c r="G61" s="5">
        <f t="shared" si="13"/>
        <v>27717.946874999991</v>
      </c>
      <c r="H61" s="5">
        <f t="shared" si="13"/>
        <v>28688.075015624989</v>
      </c>
      <c r="I61" s="5">
        <f t="shared" si="13"/>
        <v>29692.15764117186</v>
      </c>
      <c r="J61" s="5">
        <f t="shared" si="13"/>
        <v>30731.383158612873</v>
      </c>
      <c r="K61" s="5">
        <f t="shared" si="13"/>
        <v>31806.98156916432</v>
      </c>
    </row>
    <row r="62" spans="2:11" x14ac:dyDescent="0.25">
      <c r="C62" t="s">
        <v>18</v>
      </c>
      <c r="D62" s="5">
        <f>+D58-D60-D61-D63</f>
        <v>5500</v>
      </c>
      <c r="E62" s="5">
        <f>+E58-E60-E61-E63</f>
        <v>5945.8100000000013</v>
      </c>
      <c r="F62" s="5">
        <f t="shared" ref="F62:K62" si="14">+F58-F60-F61-F63</f>
        <v>6355.0765899999997</v>
      </c>
      <c r="G62" s="5">
        <f t="shared" si="14"/>
        <v>6789.1281092899972</v>
      </c>
      <c r="H62" s="5">
        <f t="shared" si="14"/>
        <v>7249.3659484929212</v>
      </c>
      <c r="I62" s="5">
        <f t="shared" si="14"/>
        <v>7737.2685467158826</v>
      </c>
      <c r="J62" s="5">
        <f t="shared" si="14"/>
        <v>8254.395609149029</v>
      </c>
      <c r="K62" s="5">
        <f t="shared" si="14"/>
        <v>8708.5286263710368</v>
      </c>
    </row>
    <row r="63" spans="2:11" x14ac:dyDescent="0.25">
      <c r="C63" t="s">
        <v>17</v>
      </c>
      <c r="D63" s="6">
        <v>5000</v>
      </c>
      <c r="E63" s="12">
        <f>+E65*E4</f>
        <v>5161.2900000000009</v>
      </c>
      <c r="F63" s="12">
        <f t="shared" ref="F63:K63" si="15">+F65*F4</f>
        <v>5349.68091</v>
      </c>
      <c r="G63" s="12">
        <f t="shared" si="15"/>
        <v>5545.4713292100005</v>
      </c>
      <c r="H63" s="12">
        <f t="shared" si="15"/>
        <v>5748.9733037145907</v>
      </c>
      <c r="I63" s="12">
        <f t="shared" si="15"/>
        <v>5960.5129719606139</v>
      </c>
      <c r="J63" s="12">
        <f t="shared" si="15"/>
        <v>6180.4312430214595</v>
      </c>
      <c r="K63" s="12">
        <f t="shared" si="15"/>
        <v>6396.7463365272088</v>
      </c>
    </row>
    <row r="64" spans="2:11" x14ac:dyDescent="0.25">
      <c r="D64" s="5"/>
    </row>
    <row r="65" spans="3:11" x14ac:dyDescent="0.25">
      <c r="C65" t="s">
        <v>31</v>
      </c>
      <c r="D65" s="5">
        <f>+SUMPRODUCT($B$49:$B$57,D49:D57)</f>
        <v>49800</v>
      </c>
      <c r="E65" s="5">
        <f>+SUMPRODUCT($B$49:$B$57,E49:E57)</f>
        <v>51612.9</v>
      </c>
      <c r="F65" s="5">
        <f t="shared" ref="F65:L65" si="16">+SUMPRODUCT($B$49:$B$57,F49:F57)</f>
        <v>53496.809099999999</v>
      </c>
      <c r="G65" s="5">
        <f t="shared" si="16"/>
        <v>55454.713292100001</v>
      </c>
      <c r="H65" s="5">
        <f t="shared" si="16"/>
        <v>57489.733037145903</v>
      </c>
      <c r="I65" s="5">
        <f t="shared" si="16"/>
        <v>59605.129719606135</v>
      </c>
      <c r="J65" s="5">
        <f t="shared" si="16"/>
        <v>61804.312430214595</v>
      </c>
      <c r="K65" s="5">
        <f t="shared" si="16"/>
        <v>63967.463365272088</v>
      </c>
    </row>
    <row r="68" spans="3:11" x14ac:dyDescent="0.25">
      <c r="C68" t="s">
        <v>19</v>
      </c>
      <c r="D68" s="6">
        <v>4830</v>
      </c>
      <c r="E68" s="5">
        <f>+SUMPRODUCT(E50:E56,E32:E38)</f>
        <v>4141.5640000000003</v>
      </c>
      <c r="F68" s="5">
        <f t="shared" ref="F68:K68" si="17">+SUMPRODUCT(F50:F56,F32:F38)</f>
        <v>4286.3447479999995</v>
      </c>
      <c r="G68" s="5">
        <f t="shared" si="17"/>
        <v>4436.5519204359998</v>
      </c>
      <c r="H68" s="5">
        <f t="shared" si="17"/>
        <v>4592.4042738574517</v>
      </c>
      <c r="I68" s="5">
        <f t="shared" si="17"/>
        <v>4754.1300677614026</v>
      </c>
      <c r="J68" s="5">
        <f t="shared" si="17"/>
        <v>4921.9675084481614</v>
      </c>
      <c r="K68" s="5">
        <f t="shared" si="17"/>
        <v>5094.2363712438482</v>
      </c>
    </row>
    <row r="69" spans="3:11" x14ac:dyDescent="0.25">
      <c r="C69" t="s">
        <v>20</v>
      </c>
      <c r="D69" s="6">
        <v>1880</v>
      </c>
      <c r="E69" s="5">
        <f>+SUMPRODUCT(E60:E62,E39:E41)</f>
        <v>1731.0290200000002</v>
      </c>
      <c r="F69" s="5">
        <f t="shared" ref="F69:K69" si="18">+SUMPRODUCT(F60:F62,F39:F41)</f>
        <v>1796.0341317800001</v>
      </c>
      <c r="G69" s="5">
        <f t="shared" si="18"/>
        <v>1863.64093433518</v>
      </c>
      <c r="H69" s="5">
        <f t="shared" si="18"/>
        <v>1933.9597520709374</v>
      </c>
      <c r="I69" s="5">
        <f t="shared" si="18"/>
        <v>2007.1058582776884</v>
      </c>
      <c r="J69" s="5">
        <f t="shared" si="18"/>
        <v>2083.1997097428048</v>
      </c>
      <c r="K69" s="5">
        <f t="shared" si="18"/>
        <v>2158.4249079764286</v>
      </c>
    </row>
    <row r="70" spans="3:11" x14ac:dyDescent="0.25">
      <c r="C70" t="s">
        <v>21</v>
      </c>
      <c r="D70" s="5">
        <f>+D68-D69</f>
        <v>2950</v>
      </c>
      <c r="E70" s="5">
        <f>+E68-E69</f>
        <v>2410.5349800000004</v>
      </c>
      <c r="F70" s="5">
        <f t="shared" ref="F70:K70" si="19">+F68-F69</f>
        <v>2490.3106162199992</v>
      </c>
      <c r="G70" s="5">
        <f t="shared" si="19"/>
        <v>2572.9109861008201</v>
      </c>
      <c r="H70" s="5">
        <f t="shared" si="19"/>
        <v>2658.4445217865141</v>
      </c>
      <c r="I70" s="5">
        <f t="shared" si="19"/>
        <v>2747.024209483714</v>
      </c>
      <c r="J70" s="5">
        <f t="shared" si="19"/>
        <v>2838.7677987053567</v>
      </c>
      <c r="K70" s="5">
        <f t="shared" si="19"/>
        <v>2935.8114632674196</v>
      </c>
    </row>
    <row r="71" spans="3:11" x14ac:dyDescent="0.25">
      <c r="C71" t="s">
        <v>43</v>
      </c>
      <c r="D71" s="6">
        <v>1000</v>
      </c>
      <c r="E71" s="5">
        <f>+D71*(1+E21)</f>
        <v>1035</v>
      </c>
      <c r="F71" s="5">
        <f t="shared" ref="F71:K71" si="20">+E71*(1+F21)</f>
        <v>1071.2249999999999</v>
      </c>
      <c r="G71" s="5">
        <f t="shared" si="20"/>
        <v>1108.7178749999998</v>
      </c>
      <c r="H71" s="5">
        <f t="shared" si="20"/>
        <v>1147.5230006249997</v>
      </c>
      <c r="I71" s="5">
        <f t="shared" si="20"/>
        <v>1187.6863056468746</v>
      </c>
      <c r="J71" s="5">
        <f t="shared" si="20"/>
        <v>1229.2553263445152</v>
      </c>
      <c r="K71" s="5">
        <f t="shared" si="20"/>
        <v>1272.2792627665731</v>
      </c>
    </row>
    <row r="72" spans="3:11" x14ac:dyDescent="0.25">
      <c r="C72" t="s">
        <v>23</v>
      </c>
      <c r="D72" s="6">
        <v>60</v>
      </c>
      <c r="E72" s="5">
        <f>+(SUM(E50:E55)-SUM(D50:D55))*E44+(SUM(E60:E61)-SUM(D60:D61))*E45</f>
        <v>42.405000000000001</v>
      </c>
      <c r="F72" s="5">
        <f t="shared" ref="F72:K72" si="21">+(SUM(F50:F55)-SUM(E50:E55))*F44+(SUM(F60:F61)-SUM(E60:E61))*F45</f>
        <v>44.021414999999976</v>
      </c>
      <c r="G72" s="5">
        <f t="shared" si="21"/>
        <v>45.703075245000079</v>
      </c>
      <c r="H72" s="5">
        <f t="shared" si="21"/>
        <v>47.452779198734895</v>
      </c>
      <c r="I72" s="5">
        <f t="shared" si="21"/>
        <v>49.273453110515142</v>
      </c>
      <c r="J72" s="5">
        <f t="shared" si="21"/>
        <v>51.168157215220461</v>
      </c>
      <c r="K72" s="5">
        <f t="shared" si="21"/>
        <v>50.430148279225875</v>
      </c>
    </row>
    <row r="73" spans="3:11" x14ac:dyDescent="0.25">
      <c r="C73" t="s">
        <v>9</v>
      </c>
      <c r="D73" s="6">
        <v>1000</v>
      </c>
      <c r="E73" s="5">
        <f>+SUMPRODUCT(E24:E29,D50:D55)</f>
        <v>1067</v>
      </c>
      <c r="F73" s="5">
        <f t="shared" ref="F73:K73" si="22">+SUMPRODUCT(F24:F29,E50:E55)</f>
        <v>1104.6949999999999</v>
      </c>
      <c r="G73" s="5">
        <f t="shared" si="22"/>
        <v>1143.8233250000001</v>
      </c>
      <c r="H73" s="5">
        <f t="shared" si="22"/>
        <v>1184.4437363750001</v>
      </c>
      <c r="I73" s="5">
        <f t="shared" si="22"/>
        <v>1226.617592523125</v>
      </c>
      <c r="J73" s="5">
        <f t="shared" si="22"/>
        <v>1270.4089720868092</v>
      </c>
      <c r="K73" s="5">
        <f t="shared" si="22"/>
        <v>1315.884803395797</v>
      </c>
    </row>
    <row r="74" spans="3:11" x14ac:dyDescent="0.25">
      <c r="C74" t="s">
        <v>22</v>
      </c>
      <c r="D74" s="6">
        <v>1500</v>
      </c>
      <c r="E74" s="5">
        <f>+D74*(1+E20)</f>
        <v>1558.4999999999998</v>
      </c>
      <c r="F74" s="5">
        <f t="shared" ref="F74:K74" si="23">+E74*(1+F20)</f>
        <v>1619.2814999999996</v>
      </c>
      <c r="G74" s="5">
        <f t="shared" si="23"/>
        <v>1682.4334784999994</v>
      </c>
      <c r="H74" s="5">
        <f t="shared" si="23"/>
        <v>1748.0483841614994</v>
      </c>
      <c r="I74" s="5">
        <f t="shared" si="23"/>
        <v>1816.2222711437978</v>
      </c>
      <c r="J74" s="5">
        <f t="shared" si="23"/>
        <v>1887.0549397184059</v>
      </c>
      <c r="K74" s="5">
        <f t="shared" si="23"/>
        <v>1953.1018626085499</v>
      </c>
    </row>
    <row r="75" spans="3:11" x14ac:dyDescent="0.25">
      <c r="C75" t="s">
        <v>24</v>
      </c>
      <c r="D75" s="6">
        <v>200</v>
      </c>
      <c r="E75" s="5">
        <f>+D49*E2</f>
        <v>225</v>
      </c>
      <c r="F75" s="5">
        <f t="shared" ref="F75:K75" si="24">+E49*F2</f>
        <v>229.04999999999998</v>
      </c>
      <c r="G75" s="5">
        <f t="shared" si="24"/>
        <v>233.1729</v>
      </c>
      <c r="H75" s="5">
        <f t="shared" si="24"/>
        <v>237.37001219999999</v>
      </c>
      <c r="I75" s="5">
        <f t="shared" si="24"/>
        <v>241.64267241959999</v>
      </c>
      <c r="J75" s="5">
        <f t="shared" si="24"/>
        <v>245.99224052315279</v>
      </c>
      <c r="K75" s="5">
        <f t="shared" si="24"/>
        <v>250.42010085256953</v>
      </c>
    </row>
    <row r="76" spans="3:11" x14ac:dyDescent="0.25">
      <c r="C76" t="s">
        <v>26</v>
      </c>
      <c r="D76" s="5">
        <f>+D70-D72-D74-D75-D73+D71</f>
        <v>1190</v>
      </c>
      <c r="E76" s="5">
        <f>+E70+E71-E72-E73-E74-E75</f>
        <v>552.62998000000039</v>
      </c>
      <c r="F76" s="5">
        <f t="shared" ref="F76:K76" si="25">+F70+F71-F72-F73-F74-F75</f>
        <v>564.48770121999928</v>
      </c>
      <c r="G76" s="5">
        <f t="shared" si="25"/>
        <v>576.49608235582059</v>
      </c>
      <c r="H76" s="5">
        <f t="shared" si="25"/>
        <v>588.65261047627905</v>
      </c>
      <c r="I76" s="5">
        <f t="shared" si="25"/>
        <v>600.9545259335506</v>
      </c>
      <c r="J76" s="5">
        <f t="shared" si="25"/>
        <v>613.39881550628343</v>
      </c>
      <c r="K76" s="5">
        <f t="shared" si="25"/>
        <v>638.25381089785014</v>
      </c>
    </row>
    <row r="77" spans="3:11" x14ac:dyDescent="0.25">
      <c r="C77" t="s">
        <v>27</v>
      </c>
      <c r="D77" s="5">
        <f>+D76*D3</f>
        <v>357</v>
      </c>
      <c r="E77" s="5">
        <f>+E76*E3</f>
        <v>165.78899400000012</v>
      </c>
      <c r="F77" s="5">
        <f t="shared" ref="F77:K77" si="26">+F76*F3</f>
        <v>169.34631036599978</v>
      </c>
      <c r="G77" s="5">
        <f t="shared" si="26"/>
        <v>172.94882470674617</v>
      </c>
      <c r="H77" s="5">
        <f t="shared" si="26"/>
        <v>176.5957831428837</v>
      </c>
      <c r="I77" s="5">
        <f t="shared" si="26"/>
        <v>180.28635778006517</v>
      </c>
      <c r="J77" s="5">
        <f t="shared" si="26"/>
        <v>184.01964465188502</v>
      </c>
      <c r="K77" s="5">
        <f t="shared" si="26"/>
        <v>191.47614326935505</v>
      </c>
    </row>
    <row r="78" spans="3:11" x14ac:dyDescent="0.25">
      <c r="C78" t="s">
        <v>28</v>
      </c>
      <c r="D78" s="5">
        <f>+D76-D77</f>
        <v>833</v>
      </c>
      <c r="E78" s="5">
        <f>+E76-E77</f>
        <v>386.84098600000027</v>
      </c>
      <c r="F78" s="5">
        <f t="shared" ref="F78:K78" si="27">+F76-F77</f>
        <v>395.1413908539995</v>
      </c>
      <c r="G78" s="5">
        <f t="shared" si="27"/>
        <v>403.54725764907442</v>
      </c>
      <c r="H78" s="5">
        <f t="shared" si="27"/>
        <v>412.05682733339535</v>
      </c>
      <c r="I78" s="5">
        <f t="shared" si="27"/>
        <v>420.66816815348545</v>
      </c>
      <c r="J78" s="5">
        <f t="shared" si="27"/>
        <v>429.37917085439841</v>
      </c>
      <c r="K78" s="5">
        <f t="shared" si="27"/>
        <v>446.77766762849512</v>
      </c>
    </row>
    <row r="79" spans="3:11" x14ac:dyDescent="0.25">
      <c r="C79" t="s">
        <v>38</v>
      </c>
      <c r="D79" s="6">
        <v>550</v>
      </c>
      <c r="E79" s="5">
        <f>+E78-E80</f>
        <v>225.5509859999994</v>
      </c>
      <c r="F79" s="5">
        <f t="shared" ref="F79:K79" si="28">+F78-F80</f>
        <v>206.75048085400033</v>
      </c>
      <c r="G79" s="5">
        <f t="shared" si="28"/>
        <v>207.75683843907399</v>
      </c>
      <c r="H79" s="5">
        <f t="shared" si="28"/>
        <v>208.55485282880517</v>
      </c>
      <c r="I79" s="5">
        <f t="shared" si="28"/>
        <v>209.12849990746224</v>
      </c>
      <c r="J79" s="5">
        <f t="shared" si="28"/>
        <v>209.46089979355276</v>
      </c>
      <c r="K79" s="5">
        <f t="shared" si="28"/>
        <v>230.46257412274588</v>
      </c>
    </row>
    <row r="80" spans="3:11" x14ac:dyDescent="0.25">
      <c r="C80" t="s">
        <v>37</v>
      </c>
      <c r="D80" s="5">
        <f>+D78-D79</f>
        <v>283</v>
      </c>
      <c r="E80" s="5">
        <f>+IF(E78&lt;0,E78,MAX(0,MIN(E78,E82)))</f>
        <v>161.29000000000087</v>
      </c>
      <c r="F80" s="5">
        <f t="shared" ref="F80:K80" si="29">+IF(F78&lt;0,F78,MAX(0,MIN(F78,F82)))</f>
        <v>188.39090999999917</v>
      </c>
      <c r="G80" s="5">
        <f t="shared" si="29"/>
        <v>195.79041921000044</v>
      </c>
      <c r="H80" s="5">
        <f t="shared" si="29"/>
        <v>203.50197450459018</v>
      </c>
      <c r="I80" s="5">
        <f t="shared" si="29"/>
        <v>211.53966824602321</v>
      </c>
      <c r="J80" s="5">
        <f t="shared" si="29"/>
        <v>219.91827106084565</v>
      </c>
      <c r="K80" s="5">
        <f t="shared" si="29"/>
        <v>216.31509350574925</v>
      </c>
    </row>
    <row r="81" spans="1:11" x14ac:dyDescent="0.25">
      <c r="D81" s="5"/>
      <c r="E81" s="5"/>
      <c r="F81" s="5"/>
      <c r="G81" s="5"/>
      <c r="H81" s="5"/>
      <c r="I81" s="5"/>
      <c r="J81" s="5"/>
      <c r="K81" s="5"/>
    </row>
    <row r="82" spans="1:11" x14ac:dyDescent="0.25">
      <c r="C82" t="s">
        <v>45</v>
      </c>
      <c r="E82" s="5">
        <f>+E63-D63</f>
        <v>161.29000000000087</v>
      </c>
      <c r="F82" s="5">
        <f t="shared" ref="F82:K82" si="30">+F63-E63</f>
        <v>188.39090999999917</v>
      </c>
      <c r="G82" s="5">
        <f t="shared" si="30"/>
        <v>195.79041921000044</v>
      </c>
      <c r="H82" s="5">
        <f t="shared" si="30"/>
        <v>203.50197450459018</v>
      </c>
      <c r="I82" s="5">
        <f t="shared" si="30"/>
        <v>211.53966824602321</v>
      </c>
      <c r="J82" s="5">
        <f t="shared" si="30"/>
        <v>219.91827106084565</v>
      </c>
      <c r="K82" s="5">
        <f t="shared" si="30"/>
        <v>216.31509350574925</v>
      </c>
    </row>
    <row r="83" spans="1:11" x14ac:dyDescent="0.25">
      <c r="C83" t="s">
        <v>46</v>
      </c>
      <c r="E83" s="5">
        <f>+E82-E80</f>
        <v>0</v>
      </c>
      <c r="F83" s="5">
        <f t="shared" ref="F83:K83" si="31">+F82-F80</f>
        <v>0</v>
      </c>
      <c r="G83" s="5">
        <f t="shared" si="31"/>
        <v>0</v>
      </c>
      <c r="H83" s="5">
        <f t="shared" si="31"/>
        <v>0</v>
      </c>
      <c r="I83" s="5">
        <f t="shared" si="31"/>
        <v>0</v>
      </c>
      <c r="J83" s="5">
        <f t="shared" si="31"/>
        <v>0</v>
      </c>
      <c r="K83" s="5">
        <f t="shared" si="31"/>
        <v>0</v>
      </c>
    </row>
    <row r="86" spans="1:11" x14ac:dyDescent="0.25">
      <c r="A86" t="s">
        <v>48</v>
      </c>
      <c r="C86" s="5" t="str">
        <f>+C78</f>
        <v>Profit after tax</v>
      </c>
      <c r="D86" s="5">
        <f t="shared" ref="D86:K86" si="32">+D78</f>
        <v>833</v>
      </c>
      <c r="E86" s="5">
        <f t="shared" si="32"/>
        <v>386.84098600000027</v>
      </c>
      <c r="F86" s="5">
        <f t="shared" si="32"/>
        <v>395.1413908539995</v>
      </c>
      <c r="G86" s="5">
        <f t="shared" si="32"/>
        <v>403.54725764907442</v>
      </c>
      <c r="H86" s="5">
        <f t="shared" si="32"/>
        <v>412.05682733339535</v>
      </c>
      <c r="I86" s="5">
        <f t="shared" si="32"/>
        <v>420.66816815348545</v>
      </c>
      <c r="J86" s="5">
        <f t="shared" si="32"/>
        <v>429.37917085439841</v>
      </c>
      <c r="K86" s="5">
        <f t="shared" si="32"/>
        <v>446.77766762849512</v>
      </c>
    </row>
    <row r="87" spans="1:11" x14ac:dyDescent="0.25">
      <c r="A87" s="13" t="s">
        <v>49</v>
      </c>
      <c r="C87" t="s">
        <v>47</v>
      </c>
      <c r="E87" s="5">
        <f>+E63-D63</f>
        <v>161.29000000000087</v>
      </c>
      <c r="F87" s="5">
        <f t="shared" ref="F87:K87" si="33">+F63-E63</f>
        <v>188.39090999999917</v>
      </c>
      <c r="G87" s="5">
        <f t="shared" si="33"/>
        <v>195.79041921000044</v>
      </c>
      <c r="H87" s="5">
        <f t="shared" si="33"/>
        <v>203.50197450459018</v>
      </c>
      <c r="I87" s="5">
        <f t="shared" si="33"/>
        <v>211.53966824602321</v>
      </c>
      <c r="J87" s="5">
        <f t="shared" si="33"/>
        <v>219.91827106084565</v>
      </c>
      <c r="K87" s="5">
        <f t="shared" si="33"/>
        <v>216.31509350574925</v>
      </c>
    </row>
    <row r="88" spans="1:11" x14ac:dyDescent="0.25">
      <c r="A88" t="s">
        <v>50</v>
      </c>
      <c r="C88" t="s">
        <v>51</v>
      </c>
      <c r="E88" s="5">
        <f>+E86-E87</f>
        <v>225.5509859999994</v>
      </c>
      <c r="F88" s="5">
        <f t="shared" ref="F88:K88" si="34">+F86-F87</f>
        <v>206.75048085400033</v>
      </c>
      <c r="G88" s="5">
        <f t="shared" si="34"/>
        <v>207.75683843907399</v>
      </c>
      <c r="H88" s="5">
        <f t="shared" si="34"/>
        <v>208.55485282880517</v>
      </c>
      <c r="I88" s="5">
        <f t="shared" si="34"/>
        <v>209.12849990746224</v>
      </c>
      <c r="J88" s="5">
        <f t="shared" si="34"/>
        <v>209.46089979355276</v>
      </c>
      <c r="K88" s="5">
        <f t="shared" si="34"/>
        <v>230.46257412274588</v>
      </c>
    </row>
    <row r="89" spans="1:11" x14ac:dyDescent="0.25">
      <c r="C89" t="str">
        <f>+C79</f>
        <v>Dividend</v>
      </c>
      <c r="E89" s="5">
        <f t="shared" ref="E89:K89" si="35">+E79</f>
        <v>225.5509859999994</v>
      </c>
      <c r="F89" s="5">
        <f t="shared" si="35"/>
        <v>206.75048085400033</v>
      </c>
      <c r="G89" s="5">
        <f t="shared" si="35"/>
        <v>207.75683843907399</v>
      </c>
      <c r="H89" s="5">
        <f t="shared" si="35"/>
        <v>208.55485282880517</v>
      </c>
      <c r="I89" s="5">
        <f t="shared" si="35"/>
        <v>209.12849990746224</v>
      </c>
      <c r="J89" s="5">
        <f t="shared" si="35"/>
        <v>209.46089979355276</v>
      </c>
      <c r="K89" s="5">
        <f t="shared" si="35"/>
        <v>230.46257412274588</v>
      </c>
    </row>
    <row r="90" spans="1:11" x14ac:dyDescent="0.25">
      <c r="C90" t="s">
        <v>53</v>
      </c>
      <c r="E90" s="5">
        <f>+E63-D63-E80</f>
        <v>0</v>
      </c>
      <c r="F90" s="5">
        <f t="shared" ref="F90:K90" si="36">+F63-E63-F80</f>
        <v>0</v>
      </c>
      <c r="G90" s="5">
        <f t="shared" si="36"/>
        <v>0</v>
      </c>
      <c r="H90" s="5">
        <f t="shared" si="36"/>
        <v>0</v>
      </c>
      <c r="I90" s="5">
        <f t="shared" si="36"/>
        <v>0</v>
      </c>
      <c r="J90" s="5">
        <f t="shared" si="36"/>
        <v>0</v>
      </c>
      <c r="K90" s="5">
        <f t="shared" si="36"/>
        <v>0</v>
      </c>
    </row>
    <row r="91" spans="1:11" x14ac:dyDescent="0.25">
      <c r="C91" t="s">
        <v>52</v>
      </c>
      <c r="E91" s="5">
        <f>+E88-E89+E90</f>
        <v>0</v>
      </c>
      <c r="F91" s="5">
        <f t="shared" ref="F91:K91" si="37">+F88-F89+F90</f>
        <v>0</v>
      </c>
      <c r="G91" s="5">
        <f t="shared" si="37"/>
        <v>0</v>
      </c>
      <c r="H91" s="5">
        <f t="shared" si="37"/>
        <v>0</v>
      </c>
      <c r="I91" s="5">
        <f t="shared" si="37"/>
        <v>0</v>
      </c>
      <c r="J91" s="5">
        <f t="shared" si="37"/>
        <v>0</v>
      </c>
      <c r="K91" s="5">
        <f t="shared" si="37"/>
        <v>0</v>
      </c>
    </row>
    <row r="95" spans="1:11" x14ac:dyDescent="0.25">
      <c r="B95" t="s">
        <v>56</v>
      </c>
      <c r="C95" s="5" t="str">
        <f>+C88</f>
        <v>FCFE</v>
      </c>
      <c r="D95" s="5"/>
      <c r="E95" s="5">
        <f t="shared" ref="E95:L95" si="38">+E88</f>
        <v>225.5509859999994</v>
      </c>
      <c r="F95" s="5">
        <f t="shared" si="38"/>
        <v>206.75048085400033</v>
      </c>
      <c r="G95" s="5">
        <f t="shared" si="38"/>
        <v>207.75683843907399</v>
      </c>
      <c r="H95" s="5">
        <f t="shared" si="38"/>
        <v>208.55485282880517</v>
      </c>
      <c r="I95" s="5">
        <f t="shared" si="38"/>
        <v>209.12849990746224</v>
      </c>
      <c r="J95" s="5">
        <f t="shared" si="38"/>
        <v>209.46089979355276</v>
      </c>
      <c r="K95" s="5">
        <f t="shared" si="38"/>
        <v>230.46257412274588</v>
      </c>
    </row>
    <row r="96" spans="1:11" x14ac:dyDescent="0.25">
      <c r="C96" t="s">
        <v>54</v>
      </c>
      <c r="E96" s="14">
        <f>+E5+E6*E7</f>
        <v>6.6000000000000003E-2</v>
      </c>
      <c r="F96" s="14">
        <f t="shared" ref="F96:K96" si="39">+F5+F6*F7</f>
        <v>6.6000000000000003E-2</v>
      </c>
      <c r="G96" s="14">
        <f t="shared" si="39"/>
        <v>6.6000000000000003E-2</v>
      </c>
      <c r="H96" s="14">
        <f t="shared" si="39"/>
        <v>6.6000000000000003E-2</v>
      </c>
      <c r="I96" s="14">
        <f t="shared" si="39"/>
        <v>6.6000000000000003E-2</v>
      </c>
      <c r="J96" s="14">
        <f t="shared" si="39"/>
        <v>6.6000000000000003E-2</v>
      </c>
      <c r="K96" s="14">
        <f t="shared" si="39"/>
        <v>6.6000000000000003E-2</v>
      </c>
    </row>
    <row r="97" spans="3:12" x14ac:dyDescent="0.25">
      <c r="C97" s="16" t="s">
        <v>55</v>
      </c>
      <c r="D97" s="16"/>
      <c r="E97" s="17">
        <f t="shared" ref="E97:I97" si="40">+(E95+F97)/(1+E96)</f>
        <v>6087.5650910123522</v>
      </c>
      <c r="F97" s="15">
        <f t="shared" si="40"/>
        <v>6263.7934010191684</v>
      </c>
      <c r="G97" s="15">
        <f t="shared" si="40"/>
        <v>6470.4532846324337</v>
      </c>
      <c r="H97" s="15">
        <f t="shared" si="40"/>
        <v>6689.7463629791</v>
      </c>
      <c r="I97" s="15">
        <f t="shared" si="40"/>
        <v>6922.7147701069152</v>
      </c>
      <c r="J97" s="15">
        <f>+(J95+K97)/(1+J96)</f>
        <v>7170.4854450265093</v>
      </c>
      <c r="K97" s="15">
        <f>+K95/(K96-K11)</f>
        <v>7434.2765846047059</v>
      </c>
    </row>
    <row r="100" spans="3:12" x14ac:dyDescent="0.25">
      <c r="C100" t="s">
        <v>57</v>
      </c>
    </row>
    <row r="101" spans="3:12" x14ac:dyDescent="0.25">
      <c r="C101" t="str">
        <f>+C78</f>
        <v>Profit after tax</v>
      </c>
      <c r="E101" s="5">
        <f t="shared" ref="E101:K101" si="41">+E78</f>
        <v>386.84098600000027</v>
      </c>
      <c r="F101" s="5">
        <f t="shared" si="41"/>
        <v>395.1413908539995</v>
      </c>
      <c r="G101" s="5">
        <f t="shared" si="41"/>
        <v>403.54725764907442</v>
      </c>
      <c r="H101" s="5">
        <f t="shared" si="41"/>
        <v>412.05682733339535</v>
      </c>
      <c r="I101" s="5">
        <f t="shared" si="41"/>
        <v>420.66816815348545</v>
      </c>
      <c r="J101" s="5">
        <f t="shared" si="41"/>
        <v>429.37917085439841</v>
      </c>
      <c r="K101" s="5">
        <f t="shared" si="41"/>
        <v>446.77766762849512</v>
      </c>
    </row>
    <row r="102" spans="3:12" x14ac:dyDescent="0.25">
      <c r="C102" t="s">
        <v>58</v>
      </c>
      <c r="E102" s="5">
        <f>+E96*D63</f>
        <v>330</v>
      </c>
      <c r="F102" s="5">
        <f>+F96*E63</f>
        <v>340.64514000000008</v>
      </c>
      <c r="G102" s="5">
        <f t="shared" ref="G102:K102" si="42">+G96*F63</f>
        <v>353.07894006000004</v>
      </c>
      <c r="H102" s="5">
        <f t="shared" si="42"/>
        <v>366.00110772786007</v>
      </c>
      <c r="I102" s="5">
        <f t="shared" si="42"/>
        <v>379.43223804516299</v>
      </c>
      <c r="J102" s="5">
        <f t="shared" si="42"/>
        <v>393.39385614940051</v>
      </c>
      <c r="K102" s="5">
        <f t="shared" si="42"/>
        <v>407.90846203941635</v>
      </c>
    </row>
    <row r="103" spans="3:12" x14ac:dyDescent="0.25">
      <c r="C103" t="s">
        <v>59</v>
      </c>
      <c r="E103" s="5">
        <f>+E101-E102</f>
        <v>56.840986000000271</v>
      </c>
      <c r="F103" s="5">
        <f>+F101-F102</f>
        <v>54.496250853999413</v>
      </c>
      <c r="G103" s="5">
        <f t="shared" ref="G103:K103" si="43">+G101-G102</f>
        <v>50.468317589074388</v>
      </c>
      <c r="H103" s="5">
        <f t="shared" si="43"/>
        <v>46.055719605535273</v>
      </c>
      <c r="I103" s="5">
        <f t="shared" si="43"/>
        <v>41.235930108322464</v>
      </c>
      <c r="J103" s="5">
        <f t="shared" si="43"/>
        <v>35.985314704997904</v>
      </c>
      <c r="K103" s="5">
        <f t="shared" si="43"/>
        <v>38.869205589078774</v>
      </c>
    </row>
    <row r="104" spans="3:12" x14ac:dyDescent="0.25">
      <c r="C104" t="s">
        <v>60</v>
      </c>
      <c r="E104" s="5">
        <f t="shared" ref="E104:I104" si="44">+(E103+F104)/(1+E96)</f>
        <v>1087.5650910123516</v>
      </c>
      <c r="F104" s="5">
        <f t="shared" si="44"/>
        <v>1102.5034010191666</v>
      </c>
      <c r="G104" s="5">
        <f t="shared" si="44"/>
        <v>1120.7723746324323</v>
      </c>
      <c r="H104" s="5">
        <f t="shared" si="44"/>
        <v>1144.2750337690986</v>
      </c>
      <c r="I104" s="5">
        <f t="shared" si="44"/>
        <v>1173.7414663923241</v>
      </c>
      <c r="J104" s="5">
        <f>+(J103+K104)/(1+J96)</f>
        <v>1209.9724730658952</v>
      </c>
      <c r="K104" s="18">
        <f>+K97-J63</f>
        <v>1253.8453415832464</v>
      </c>
      <c r="L104" t="s">
        <v>61</v>
      </c>
    </row>
    <row r="105" spans="3:12" x14ac:dyDescent="0.25">
      <c r="C105" t="s">
        <v>62</v>
      </c>
      <c r="E105" s="5">
        <f>+D63</f>
        <v>5000</v>
      </c>
      <c r="F105" s="5">
        <f t="shared" ref="F105:K105" si="45">+E63</f>
        <v>5161.2900000000009</v>
      </c>
      <c r="G105" s="5">
        <f t="shared" si="45"/>
        <v>5349.68091</v>
      </c>
      <c r="H105" s="5">
        <f t="shared" si="45"/>
        <v>5545.4713292100005</v>
      </c>
      <c r="I105" s="5">
        <f t="shared" si="45"/>
        <v>5748.9733037145907</v>
      </c>
      <c r="J105" s="5">
        <f t="shared" si="45"/>
        <v>5960.5129719606139</v>
      </c>
      <c r="K105" s="5">
        <f t="shared" si="45"/>
        <v>6180.4312430214595</v>
      </c>
    </row>
    <row r="106" spans="3:12" x14ac:dyDescent="0.25">
      <c r="C106" s="16" t="s">
        <v>55</v>
      </c>
      <c r="D106" s="16"/>
      <c r="E106" s="17">
        <f>+E104+E105</f>
        <v>6087.5650910123513</v>
      </c>
      <c r="F106" s="17">
        <f t="shared" ref="F106:K106" si="46">+F104+F105</f>
        <v>6263.7934010191675</v>
      </c>
      <c r="G106" s="17">
        <f t="shared" si="46"/>
        <v>6470.4532846324328</v>
      </c>
      <c r="H106" s="17">
        <f t="shared" si="46"/>
        <v>6689.7463629790991</v>
      </c>
      <c r="I106" s="17">
        <f t="shared" si="46"/>
        <v>6922.7147701069152</v>
      </c>
      <c r="J106" s="17">
        <f t="shared" si="46"/>
        <v>7170.4854450265093</v>
      </c>
      <c r="K106" s="17">
        <f t="shared" si="46"/>
        <v>7434.2765846047059</v>
      </c>
      <c r="L106" s="17">
        <f>+K106*(1+K11)</f>
        <v>7694.4762650658704</v>
      </c>
    </row>
    <row r="108" spans="3:12" x14ac:dyDescent="0.25">
      <c r="C108" t="s">
        <v>63</v>
      </c>
      <c r="E108" s="14">
        <f>+E86/D63</f>
        <v>7.7368197200000058E-2</v>
      </c>
      <c r="F108" s="14">
        <f t="shared" ref="F108:K108" si="47">+F86/E63</f>
        <v>7.6558649262877962E-2</v>
      </c>
      <c r="G108" s="14">
        <f t="shared" si="47"/>
        <v>7.5433893056076576E-2</v>
      </c>
      <c r="H108" s="14">
        <f t="shared" si="47"/>
        <v>7.4305104628878557E-2</v>
      </c>
      <c r="I108" s="14">
        <f t="shared" si="47"/>
        <v>7.3172746841888903E-2</v>
      </c>
      <c r="J108" s="14">
        <f t="shared" si="47"/>
        <v>7.2037284856904041E-2</v>
      </c>
      <c r="K108" s="14">
        <f t="shared" si="47"/>
        <v>7.2289076613054698E-2</v>
      </c>
    </row>
    <row r="110" spans="3:12" x14ac:dyDescent="0.25">
      <c r="C110" t="s">
        <v>64</v>
      </c>
      <c r="E110" s="5">
        <f>+E106/E78</f>
        <v>15.736608351557523</v>
      </c>
    </row>
    <row r="111" spans="3:12" x14ac:dyDescent="0.25">
      <c r="C111" t="s">
        <v>66</v>
      </c>
      <c r="E111" s="5">
        <f>+E106/E105</f>
        <v>1.2175130182024703</v>
      </c>
    </row>
    <row r="112" spans="3:12" x14ac:dyDescent="0.25">
      <c r="C112" t="s">
        <v>65</v>
      </c>
      <c r="E112" s="5">
        <f>+E106/(E70+E71)</f>
        <v>1.7667982262111153</v>
      </c>
    </row>
    <row r="114" spans="3:11" x14ac:dyDescent="0.25">
      <c r="C114" t="s">
        <v>67</v>
      </c>
      <c r="E114" s="5">
        <f>+F106-E106+E79</f>
        <v>401.77929600681557</v>
      </c>
      <c r="F114" s="5">
        <f t="shared" ref="F114:K114" si="48">+G106-F106+F79</f>
        <v>413.41036446726559</v>
      </c>
      <c r="G114" s="5">
        <f t="shared" si="48"/>
        <v>427.04991678574032</v>
      </c>
      <c r="H114" s="5">
        <f t="shared" si="48"/>
        <v>441.5232599566213</v>
      </c>
      <c r="I114" s="5">
        <f t="shared" si="48"/>
        <v>456.8991748270563</v>
      </c>
      <c r="J114" s="5">
        <f t="shared" si="48"/>
        <v>473.25203937174939</v>
      </c>
      <c r="K114" s="5">
        <f t="shared" si="48"/>
        <v>490.66225458391034</v>
      </c>
    </row>
    <row r="115" spans="3:11" x14ac:dyDescent="0.25">
      <c r="C115" t="s">
        <v>68</v>
      </c>
      <c r="E115" s="14">
        <f>+E114/E106</f>
        <v>6.6000000000000059E-2</v>
      </c>
      <c r="F115" s="14">
        <f t="shared" ref="F115:K115" si="49">+F114/F106</f>
        <v>6.6000000000000086E-2</v>
      </c>
      <c r="G115" s="14">
        <f t="shared" si="49"/>
        <v>6.5999999999999961E-2</v>
      </c>
      <c r="H115" s="14">
        <f t="shared" si="49"/>
        <v>6.6000000000000114E-2</v>
      </c>
      <c r="I115" s="14">
        <f t="shared" si="49"/>
        <v>6.5999999999999989E-2</v>
      </c>
      <c r="J115" s="14">
        <f t="shared" si="49"/>
        <v>6.5999999999999975E-2</v>
      </c>
      <c r="K115" s="14">
        <f t="shared" si="49"/>
        <v>6.5999999999999961E-2</v>
      </c>
    </row>
    <row r="117" spans="3:11" x14ac:dyDescent="0.25">
      <c r="C117" t="s">
        <v>69</v>
      </c>
      <c r="E117" s="5">
        <f>+BaseCase!E106</f>
        <v>6087.5650910123513</v>
      </c>
    </row>
    <row r="118" spans="3:11" x14ac:dyDescent="0.25">
      <c r="C118" t="s">
        <v>70</v>
      </c>
      <c r="E118" s="14">
        <f>+E119/E117</f>
        <v>0</v>
      </c>
    </row>
    <row r="119" spans="3:11" x14ac:dyDescent="0.25">
      <c r="C119" t="s">
        <v>71</v>
      </c>
      <c r="E119" s="5">
        <f>+E106-E117</f>
        <v>0</v>
      </c>
    </row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23901-2296-402B-85E4-9C2E980D22C4}">
  <dimension ref="A1:L106"/>
  <sheetViews>
    <sheetView topLeftCell="C83" zoomScale="140" zoomScaleNormal="140" workbookViewId="0">
      <selection activeCell="E89" sqref="E89"/>
    </sheetView>
  </sheetViews>
  <sheetFormatPr defaultRowHeight="15.75" x14ac:dyDescent="0.25"/>
  <cols>
    <col min="2" max="2" width="10.75" bestFit="1" customWidth="1"/>
    <col min="3" max="3" width="35.25" bestFit="1" customWidth="1"/>
    <col min="4" max="11" width="8.875" bestFit="1" customWidth="1"/>
  </cols>
  <sheetData>
    <row r="1" spans="3:11" x14ac:dyDescent="0.25">
      <c r="C1" t="s">
        <v>32</v>
      </c>
      <c r="E1" s="10">
        <v>0.02</v>
      </c>
      <c r="F1" s="10">
        <v>0.02</v>
      </c>
      <c r="G1" s="10">
        <v>0.02</v>
      </c>
      <c r="H1" s="10">
        <v>0.02</v>
      </c>
      <c r="I1" s="10">
        <v>0.02</v>
      </c>
      <c r="J1" s="10">
        <v>0.02</v>
      </c>
      <c r="K1" s="10">
        <v>0.02</v>
      </c>
    </row>
    <row r="2" spans="3:11" x14ac:dyDescent="0.25">
      <c r="C2" t="s">
        <v>35</v>
      </c>
      <c r="E2" s="10">
        <v>0.15</v>
      </c>
      <c r="F2" s="10">
        <v>0.15</v>
      </c>
      <c r="G2" s="10">
        <v>0.15</v>
      </c>
      <c r="H2" s="10">
        <v>0.15</v>
      </c>
      <c r="I2" s="10">
        <v>0.15</v>
      </c>
      <c r="J2" s="10">
        <v>0.15</v>
      </c>
      <c r="K2" s="10">
        <v>0.15</v>
      </c>
    </row>
    <row r="3" spans="3:11" x14ac:dyDescent="0.25">
      <c r="C3" t="s">
        <v>36</v>
      </c>
      <c r="D3" s="10">
        <v>0.3</v>
      </c>
      <c r="E3" s="10">
        <v>0.3</v>
      </c>
      <c r="F3" s="10">
        <v>0.3</v>
      </c>
      <c r="G3" s="10">
        <v>0.3</v>
      </c>
      <c r="H3" s="10">
        <v>0.3</v>
      </c>
      <c r="I3" s="10">
        <v>0.3</v>
      </c>
      <c r="J3" s="10">
        <v>0.3</v>
      </c>
      <c r="K3" s="10">
        <v>0.3</v>
      </c>
    </row>
    <row r="4" spans="3:11" x14ac:dyDescent="0.25">
      <c r="C4" t="s">
        <v>44</v>
      </c>
      <c r="D4" s="11">
        <v>0.1</v>
      </c>
      <c r="E4" s="11">
        <v>0.1</v>
      </c>
      <c r="F4" s="11">
        <v>0.1</v>
      </c>
      <c r="G4" s="11">
        <v>0.1</v>
      </c>
      <c r="H4" s="11">
        <v>0.1</v>
      </c>
      <c r="I4" s="11">
        <v>0.1</v>
      </c>
      <c r="J4" s="11">
        <v>0.1</v>
      </c>
      <c r="K4" s="11">
        <v>0.1</v>
      </c>
    </row>
    <row r="5" spans="3:11" x14ac:dyDescent="0.25">
      <c r="C5" t="s">
        <v>39</v>
      </c>
      <c r="D5" s="4"/>
      <c r="E5" s="11">
        <v>0.03</v>
      </c>
      <c r="F5" s="11">
        <v>0.03</v>
      </c>
      <c r="G5" s="11">
        <v>0.03</v>
      </c>
      <c r="H5" s="11">
        <v>0.03</v>
      </c>
      <c r="I5" s="11">
        <v>0.03</v>
      </c>
      <c r="J5" s="11">
        <v>0.03</v>
      </c>
      <c r="K5" s="11">
        <v>0.03</v>
      </c>
    </row>
    <row r="6" spans="3:11" x14ac:dyDescent="0.25">
      <c r="C6" t="s">
        <v>40</v>
      </c>
      <c r="D6" s="4"/>
      <c r="E6" s="11">
        <v>0.06</v>
      </c>
      <c r="F6" s="11">
        <v>0.06</v>
      </c>
      <c r="G6" s="11">
        <v>0.06</v>
      </c>
      <c r="H6" s="11">
        <v>0.06</v>
      </c>
      <c r="I6" s="11">
        <v>0.06</v>
      </c>
      <c r="J6" s="11">
        <v>0.06</v>
      </c>
      <c r="K6" s="11">
        <v>0.06</v>
      </c>
    </row>
    <row r="7" spans="3:11" x14ac:dyDescent="0.25">
      <c r="C7" t="s">
        <v>41</v>
      </c>
      <c r="D7" s="4"/>
      <c r="E7" s="6">
        <v>0.6</v>
      </c>
      <c r="F7" s="6">
        <v>0.6</v>
      </c>
      <c r="G7" s="6">
        <v>0.6</v>
      </c>
      <c r="H7" s="6">
        <v>0.6</v>
      </c>
      <c r="I7" s="6">
        <v>0.6</v>
      </c>
      <c r="J7" s="6">
        <v>0.6</v>
      </c>
      <c r="K7" s="6">
        <v>0.6</v>
      </c>
    </row>
    <row r="8" spans="3:11" x14ac:dyDescent="0.25">
      <c r="D8" s="4"/>
      <c r="E8" s="4"/>
      <c r="F8" s="4"/>
      <c r="G8" s="4"/>
      <c r="H8" s="4"/>
      <c r="I8" s="4"/>
      <c r="J8" s="4"/>
      <c r="K8" s="4"/>
    </row>
    <row r="10" spans="3:11" x14ac:dyDescent="0.25">
      <c r="C10" s="3" t="s">
        <v>7</v>
      </c>
      <c r="D10" s="3">
        <f ca="1">+D48</f>
        <v>2024</v>
      </c>
      <c r="E10" s="3">
        <f t="shared" ref="E10:K10" ca="1" si="0">+E48</f>
        <v>2025</v>
      </c>
      <c r="F10" s="3">
        <f t="shared" ca="1" si="0"/>
        <v>2026</v>
      </c>
      <c r="G10" s="3">
        <f t="shared" ca="1" si="0"/>
        <v>2027</v>
      </c>
      <c r="H10" s="3">
        <f t="shared" ca="1" si="0"/>
        <v>2028</v>
      </c>
      <c r="I10" s="3">
        <f t="shared" ca="1" si="0"/>
        <v>2029</v>
      </c>
      <c r="J10" s="3">
        <f t="shared" ca="1" si="0"/>
        <v>2030</v>
      </c>
      <c r="K10" s="3" t="str">
        <f t="shared" si="0"/>
        <v>TV</v>
      </c>
    </row>
    <row r="11" spans="3:11" x14ac:dyDescent="0.25">
      <c r="C11" t="s">
        <v>25</v>
      </c>
      <c r="E11" s="11">
        <v>1.7999999999999999E-2</v>
      </c>
      <c r="F11" s="11">
        <v>1.7999999999999999E-2</v>
      </c>
      <c r="G11" s="11">
        <v>1.7999999999999999E-2</v>
      </c>
      <c r="H11" s="11">
        <v>1.7999999999999999E-2</v>
      </c>
      <c r="I11" s="11">
        <v>1.7999999999999999E-2</v>
      </c>
      <c r="J11" s="11">
        <v>1.7999999999999999E-2</v>
      </c>
      <c r="K11" s="11">
        <v>3.5000000000000003E-2</v>
      </c>
    </row>
    <row r="12" spans="3:11" x14ac:dyDescent="0.25">
      <c r="C12" t="s">
        <v>1</v>
      </c>
      <c r="E12" s="11">
        <v>0.03</v>
      </c>
      <c r="F12" s="11">
        <v>0.03</v>
      </c>
      <c r="G12" s="11">
        <v>0.03</v>
      </c>
      <c r="H12" s="11">
        <v>0.03</v>
      </c>
      <c r="I12" s="11">
        <v>0.03</v>
      </c>
      <c r="J12" s="11">
        <v>0.03</v>
      </c>
      <c r="K12" s="11">
        <v>3.5000000000000003E-2</v>
      </c>
    </row>
    <row r="13" spans="3:11" x14ac:dyDescent="0.25">
      <c r="C13" t="s">
        <v>2</v>
      </c>
      <c r="E13" s="11">
        <v>0.02</v>
      </c>
      <c r="F13" s="11">
        <v>0.02</v>
      </c>
      <c r="G13" s="11">
        <v>0.02</v>
      </c>
      <c r="H13" s="11">
        <v>0.02</v>
      </c>
      <c r="I13" s="11">
        <v>0.02</v>
      </c>
      <c r="J13" s="11">
        <v>0.02</v>
      </c>
      <c r="K13" s="11">
        <v>3.5000000000000003E-2</v>
      </c>
    </row>
    <row r="14" spans="3:11" x14ac:dyDescent="0.25">
      <c r="C14" t="s">
        <v>4</v>
      </c>
      <c r="E14" s="11">
        <v>2.5000000000000001E-2</v>
      </c>
      <c r="F14" s="11">
        <v>2.5000000000000001E-2</v>
      </c>
      <c r="G14" s="11">
        <v>2.5000000000000001E-2</v>
      </c>
      <c r="H14" s="11">
        <v>2.5000000000000001E-2</v>
      </c>
      <c r="I14" s="11">
        <v>2.5000000000000001E-2</v>
      </c>
      <c r="J14" s="11">
        <v>2.5000000000000001E-2</v>
      </c>
      <c r="K14" s="11">
        <v>3.5000000000000003E-2</v>
      </c>
    </row>
    <row r="15" spans="3:11" x14ac:dyDescent="0.25">
      <c r="C15" t="s">
        <v>3</v>
      </c>
      <c r="E15" s="11">
        <v>3.5000000000000003E-2</v>
      </c>
      <c r="F15" s="11">
        <v>3.5000000000000003E-2</v>
      </c>
      <c r="G15" s="11">
        <v>3.5000000000000003E-2</v>
      </c>
      <c r="H15" s="11">
        <v>3.5000000000000003E-2</v>
      </c>
      <c r="I15" s="11">
        <v>3.5000000000000003E-2</v>
      </c>
      <c r="J15" s="11">
        <v>3.5000000000000003E-2</v>
      </c>
      <c r="K15" s="11">
        <v>3.5000000000000003E-2</v>
      </c>
    </row>
    <row r="16" spans="3:11" x14ac:dyDescent="0.25">
      <c r="C16" t="s">
        <v>5</v>
      </c>
      <c r="E16" s="11">
        <v>0.06</v>
      </c>
      <c r="F16" s="11">
        <v>0.06</v>
      </c>
      <c r="G16" s="11">
        <v>0.06</v>
      </c>
      <c r="H16" s="11">
        <v>0.06</v>
      </c>
      <c r="I16" s="11">
        <v>0.06</v>
      </c>
      <c r="J16" s="11">
        <v>0.06</v>
      </c>
      <c r="K16" s="11">
        <v>3.5000000000000003E-2</v>
      </c>
    </row>
    <row r="17" spans="3:11" x14ac:dyDescent="0.25">
      <c r="C17" t="s">
        <v>6</v>
      </c>
      <c r="E17" s="11">
        <v>0.04</v>
      </c>
      <c r="F17" s="11">
        <v>0.04</v>
      </c>
      <c r="G17" s="11">
        <v>0.04</v>
      </c>
      <c r="H17" s="11">
        <v>0.04</v>
      </c>
      <c r="I17" s="11">
        <v>0.04</v>
      </c>
      <c r="J17" s="11">
        <v>0.04</v>
      </c>
      <c r="K17" s="11">
        <v>3.5000000000000003E-2</v>
      </c>
    </row>
    <row r="18" spans="3:11" x14ac:dyDescent="0.25">
      <c r="C18" t="s">
        <v>15</v>
      </c>
      <c r="E18" s="11">
        <v>3.2000000000000001E-2</v>
      </c>
      <c r="F18" s="11">
        <v>3.2000000000000001E-2</v>
      </c>
      <c r="G18" s="11">
        <v>3.2000000000000001E-2</v>
      </c>
      <c r="H18" s="11">
        <v>3.2000000000000001E-2</v>
      </c>
      <c r="I18" s="11">
        <v>3.2000000000000001E-2</v>
      </c>
      <c r="J18" s="11">
        <v>3.2000000000000001E-2</v>
      </c>
      <c r="K18" s="11">
        <v>3.5000000000000003E-2</v>
      </c>
    </row>
    <row r="19" spans="3:11" x14ac:dyDescent="0.25">
      <c r="C19" t="s">
        <v>16</v>
      </c>
      <c r="E19" s="11">
        <v>3.3000000000000002E-2</v>
      </c>
      <c r="F19" s="11">
        <v>3.3000000000000002E-2</v>
      </c>
      <c r="G19" s="11">
        <v>3.3000000000000002E-2</v>
      </c>
      <c r="H19" s="11">
        <v>3.3000000000000002E-2</v>
      </c>
      <c r="I19" s="11">
        <v>3.3000000000000002E-2</v>
      </c>
      <c r="J19" s="11">
        <v>3.3000000000000002E-2</v>
      </c>
      <c r="K19" s="11">
        <v>3.5000000000000003E-2</v>
      </c>
    </row>
    <row r="20" spans="3:11" x14ac:dyDescent="0.25">
      <c r="C20" t="s">
        <v>34</v>
      </c>
      <c r="E20" s="11">
        <v>3.9E-2</v>
      </c>
      <c r="F20" s="11">
        <v>3.9E-2</v>
      </c>
      <c r="G20" s="11">
        <v>3.9E-2</v>
      </c>
      <c r="H20" s="11">
        <v>3.9E-2</v>
      </c>
      <c r="I20" s="11">
        <v>3.9E-2</v>
      </c>
      <c r="J20" s="11">
        <v>3.9E-2</v>
      </c>
      <c r="K20" s="11">
        <v>3.5000000000000003E-2</v>
      </c>
    </row>
    <row r="21" spans="3:11" x14ac:dyDescent="0.25">
      <c r="C21" t="s">
        <v>43</v>
      </c>
      <c r="E21" s="11">
        <v>3.5000000000000003E-2</v>
      </c>
      <c r="F21" s="11">
        <v>3.5000000000000003E-2</v>
      </c>
      <c r="G21" s="11">
        <v>3.5000000000000003E-2</v>
      </c>
      <c r="H21" s="11">
        <v>3.5000000000000003E-2</v>
      </c>
      <c r="I21" s="11">
        <v>3.5000000000000003E-2</v>
      </c>
      <c r="J21" s="11">
        <v>3.5000000000000003E-2</v>
      </c>
      <c r="K21" s="11">
        <v>3.5000000000000003E-2</v>
      </c>
    </row>
    <row r="23" spans="3:11" x14ac:dyDescent="0.25">
      <c r="C23" s="3" t="s">
        <v>9</v>
      </c>
      <c r="D23" s="3">
        <f ca="1">+D10</f>
        <v>2024</v>
      </c>
      <c r="E23" s="3">
        <f t="shared" ref="E23:K23" ca="1" si="1">+E10</f>
        <v>2025</v>
      </c>
      <c r="F23" s="3">
        <f t="shared" ca="1" si="1"/>
        <v>2026</v>
      </c>
      <c r="G23" s="3">
        <f t="shared" ca="1" si="1"/>
        <v>2027</v>
      </c>
      <c r="H23" s="3">
        <f t="shared" ca="1" si="1"/>
        <v>2028</v>
      </c>
      <c r="I23" s="3">
        <f t="shared" ca="1" si="1"/>
        <v>2029</v>
      </c>
      <c r="J23" s="3">
        <f t="shared" ca="1" si="1"/>
        <v>2030</v>
      </c>
      <c r="K23" s="3" t="str">
        <f t="shared" si="1"/>
        <v>TV</v>
      </c>
    </row>
    <row r="24" spans="3:11" x14ac:dyDescent="0.25">
      <c r="C24" t="s">
        <v>1</v>
      </c>
      <c r="E24" s="11">
        <v>0.04</v>
      </c>
      <c r="F24" s="11">
        <v>0.04</v>
      </c>
      <c r="G24" s="11">
        <v>0.04</v>
      </c>
      <c r="H24" s="11">
        <v>0.04</v>
      </c>
      <c r="I24" s="11">
        <v>0.04</v>
      </c>
      <c r="J24" s="11">
        <v>0.04</v>
      </c>
      <c r="K24" s="11">
        <v>0.04</v>
      </c>
    </row>
    <row r="25" spans="3:11" x14ac:dyDescent="0.25">
      <c r="C25" t="s">
        <v>2</v>
      </c>
      <c r="E25" s="11">
        <v>0.03</v>
      </c>
      <c r="F25" s="11">
        <v>0.03</v>
      </c>
      <c r="G25" s="11">
        <v>0.03</v>
      </c>
      <c r="H25" s="11">
        <v>0.03</v>
      </c>
      <c r="I25" s="11">
        <v>0.03</v>
      </c>
      <c r="J25" s="11">
        <v>0.03</v>
      </c>
      <c r="K25" s="11">
        <v>0.03</v>
      </c>
    </row>
    <row r="26" spans="3:11" x14ac:dyDescent="0.25">
      <c r="C26" t="s">
        <v>4</v>
      </c>
      <c r="E26" s="11">
        <v>2.5000000000000001E-2</v>
      </c>
      <c r="F26" s="11">
        <v>2.5000000000000001E-2</v>
      </c>
      <c r="G26" s="11">
        <v>2.5000000000000001E-2</v>
      </c>
      <c r="H26" s="11">
        <v>2.5000000000000001E-2</v>
      </c>
      <c r="I26" s="11">
        <v>2.5000000000000001E-2</v>
      </c>
      <c r="J26" s="11">
        <v>2.5000000000000001E-2</v>
      </c>
      <c r="K26" s="11">
        <v>2.5000000000000001E-2</v>
      </c>
    </row>
    <row r="27" spans="3:11" x14ac:dyDescent="0.25">
      <c r="C27" t="s">
        <v>3</v>
      </c>
      <c r="E27" s="11">
        <v>1.4999999999999999E-2</v>
      </c>
      <c r="F27" s="11">
        <v>1.4999999999999999E-2</v>
      </c>
      <c r="G27" s="11">
        <v>1.4999999999999999E-2</v>
      </c>
      <c r="H27" s="11">
        <v>1.4999999999999999E-2</v>
      </c>
      <c r="I27" s="11">
        <v>1.4999999999999999E-2</v>
      </c>
      <c r="J27" s="11">
        <v>1.4999999999999999E-2</v>
      </c>
      <c r="K27" s="11">
        <v>1.4999999999999999E-2</v>
      </c>
    </row>
    <row r="28" spans="3:11" x14ac:dyDescent="0.25">
      <c r="C28" t="s">
        <v>5</v>
      </c>
      <c r="E28" s="11">
        <v>2.3E-2</v>
      </c>
      <c r="F28" s="11">
        <v>2.3E-2</v>
      </c>
      <c r="G28" s="11">
        <v>2.3E-2</v>
      </c>
      <c r="H28" s="11">
        <v>2.3E-2</v>
      </c>
      <c r="I28" s="11">
        <v>2.3E-2</v>
      </c>
      <c r="J28" s="11">
        <v>2.3E-2</v>
      </c>
      <c r="K28" s="11">
        <v>2.3E-2</v>
      </c>
    </row>
    <row r="29" spans="3:11" x14ac:dyDescent="0.25">
      <c r="C29" t="s">
        <v>6</v>
      </c>
      <c r="E29" s="11">
        <v>1.6E-2</v>
      </c>
      <c r="F29" s="11">
        <v>1.6E-2</v>
      </c>
      <c r="G29" s="11">
        <v>1.6E-2</v>
      </c>
      <c r="H29" s="11">
        <v>1.6E-2</v>
      </c>
      <c r="I29" s="11">
        <v>1.6E-2</v>
      </c>
      <c r="J29" s="11">
        <v>1.6E-2</v>
      </c>
      <c r="K29" s="11">
        <v>1.6E-2</v>
      </c>
    </row>
    <row r="31" spans="3:11" x14ac:dyDescent="0.25">
      <c r="C31" s="3" t="s">
        <v>10</v>
      </c>
      <c r="D31" s="3">
        <f ca="1">+D23</f>
        <v>2024</v>
      </c>
      <c r="E31" s="3">
        <f t="shared" ref="E31:K31" ca="1" si="2">+E23</f>
        <v>2025</v>
      </c>
      <c r="F31" s="3">
        <f t="shared" ca="1" si="2"/>
        <v>2026</v>
      </c>
      <c r="G31" s="3">
        <f t="shared" ca="1" si="2"/>
        <v>2027</v>
      </c>
      <c r="H31" s="3">
        <f t="shared" ca="1" si="2"/>
        <v>2028</v>
      </c>
      <c r="I31" s="3">
        <f t="shared" ca="1" si="2"/>
        <v>2029</v>
      </c>
      <c r="J31" s="3">
        <f t="shared" ca="1" si="2"/>
        <v>2030</v>
      </c>
      <c r="K31" s="3" t="str">
        <f t="shared" si="2"/>
        <v>TV</v>
      </c>
    </row>
    <row r="32" spans="3:11" x14ac:dyDescent="0.25">
      <c r="C32" t="s">
        <v>1</v>
      </c>
      <c r="E32" s="11">
        <v>0.16</v>
      </c>
      <c r="F32" s="11">
        <v>0.16</v>
      </c>
      <c r="G32" s="11">
        <v>0.16</v>
      </c>
      <c r="H32" s="11">
        <v>0.16</v>
      </c>
      <c r="I32" s="11">
        <v>0.16</v>
      </c>
      <c r="J32" s="11">
        <v>0.16</v>
      </c>
      <c r="K32" s="11">
        <v>0.16</v>
      </c>
    </row>
    <row r="33" spans="2:11" x14ac:dyDescent="0.25">
      <c r="C33" t="s">
        <v>2</v>
      </c>
      <c r="E33" s="11">
        <v>0.11</v>
      </c>
      <c r="F33" s="11">
        <v>0.11</v>
      </c>
      <c r="G33" s="11">
        <v>0.11</v>
      </c>
      <c r="H33" s="11">
        <v>0.11</v>
      </c>
      <c r="I33" s="11">
        <v>0.11</v>
      </c>
      <c r="J33" s="11">
        <v>0.11</v>
      </c>
      <c r="K33" s="11">
        <v>0.11</v>
      </c>
    </row>
    <row r="34" spans="2:11" x14ac:dyDescent="0.25">
      <c r="C34" t="s">
        <v>4</v>
      </c>
      <c r="E34" s="11">
        <v>0.09</v>
      </c>
      <c r="F34" s="11">
        <v>0.09</v>
      </c>
      <c r="G34" s="11">
        <v>0.09</v>
      </c>
      <c r="H34" s="11">
        <v>0.09</v>
      </c>
      <c r="I34" s="11">
        <v>0.09</v>
      </c>
      <c r="J34" s="11">
        <v>0.09</v>
      </c>
      <c r="K34" s="11">
        <v>0.09</v>
      </c>
    </row>
    <row r="35" spans="2:11" x14ac:dyDescent="0.25">
      <c r="C35" t="s">
        <v>3</v>
      </c>
      <c r="E35" s="11">
        <v>0.06</v>
      </c>
      <c r="F35" s="11">
        <v>0.06</v>
      </c>
      <c r="G35" s="11">
        <v>0.06</v>
      </c>
      <c r="H35" s="11">
        <v>0.06</v>
      </c>
      <c r="I35" s="11">
        <v>0.06</v>
      </c>
      <c r="J35" s="11">
        <v>0.06</v>
      </c>
      <c r="K35" s="11">
        <v>0.06</v>
      </c>
    </row>
    <row r="36" spans="2:11" x14ac:dyDescent="0.25">
      <c r="C36" t="s">
        <v>5</v>
      </c>
      <c r="E36" s="11">
        <v>7.4999999999999997E-2</v>
      </c>
      <c r="F36" s="11">
        <v>7.4999999999999997E-2</v>
      </c>
      <c r="G36" s="11">
        <v>7.4999999999999997E-2</v>
      </c>
      <c r="H36" s="11">
        <v>7.4999999999999997E-2</v>
      </c>
      <c r="I36" s="11">
        <v>7.4999999999999997E-2</v>
      </c>
      <c r="J36" s="11">
        <v>7.4999999999999997E-2</v>
      </c>
      <c r="K36" s="11">
        <v>7.4999999999999997E-2</v>
      </c>
    </row>
    <row r="37" spans="2:11" x14ac:dyDescent="0.25">
      <c r="C37" t="s">
        <v>6</v>
      </c>
      <c r="E37" s="11">
        <v>5.5E-2</v>
      </c>
      <c r="F37" s="11">
        <v>5.5E-2</v>
      </c>
      <c r="G37" s="11">
        <v>5.5E-2</v>
      </c>
      <c r="H37" s="11">
        <v>5.5E-2</v>
      </c>
      <c r="I37" s="11">
        <v>5.5E-2</v>
      </c>
      <c r="J37" s="11">
        <v>5.5E-2</v>
      </c>
      <c r="K37" s="11">
        <v>5.5E-2</v>
      </c>
    </row>
    <row r="38" spans="2:11" x14ac:dyDescent="0.25">
      <c r="C38" t="s">
        <v>29</v>
      </c>
      <c r="E38" s="11">
        <v>5.1999999999999998E-2</v>
      </c>
      <c r="F38" s="11">
        <v>5.1999999999999998E-2</v>
      </c>
      <c r="G38" s="11">
        <v>5.1999999999999998E-2</v>
      </c>
      <c r="H38" s="11">
        <v>5.1999999999999998E-2</v>
      </c>
      <c r="I38" s="11">
        <v>5.1999999999999998E-2</v>
      </c>
      <c r="J38" s="11">
        <v>5.1999999999999998E-2</v>
      </c>
      <c r="K38" s="11">
        <v>5.1999999999999998E-2</v>
      </c>
    </row>
    <row r="39" spans="2:11" x14ac:dyDescent="0.25">
      <c r="C39" t="s">
        <v>15</v>
      </c>
      <c r="E39" s="11">
        <v>2.8000000000000001E-2</v>
      </c>
      <c r="F39" s="11">
        <v>2.8000000000000001E-2</v>
      </c>
      <c r="G39" s="11">
        <v>2.8000000000000001E-2</v>
      </c>
      <c r="H39" s="11">
        <v>2.8000000000000001E-2</v>
      </c>
      <c r="I39" s="11">
        <v>2.8000000000000001E-2</v>
      </c>
      <c r="J39" s="11">
        <v>2.8000000000000001E-2</v>
      </c>
      <c r="K39" s="11">
        <v>2.8000000000000001E-2</v>
      </c>
    </row>
    <row r="40" spans="2:11" x14ac:dyDescent="0.25">
      <c r="C40" t="s">
        <v>16</v>
      </c>
      <c r="E40" s="11">
        <v>3.5000000000000003E-2</v>
      </c>
      <c r="F40" s="11">
        <v>3.5000000000000003E-2</v>
      </c>
      <c r="G40" s="11">
        <v>3.5000000000000003E-2</v>
      </c>
      <c r="H40" s="11">
        <v>3.5000000000000003E-2</v>
      </c>
      <c r="I40" s="11">
        <v>3.5000000000000003E-2</v>
      </c>
      <c r="J40" s="11">
        <v>3.5000000000000003E-2</v>
      </c>
      <c r="K40" s="11">
        <v>3.5000000000000003E-2</v>
      </c>
    </row>
    <row r="41" spans="2:11" x14ac:dyDescent="0.25">
      <c r="C41" t="s">
        <v>33</v>
      </c>
      <c r="E41" s="11">
        <v>4.2000000000000003E-2</v>
      </c>
      <c r="F41" s="11">
        <v>4.2000000000000003E-2</v>
      </c>
      <c r="G41" s="11">
        <v>4.2000000000000003E-2</v>
      </c>
      <c r="H41" s="11">
        <v>4.2000000000000003E-2</v>
      </c>
      <c r="I41" s="11">
        <v>4.2000000000000003E-2</v>
      </c>
      <c r="J41" s="11">
        <v>4.2000000000000003E-2</v>
      </c>
      <c r="K41" s="11">
        <v>4.2000000000000003E-2</v>
      </c>
    </row>
    <row r="43" spans="2:11" x14ac:dyDescent="0.25">
      <c r="C43" s="3" t="s">
        <v>42</v>
      </c>
    </row>
    <row r="44" spans="2:11" x14ac:dyDescent="0.25">
      <c r="C44" t="s">
        <v>11</v>
      </c>
      <c r="E44" s="11">
        <v>0.02</v>
      </c>
      <c r="F44" s="11">
        <v>0.02</v>
      </c>
      <c r="G44" s="11">
        <v>0.02</v>
      </c>
      <c r="H44" s="11">
        <v>0.02</v>
      </c>
      <c r="I44" s="11">
        <v>0.02</v>
      </c>
      <c r="J44" s="11">
        <v>0.02</v>
      </c>
      <c r="K44" s="11">
        <v>0.02</v>
      </c>
    </row>
    <row r="45" spans="2:11" x14ac:dyDescent="0.25">
      <c r="C45" t="s">
        <v>12</v>
      </c>
      <c r="E45" s="11">
        <v>3.0000000000000001E-3</v>
      </c>
      <c r="F45" s="11">
        <v>3.0000000000000001E-3</v>
      </c>
      <c r="G45" s="11">
        <v>3.0000000000000001E-3</v>
      </c>
      <c r="H45" s="11">
        <v>3.0000000000000001E-3</v>
      </c>
      <c r="I45" s="11">
        <v>3.0000000000000001E-3</v>
      </c>
      <c r="J45" s="11">
        <v>3.0000000000000001E-3</v>
      </c>
      <c r="K45" s="11">
        <v>3.0000000000000001E-3</v>
      </c>
    </row>
    <row r="48" spans="2:11" x14ac:dyDescent="0.25">
      <c r="B48" t="s">
        <v>30</v>
      </c>
      <c r="C48" t="s">
        <v>0</v>
      </c>
      <c r="D48" s="2">
        <f ca="1">+YEAR(TODAY())</f>
        <v>2024</v>
      </c>
      <c r="E48" s="3">
        <f ca="1">+D48+1</f>
        <v>2025</v>
      </c>
      <c r="F48" s="3">
        <f t="shared" ref="F48:J48" ca="1" si="3">+E48+1</f>
        <v>2026</v>
      </c>
      <c r="G48" s="3">
        <f t="shared" ca="1" si="3"/>
        <v>2027</v>
      </c>
      <c r="H48" s="3">
        <f t="shared" ca="1" si="3"/>
        <v>2028</v>
      </c>
      <c r="I48" s="3">
        <f t="shared" ca="1" si="3"/>
        <v>2029</v>
      </c>
      <c r="J48" s="3">
        <f t="shared" ca="1" si="3"/>
        <v>2030</v>
      </c>
      <c r="K48" s="3" t="s">
        <v>8</v>
      </c>
    </row>
    <row r="49" spans="2:11" x14ac:dyDescent="0.25">
      <c r="B49" s="7">
        <v>0.4</v>
      </c>
      <c r="C49" t="s">
        <v>25</v>
      </c>
      <c r="D49" s="6">
        <v>1500</v>
      </c>
      <c r="E49" s="8">
        <f>+D49*(1+E11)</f>
        <v>1527</v>
      </c>
      <c r="F49" s="8">
        <f t="shared" ref="F49:J49" si="4">+E49*(1+F11)</f>
        <v>1554.4860000000001</v>
      </c>
      <c r="G49" s="8">
        <f t="shared" si="4"/>
        <v>1582.4667480000001</v>
      </c>
      <c r="H49" s="8">
        <f t="shared" si="4"/>
        <v>1610.9511494640001</v>
      </c>
      <c r="I49" s="8">
        <f t="shared" si="4"/>
        <v>1639.948270154352</v>
      </c>
      <c r="J49" s="8">
        <f t="shared" si="4"/>
        <v>1669.4673390171304</v>
      </c>
      <c r="K49" s="8">
        <f>+J49*(1+K11)</f>
        <v>1727.8986958827297</v>
      </c>
    </row>
    <row r="50" spans="2:11" x14ac:dyDescent="0.25">
      <c r="B50" s="7">
        <v>1.5</v>
      </c>
      <c r="C50" t="s">
        <v>1</v>
      </c>
      <c r="D50" s="6">
        <v>6000</v>
      </c>
      <c r="E50" s="8">
        <f t="shared" ref="E50:K56" si="5">+D50*(1+E12)</f>
        <v>6180</v>
      </c>
      <c r="F50" s="8">
        <f t="shared" si="5"/>
        <v>6365.4000000000005</v>
      </c>
      <c r="G50" s="8">
        <f t="shared" si="5"/>
        <v>6556.362000000001</v>
      </c>
      <c r="H50" s="8">
        <f t="shared" si="5"/>
        <v>6753.0528600000016</v>
      </c>
      <c r="I50" s="8">
        <f t="shared" si="5"/>
        <v>6955.6444458000014</v>
      </c>
      <c r="J50" s="8">
        <f t="shared" si="5"/>
        <v>7164.3137791740019</v>
      </c>
      <c r="K50" s="8">
        <f t="shared" si="5"/>
        <v>7415.0647614450918</v>
      </c>
    </row>
    <row r="51" spans="2:11" x14ac:dyDescent="0.25">
      <c r="B51" s="7">
        <v>1.2</v>
      </c>
      <c r="C51" t="s">
        <v>2</v>
      </c>
      <c r="D51" s="6">
        <v>3000</v>
      </c>
      <c r="E51" s="8">
        <f t="shared" si="5"/>
        <v>3060</v>
      </c>
      <c r="F51" s="8">
        <f t="shared" si="5"/>
        <v>3121.2000000000003</v>
      </c>
      <c r="G51" s="8">
        <f t="shared" si="5"/>
        <v>3183.6240000000003</v>
      </c>
      <c r="H51" s="8">
        <f t="shared" si="5"/>
        <v>3247.2964800000004</v>
      </c>
      <c r="I51" s="8">
        <f t="shared" si="5"/>
        <v>3312.2424096000004</v>
      </c>
      <c r="J51" s="8">
        <f t="shared" si="5"/>
        <v>3378.4872577920005</v>
      </c>
      <c r="K51" s="8">
        <f t="shared" si="5"/>
        <v>3496.7343118147201</v>
      </c>
    </row>
    <row r="52" spans="2:11" x14ac:dyDescent="0.25">
      <c r="B52" s="7">
        <v>1</v>
      </c>
      <c r="C52" t="s">
        <v>4</v>
      </c>
      <c r="D52" s="6">
        <v>4000</v>
      </c>
      <c r="E52" s="8">
        <f t="shared" si="5"/>
        <v>4100</v>
      </c>
      <c r="F52" s="8">
        <f t="shared" si="5"/>
        <v>4202.5</v>
      </c>
      <c r="G52" s="8">
        <f t="shared" si="5"/>
        <v>4307.5625</v>
      </c>
      <c r="H52" s="8">
        <f t="shared" si="5"/>
        <v>4415.2515624999996</v>
      </c>
      <c r="I52" s="8">
        <f t="shared" si="5"/>
        <v>4525.6328515624991</v>
      </c>
      <c r="J52" s="8">
        <f t="shared" si="5"/>
        <v>4638.7736728515611</v>
      </c>
      <c r="K52" s="8">
        <f t="shared" si="5"/>
        <v>4801.1307514013652</v>
      </c>
    </row>
    <row r="53" spans="2:11" x14ac:dyDescent="0.25">
      <c r="B53" s="7">
        <v>0.5</v>
      </c>
      <c r="C53" t="s">
        <v>3</v>
      </c>
      <c r="D53" s="6">
        <v>15000</v>
      </c>
      <c r="E53" s="8">
        <f t="shared" si="5"/>
        <v>15524.999999999998</v>
      </c>
      <c r="F53" s="8">
        <f t="shared" si="5"/>
        <v>16068.374999999996</v>
      </c>
      <c r="G53" s="8">
        <f t="shared" si="5"/>
        <v>16630.768124999995</v>
      </c>
      <c r="H53" s="8">
        <f t="shared" si="5"/>
        <v>17212.845009374993</v>
      </c>
      <c r="I53" s="8">
        <f t="shared" si="5"/>
        <v>17815.294584703115</v>
      </c>
      <c r="J53" s="8">
        <f t="shared" si="5"/>
        <v>18438.829895167724</v>
      </c>
      <c r="K53" s="8">
        <f t="shared" si="5"/>
        <v>19084.188941498593</v>
      </c>
    </row>
    <row r="54" spans="2:11" x14ac:dyDescent="0.25">
      <c r="B54" s="7">
        <v>1.2</v>
      </c>
      <c r="C54" t="s">
        <v>5</v>
      </c>
      <c r="D54" s="6">
        <v>4000</v>
      </c>
      <c r="E54" s="8">
        <f t="shared" si="5"/>
        <v>4240</v>
      </c>
      <c r="F54" s="8">
        <f t="shared" si="5"/>
        <v>4494.4000000000005</v>
      </c>
      <c r="G54" s="8">
        <f t="shared" si="5"/>
        <v>4764.0640000000012</v>
      </c>
      <c r="H54" s="8">
        <f t="shared" si="5"/>
        <v>5049.9078400000017</v>
      </c>
      <c r="I54" s="8">
        <f t="shared" si="5"/>
        <v>5352.9023104000016</v>
      </c>
      <c r="J54" s="8">
        <f t="shared" si="5"/>
        <v>5674.0764490240017</v>
      </c>
      <c r="K54" s="8">
        <f t="shared" si="5"/>
        <v>5872.6691247398412</v>
      </c>
    </row>
    <row r="55" spans="2:11" x14ac:dyDescent="0.25">
      <c r="B55" s="7">
        <v>1</v>
      </c>
      <c r="C55" t="s">
        <v>6</v>
      </c>
      <c r="D55" s="6">
        <v>20000</v>
      </c>
      <c r="E55" s="8">
        <f t="shared" si="5"/>
        <v>20800</v>
      </c>
      <c r="F55" s="8">
        <f t="shared" si="5"/>
        <v>21632</v>
      </c>
      <c r="G55" s="8">
        <f t="shared" si="5"/>
        <v>22497.280000000002</v>
      </c>
      <c r="H55" s="8">
        <f t="shared" si="5"/>
        <v>23397.171200000004</v>
      </c>
      <c r="I55" s="8">
        <f t="shared" si="5"/>
        <v>24333.058048000006</v>
      </c>
      <c r="J55" s="8">
        <f t="shared" si="5"/>
        <v>25306.380369920007</v>
      </c>
      <c r="K55" s="8">
        <f t="shared" si="5"/>
        <v>26192.103682867204</v>
      </c>
    </row>
    <row r="56" spans="2:11" x14ac:dyDescent="0.25">
      <c r="B56" s="7">
        <v>0.3</v>
      </c>
      <c r="C56" t="s">
        <v>29</v>
      </c>
      <c r="D56" s="6">
        <v>1000</v>
      </c>
      <c r="E56" s="8">
        <f t="shared" si="5"/>
        <v>1032</v>
      </c>
      <c r="F56" s="8">
        <f t="shared" si="5"/>
        <v>1065.0240000000001</v>
      </c>
      <c r="G56" s="8">
        <f t="shared" si="5"/>
        <v>1099.1047680000001</v>
      </c>
      <c r="H56" s="8">
        <f t="shared" si="5"/>
        <v>1134.2761205760003</v>
      </c>
      <c r="I56" s="8">
        <f t="shared" si="5"/>
        <v>1170.5729564344324</v>
      </c>
      <c r="J56" s="8">
        <f t="shared" si="5"/>
        <v>1208.0312910403343</v>
      </c>
      <c r="K56" s="8">
        <f t="shared" si="5"/>
        <v>1250.312386226746</v>
      </c>
    </row>
    <row r="57" spans="2:11" x14ac:dyDescent="0.25">
      <c r="B57" s="7">
        <v>0</v>
      </c>
      <c r="C57" t="s">
        <v>14</v>
      </c>
      <c r="D57" s="6">
        <v>1000</v>
      </c>
      <c r="E57" s="8">
        <f>+SUM(E50:E55)*E1</f>
        <v>1078.0999999999999</v>
      </c>
      <c r="F57" s="8">
        <f t="shared" ref="F57:K57" si="6">+SUM(F50:F55)*F1</f>
        <v>1117.6775</v>
      </c>
      <c r="G57" s="8">
        <f t="shared" si="6"/>
        <v>1158.7932125000002</v>
      </c>
      <c r="H57" s="8">
        <f t="shared" si="6"/>
        <v>1201.5104990375</v>
      </c>
      <c r="I57" s="8">
        <f t="shared" si="6"/>
        <v>1245.8954930013124</v>
      </c>
      <c r="J57" s="8">
        <f t="shared" si="6"/>
        <v>1292.017228478586</v>
      </c>
      <c r="K57" s="8">
        <f t="shared" si="6"/>
        <v>1337.2378314753364</v>
      </c>
    </row>
    <row r="58" spans="2:11" x14ac:dyDescent="0.25">
      <c r="C58" s="1" t="s">
        <v>13</v>
      </c>
      <c r="D58" s="9">
        <f>SUM(D49:D57)</f>
        <v>55500</v>
      </c>
      <c r="E58" s="9">
        <f t="shared" ref="E58:K58" si="7">SUM(E49:E57)</f>
        <v>57542.1</v>
      </c>
      <c r="F58" s="9">
        <f t="shared" si="7"/>
        <v>59621.062499999993</v>
      </c>
      <c r="G58" s="9">
        <f t="shared" si="7"/>
        <v>61780.025353499994</v>
      </c>
      <c r="H58" s="9">
        <f t="shared" si="7"/>
        <v>64022.262720952502</v>
      </c>
      <c r="I58" s="9">
        <f t="shared" si="7"/>
        <v>66351.191369655717</v>
      </c>
      <c r="J58" s="9">
        <f t="shared" si="7"/>
        <v>68770.377282465328</v>
      </c>
      <c r="K58" s="9">
        <f t="shared" si="7"/>
        <v>71177.340487351627</v>
      </c>
    </row>
    <row r="59" spans="2:11" x14ac:dyDescent="0.25">
      <c r="D59" s="5"/>
    </row>
    <row r="60" spans="2:11" x14ac:dyDescent="0.25">
      <c r="C60" t="s">
        <v>15</v>
      </c>
      <c r="D60" s="6">
        <v>20000</v>
      </c>
      <c r="E60" s="5">
        <f>+D60*(1+E39)</f>
        <v>20560</v>
      </c>
      <c r="F60" s="5">
        <f t="shared" ref="F60:K60" si="8">+E60*(1+F39)</f>
        <v>21135.68</v>
      </c>
      <c r="G60" s="5">
        <f t="shared" si="8"/>
        <v>21727.479040000002</v>
      </c>
      <c r="H60" s="5">
        <f t="shared" si="8"/>
        <v>22335.848453120001</v>
      </c>
      <c r="I60" s="5">
        <f t="shared" si="8"/>
        <v>22961.25220980736</v>
      </c>
      <c r="J60" s="5">
        <f t="shared" si="8"/>
        <v>23604.167271681967</v>
      </c>
      <c r="K60" s="5">
        <f t="shared" si="8"/>
        <v>24265.083955289061</v>
      </c>
    </row>
    <row r="61" spans="2:11" x14ac:dyDescent="0.25">
      <c r="C61" t="s">
        <v>16</v>
      </c>
      <c r="D61" s="6">
        <v>25000</v>
      </c>
      <c r="E61" s="5">
        <f t="shared" ref="E61:K61" si="9">+D61*(1+E40)</f>
        <v>25874.999999999996</v>
      </c>
      <c r="F61" s="5">
        <f t="shared" si="9"/>
        <v>26780.624999999993</v>
      </c>
      <c r="G61" s="5">
        <f t="shared" si="9"/>
        <v>27717.946874999991</v>
      </c>
      <c r="H61" s="5">
        <f t="shared" si="9"/>
        <v>28688.075015624989</v>
      </c>
      <c r="I61" s="5">
        <f t="shared" si="9"/>
        <v>29692.15764117186</v>
      </c>
      <c r="J61" s="5">
        <f t="shared" si="9"/>
        <v>30731.383158612873</v>
      </c>
      <c r="K61" s="5">
        <f t="shared" si="9"/>
        <v>31806.98156916432</v>
      </c>
    </row>
    <row r="62" spans="2:11" x14ac:dyDescent="0.25">
      <c r="C62" t="s">
        <v>18</v>
      </c>
      <c r="D62" s="5">
        <f>+D58-D60-D61-D63</f>
        <v>5500</v>
      </c>
      <c r="E62" s="5">
        <f>+E58-E60-E61-E63</f>
        <v>5945.8100000000013</v>
      </c>
      <c r="F62" s="5">
        <f t="shared" ref="F62:K62" si="10">+F58-F60-F61-F63</f>
        <v>6355.0765899999997</v>
      </c>
      <c r="G62" s="5">
        <f t="shared" si="10"/>
        <v>6789.1281092899972</v>
      </c>
      <c r="H62" s="5">
        <f t="shared" si="10"/>
        <v>7249.3659484929212</v>
      </c>
      <c r="I62" s="5">
        <f t="shared" si="10"/>
        <v>7737.2685467158826</v>
      </c>
      <c r="J62" s="5">
        <f t="shared" si="10"/>
        <v>8254.395609149029</v>
      </c>
      <c r="K62" s="5">
        <f t="shared" si="10"/>
        <v>8708.5286263710368</v>
      </c>
    </row>
    <row r="63" spans="2:11" x14ac:dyDescent="0.25">
      <c r="C63" t="s">
        <v>17</v>
      </c>
      <c r="D63" s="6">
        <v>5000</v>
      </c>
      <c r="E63" s="12">
        <f>+E65*E4</f>
        <v>5161.2900000000009</v>
      </c>
      <c r="F63" s="12">
        <f t="shared" ref="F63:K63" si="11">+F65*F4</f>
        <v>5349.68091</v>
      </c>
      <c r="G63" s="12">
        <f t="shared" si="11"/>
        <v>5545.4713292100005</v>
      </c>
      <c r="H63" s="12">
        <f t="shared" si="11"/>
        <v>5748.9733037145907</v>
      </c>
      <c r="I63" s="12">
        <f t="shared" si="11"/>
        <v>5960.5129719606139</v>
      </c>
      <c r="J63" s="12">
        <f t="shared" si="11"/>
        <v>6180.4312430214595</v>
      </c>
      <c r="K63" s="12">
        <f t="shared" si="11"/>
        <v>6396.7463365272088</v>
      </c>
    </row>
    <row r="64" spans="2:11" x14ac:dyDescent="0.25">
      <c r="D64" s="5"/>
    </row>
    <row r="65" spans="3:11" x14ac:dyDescent="0.25">
      <c r="C65" t="s">
        <v>31</v>
      </c>
      <c r="D65" s="5">
        <f>+SUMPRODUCT($B$49:$B$57,D49:D57)</f>
        <v>49800</v>
      </c>
      <c r="E65" s="5">
        <f>+SUMPRODUCT($B$49:$B$57,E49:E57)</f>
        <v>51612.9</v>
      </c>
      <c r="F65" s="5">
        <f t="shared" ref="F65:L65" si="12">+SUMPRODUCT($B$49:$B$57,F49:F57)</f>
        <v>53496.809099999999</v>
      </c>
      <c r="G65" s="5">
        <f t="shared" si="12"/>
        <v>55454.713292100001</v>
      </c>
      <c r="H65" s="5">
        <f t="shared" si="12"/>
        <v>57489.733037145903</v>
      </c>
      <c r="I65" s="5">
        <f t="shared" si="12"/>
        <v>59605.129719606135</v>
      </c>
      <c r="J65" s="5">
        <f t="shared" si="12"/>
        <v>61804.312430214595</v>
      </c>
      <c r="K65" s="5">
        <f t="shared" si="12"/>
        <v>63967.463365272088</v>
      </c>
    </row>
    <row r="68" spans="3:11" x14ac:dyDescent="0.25">
      <c r="C68" t="s">
        <v>19</v>
      </c>
      <c r="D68" s="6">
        <v>4830</v>
      </c>
      <c r="E68" s="5">
        <f>+SUMPRODUCT(E50:E56,E32:E38)</f>
        <v>4141.5640000000003</v>
      </c>
      <c r="F68" s="5">
        <f t="shared" ref="F68:K68" si="13">+SUMPRODUCT(F50:F56,F32:F38)</f>
        <v>4286.3447479999995</v>
      </c>
      <c r="G68" s="5">
        <f t="shared" si="13"/>
        <v>4436.5519204359998</v>
      </c>
      <c r="H68" s="5">
        <f t="shared" si="13"/>
        <v>4592.4042738574517</v>
      </c>
      <c r="I68" s="5">
        <f t="shared" si="13"/>
        <v>4754.1300677614026</v>
      </c>
      <c r="J68" s="5">
        <f t="shared" si="13"/>
        <v>4921.9675084481614</v>
      </c>
      <c r="K68" s="5">
        <f t="shared" si="13"/>
        <v>5094.2363712438482</v>
      </c>
    </row>
    <row r="69" spans="3:11" x14ac:dyDescent="0.25">
      <c r="C69" t="s">
        <v>20</v>
      </c>
      <c r="D69" s="6">
        <v>1880</v>
      </c>
      <c r="E69" s="5">
        <f>+SUMPRODUCT(E60:E62,E39:E41)</f>
        <v>1731.0290200000002</v>
      </c>
      <c r="F69" s="5">
        <f t="shared" ref="F69:K69" si="14">+SUMPRODUCT(F60:F62,F39:F41)</f>
        <v>1796.0341317800001</v>
      </c>
      <c r="G69" s="5">
        <f t="shared" si="14"/>
        <v>1863.64093433518</v>
      </c>
      <c r="H69" s="5">
        <f t="shared" si="14"/>
        <v>1933.9597520709374</v>
      </c>
      <c r="I69" s="5">
        <f t="shared" si="14"/>
        <v>2007.1058582776884</v>
      </c>
      <c r="J69" s="5">
        <f t="shared" si="14"/>
        <v>2083.1997097428048</v>
      </c>
      <c r="K69" s="5">
        <f t="shared" si="14"/>
        <v>2158.4249079764286</v>
      </c>
    </row>
    <row r="70" spans="3:11" x14ac:dyDescent="0.25">
      <c r="C70" t="s">
        <v>21</v>
      </c>
      <c r="D70" s="5">
        <f>+D68-D69</f>
        <v>2950</v>
      </c>
      <c r="E70" s="15">
        <v>2000</v>
      </c>
      <c r="F70" s="5">
        <f t="shared" ref="F70:K70" si="15">+F68-F69</f>
        <v>2490.3106162199992</v>
      </c>
      <c r="G70" s="5">
        <f t="shared" si="15"/>
        <v>2572.9109861008201</v>
      </c>
      <c r="H70" s="5">
        <f t="shared" si="15"/>
        <v>2658.4445217865141</v>
      </c>
      <c r="I70" s="5">
        <f t="shared" si="15"/>
        <v>2747.024209483714</v>
      </c>
      <c r="J70" s="5">
        <f t="shared" si="15"/>
        <v>2838.7677987053567</v>
      </c>
      <c r="K70" s="5">
        <f t="shared" si="15"/>
        <v>2935.8114632674196</v>
      </c>
    </row>
    <row r="71" spans="3:11" x14ac:dyDescent="0.25">
      <c r="C71" t="s">
        <v>43</v>
      </c>
      <c r="D71" s="6">
        <v>1000</v>
      </c>
      <c r="E71" s="5">
        <f>+D71*(1+E21)</f>
        <v>1035</v>
      </c>
      <c r="F71" s="5">
        <f t="shared" ref="F71:K71" si="16">+E71*(1+F21)</f>
        <v>1071.2249999999999</v>
      </c>
      <c r="G71" s="5">
        <f t="shared" si="16"/>
        <v>1108.7178749999998</v>
      </c>
      <c r="H71" s="5">
        <f t="shared" si="16"/>
        <v>1147.5230006249997</v>
      </c>
      <c r="I71" s="5">
        <f t="shared" si="16"/>
        <v>1187.6863056468746</v>
      </c>
      <c r="J71" s="5">
        <f t="shared" si="16"/>
        <v>1229.2553263445152</v>
      </c>
      <c r="K71" s="5">
        <f t="shared" si="16"/>
        <v>1272.2792627665731</v>
      </c>
    </row>
    <row r="72" spans="3:11" x14ac:dyDescent="0.25">
      <c r="C72" t="s">
        <v>23</v>
      </c>
      <c r="D72" s="6">
        <v>60</v>
      </c>
      <c r="E72" s="5">
        <f>+(SUM(E50:E55)-SUM(D50:D55))*E44+(SUM(E60:E61)-SUM(D60:D61))*E45</f>
        <v>42.405000000000001</v>
      </c>
      <c r="F72" s="5">
        <f t="shared" ref="F72:K72" si="17">+(SUM(F50:F55)-SUM(E50:E55))*F44+(SUM(F60:F61)-SUM(E60:E61))*F45</f>
        <v>44.021414999999976</v>
      </c>
      <c r="G72" s="5">
        <f t="shared" si="17"/>
        <v>45.703075245000079</v>
      </c>
      <c r="H72" s="5">
        <f t="shared" si="17"/>
        <v>47.452779198734895</v>
      </c>
      <c r="I72" s="5">
        <f t="shared" si="17"/>
        <v>49.273453110515142</v>
      </c>
      <c r="J72" s="5">
        <f t="shared" si="17"/>
        <v>51.168157215220461</v>
      </c>
      <c r="K72" s="5">
        <f t="shared" si="17"/>
        <v>50.430148279225875</v>
      </c>
    </row>
    <row r="73" spans="3:11" x14ac:dyDescent="0.25">
      <c r="C73" t="s">
        <v>9</v>
      </c>
      <c r="D73" s="6">
        <v>1000</v>
      </c>
      <c r="E73" s="5">
        <f>+SUMPRODUCT(E24:E29,D50:D55)</f>
        <v>1067</v>
      </c>
      <c r="F73" s="5">
        <f t="shared" ref="F73:K73" si="18">+SUMPRODUCT(F24:F29,E50:E55)</f>
        <v>1104.6949999999999</v>
      </c>
      <c r="G73" s="5">
        <f t="shared" si="18"/>
        <v>1143.8233250000001</v>
      </c>
      <c r="H73" s="5">
        <f t="shared" si="18"/>
        <v>1184.4437363750001</v>
      </c>
      <c r="I73" s="5">
        <f t="shared" si="18"/>
        <v>1226.617592523125</v>
      </c>
      <c r="J73" s="5">
        <f t="shared" si="18"/>
        <v>1270.4089720868092</v>
      </c>
      <c r="K73" s="5">
        <f t="shared" si="18"/>
        <v>1315.884803395797</v>
      </c>
    </row>
    <row r="74" spans="3:11" x14ac:dyDescent="0.25">
      <c r="C74" t="s">
        <v>22</v>
      </c>
      <c r="D74" s="6">
        <v>1500</v>
      </c>
      <c r="E74" s="5">
        <f>+D74*(1+E20)</f>
        <v>1558.4999999999998</v>
      </c>
      <c r="F74" s="5">
        <f t="shared" ref="F74:K74" si="19">+E74*(1+F20)</f>
        <v>1619.2814999999996</v>
      </c>
      <c r="G74" s="5">
        <f t="shared" si="19"/>
        <v>1682.4334784999994</v>
      </c>
      <c r="H74" s="5">
        <f t="shared" si="19"/>
        <v>1748.0483841614994</v>
      </c>
      <c r="I74" s="5">
        <f t="shared" si="19"/>
        <v>1816.2222711437978</v>
      </c>
      <c r="J74" s="5">
        <f t="shared" si="19"/>
        <v>1887.0549397184059</v>
      </c>
      <c r="K74" s="5">
        <f t="shared" si="19"/>
        <v>1953.1018626085499</v>
      </c>
    </row>
    <row r="75" spans="3:11" x14ac:dyDescent="0.25">
      <c r="C75" t="s">
        <v>24</v>
      </c>
      <c r="D75" s="6">
        <v>200</v>
      </c>
      <c r="E75" s="5">
        <f>+D49*E2</f>
        <v>225</v>
      </c>
      <c r="F75" s="5">
        <f t="shared" ref="F75:K75" si="20">+E49*F2</f>
        <v>229.04999999999998</v>
      </c>
      <c r="G75" s="5">
        <f t="shared" si="20"/>
        <v>233.1729</v>
      </c>
      <c r="H75" s="5">
        <f t="shared" si="20"/>
        <v>237.37001219999999</v>
      </c>
      <c r="I75" s="5">
        <f t="shared" si="20"/>
        <v>241.64267241959999</v>
      </c>
      <c r="J75" s="5">
        <f t="shared" si="20"/>
        <v>245.99224052315279</v>
      </c>
      <c r="K75" s="5">
        <f t="shared" si="20"/>
        <v>250.42010085256953</v>
      </c>
    </row>
    <row r="76" spans="3:11" x14ac:dyDescent="0.25">
      <c r="C76" t="s">
        <v>26</v>
      </c>
      <c r="D76" s="5">
        <f>+D70-D72-D74-D75-D73+D71</f>
        <v>1190</v>
      </c>
      <c r="E76" s="5">
        <f>+E70+E71-E72-E73-E74-E75</f>
        <v>142.09500000000003</v>
      </c>
      <c r="F76" s="5">
        <f t="shared" ref="F76:K76" si="21">+F70+F71-F72-F73-F74-F75</f>
        <v>564.48770121999928</v>
      </c>
      <c r="G76" s="5">
        <f t="shared" si="21"/>
        <v>576.49608235582059</v>
      </c>
      <c r="H76" s="5">
        <f t="shared" si="21"/>
        <v>588.65261047627905</v>
      </c>
      <c r="I76" s="5">
        <f t="shared" si="21"/>
        <v>600.9545259335506</v>
      </c>
      <c r="J76" s="5">
        <f t="shared" si="21"/>
        <v>613.39881550628343</v>
      </c>
      <c r="K76" s="5">
        <f t="shared" si="21"/>
        <v>638.25381089785014</v>
      </c>
    </row>
    <row r="77" spans="3:11" x14ac:dyDescent="0.25">
      <c r="C77" t="s">
        <v>27</v>
      </c>
      <c r="D77" s="5">
        <f>+D76*D3</f>
        <v>357</v>
      </c>
      <c r="E77" s="5">
        <f>+E76*E3</f>
        <v>42.62850000000001</v>
      </c>
      <c r="F77" s="5">
        <f t="shared" ref="F77:K77" si="22">+F76*F3</f>
        <v>169.34631036599978</v>
      </c>
      <c r="G77" s="5">
        <f t="shared" si="22"/>
        <v>172.94882470674617</v>
      </c>
      <c r="H77" s="5">
        <f t="shared" si="22"/>
        <v>176.5957831428837</v>
      </c>
      <c r="I77" s="5">
        <f t="shared" si="22"/>
        <v>180.28635778006517</v>
      </c>
      <c r="J77" s="5">
        <f t="shared" si="22"/>
        <v>184.01964465188502</v>
      </c>
      <c r="K77" s="5">
        <f t="shared" si="22"/>
        <v>191.47614326935505</v>
      </c>
    </row>
    <row r="78" spans="3:11" x14ac:dyDescent="0.25">
      <c r="C78" t="s">
        <v>28</v>
      </c>
      <c r="D78" s="5">
        <f>+D76-D77</f>
        <v>833</v>
      </c>
      <c r="E78" s="5">
        <f>+E76-E77</f>
        <v>99.466500000000025</v>
      </c>
      <c r="F78" s="5">
        <f t="shared" ref="F78:K78" si="23">+F76-F77</f>
        <v>395.1413908539995</v>
      </c>
      <c r="G78" s="5">
        <f t="shared" si="23"/>
        <v>403.54725764907442</v>
      </c>
      <c r="H78" s="5">
        <f t="shared" si="23"/>
        <v>412.05682733339535</v>
      </c>
      <c r="I78" s="5">
        <f t="shared" si="23"/>
        <v>420.66816815348545</v>
      </c>
      <c r="J78" s="5">
        <f t="shared" si="23"/>
        <v>429.37917085439841</v>
      </c>
      <c r="K78" s="5">
        <f t="shared" si="23"/>
        <v>446.77766762849512</v>
      </c>
    </row>
    <row r="79" spans="3:11" x14ac:dyDescent="0.25">
      <c r="C79" t="s">
        <v>38</v>
      </c>
      <c r="D79" s="6">
        <v>550</v>
      </c>
      <c r="E79" s="5">
        <f>+E78-E80</f>
        <v>0</v>
      </c>
      <c r="F79" s="5">
        <f t="shared" ref="F79:K79" si="24">+F78-F80</f>
        <v>206.75048085400033</v>
      </c>
      <c r="G79" s="5">
        <f t="shared" si="24"/>
        <v>207.75683843907399</v>
      </c>
      <c r="H79" s="5">
        <f t="shared" si="24"/>
        <v>208.55485282880517</v>
      </c>
      <c r="I79" s="5">
        <f t="shared" si="24"/>
        <v>209.12849990746224</v>
      </c>
      <c r="J79" s="5">
        <f t="shared" si="24"/>
        <v>209.46089979355276</v>
      </c>
      <c r="K79" s="5">
        <f t="shared" si="24"/>
        <v>230.46257412274588</v>
      </c>
    </row>
    <row r="80" spans="3:11" x14ac:dyDescent="0.25">
      <c r="C80" t="s">
        <v>37</v>
      </c>
      <c r="D80" s="5">
        <f>+D78-D79</f>
        <v>283</v>
      </c>
      <c r="E80" s="5">
        <f>+IF(E78&lt;0,E78,MAX(0,MIN(E78,E82)))</f>
        <v>99.466500000000025</v>
      </c>
      <c r="F80" s="5">
        <f t="shared" ref="F80:K80" si="25">+IF(F78&lt;0,F78,MAX(0,MIN(F78,F82)))</f>
        <v>188.39090999999917</v>
      </c>
      <c r="G80" s="5">
        <f t="shared" si="25"/>
        <v>195.79041921000044</v>
      </c>
      <c r="H80" s="5">
        <f t="shared" si="25"/>
        <v>203.50197450459018</v>
      </c>
      <c r="I80" s="5">
        <f t="shared" si="25"/>
        <v>211.53966824602321</v>
      </c>
      <c r="J80" s="5">
        <f t="shared" si="25"/>
        <v>219.91827106084565</v>
      </c>
      <c r="K80" s="5">
        <f t="shared" si="25"/>
        <v>216.31509350574925</v>
      </c>
    </row>
    <row r="81" spans="1:11" x14ac:dyDescent="0.25">
      <c r="D81" s="5"/>
      <c r="E81" s="5"/>
      <c r="F81" s="5"/>
      <c r="G81" s="5"/>
      <c r="H81" s="5"/>
      <c r="I81" s="5"/>
      <c r="J81" s="5"/>
      <c r="K81" s="5"/>
    </row>
    <row r="82" spans="1:11" x14ac:dyDescent="0.25">
      <c r="C82" t="s">
        <v>45</v>
      </c>
      <c r="E82" s="5">
        <f>+E63-D63</f>
        <v>161.29000000000087</v>
      </c>
      <c r="F82" s="5">
        <f t="shared" ref="F82:K82" si="26">+F63-E63</f>
        <v>188.39090999999917</v>
      </c>
      <c r="G82" s="5">
        <f t="shared" si="26"/>
        <v>195.79041921000044</v>
      </c>
      <c r="H82" s="5">
        <f t="shared" si="26"/>
        <v>203.50197450459018</v>
      </c>
      <c r="I82" s="5">
        <f t="shared" si="26"/>
        <v>211.53966824602321</v>
      </c>
      <c r="J82" s="5">
        <f t="shared" si="26"/>
        <v>219.91827106084565</v>
      </c>
      <c r="K82" s="5">
        <f t="shared" si="26"/>
        <v>216.31509350574925</v>
      </c>
    </row>
    <row r="83" spans="1:11" x14ac:dyDescent="0.25">
      <c r="C83" t="s">
        <v>46</v>
      </c>
      <c r="E83" s="5">
        <f>+E82-E80</f>
        <v>61.823500000000848</v>
      </c>
      <c r="F83" s="5">
        <f t="shared" ref="F83:K83" si="27">+F82-F80</f>
        <v>0</v>
      </c>
      <c r="G83" s="5">
        <f t="shared" si="27"/>
        <v>0</v>
      </c>
      <c r="H83" s="5">
        <f t="shared" si="27"/>
        <v>0</v>
      </c>
      <c r="I83" s="5">
        <f t="shared" si="27"/>
        <v>0</v>
      </c>
      <c r="J83" s="5">
        <f t="shared" si="27"/>
        <v>0</v>
      </c>
      <c r="K83" s="5">
        <f t="shared" si="27"/>
        <v>0</v>
      </c>
    </row>
    <row r="86" spans="1:11" x14ac:dyDescent="0.25">
      <c r="A86" t="s">
        <v>48</v>
      </c>
      <c r="C86" s="5" t="str">
        <f>+C78</f>
        <v>Profit after tax</v>
      </c>
      <c r="D86" s="5">
        <f t="shared" ref="D86:K86" si="28">+D78</f>
        <v>833</v>
      </c>
      <c r="E86" s="5">
        <f t="shared" si="28"/>
        <v>99.466500000000025</v>
      </c>
      <c r="F86" s="5">
        <f t="shared" si="28"/>
        <v>395.1413908539995</v>
      </c>
      <c r="G86" s="5">
        <f t="shared" si="28"/>
        <v>403.54725764907442</v>
      </c>
      <c r="H86" s="5">
        <f t="shared" si="28"/>
        <v>412.05682733339535</v>
      </c>
      <c r="I86" s="5">
        <f t="shared" si="28"/>
        <v>420.66816815348545</v>
      </c>
      <c r="J86" s="5">
        <f t="shared" si="28"/>
        <v>429.37917085439841</v>
      </c>
      <c r="K86" s="5">
        <f t="shared" si="28"/>
        <v>446.77766762849512</v>
      </c>
    </row>
    <row r="87" spans="1:11" x14ac:dyDescent="0.25">
      <c r="A87" s="13" t="s">
        <v>49</v>
      </c>
      <c r="C87" t="s">
        <v>47</v>
      </c>
      <c r="E87" s="5">
        <f>+E63-D63</f>
        <v>161.29000000000087</v>
      </c>
      <c r="F87" s="5">
        <f t="shared" ref="F87:K87" si="29">+F63-E63</f>
        <v>188.39090999999917</v>
      </c>
      <c r="G87" s="5">
        <f t="shared" si="29"/>
        <v>195.79041921000044</v>
      </c>
      <c r="H87" s="5">
        <f t="shared" si="29"/>
        <v>203.50197450459018</v>
      </c>
      <c r="I87" s="5">
        <f t="shared" si="29"/>
        <v>211.53966824602321</v>
      </c>
      <c r="J87" s="5">
        <f t="shared" si="29"/>
        <v>219.91827106084565</v>
      </c>
      <c r="K87" s="5">
        <f t="shared" si="29"/>
        <v>216.31509350574925</v>
      </c>
    </row>
    <row r="88" spans="1:11" x14ac:dyDescent="0.25">
      <c r="A88" t="s">
        <v>50</v>
      </c>
      <c r="C88" t="s">
        <v>51</v>
      </c>
      <c r="E88" s="5">
        <f>+E86-E87</f>
        <v>-61.823500000000848</v>
      </c>
      <c r="F88" s="5">
        <f t="shared" ref="F88:K88" si="30">+F86-F87</f>
        <v>206.75048085400033</v>
      </c>
      <c r="G88" s="5">
        <f t="shared" si="30"/>
        <v>207.75683843907399</v>
      </c>
      <c r="H88" s="5">
        <f t="shared" si="30"/>
        <v>208.55485282880517</v>
      </c>
      <c r="I88" s="5">
        <f t="shared" si="30"/>
        <v>209.12849990746224</v>
      </c>
      <c r="J88" s="5">
        <f t="shared" si="30"/>
        <v>209.46089979355276</v>
      </c>
      <c r="K88" s="5">
        <f t="shared" si="30"/>
        <v>230.46257412274588</v>
      </c>
    </row>
    <row r="89" spans="1:11" x14ac:dyDescent="0.25">
      <c r="C89" t="str">
        <f>+C79</f>
        <v>Dividend</v>
      </c>
      <c r="E89" s="5">
        <f t="shared" ref="E89:K89" si="31">+E79</f>
        <v>0</v>
      </c>
      <c r="F89" s="5">
        <f t="shared" si="31"/>
        <v>206.75048085400033</v>
      </c>
      <c r="G89" s="5">
        <f t="shared" si="31"/>
        <v>207.75683843907399</v>
      </c>
      <c r="H89" s="5">
        <f t="shared" si="31"/>
        <v>208.55485282880517</v>
      </c>
      <c r="I89" s="5">
        <f t="shared" si="31"/>
        <v>209.12849990746224</v>
      </c>
      <c r="J89" s="5">
        <f t="shared" si="31"/>
        <v>209.46089979355276</v>
      </c>
      <c r="K89" s="5">
        <f t="shared" si="31"/>
        <v>230.46257412274588</v>
      </c>
    </row>
    <row r="90" spans="1:11" x14ac:dyDescent="0.25">
      <c r="C90" t="s">
        <v>53</v>
      </c>
      <c r="E90" s="5">
        <f>+E63-D63-E80</f>
        <v>61.823500000000848</v>
      </c>
      <c r="F90" s="5">
        <f t="shared" ref="F90:K90" si="32">+F63-E63-F80</f>
        <v>0</v>
      </c>
      <c r="G90" s="5">
        <f t="shared" si="32"/>
        <v>0</v>
      </c>
      <c r="H90" s="5">
        <f t="shared" si="32"/>
        <v>0</v>
      </c>
      <c r="I90" s="5">
        <f t="shared" si="32"/>
        <v>0</v>
      </c>
      <c r="J90" s="5">
        <f t="shared" si="32"/>
        <v>0</v>
      </c>
      <c r="K90" s="5">
        <f t="shared" si="32"/>
        <v>0</v>
      </c>
    </row>
    <row r="91" spans="1:11" x14ac:dyDescent="0.25">
      <c r="C91" t="s">
        <v>52</v>
      </c>
      <c r="E91" s="5">
        <f>+E88-E89+E90</f>
        <v>0</v>
      </c>
      <c r="F91" s="5">
        <f t="shared" ref="F91:K91" si="33">+F88-F89+F90</f>
        <v>0</v>
      </c>
      <c r="G91" s="5">
        <f t="shared" si="33"/>
        <v>0</v>
      </c>
      <c r="H91" s="5">
        <f t="shared" si="33"/>
        <v>0</v>
      </c>
      <c r="I91" s="5">
        <f t="shared" si="33"/>
        <v>0</v>
      </c>
      <c r="J91" s="5">
        <f t="shared" si="33"/>
        <v>0</v>
      </c>
      <c r="K91" s="5">
        <f t="shared" si="33"/>
        <v>0</v>
      </c>
    </row>
    <row r="95" spans="1:11" x14ac:dyDescent="0.25">
      <c r="B95" t="s">
        <v>56</v>
      </c>
      <c r="C95" s="5" t="str">
        <f>+C88</f>
        <v>FCFE</v>
      </c>
      <c r="D95" s="5"/>
      <c r="E95" s="5">
        <f t="shared" ref="E95:L95" si="34">+E88</f>
        <v>-61.823500000000848</v>
      </c>
      <c r="F95" s="5">
        <f t="shared" si="34"/>
        <v>206.75048085400033</v>
      </c>
      <c r="G95" s="5">
        <f t="shared" si="34"/>
        <v>207.75683843907399</v>
      </c>
      <c r="H95" s="5">
        <f t="shared" si="34"/>
        <v>208.55485282880517</v>
      </c>
      <c r="I95" s="5">
        <f t="shared" si="34"/>
        <v>209.12849990746224</v>
      </c>
      <c r="J95" s="5">
        <f t="shared" si="34"/>
        <v>209.46089979355276</v>
      </c>
      <c r="K95" s="5">
        <f t="shared" si="34"/>
        <v>230.46257412274588</v>
      </c>
    </row>
    <row r="96" spans="1:11" x14ac:dyDescent="0.25">
      <c r="C96" t="s">
        <v>54</v>
      </c>
      <c r="E96" s="14">
        <f>+E5+E6*E7</f>
        <v>6.6000000000000003E-2</v>
      </c>
      <c r="F96" s="14">
        <f t="shared" ref="F96:K96" si="35">+F5+F6*F7</f>
        <v>6.6000000000000003E-2</v>
      </c>
      <c r="G96" s="14">
        <f t="shared" si="35"/>
        <v>6.6000000000000003E-2</v>
      </c>
      <c r="H96" s="14">
        <f t="shared" si="35"/>
        <v>6.6000000000000003E-2</v>
      </c>
      <c r="I96" s="14">
        <f t="shared" si="35"/>
        <v>6.6000000000000003E-2</v>
      </c>
      <c r="J96" s="14">
        <f t="shared" si="35"/>
        <v>6.6000000000000003E-2</v>
      </c>
      <c r="K96" s="14">
        <f t="shared" si="35"/>
        <v>6.6000000000000003E-2</v>
      </c>
    </row>
    <row r="97" spans="3:12" x14ac:dyDescent="0.25">
      <c r="C97" s="16" t="s">
        <v>55</v>
      </c>
      <c r="D97" s="16"/>
      <c r="E97" s="17">
        <f t="shared" ref="E97:I97" si="36">+(E95+F97)/(1+E96)</f>
        <v>5817.9830215939655</v>
      </c>
      <c r="F97" s="15">
        <f t="shared" si="36"/>
        <v>6263.7934010191684</v>
      </c>
      <c r="G97" s="15">
        <f t="shared" si="36"/>
        <v>6470.4532846324337</v>
      </c>
      <c r="H97" s="15">
        <f t="shared" si="36"/>
        <v>6689.7463629791</v>
      </c>
      <c r="I97" s="15">
        <f t="shared" si="36"/>
        <v>6922.7147701069152</v>
      </c>
      <c r="J97" s="15">
        <f>+(J95+K97)/(1+J96)</f>
        <v>7170.4854450265093</v>
      </c>
      <c r="K97" s="15">
        <f>+K95/(K96-K11)</f>
        <v>7434.2765846047059</v>
      </c>
    </row>
    <row r="100" spans="3:12" x14ac:dyDescent="0.25">
      <c r="C100" t="s">
        <v>57</v>
      </c>
    </row>
    <row r="101" spans="3:12" x14ac:dyDescent="0.25">
      <c r="C101" t="str">
        <f>+C78</f>
        <v>Profit after tax</v>
      </c>
      <c r="E101" s="5">
        <f t="shared" ref="E101:K101" si="37">+E78</f>
        <v>99.466500000000025</v>
      </c>
      <c r="F101" s="5">
        <f t="shared" si="37"/>
        <v>395.1413908539995</v>
      </c>
      <c r="G101" s="5">
        <f t="shared" si="37"/>
        <v>403.54725764907442</v>
      </c>
      <c r="H101" s="5">
        <f t="shared" si="37"/>
        <v>412.05682733339535</v>
      </c>
      <c r="I101" s="5">
        <f t="shared" si="37"/>
        <v>420.66816815348545</v>
      </c>
      <c r="J101" s="5">
        <f t="shared" si="37"/>
        <v>429.37917085439841</v>
      </c>
      <c r="K101" s="5">
        <f t="shared" si="37"/>
        <v>446.77766762849512</v>
      </c>
    </row>
    <row r="102" spans="3:12" x14ac:dyDescent="0.25">
      <c r="C102" t="s">
        <v>58</v>
      </c>
      <c r="E102" s="5">
        <f>+E96*D63</f>
        <v>330</v>
      </c>
      <c r="F102" s="5">
        <f>+F96*E63</f>
        <v>340.64514000000008</v>
      </c>
      <c r="G102" s="5">
        <f t="shared" ref="G102:K102" si="38">+G96*F63</f>
        <v>353.07894006000004</v>
      </c>
      <c r="H102" s="5">
        <f t="shared" si="38"/>
        <v>366.00110772786007</v>
      </c>
      <c r="I102" s="5">
        <f t="shared" si="38"/>
        <v>379.43223804516299</v>
      </c>
      <c r="J102" s="5">
        <f t="shared" si="38"/>
        <v>393.39385614940051</v>
      </c>
      <c r="K102" s="5">
        <f t="shared" si="38"/>
        <v>407.90846203941635</v>
      </c>
    </row>
    <row r="103" spans="3:12" x14ac:dyDescent="0.25">
      <c r="C103" t="s">
        <v>59</v>
      </c>
      <c r="E103" s="5">
        <f>+E101-E102</f>
        <v>-230.53349999999998</v>
      </c>
      <c r="F103" s="5">
        <f>+F101-F102</f>
        <v>54.496250853999413</v>
      </c>
      <c r="G103" s="5">
        <f t="shared" ref="G103:K103" si="39">+G101-G102</f>
        <v>50.468317589074388</v>
      </c>
      <c r="H103" s="5">
        <f t="shared" si="39"/>
        <v>46.055719605535273</v>
      </c>
      <c r="I103" s="5">
        <f t="shared" si="39"/>
        <v>41.235930108322464</v>
      </c>
      <c r="J103" s="5">
        <f t="shared" si="39"/>
        <v>35.985314704997904</v>
      </c>
      <c r="K103" s="5">
        <f t="shared" si="39"/>
        <v>38.869205589078774</v>
      </c>
    </row>
    <row r="104" spans="3:12" x14ac:dyDescent="0.25">
      <c r="C104" t="s">
        <v>60</v>
      </c>
      <c r="E104" s="5">
        <f t="shared" ref="E104:I104" si="40">+(E103+F104)/(1+E96)</f>
        <v>817.98302159396485</v>
      </c>
      <c r="F104" s="5">
        <f t="shared" si="40"/>
        <v>1102.5034010191666</v>
      </c>
      <c r="G104" s="5">
        <f t="shared" si="40"/>
        <v>1120.7723746324323</v>
      </c>
      <c r="H104" s="5">
        <f t="shared" si="40"/>
        <v>1144.2750337690986</v>
      </c>
      <c r="I104" s="5">
        <f t="shared" si="40"/>
        <v>1173.7414663923241</v>
      </c>
      <c r="J104" s="5">
        <f>+(J103+K104)/(1+J96)</f>
        <v>1209.9724730658952</v>
      </c>
      <c r="K104" s="18">
        <f>+K97-J63</f>
        <v>1253.8453415832464</v>
      </c>
      <c r="L104" t="s">
        <v>61</v>
      </c>
    </row>
    <row r="105" spans="3:12" x14ac:dyDescent="0.25">
      <c r="C105" t="s">
        <v>62</v>
      </c>
      <c r="E105" s="5">
        <f>+D63</f>
        <v>5000</v>
      </c>
      <c r="F105" s="5">
        <f t="shared" ref="F105:K105" si="41">+E63</f>
        <v>5161.2900000000009</v>
      </c>
      <c r="G105" s="5">
        <f t="shared" si="41"/>
        <v>5349.68091</v>
      </c>
      <c r="H105" s="5">
        <f t="shared" si="41"/>
        <v>5545.4713292100005</v>
      </c>
      <c r="I105" s="5">
        <f t="shared" si="41"/>
        <v>5748.9733037145907</v>
      </c>
      <c r="J105" s="5">
        <f t="shared" si="41"/>
        <v>5960.5129719606139</v>
      </c>
      <c r="K105" s="5">
        <f t="shared" si="41"/>
        <v>6180.4312430214595</v>
      </c>
    </row>
    <row r="106" spans="3:12" x14ac:dyDescent="0.25">
      <c r="C106" s="16" t="s">
        <v>55</v>
      </c>
      <c r="D106" s="16"/>
      <c r="E106" s="17">
        <f>+E104+E105</f>
        <v>5817.9830215939646</v>
      </c>
      <c r="F106" s="17">
        <f t="shared" ref="F106:K106" si="42">+F104+F105</f>
        <v>6263.7934010191675</v>
      </c>
      <c r="G106" s="17">
        <f t="shared" si="42"/>
        <v>6470.4532846324328</v>
      </c>
      <c r="H106" s="17">
        <f t="shared" si="42"/>
        <v>6689.7463629790991</v>
      </c>
      <c r="I106" s="17">
        <f t="shared" si="42"/>
        <v>6922.7147701069152</v>
      </c>
      <c r="J106" s="17">
        <f t="shared" si="42"/>
        <v>7170.4854450265093</v>
      </c>
      <c r="K106" s="17">
        <f t="shared" si="42"/>
        <v>7434.2765846047059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BaseCase</vt:lpstr>
      <vt:lpstr>Improved</vt:lpstr>
      <vt:lpstr>DIV&lt;&gt;FCFE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Juhász Péter</dc:creator>
  <cp:lastModifiedBy>Juhász Péter</cp:lastModifiedBy>
  <dcterms:created xsi:type="dcterms:W3CDTF">2023-12-17T16:04:49Z</dcterms:created>
  <dcterms:modified xsi:type="dcterms:W3CDTF">2024-12-10T16:00:02Z</dcterms:modified>
</cp:coreProperties>
</file>