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S:\!Aktualis\2024ősz\Applied Business Valuation\Week6\"/>
    </mc:Choice>
  </mc:AlternateContent>
  <xr:revisionPtr revIDLastSave="0" documentId="13_ncr:1_{B9829AA9-E127-4D3D-A3DF-B422FF999B99}" xr6:coauthVersionLast="47" xr6:coauthVersionMax="47" xr10:uidLastSave="{00000000-0000-0000-0000-000000000000}"/>
  <bookViews>
    <workbookView xWindow="-120" yWindow="-120" windowWidth="29040" windowHeight="15720" activeTab="4" xr2:uid="{A09E819C-B7BF-4B75-AD7A-519512336DE8}"/>
  </bookViews>
  <sheets>
    <sheet name="Base" sheetId="1" r:id="rId1"/>
    <sheet name="Lower" sheetId="2" r:id="rId2"/>
    <sheet name="Macro" sheetId="3" r:id="rId3"/>
    <sheet name="PrFailure" sheetId="4" r:id="rId4"/>
    <sheet name="LiquRatio" sheetId="5" r:id="rId5"/>
  </sheets>
  <calcPr calcId="191029" iterateCount="20000" iterateDelta="1E-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1" i="5" l="1"/>
  <c r="C38" i="5"/>
  <c r="C39" i="5" s="1"/>
  <c r="J31" i="5"/>
  <c r="I31" i="5"/>
  <c r="F30" i="5"/>
  <c r="C25" i="5"/>
  <c r="G30" i="5" s="1"/>
  <c r="G32" i="5" s="1"/>
  <c r="L24" i="5"/>
  <c r="D24" i="5"/>
  <c r="L23" i="5"/>
  <c r="C9" i="5"/>
  <c r="C8" i="5"/>
  <c r="B41" i="4"/>
  <c r="C38" i="4"/>
  <c r="C39" i="4" s="1"/>
  <c r="J31" i="4"/>
  <c r="I31" i="4"/>
  <c r="G30" i="4"/>
  <c r="G32" i="4" s="1"/>
  <c r="G33" i="4" s="1"/>
  <c r="L32" i="4" s="1"/>
  <c r="L34" i="4" s="1"/>
  <c r="L35" i="4" s="1"/>
  <c r="C6" i="4" s="1"/>
  <c r="C10" i="4" s="1"/>
  <c r="F30" i="4"/>
  <c r="C25" i="4"/>
  <c r="D24" i="4"/>
  <c r="L23" i="4"/>
  <c r="L24" i="4" s="1"/>
  <c r="C9" i="4"/>
  <c r="C8" i="4"/>
  <c r="B41" i="3"/>
  <c r="C38" i="3"/>
  <c r="C39" i="3" s="1"/>
  <c r="J31" i="3"/>
  <c r="I31" i="3"/>
  <c r="G30" i="3"/>
  <c r="G32" i="3" s="1"/>
  <c r="G33" i="3" s="1"/>
  <c r="L32" i="3" s="1"/>
  <c r="L34" i="3" s="1"/>
  <c r="L35" i="3" s="1"/>
  <c r="C6" i="3" s="1"/>
  <c r="C10" i="3" s="1"/>
  <c r="F30" i="3"/>
  <c r="C25" i="3"/>
  <c r="D24" i="3"/>
  <c r="L23" i="3"/>
  <c r="L24" i="3" s="1"/>
  <c r="C9" i="3"/>
  <c r="C8" i="3"/>
  <c r="B41" i="2"/>
  <c r="C38" i="2"/>
  <c r="C39" i="2" s="1"/>
  <c r="J31" i="2"/>
  <c r="I31" i="2"/>
  <c r="F30" i="2"/>
  <c r="C25" i="2"/>
  <c r="G30" i="2" s="1"/>
  <c r="G32" i="2" s="1"/>
  <c r="G33" i="2" s="1"/>
  <c r="L32" i="2" s="1"/>
  <c r="L34" i="2" s="1"/>
  <c r="L35" i="2" s="1"/>
  <c r="C6" i="2" s="1"/>
  <c r="C10" i="2" s="1"/>
  <c r="L24" i="2"/>
  <c r="D24" i="2"/>
  <c r="L23" i="2"/>
  <c r="C9" i="2"/>
  <c r="C8" i="2"/>
  <c r="B41" i="1"/>
  <c r="C38" i="1"/>
  <c r="C9" i="1"/>
  <c r="C8" i="1"/>
  <c r="J31" i="1"/>
  <c r="I31" i="1"/>
  <c r="G30" i="1"/>
  <c r="G32" i="1" s="1"/>
  <c r="G33" i="1" s="1"/>
  <c r="F30" i="1"/>
  <c r="D24" i="1"/>
  <c r="C25" i="1"/>
  <c r="L23" i="1"/>
  <c r="L24" i="1" s="1"/>
  <c r="G33" i="5" l="1"/>
  <c r="L32" i="5" s="1"/>
  <c r="L34" i="5" s="1"/>
  <c r="L35" i="5" s="1"/>
  <c r="C6" i="5" s="1"/>
  <c r="C10" i="5" s="1"/>
  <c r="C11" i="5" s="1"/>
  <c r="C12" i="5" s="1"/>
  <c r="G25" i="5" s="1"/>
  <c r="C11" i="4"/>
  <c r="C12" i="4" s="1"/>
  <c r="G25" i="4" s="1"/>
  <c r="C11" i="3"/>
  <c r="C12" i="3" s="1"/>
  <c r="G25" i="3" s="1"/>
  <c r="C11" i="2"/>
  <c r="C12" i="2" s="1"/>
  <c r="G25" i="2" s="1"/>
  <c r="C39" i="1"/>
  <c r="L32" i="1"/>
  <c r="L34" i="1" s="1"/>
  <c r="L35" i="1" s="1"/>
  <c r="C6" i="1" s="1"/>
  <c r="C10" i="1" s="1"/>
  <c r="G23" i="5" l="1"/>
  <c r="C26" i="5" s="1"/>
  <c r="G37" i="5"/>
  <c r="G23" i="4"/>
  <c r="C26" i="4" s="1"/>
  <c r="G37" i="4"/>
  <c r="G37" i="3"/>
  <c r="G23" i="3"/>
  <c r="C26" i="3" s="1"/>
  <c r="G23" i="2"/>
  <c r="C26" i="2" s="1"/>
  <c r="G37" i="2"/>
  <c r="C11" i="1"/>
  <c r="C12" i="1" s="1"/>
  <c r="G25" i="1" s="1"/>
  <c r="H37" i="5" l="1"/>
  <c r="C23" i="5"/>
  <c r="C41" i="5" s="1"/>
  <c r="C29" i="5"/>
  <c r="C30" i="5" s="1"/>
  <c r="H37" i="4"/>
  <c r="C29" i="4"/>
  <c r="C30" i="4" s="1"/>
  <c r="C23" i="4"/>
  <c r="C41" i="4" s="1"/>
  <c r="C23" i="3"/>
  <c r="C41" i="3" s="1"/>
  <c r="C29" i="3"/>
  <c r="C30" i="3" s="1"/>
  <c r="H37" i="3"/>
  <c r="C23" i="2"/>
  <c r="C41" i="2" s="1"/>
  <c r="C29" i="2"/>
  <c r="C30" i="2" s="1"/>
  <c r="H37" i="2"/>
  <c r="G23" i="1"/>
  <c r="C26" i="1" s="1"/>
  <c r="C29" i="1" s="1"/>
  <c r="C30" i="1" s="1"/>
  <c r="G37" i="1"/>
  <c r="G38" i="5" l="1"/>
  <c r="L38" i="5" s="1"/>
  <c r="G39" i="5"/>
  <c r="L39" i="5" s="1"/>
  <c r="L41" i="5" s="1"/>
  <c r="C42" i="5" s="1"/>
  <c r="C43" i="5" s="1"/>
  <c r="G38" i="4"/>
  <c r="L38" i="4" s="1"/>
  <c r="G39" i="4"/>
  <c r="L39" i="4" s="1"/>
  <c r="L41" i="4" s="1"/>
  <c r="C42" i="4" s="1"/>
  <c r="C43" i="4" s="1"/>
  <c r="G39" i="3"/>
  <c r="L39" i="3" s="1"/>
  <c r="L41" i="3" s="1"/>
  <c r="C42" i="3" s="1"/>
  <c r="C43" i="3" s="1"/>
  <c r="G38" i="3"/>
  <c r="L38" i="3" s="1"/>
  <c r="G38" i="2"/>
  <c r="L38" i="2" s="1"/>
  <c r="G39" i="2"/>
  <c r="L39" i="2" s="1"/>
  <c r="L41" i="2" s="1"/>
  <c r="C42" i="2" s="1"/>
  <c r="C43" i="2" s="1"/>
  <c r="C23" i="1"/>
  <c r="C41" i="1" s="1"/>
  <c r="H37" i="1"/>
  <c r="G38" i="1" l="1"/>
  <c r="L38" i="1" s="1"/>
  <c r="G39" i="1"/>
  <c r="L39" i="1" s="1"/>
  <c r="L41" i="1" s="1"/>
  <c r="C42" i="1" s="1"/>
  <c r="C43" i="1" s="1"/>
</calcChain>
</file>

<file path=xl/sharedStrings.xml><?xml version="1.0" encoding="utf-8"?>
<sst xmlns="http://schemas.openxmlformats.org/spreadsheetml/2006/main" count="246" uniqueCount="43">
  <si>
    <t>RiskIt Co.</t>
  </si>
  <si>
    <t>GreatIdea Ltd</t>
  </si>
  <si>
    <t>rFinancing</t>
  </si>
  <si>
    <t>Today</t>
  </si>
  <si>
    <t>In 2 years</t>
  </si>
  <si>
    <t>In 6 years</t>
  </si>
  <si>
    <t>Capital increase 1</t>
  </si>
  <si>
    <t>Capital increase 2</t>
  </si>
  <si>
    <t>Liquidation ratio</t>
  </si>
  <si>
    <t>rReinvestment</t>
  </si>
  <si>
    <t>BV Equity</t>
  </si>
  <si>
    <t>V</t>
  </si>
  <si>
    <t>D</t>
  </si>
  <si>
    <t>Bank loan (D)</t>
  </si>
  <si>
    <t>E</t>
  </si>
  <si>
    <t>BV Equity after</t>
  </si>
  <si>
    <t>Failure</t>
  </si>
  <si>
    <t>Success</t>
  </si>
  <si>
    <t>Liquidation Income</t>
  </si>
  <si>
    <t>Total Income</t>
  </si>
  <si>
    <t>r failure 6 years</t>
  </si>
  <si>
    <t>r failure 1y</t>
  </si>
  <si>
    <t>VC income</t>
  </si>
  <si>
    <t>VC ownership%</t>
  </si>
  <si>
    <t>Assumption!</t>
  </si>
  <si>
    <t>r Failure</t>
  </si>
  <si>
    <t>investment duration</t>
  </si>
  <si>
    <t>years</t>
  </si>
  <si>
    <t>Pr failure</t>
  </si>
  <si>
    <r>
      <t>(1+rfin)</t>
    </r>
    <r>
      <rPr>
        <vertAlign val="superscript"/>
        <sz val="12"/>
        <color theme="1"/>
        <rFont val="Calibri"/>
        <family val="2"/>
        <charset val="238"/>
        <scheme val="minor"/>
      </rPr>
      <t>t</t>
    </r>
  </si>
  <si>
    <r>
      <t>(1+rfaillure)</t>
    </r>
    <r>
      <rPr>
        <vertAlign val="superscript"/>
        <sz val="12"/>
        <color theme="1"/>
        <rFont val="Calibri"/>
        <family val="2"/>
        <charset val="238"/>
        <scheme val="minor"/>
      </rPr>
      <t>t</t>
    </r>
  </si>
  <si>
    <r>
      <t>(1+rsuccess)</t>
    </r>
    <r>
      <rPr>
        <vertAlign val="superscript"/>
        <sz val="12"/>
        <color theme="1"/>
        <rFont val="Calibri"/>
        <family val="2"/>
        <charset val="238"/>
        <scheme val="minor"/>
      </rPr>
      <t>t</t>
    </r>
  </si>
  <si>
    <t>rsuccess</t>
  </si>
  <si>
    <t>Post Money Value E</t>
  </si>
  <si>
    <t>Pre Money Value E</t>
  </si>
  <si>
    <t>t</t>
  </si>
  <si>
    <t>dif</t>
  </si>
  <si>
    <t>Funder's ownership</t>
  </si>
  <si>
    <t>VC ownership% 1</t>
  </si>
  <si>
    <t>VC ownership% 2</t>
  </si>
  <si>
    <t>Funder's stake</t>
  </si>
  <si>
    <t>r owner success</t>
  </si>
  <si>
    <t>Macro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</si>
</sst>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5" formatCode="0.0000000000000%"/>
    <numFmt numFmtId="181" formatCode="0.0000000000000000000%"/>
  </numFmts>
  <fonts count="8" x14ac:knownFonts="1">
    <font>
      <sz val="12"/>
      <color theme="1"/>
      <name val="Calibri"/>
      <family val="2"/>
      <charset val="238"/>
      <scheme val="minor"/>
    </font>
    <font>
      <sz val="12"/>
      <color theme="1"/>
      <name val="Calibri"/>
      <family val="2"/>
      <charset val="238"/>
      <scheme val="minor"/>
    </font>
    <font>
      <sz val="12"/>
      <color rgb="FF00B050"/>
      <name val="Calibri"/>
      <family val="2"/>
      <charset val="238"/>
      <scheme val="minor"/>
    </font>
    <font>
      <sz val="12"/>
      <color rgb="FFC00000"/>
      <name val="Calibri"/>
      <family val="2"/>
      <charset val="238"/>
      <scheme val="minor"/>
    </font>
    <font>
      <b/>
      <sz val="12"/>
      <color rgb="FFC00000"/>
      <name val="Calibri"/>
      <family val="2"/>
      <charset val="238"/>
      <scheme val="minor"/>
    </font>
    <font>
      <b/>
      <sz val="12"/>
      <color theme="1"/>
      <name val="Calibri"/>
      <family val="2"/>
      <charset val="238"/>
      <scheme val="minor"/>
    </font>
    <font>
      <vertAlign val="superscript"/>
      <sz val="12"/>
      <color theme="1"/>
      <name val="Calibri"/>
      <family val="2"/>
      <charset val="238"/>
      <scheme val="minor"/>
    </font>
    <font>
      <b/>
      <sz val="12"/>
      <color rgb="FF00B050"/>
      <name val="Calibri"/>
      <family val="2"/>
      <charset val="238"/>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9" fontId="0" fillId="0" borderId="0" xfId="0" applyNumberFormat="1"/>
    <xf numFmtId="0" fontId="2" fillId="0" borderId="0" xfId="0" applyFont="1" applyAlignment="1">
      <alignment horizontal="right"/>
    </xf>
    <xf numFmtId="9" fontId="2" fillId="0" borderId="0" xfId="0" applyNumberFormat="1" applyFont="1"/>
    <xf numFmtId="0" fontId="3" fillId="0" borderId="0" xfId="0" applyFont="1"/>
    <xf numFmtId="9" fontId="4" fillId="2" borderId="0" xfId="0" applyNumberFormat="1" applyFont="1" applyFill="1"/>
    <xf numFmtId="10" fontId="0" fillId="0" borderId="0" xfId="1" applyNumberFormat="1" applyFont="1"/>
    <xf numFmtId="9" fontId="5" fillId="2" borderId="0" xfId="0" applyNumberFormat="1" applyFont="1" applyFill="1"/>
    <xf numFmtId="0" fontId="5" fillId="2" borderId="0" xfId="0" applyFont="1" applyFill="1"/>
    <xf numFmtId="4" fontId="0" fillId="0" borderId="0" xfId="0" applyNumberFormat="1"/>
    <xf numFmtId="0" fontId="4" fillId="0" borderId="0" xfId="0" applyFont="1"/>
    <xf numFmtId="10" fontId="4" fillId="0" borderId="0" xfId="1" applyNumberFormat="1" applyFont="1"/>
    <xf numFmtId="0" fontId="0" fillId="4" borderId="0" xfId="0" applyFill="1"/>
    <xf numFmtId="10" fontId="0" fillId="0" borderId="0" xfId="0" applyNumberFormat="1"/>
    <xf numFmtId="10" fontId="5" fillId="2" borderId="0" xfId="0" applyNumberFormat="1" applyFont="1" applyFill="1"/>
    <xf numFmtId="0" fontId="7" fillId="0" borderId="0" xfId="0" applyFont="1"/>
    <xf numFmtId="10" fontId="7" fillId="0" borderId="0" xfId="1" applyNumberFormat="1" applyFont="1"/>
    <xf numFmtId="10" fontId="4" fillId="0" borderId="0" xfId="0" applyNumberFormat="1" applyFont="1"/>
    <xf numFmtId="0" fontId="5" fillId="0" borderId="0" xfId="0" applyFont="1"/>
    <xf numFmtId="4" fontId="5" fillId="2" borderId="0" xfId="0" applyNumberFormat="1" applyFont="1" applyFill="1"/>
    <xf numFmtId="10" fontId="0" fillId="3" borderId="0" xfId="0" applyNumberFormat="1" applyFill="1"/>
    <xf numFmtId="10" fontId="0" fillId="4" borderId="0" xfId="1" applyNumberFormat="1" applyFont="1" applyFill="1"/>
    <xf numFmtId="175" fontId="0" fillId="0" borderId="0" xfId="0" applyNumberFormat="1"/>
    <xf numFmtId="181" fontId="0" fillId="0" borderId="0" xfId="0" applyNumberFormat="1"/>
    <xf numFmtId="4" fontId="0" fillId="4" borderId="0" xfId="0" applyNumberForma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1150256</xdr:colOff>
      <xdr:row>3</xdr:row>
      <xdr:rowOff>29029</xdr:rowOff>
    </xdr:from>
    <xdr:to>
      <xdr:col>15</xdr:col>
      <xdr:colOff>268514</xdr:colOff>
      <xdr:row>18</xdr:row>
      <xdr:rowOff>30843</xdr:rowOff>
    </xdr:to>
    <xdr:sp macro="" textlink="">
      <xdr:nvSpPr>
        <xdr:cNvPr id="2" name="Szövegdoboz 1">
          <a:extLst>
            <a:ext uri="{FF2B5EF4-FFF2-40B4-BE49-F238E27FC236}">
              <a16:creationId xmlns:a16="http://schemas.microsoft.com/office/drawing/2014/main" id="{2C9D2F6E-5472-59CE-D891-5D4598FE73FD}"/>
            </a:ext>
          </a:extLst>
        </xdr:cNvPr>
        <xdr:cNvSpPr txBox="1"/>
      </xdr:nvSpPr>
      <xdr:spPr>
        <a:xfrm>
          <a:off x="5246006" y="638629"/>
          <a:ext cx="7265308" cy="30498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a:t>
          </a:r>
          <a:r>
            <a:rPr lang="en-GB" sz="1100">
              <a:solidFill>
                <a:srgbClr val="FF0000"/>
              </a:solidFill>
              <a:effectLst/>
              <a:latin typeface="+mn-lt"/>
              <a:ea typeface="+mn-ea"/>
              <a:cs typeface="+mn-cs"/>
            </a:rPr>
            <a:t>Based on the plans of RiskIt, the firm's total would be sold in the best case for 1500 M HUF in 6 years from now. </a:t>
          </a:r>
          <a:endParaRPr lang="hu-HU" sz="1100">
            <a:solidFill>
              <a:srgbClr val="FF0000"/>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3</xdr:col>
      <xdr:colOff>95250</xdr:colOff>
      <xdr:row>25</xdr:row>
      <xdr:rowOff>152400</xdr:rowOff>
    </xdr:from>
    <xdr:to>
      <xdr:col>4</xdr:col>
      <xdr:colOff>660400</xdr:colOff>
      <xdr:row>29</xdr:row>
      <xdr:rowOff>196850</xdr:rowOff>
    </xdr:to>
    <xdr:cxnSp macro="">
      <xdr:nvCxnSpPr>
        <xdr:cNvPr id="4" name="Straight Arrow Connector 3">
          <a:extLst>
            <a:ext uri="{FF2B5EF4-FFF2-40B4-BE49-F238E27FC236}">
              <a16:creationId xmlns:a16="http://schemas.microsoft.com/office/drawing/2014/main" id="{99D9DF09-AD94-FC94-ECBA-F237F65B9198}"/>
            </a:ext>
          </a:extLst>
        </xdr:cNvPr>
        <xdr:cNvCxnSpPr/>
      </xdr:nvCxnSpPr>
      <xdr:spPr>
        <a:xfrm>
          <a:off x="2622550" y="5232400"/>
          <a:ext cx="1250950" cy="857250"/>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22</xdr:row>
      <xdr:rowOff>133350</xdr:rowOff>
    </xdr:from>
    <xdr:to>
      <xdr:col>5</xdr:col>
      <xdr:colOff>0</xdr:colOff>
      <xdr:row>25</xdr:row>
      <xdr:rowOff>120650</xdr:rowOff>
    </xdr:to>
    <xdr:cxnSp macro="">
      <xdr:nvCxnSpPr>
        <xdr:cNvPr id="6" name="Straight Arrow Connector 5">
          <a:extLst>
            <a:ext uri="{FF2B5EF4-FFF2-40B4-BE49-F238E27FC236}">
              <a16:creationId xmlns:a16="http://schemas.microsoft.com/office/drawing/2014/main" id="{6ECFF052-2D4A-101E-C0EE-30D048FFA54B}"/>
            </a:ext>
          </a:extLst>
        </xdr:cNvPr>
        <xdr:cNvCxnSpPr/>
      </xdr:nvCxnSpPr>
      <xdr:spPr>
        <a:xfrm flipV="1">
          <a:off x="2838450" y="4679950"/>
          <a:ext cx="1257300" cy="596900"/>
        </a:xfrm>
        <a:prstGeom prst="straightConnector1">
          <a:avLst/>
        </a:prstGeom>
        <a:ln w="158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xdr:colOff>
      <xdr:row>31</xdr:row>
      <xdr:rowOff>101600</xdr:rowOff>
    </xdr:from>
    <xdr:to>
      <xdr:col>9</xdr:col>
      <xdr:colOff>647700</xdr:colOff>
      <xdr:row>32</xdr:row>
      <xdr:rowOff>120650</xdr:rowOff>
    </xdr:to>
    <xdr:cxnSp macro="">
      <xdr:nvCxnSpPr>
        <xdr:cNvPr id="7" name="Straight Arrow Connector 6">
          <a:extLst>
            <a:ext uri="{FF2B5EF4-FFF2-40B4-BE49-F238E27FC236}">
              <a16:creationId xmlns:a16="http://schemas.microsoft.com/office/drawing/2014/main" id="{A472AC37-B5EC-9F01-7C69-83558CBAEC42}"/>
            </a:ext>
          </a:extLst>
        </xdr:cNvPr>
        <xdr:cNvCxnSpPr/>
      </xdr:nvCxnSpPr>
      <xdr:spPr>
        <a:xfrm flipV="1">
          <a:off x="5918200" y="6400800"/>
          <a:ext cx="2260600" cy="222250"/>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117475</xdr:colOff>
      <xdr:row>0</xdr:row>
      <xdr:rowOff>76200</xdr:rowOff>
    </xdr:from>
    <xdr:ext cx="7922169" cy="335220"/>
    <mc:AlternateContent xmlns:mc="http://schemas.openxmlformats.org/markup-compatibility/2006">
      <mc:Choice xmlns:a14="http://schemas.microsoft.com/office/drawing/2010/main" Requires="a14">
        <xdr:sp macro="" textlink="">
          <xdr:nvSpPr>
            <xdr:cNvPr id="14" name="TextBox 13">
              <a:extLst>
                <a:ext uri="{FF2B5EF4-FFF2-40B4-BE49-F238E27FC236}">
                  <a16:creationId xmlns:a16="http://schemas.microsoft.com/office/drawing/2014/main" id="{2D0C5C53-5647-3535-BFF0-0030234DDA73}"/>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p>
                      <m:sSupPr>
                        <m:ctrlPr>
                          <a:rPr lang="hu-HU" sz="2000" b="0" i="1">
                            <a:solidFill>
                              <a:schemeClr val="tx1"/>
                            </a:solidFill>
                            <a:latin typeface="Cambria Math" panose="02040503050406030204" pitchFamily="18" charset="0"/>
                            <a:ea typeface="+mn-ea"/>
                            <a:cs typeface="+mn-cs"/>
                          </a:rPr>
                        </m:ctrlPr>
                      </m:sSup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𝑓𝑖𝑛𝑎𝑛𝑐𝑖𝑛𝑔</m:t>
                            </m:r>
                          </m:sub>
                        </m:sSub>
                        <m:r>
                          <a:rPr lang="hu-HU" sz="2000" b="0" i="1">
                            <a:solidFill>
                              <a:schemeClr val="tx1"/>
                            </a:solidFill>
                            <a:latin typeface="Cambria Math" panose="02040503050406030204" pitchFamily="18" charset="0"/>
                            <a:ea typeface="+mn-ea"/>
                            <a:cs typeface="+mn-cs"/>
                          </a:rPr>
                          <m:t>)</m:t>
                        </m:r>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𝐹𝑎𝑖𝑙𝑢𝑟𝑒</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𝐹𝑎𝑖𝑙𝑢𝑟𝑒</m:t>
                                </m:r>
                              </m:sub>
                            </m:sSub>
                          </m:e>
                        </m:d>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𝑆𝑢𝑐𝑐𝑒𝑠𝑠</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𝑆𝑢𝑐𝑐𝑒𝑠𝑠</m:t>
                                </m:r>
                              </m:sub>
                            </m:sSub>
                          </m:e>
                        </m:d>
                      </m:e>
                      <m:sup>
                        <m:r>
                          <a:rPr lang="hu-HU" sz="2000" b="0" i="1">
                            <a:solidFill>
                              <a:schemeClr val="tx1"/>
                            </a:solidFill>
                            <a:latin typeface="Cambria Math" panose="02040503050406030204" pitchFamily="18" charset="0"/>
                            <a:ea typeface="+mn-ea"/>
                            <a:cs typeface="+mn-cs"/>
                          </a:rPr>
                          <m:t>𝑡</m:t>
                        </m:r>
                      </m:sup>
                    </m:sSup>
                  </m:oMath>
                </m:oMathPara>
              </a14:m>
              <a:endParaRPr lang="hu-HU" sz="2000" b="0" i="1">
                <a:solidFill>
                  <a:schemeClr val="tx1"/>
                </a:solidFill>
                <a:latin typeface="Cambria Math" panose="02040503050406030204" pitchFamily="18" charset="0"/>
                <a:ea typeface="+mn-ea"/>
                <a:cs typeface="+mn-cs"/>
              </a:endParaRPr>
            </a:p>
          </xdr:txBody>
        </xdr:sp>
      </mc:Choice>
      <mc:Fallback>
        <xdr:sp macro="" textlink="">
          <xdr:nvSpPr>
            <xdr:cNvPr id="14" name="TextBox 13">
              <a:extLst>
                <a:ext uri="{FF2B5EF4-FFF2-40B4-BE49-F238E27FC236}">
                  <a16:creationId xmlns:a16="http://schemas.microsoft.com/office/drawing/2014/main" id="{2D0C5C53-5647-3535-BFF0-0030234DDA73}"/>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hu-HU" sz="2000" b="0" i="0">
                  <a:solidFill>
                    <a:schemeClr val="tx1"/>
                  </a:solidFill>
                  <a:latin typeface="Cambria Math" panose="02040503050406030204" pitchFamily="18" charset="0"/>
                  <a:ea typeface="+mn-ea"/>
                  <a:cs typeface="+mn-cs"/>
                </a:rPr>
                <a:t>〖(1+𝑟_𝑓𝑖𝑛𝑎𝑛𝑐𝑖𝑛𝑔)〗^𝑡=〖𝑃𝑟〗_𝐹𝑎𝑖𝑙𝑢𝑟𝑒∗(1+𝑟_𝐹𝑎𝑖𝑙𝑢𝑟𝑒 )^𝑡+〖𝑃𝑟〗_𝑆𝑢𝑐𝑐𝑒𝑠𝑠∗(1+𝑟_𝑆𝑢𝑐𝑐𝑒𝑠𝑠 )^𝑡</a:t>
              </a:r>
              <a:endParaRPr lang="hu-HU" sz="2000" b="0" i="1">
                <a:solidFill>
                  <a:schemeClr val="tx1"/>
                </a:solidFill>
                <a:latin typeface="Cambria Math" panose="02040503050406030204" pitchFamily="18" charset="0"/>
                <a:ea typeface="+mn-ea"/>
                <a:cs typeface="+mn-cs"/>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5</xdr:col>
      <xdr:colOff>1150256</xdr:colOff>
      <xdr:row>3</xdr:row>
      <xdr:rowOff>29029</xdr:rowOff>
    </xdr:from>
    <xdr:to>
      <xdr:col>15</xdr:col>
      <xdr:colOff>268514</xdr:colOff>
      <xdr:row>18</xdr:row>
      <xdr:rowOff>30843</xdr:rowOff>
    </xdr:to>
    <xdr:sp macro="" textlink="">
      <xdr:nvSpPr>
        <xdr:cNvPr id="2" name="Szövegdoboz 1">
          <a:extLst>
            <a:ext uri="{FF2B5EF4-FFF2-40B4-BE49-F238E27FC236}">
              <a16:creationId xmlns:a16="http://schemas.microsoft.com/office/drawing/2014/main" id="{E340E029-AC35-4744-8366-A68729777217}"/>
            </a:ext>
          </a:extLst>
        </xdr:cNvPr>
        <xdr:cNvSpPr txBox="1"/>
      </xdr:nvSpPr>
      <xdr:spPr>
        <a:xfrm>
          <a:off x="6369956" y="629104"/>
          <a:ext cx="7509783" cy="3087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a:t>
          </a:r>
          <a:r>
            <a:rPr lang="en-GB" sz="1100">
              <a:solidFill>
                <a:srgbClr val="FF0000"/>
              </a:solidFill>
              <a:effectLst/>
              <a:latin typeface="+mn-lt"/>
              <a:ea typeface="+mn-ea"/>
              <a:cs typeface="+mn-cs"/>
            </a:rPr>
            <a:t>Based on the plans of RiskIt, the firm's total would be sold in the best case for 1500 M HUF in 6 years from now. </a:t>
          </a:r>
          <a:endParaRPr lang="hu-HU" sz="1100">
            <a:solidFill>
              <a:srgbClr val="FF0000"/>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3</xdr:col>
      <xdr:colOff>95250</xdr:colOff>
      <xdr:row>25</xdr:row>
      <xdr:rowOff>152400</xdr:rowOff>
    </xdr:from>
    <xdr:to>
      <xdr:col>4</xdr:col>
      <xdr:colOff>660400</xdr:colOff>
      <xdr:row>29</xdr:row>
      <xdr:rowOff>196850</xdr:rowOff>
    </xdr:to>
    <xdr:cxnSp macro="">
      <xdr:nvCxnSpPr>
        <xdr:cNvPr id="3" name="Straight Arrow Connector 2">
          <a:extLst>
            <a:ext uri="{FF2B5EF4-FFF2-40B4-BE49-F238E27FC236}">
              <a16:creationId xmlns:a16="http://schemas.microsoft.com/office/drawing/2014/main" id="{198764AE-6C08-4587-8C7E-CDF5C173BD61}"/>
            </a:ext>
          </a:extLst>
        </xdr:cNvPr>
        <xdr:cNvCxnSpPr/>
      </xdr:nvCxnSpPr>
      <xdr:spPr>
        <a:xfrm>
          <a:off x="3943350" y="5238750"/>
          <a:ext cx="1250950" cy="844550"/>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22</xdr:row>
      <xdr:rowOff>133350</xdr:rowOff>
    </xdr:from>
    <xdr:to>
      <xdr:col>5</xdr:col>
      <xdr:colOff>0</xdr:colOff>
      <xdr:row>25</xdr:row>
      <xdr:rowOff>120650</xdr:rowOff>
    </xdr:to>
    <xdr:cxnSp macro="">
      <xdr:nvCxnSpPr>
        <xdr:cNvPr id="4" name="Straight Arrow Connector 3">
          <a:extLst>
            <a:ext uri="{FF2B5EF4-FFF2-40B4-BE49-F238E27FC236}">
              <a16:creationId xmlns:a16="http://schemas.microsoft.com/office/drawing/2014/main" id="{97F3387D-0575-495B-813B-85B34C0E440B}"/>
            </a:ext>
          </a:extLst>
        </xdr:cNvPr>
        <xdr:cNvCxnSpPr/>
      </xdr:nvCxnSpPr>
      <xdr:spPr>
        <a:xfrm flipV="1">
          <a:off x="3962400" y="4619625"/>
          <a:ext cx="1257300" cy="587375"/>
        </a:xfrm>
        <a:prstGeom prst="straightConnector1">
          <a:avLst/>
        </a:prstGeom>
        <a:ln w="158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xdr:colOff>
      <xdr:row>31</xdr:row>
      <xdr:rowOff>101600</xdr:rowOff>
    </xdr:from>
    <xdr:to>
      <xdr:col>9</xdr:col>
      <xdr:colOff>647700</xdr:colOff>
      <xdr:row>32</xdr:row>
      <xdr:rowOff>120650</xdr:rowOff>
    </xdr:to>
    <xdr:cxnSp macro="">
      <xdr:nvCxnSpPr>
        <xdr:cNvPr id="5" name="Straight Arrow Connector 4">
          <a:extLst>
            <a:ext uri="{FF2B5EF4-FFF2-40B4-BE49-F238E27FC236}">
              <a16:creationId xmlns:a16="http://schemas.microsoft.com/office/drawing/2014/main" id="{2ABC15EF-B264-4980-86DB-B83A0C713907}"/>
            </a:ext>
          </a:extLst>
        </xdr:cNvPr>
        <xdr:cNvCxnSpPr/>
      </xdr:nvCxnSpPr>
      <xdr:spPr>
        <a:xfrm flipV="1">
          <a:off x="7277100" y="6388100"/>
          <a:ext cx="2257425" cy="219075"/>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117475</xdr:colOff>
      <xdr:row>0</xdr:row>
      <xdr:rowOff>76200</xdr:rowOff>
    </xdr:from>
    <xdr:ext cx="7922169" cy="335220"/>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33EF3D56-BBB7-4C75-9FFA-E9C1C794E9FE}"/>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p>
                      <m:sSupPr>
                        <m:ctrlPr>
                          <a:rPr lang="hu-HU" sz="2000" b="0" i="1">
                            <a:solidFill>
                              <a:schemeClr val="tx1"/>
                            </a:solidFill>
                            <a:latin typeface="Cambria Math" panose="02040503050406030204" pitchFamily="18" charset="0"/>
                            <a:ea typeface="+mn-ea"/>
                            <a:cs typeface="+mn-cs"/>
                          </a:rPr>
                        </m:ctrlPr>
                      </m:sSup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𝑓𝑖𝑛𝑎𝑛𝑐𝑖𝑛𝑔</m:t>
                            </m:r>
                          </m:sub>
                        </m:sSub>
                        <m:r>
                          <a:rPr lang="hu-HU" sz="2000" b="0" i="1">
                            <a:solidFill>
                              <a:schemeClr val="tx1"/>
                            </a:solidFill>
                            <a:latin typeface="Cambria Math" panose="02040503050406030204" pitchFamily="18" charset="0"/>
                            <a:ea typeface="+mn-ea"/>
                            <a:cs typeface="+mn-cs"/>
                          </a:rPr>
                          <m:t>)</m:t>
                        </m:r>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𝐹𝑎𝑖𝑙𝑢𝑟𝑒</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𝐹𝑎𝑖𝑙𝑢𝑟𝑒</m:t>
                                </m:r>
                              </m:sub>
                            </m:sSub>
                          </m:e>
                        </m:d>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𝑆𝑢𝑐𝑐𝑒𝑠𝑠</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𝑆𝑢𝑐𝑐𝑒𝑠𝑠</m:t>
                                </m:r>
                              </m:sub>
                            </m:sSub>
                          </m:e>
                        </m:d>
                      </m:e>
                      <m:sup>
                        <m:r>
                          <a:rPr lang="hu-HU" sz="2000" b="0" i="1">
                            <a:solidFill>
                              <a:schemeClr val="tx1"/>
                            </a:solidFill>
                            <a:latin typeface="Cambria Math" panose="02040503050406030204" pitchFamily="18" charset="0"/>
                            <a:ea typeface="+mn-ea"/>
                            <a:cs typeface="+mn-cs"/>
                          </a:rPr>
                          <m:t>𝑡</m:t>
                        </m:r>
                      </m:sup>
                    </m:sSup>
                  </m:oMath>
                </m:oMathPara>
              </a14:m>
              <a:endParaRPr lang="hu-HU" sz="2000" b="0" i="1">
                <a:solidFill>
                  <a:schemeClr val="tx1"/>
                </a:solidFill>
                <a:latin typeface="Cambria Math" panose="02040503050406030204" pitchFamily="18" charset="0"/>
                <a:ea typeface="+mn-ea"/>
                <a:cs typeface="+mn-cs"/>
              </a:endParaRPr>
            </a:p>
          </xdr:txBody>
        </xdr:sp>
      </mc:Choice>
      <mc:Fallback>
        <xdr:sp macro="" textlink="">
          <xdr:nvSpPr>
            <xdr:cNvPr id="6" name="TextBox 5">
              <a:extLst>
                <a:ext uri="{FF2B5EF4-FFF2-40B4-BE49-F238E27FC236}">
                  <a16:creationId xmlns:a16="http://schemas.microsoft.com/office/drawing/2014/main" id="{33EF3D56-BBB7-4C75-9FFA-E9C1C794E9FE}"/>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hu-HU" sz="2000" b="0" i="0">
                  <a:solidFill>
                    <a:schemeClr val="tx1"/>
                  </a:solidFill>
                  <a:latin typeface="Cambria Math" panose="02040503050406030204" pitchFamily="18" charset="0"/>
                  <a:ea typeface="+mn-ea"/>
                  <a:cs typeface="+mn-cs"/>
                </a:rPr>
                <a:t>〖(1+𝑟_𝑓𝑖𝑛𝑎𝑛𝑐𝑖𝑛𝑔)〗^𝑡=〖𝑃𝑟〗_𝐹𝑎𝑖𝑙𝑢𝑟𝑒∗(1+𝑟_𝐹𝑎𝑖𝑙𝑢𝑟𝑒 )^𝑡+〖𝑃𝑟〗_𝑆𝑢𝑐𝑐𝑒𝑠𝑠∗(1+𝑟_𝑆𝑢𝑐𝑐𝑒𝑠𝑠 )^𝑡</a:t>
              </a:r>
              <a:endParaRPr lang="hu-HU" sz="2000" b="0" i="1">
                <a:solidFill>
                  <a:schemeClr val="tx1"/>
                </a:solidFill>
                <a:latin typeface="Cambria Math" panose="02040503050406030204" pitchFamily="18" charset="0"/>
                <a:ea typeface="+mn-ea"/>
                <a:cs typeface="+mn-cs"/>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5</xdr:col>
      <xdr:colOff>1150256</xdr:colOff>
      <xdr:row>3</xdr:row>
      <xdr:rowOff>29029</xdr:rowOff>
    </xdr:from>
    <xdr:to>
      <xdr:col>15</xdr:col>
      <xdr:colOff>268514</xdr:colOff>
      <xdr:row>18</xdr:row>
      <xdr:rowOff>30843</xdr:rowOff>
    </xdr:to>
    <xdr:sp macro="" textlink="">
      <xdr:nvSpPr>
        <xdr:cNvPr id="2" name="Szövegdoboz 1">
          <a:extLst>
            <a:ext uri="{FF2B5EF4-FFF2-40B4-BE49-F238E27FC236}">
              <a16:creationId xmlns:a16="http://schemas.microsoft.com/office/drawing/2014/main" id="{F52B3F35-6F87-418E-A472-FB3403403DB0}"/>
            </a:ext>
          </a:extLst>
        </xdr:cNvPr>
        <xdr:cNvSpPr txBox="1"/>
      </xdr:nvSpPr>
      <xdr:spPr>
        <a:xfrm>
          <a:off x="6369956" y="629104"/>
          <a:ext cx="7509783" cy="3087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a:t>
          </a:r>
          <a:r>
            <a:rPr lang="en-GB" sz="1100">
              <a:solidFill>
                <a:srgbClr val="FF0000"/>
              </a:solidFill>
              <a:effectLst/>
              <a:latin typeface="+mn-lt"/>
              <a:ea typeface="+mn-ea"/>
              <a:cs typeface="+mn-cs"/>
            </a:rPr>
            <a:t>Based on the plans of RiskIt, the firm's total would be sold in the best case for 1500 M HUF in 6 years from now. </a:t>
          </a:r>
          <a:endParaRPr lang="hu-HU" sz="1100">
            <a:solidFill>
              <a:srgbClr val="FF0000"/>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3</xdr:col>
      <xdr:colOff>95250</xdr:colOff>
      <xdr:row>25</xdr:row>
      <xdr:rowOff>152400</xdr:rowOff>
    </xdr:from>
    <xdr:to>
      <xdr:col>4</xdr:col>
      <xdr:colOff>660400</xdr:colOff>
      <xdr:row>29</xdr:row>
      <xdr:rowOff>196850</xdr:rowOff>
    </xdr:to>
    <xdr:cxnSp macro="">
      <xdr:nvCxnSpPr>
        <xdr:cNvPr id="3" name="Straight Arrow Connector 2">
          <a:extLst>
            <a:ext uri="{FF2B5EF4-FFF2-40B4-BE49-F238E27FC236}">
              <a16:creationId xmlns:a16="http://schemas.microsoft.com/office/drawing/2014/main" id="{6C7D7ED1-7A02-448B-9E31-B774ECA8AD16}"/>
            </a:ext>
          </a:extLst>
        </xdr:cNvPr>
        <xdr:cNvCxnSpPr/>
      </xdr:nvCxnSpPr>
      <xdr:spPr>
        <a:xfrm>
          <a:off x="3943350" y="5238750"/>
          <a:ext cx="1250950" cy="844550"/>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22</xdr:row>
      <xdr:rowOff>133350</xdr:rowOff>
    </xdr:from>
    <xdr:to>
      <xdr:col>5</xdr:col>
      <xdr:colOff>0</xdr:colOff>
      <xdr:row>25</xdr:row>
      <xdr:rowOff>120650</xdr:rowOff>
    </xdr:to>
    <xdr:cxnSp macro="">
      <xdr:nvCxnSpPr>
        <xdr:cNvPr id="4" name="Straight Arrow Connector 3">
          <a:extLst>
            <a:ext uri="{FF2B5EF4-FFF2-40B4-BE49-F238E27FC236}">
              <a16:creationId xmlns:a16="http://schemas.microsoft.com/office/drawing/2014/main" id="{9B2B3601-6780-4DF3-B236-69F19CF7C497}"/>
            </a:ext>
          </a:extLst>
        </xdr:cNvPr>
        <xdr:cNvCxnSpPr/>
      </xdr:nvCxnSpPr>
      <xdr:spPr>
        <a:xfrm flipV="1">
          <a:off x="3962400" y="4619625"/>
          <a:ext cx="1257300" cy="587375"/>
        </a:xfrm>
        <a:prstGeom prst="straightConnector1">
          <a:avLst/>
        </a:prstGeom>
        <a:ln w="158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xdr:colOff>
      <xdr:row>31</xdr:row>
      <xdr:rowOff>101600</xdr:rowOff>
    </xdr:from>
    <xdr:to>
      <xdr:col>9</xdr:col>
      <xdr:colOff>647700</xdr:colOff>
      <xdr:row>32</xdr:row>
      <xdr:rowOff>120650</xdr:rowOff>
    </xdr:to>
    <xdr:cxnSp macro="">
      <xdr:nvCxnSpPr>
        <xdr:cNvPr id="5" name="Straight Arrow Connector 4">
          <a:extLst>
            <a:ext uri="{FF2B5EF4-FFF2-40B4-BE49-F238E27FC236}">
              <a16:creationId xmlns:a16="http://schemas.microsoft.com/office/drawing/2014/main" id="{3700E36C-E8C9-464E-BDEF-435935E374D8}"/>
            </a:ext>
          </a:extLst>
        </xdr:cNvPr>
        <xdr:cNvCxnSpPr/>
      </xdr:nvCxnSpPr>
      <xdr:spPr>
        <a:xfrm flipV="1">
          <a:off x="7277100" y="6388100"/>
          <a:ext cx="2257425" cy="219075"/>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117475</xdr:colOff>
      <xdr:row>0</xdr:row>
      <xdr:rowOff>76200</xdr:rowOff>
    </xdr:from>
    <xdr:ext cx="7922169" cy="335220"/>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61351EA1-F236-4859-AA29-0FCB9F244E1D}"/>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p>
                      <m:sSupPr>
                        <m:ctrlPr>
                          <a:rPr lang="hu-HU" sz="2000" b="0" i="1">
                            <a:solidFill>
                              <a:schemeClr val="tx1"/>
                            </a:solidFill>
                            <a:latin typeface="Cambria Math" panose="02040503050406030204" pitchFamily="18" charset="0"/>
                            <a:ea typeface="+mn-ea"/>
                            <a:cs typeface="+mn-cs"/>
                          </a:rPr>
                        </m:ctrlPr>
                      </m:sSup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𝑓𝑖𝑛𝑎𝑛𝑐𝑖𝑛𝑔</m:t>
                            </m:r>
                          </m:sub>
                        </m:sSub>
                        <m:r>
                          <a:rPr lang="hu-HU" sz="2000" b="0" i="1">
                            <a:solidFill>
                              <a:schemeClr val="tx1"/>
                            </a:solidFill>
                            <a:latin typeface="Cambria Math" panose="02040503050406030204" pitchFamily="18" charset="0"/>
                            <a:ea typeface="+mn-ea"/>
                            <a:cs typeface="+mn-cs"/>
                          </a:rPr>
                          <m:t>)</m:t>
                        </m:r>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𝐹𝑎𝑖𝑙𝑢𝑟𝑒</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𝐹𝑎𝑖𝑙𝑢𝑟𝑒</m:t>
                                </m:r>
                              </m:sub>
                            </m:sSub>
                          </m:e>
                        </m:d>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𝑆𝑢𝑐𝑐𝑒𝑠𝑠</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𝑆𝑢𝑐𝑐𝑒𝑠𝑠</m:t>
                                </m:r>
                              </m:sub>
                            </m:sSub>
                          </m:e>
                        </m:d>
                      </m:e>
                      <m:sup>
                        <m:r>
                          <a:rPr lang="hu-HU" sz="2000" b="0" i="1">
                            <a:solidFill>
                              <a:schemeClr val="tx1"/>
                            </a:solidFill>
                            <a:latin typeface="Cambria Math" panose="02040503050406030204" pitchFamily="18" charset="0"/>
                            <a:ea typeface="+mn-ea"/>
                            <a:cs typeface="+mn-cs"/>
                          </a:rPr>
                          <m:t>𝑡</m:t>
                        </m:r>
                      </m:sup>
                    </m:sSup>
                  </m:oMath>
                </m:oMathPara>
              </a14:m>
              <a:endParaRPr lang="hu-HU" sz="2000" b="0" i="1">
                <a:solidFill>
                  <a:schemeClr val="tx1"/>
                </a:solidFill>
                <a:latin typeface="Cambria Math" panose="02040503050406030204" pitchFamily="18" charset="0"/>
                <a:ea typeface="+mn-ea"/>
                <a:cs typeface="+mn-cs"/>
              </a:endParaRPr>
            </a:p>
          </xdr:txBody>
        </xdr:sp>
      </mc:Choice>
      <mc:Fallback>
        <xdr:sp macro="" textlink="">
          <xdr:nvSpPr>
            <xdr:cNvPr id="6" name="TextBox 5">
              <a:extLst>
                <a:ext uri="{FF2B5EF4-FFF2-40B4-BE49-F238E27FC236}">
                  <a16:creationId xmlns:a16="http://schemas.microsoft.com/office/drawing/2014/main" id="{61351EA1-F236-4859-AA29-0FCB9F244E1D}"/>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hu-HU" sz="2000" b="0" i="0">
                  <a:solidFill>
                    <a:schemeClr val="tx1"/>
                  </a:solidFill>
                  <a:latin typeface="Cambria Math" panose="02040503050406030204" pitchFamily="18" charset="0"/>
                  <a:ea typeface="+mn-ea"/>
                  <a:cs typeface="+mn-cs"/>
                </a:rPr>
                <a:t>〖(1+𝑟_𝑓𝑖𝑛𝑎𝑛𝑐𝑖𝑛𝑔)〗^𝑡=〖𝑃𝑟〗_𝐹𝑎𝑖𝑙𝑢𝑟𝑒∗(1+𝑟_𝐹𝑎𝑖𝑙𝑢𝑟𝑒 )^𝑡+〖𝑃𝑟〗_𝑆𝑢𝑐𝑐𝑒𝑠𝑠∗(1+𝑟_𝑆𝑢𝑐𝑐𝑒𝑠𝑠 )^𝑡</a:t>
              </a:r>
              <a:endParaRPr lang="hu-HU" sz="2000" b="0" i="1">
                <a:solidFill>
                  <a:schemeClr val="tx1"/>
                </a:solidFill>
                <a:latin typeface="Cambria Math" panose="02040503050406030204" pitchFamily="18" charset="0"/>
                <a:ea typeface="+mn-ea"/>
                <a:cs typeface="+mn-cs"/>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5</xdr:col>
      <xdr:colOff>1150256</xdr:colOff>
      <xdr:row>3</xdr:row>
      <xdr:rowOff>29029</xdr:rowOff>
    </xdr:from>
    <xdr:to>
      <xdr:col>15</xdr:col>
      <xdr:colOff>268514</xdr:colOff>
      <xdr:row>18</xdr:row>
      <xdr:rowOff>30843</xdr:rowOff>
    </xdr:to>
    <xdr:sp macro="" textlink="">
      <xdr:nvSpPr>
        <xdr:cNvPr id="2" name="Szövegdoboz 1">
          <a:extLst>
            <a:ext uri="{FF2B5EF4-FFF2-40B4-BE49-F238E27FC236}">
              <a16:creationId xmlns:a16="http://schemas.microsoft.com/office/drawing/2014/main" id="{01765BD6-885E-4766-B90C-EAFEAA319835}"/>
            </a:ext>
          </a:extLst>
        </xdr:cNvPr>
        <xdr:cNvSpPr txBox="1"/>
      </xdr:nvSpPr>
      <xdr:spPr>
        <a:xfrm>
          <a:off x="6369956" y="629104"/>
          <a:ext cx="7509783" cy="3087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a:t>
          </a:r>
          <a:r>
            <a:rPr lang="en-GB" sz="1100">
              <a:solidFill>
                <a:srgbClr val="FF0000"/>
              </a:solidFill>
              <a:effectLst/>
              <a:latin typeface="+mn-lt"/>
              <a:ea typeface="+mn-ea"/>
              <a:cs typeface="+mn-cs"/>
            </a:rPr>
            <a:t>Based on the plans of RiskIt, the firm's total would be sold in the best case for 1500 M HUF in 6 years from now. </a:t>
          </a:r>
          <a:endParaRPr lang="hu-HU" sz="1100">
            <a:solidFill>
              <a:srgbClr val="FF0000"/>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3</xdr:col>
      <xdr:colOff>95250</xdr:colOff>
      <xdr:row>25</xdr:row>
      <xdr:rowOff>152400</xdr:rowOff>
    </xdr:from>
    <xdr:to>
      <xdr:col>4</xdr:col>
      <xdr:colOff>660400</xdr:colOff>
      <xdr:row>29</xdr:row>
      <xdr:rowOff>196850</xdr:rowOff>
    </xdr:to>
    <xdr:cxnSp macro="">
      <xdr:nvCxnSpPr>
        <xdr:cNvPr id="3" name="Straight Arrow Connector 2">
          <a:extLst>
            <a:ext uri="{FF2B5EF4-FFF2-40B4-BE49-F238E27FC236}">
              <a16:creationId xmlns:a16="http://schemas.microsoft.com/office/drawing/2014/main" id="{93B5AF5F-31DA-4C0E-8560-AF2D0C24D848}"/>
            </a:ext>
          </a:extLst>
        </xdr:cNvPr>
        <xdr:cNvCxnSpPr/>
      </xdr:nvCxnSpPr>
      <xdr:spPr>
        <a:xfrm>
          <a:off x="3943350" y="5238750"/>
          <a:ext cx="1250950" cy="844550"/>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22</xdr:row>
      <xdr:rowOff>133350</xdr:rowOff>
    </xdr:from>
    <xdr:to>
      <xdr:col>5</xdr:col>
      <xdr:colOff>0</xdr:colOff>
      <xdr:row>25</xdr:row>
      <xdr:rowOff>120650</xdr:rowOff>
    </xdr:to>
    <xdr:cxnSp macro="">
      <xdr:nvCxnSpPr>
        <xdr:cNvPr id="4" name="Straight Arrow Connector 3">
          <a:extLst>
            <a:ext uri="{FF2B5EF4-FFF2-40B4-BE49-F238E27FC236}">
              <a16:creationId xmlns:a16="http://schemas.microsoft.com/office/drawing/2014/main" id="{5C55BF08-AFA8-4962-BC90-EAE6ECD1DFFD}"/>
            </a:ext>
          </a:extLst>
        </xdr:cNvPr>
        <xdr:cNvCxnSpPr/>
      </xdr:nvCxnSpPr>
      <xdr:spPr>
        <a:xfrm flipV="1">
          <a:off x="3962400" y="4619625"/>
          <a:ext cx="1257300" cy="587375"/>
        </a:xfrm>
        <a:prstGeom prst="straightConnector1">
          <a:avLst/>
        </a:prstGeom>
        <a:ln w="158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xdr:colOff>
      <xdr:row>31</xdr:row>
      <xdr:rowOff>101600</xdr:rowOff>
    </xdr:from>
    <xdr:to>
      <xdr:col>9</xdr:col>
      <xdr:colOff>647700</xdr:colOff>
      <xdr:row>32</xdr:row>
      <xdr:rowOff>120650</xdr:rowOff>
    </xdr:to>
    <xdr:cxnSp macro="">
      <xdr:nvCxnSpPr>
        <xdr:cNvPr id="5" name="Straight Arrow Connector 4">
          <a:extLst>
            <a:ext uri="{FF2B5EF4-FFF2-40B4-BE49-F238E27FC236}">
              <a16:creationId xmlns:a16="http://schemas.microsoft.com/office/drawing/2014/main" id="{1D2CCBD5-E359-4BFD-9BCF-58C553110B57}"/>
            </a:ext>
          </a:extLst>
        </xdr:cNvPr>
        <xdr:cNvCxnSpPr/>
      </xdr:nvCxnSpPr>
      <xdr:spPr>
        <a:xfrm flipV="1">
          <a:off x="7277100" y="6388100"/>
          <a:ext cx="2257425" cy="219075"/>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117475</xdr:colOff>
      <xdr:row>0</xdr:row>
      <xdr:rowOff>76200</xdr:rowOff>
    </xdr:from>
    <xdr:ext cx="7922169" cy="335220"/>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9282C3DC-5D20-4EE4-8846-6AA3EE64DF0E}"/>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p>
                      <m:sSupPr>
                        <m:ctrlPr>
                          <a:rPr lang="hu-HU" sz="2000" b="0" i="1">
                            <a:solidFill>
                              <a:schemeClr val="tx1"/>
                            </a:solidFill>
                            <a:latin typeface="Cambria Math" panose="02040503050406030204" pitchFamily="18" charset="0"/>
                            <a:ea typeface="+mn-ea"/>
                            <a:cs typeface="+mn-cs"/>
                          </a:rPr>
                        </m:ctrlPr>
                      </m:sSup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𝑓𝑖𝑛𝑎𝑛𝑐𝑖𝑛𝑔</m:t>
                            </m:r>
                          </m:sub>
                        </m:sSub>
                        <m:r>
                          <a:rPr lang="hu-HU" sz="2000" b="0" i="1">
                            <a:solidFill>
                              <a:schemeClr val="tx1"/>
                            </a:solidFill>
                            <a:latin typeface="Cambria Math" panose="02040503050406030204" pitchFamily="18" charset="0"/>
                            <a:ea typeface="+mn-ea"/>
                            <a:cs typeface="+mn-cs"/>
                          </a:rPr>
                          <m:t>)</m:t>
                        </m:r>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𝐹𝑎𝑖𝑙𝑢𝑟𝑒</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𝐹𝑎𝑖𝑙𝑢𝑟𝑒</m:t>
                                </m:r>
                              </m:sub>
                            </m:sSub>
                          </m:e>
                        </m:d>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𝑆𝑢𝑐𝑐𝑒𝑠𝑠</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𝑆𝑢𝑐𝑐𝑒𝑠𝑠</m:t>
                                </m:r>
                              </m:sub>
                            </m:sSub>
                          </m:e>
                        </m:d>
                      </m:e>
                      <m:sup>
                        <m:r>
                          <a:rPr lang="hu-HU" sz="2000" b="0" i="1">
                            <a:solidFill>
                              <a:schemeClr val="tx1"/>
                            </a:solidFill>
                            <a:latin typeface="Cambria Math" panose="02040503050406030204" pitchFamily="18" charset="0"/>
                            <a:ea typeface="+mn-ea"/>
                            <a:cs typeface="+mn-cs"/>
                          </a:rPr>
                          <m:t>𝑡</m:t>
                        </m:r>
                      </m:sup>
                    </m:sSup>
                  </m:oMath>
                </m:oMathPara>
              </a14:m>
              <a:endParaRPr lang="hu-HU" sz="2000" b="0" i="1">
                <a:solidFill>
                  <a:schemeClr val="tx1"/>
                </a:solidFill>
                <a:latin typeface="Cambria Math" panose="02040503050406030204" pitchFamily="18" charset="0"/>
                <a:ea typeface="+mn-ea"/>
                <a:cs typeface="+mn-cs"/>
              </a:endParaRPr>
            </a:p>
          </xdr:txBody>
        </xdr:sp>
      </mc:Choice>
      <mc:Fallback>
        <xdr:sp macro="" textlink="">
          <xdr:nvSpPr>
            <xdr:cNvPr id="6" name="TextBox 5">
              <a:extLst>
                <a:ext uri="{FF2B5EF4-FFF2-40B4-BE49-F238E27FC236}">
                  <a16:creationId xmlns:a16="http://schemas.microsoft.com/office/drawing/2014/main" id="{9282C3DC-5D20-4EE4-8846-6AA3EE64DF0E}"/>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hu-HU" sz="2000" b="0" i="0">
                  <a:solidFill>
                    <a:schemeClr val="tx1"/>
                  </a:solidFill>
                  <a:latin typeface="Cambria Math" panose="02040503050406030204" pitchFamily="18" charset="0"/>
                  <a:ea typeface="+mn-ea"/>
                  <a:cs typeface="+mn-cs"/>
                </a:rPr>
                <a:t>〖(1+𝑟_𝑓𝑖𝑛𝑎𝑛𝑐𝑖𝑛𝑔)〗^𝑡=〖𝑃𝑟〗_𝐹𝑎𝑖𝑙𝑢𝑟𝑒∗(1+𝑟_𝐹𝑎𝑖𝑙𝑢𝑟𝑒 )^𝑡+〖𝑃𝑟〗_𝑆𝑢𝑐𝑐𝑒𝑠𝑠∗(1+𝑟_𝑆𝑢𝑐𝑐𝑒𝑠𝑠 )^𝑡</a:t>
              </a:r>
              <a:endParaRPr lang="hu-HU" sz="2000" b="0" i="1">
                <a:solidFill>
                  <a:schemeClr val="tx1"/>
                </a:solidFill>
                <a:latin typeface="Cambria Math" panose="02040503050406030204" pitchFamily="18" charset="0"/>
                <a:ea typeface="+mn-ea"/>
                <a:cs typeface="+mn-cs"/>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5</xdr:col>
      <xdr:colOff>1150256</xdr:colOff>
      <xdr:row>3</xdr:row>
      <xdr:rowOff>29029</xdr:rowOff>
    </xdr:from>
    <xdr:to>
      <xdr:col>15</xdr:col>
      <xdr:colOff>268514</xdr:colOff>
      <xdr:row>18</xdr:row>
      <xdr:rowOff>30843</xdr:rowOff>
    </xdr:to>
    <xdr:sp macro="" textlink="">
      <xdr:nvSpPr>
        <xdr:cNvPr id="2" name="Szövegdoboz 1">
          <a:extLst>
            <a:ext uri="{FF2B5EF4-FFF2-40B4-BE49-F238E27FC236}">
              <a16:creationId xmlns:a16="http://schemas.microsoft.com/office/drawing/2014/main" id="{822546A0-02B7-473E-83DF-06A65A40AE81}"/>
            </a:ext>
          </a:extLst>
        </xdr:cNvPr>
        <xdr:cNvSpPr txBox="1"/>
      </xdr:nvSpPr>
      <xdr:spPr>
        <a:xfrm>
          <a:off x="6369956" y="629104"/>
          <a:ext cx="7509783" cy="3087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a:t>
          </a:r>
          <a:r>
            <a:rPr lang="en-GB" sz="1100">
              <a:solidFill>
                <a:srgbClr val="FF0000"/>
              </a:solidFill>
              <a:effectLst/>
              <a:latin typeface="+mn-lt"/>
              <a:ea typeface="+mn-ea"/>
              <a:cs typeface="+mn-cs"/>
            </a:rPr>
            <a:t>Based on the plans of RiskIt, the firm's total would be sold in the best case for 1500 M HUF in 6 years from now. </a:t>
          </a:r>
          <a:endParaRPr lang="hu-HU" sz="1100">
            <a:solidFill>
              <a:srgbClr val="FF0000"/>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3</xdr:col>
      <xdr:colOff>95250</xdr:colOff>
      <xdr:row>25</xdr:row>
      <xdr:rowOff>152400</xdr:rowOff>
    </xdr:from>
    <xdr:to>
      <xdr:col>4</xdr:col>
      <xdr:colOff>660400</xdr:colOff>
      <xdr:row>29</xdr:row>
      <xdr:rowOff>196850</xdr:rowOff>
    </xdr:to>
    <xdr:cxnSp macro="">
      <xdr:nvCxnSpPr>
        <xdr:cNvPr id="3" name="Straight Arrow Connector 2">
          <a:extLst>
            <a:ext uri="{FF2B5EF4-FFF2-40B4-BE49-F238E27FC236}">
              <a16:creationId xmlns:a16="http://schemas.microsoft.com/office/drawing/2014/main" id="{C9EE1323-90D7-4788-8796-6E7D3717DE3E}"/>
            </a:ext>
          </a:extLst>
        </xdr:cNvPr>
        <xdr:cNvCxnSpPr/>
      </xdr:nvCxnSpPr>
      <xdr:spPr>
        <a:xfrm>
          <a:off x="3943350" y="5238750"/>
          <a:ext cx="1250950" cy="844550"/>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22</xdr:row>
      <xdr:rowOff>133350</xdr:rowOff>
    </xdr:from>
    <xdr:to>
      <xdr:col>5</xdr:col>
      <xdr:colOff>0</xdr:colOff>
      <xdr:row>25</xdr:row>
      <xdr:rowOff>120650</xdr:rowOff>
    </xdr:to>
    <xdr:cxnSp macro="">
      <xdr:nvCxnSpPr>
        <xdr:cNvPr id="4" name="Straight Arrow Connector 3">
          <a:extLst>
            <a:ext uri="{FF2B5EF4-FFF2-40B4-BE49-F238E27FC236}">
              <a16:creationId xmlns:a16="http://schemas.microsoft.com/office/drawing/2014/main" id="{57B721CF-361D-4843-9AED-286745CC1344}"/>
            </a:ext>
          </a:extLst>
        </xdr:cNvPr>
        <xdr:cNvCxnSpPr/>
      </xdr:nvCxnSpPr>
      <xdr:spPr>
        <a:xfrm flipV="1">
          <a:off x="3962400" y="4619625"/>
          <a:ext cx="1257300" cy="587375"/>
        </a:xfrm>
        <a:prstGeom prst="straightConnector1">
          <a:avLst/>
        </a:prstGeom>
        <a:ln w="158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xdr:colOff>
      <xdr:row>31</xdr:row>
      <xdr:rowOff>101600</xdr:rowOff>
    </xdr:from>
    <xdr:to>
      <xdr:col>9</xdr:col>
      <xdr:colOff>647700</xdr:colOff>
      <xdr:row>32</xdr:row>
      <xdr:rowOff>120650</xdr:rowOff>
    </xdr:to>
    <xdr:cxnSp macro="">
      <xdr:nvCxnSpPr>
        <xdr:cNvPr id="5" name="Straight Arrow Connector 4">
          <a:extLst>
            <a:ext uri="{FF2B5EF4-FFF2-40B4-BE49-F238E27FC236}">
              <a16:creationId xmlns:a16="http://schemas.microsoft.com/office/drawing/2014/main" id="{6BABD08D-FDC7-4BD6-A320-C3638BF5AD6B}"/>
            </a:ext>
          </a:extLst>
        </xdr:cNvPr>
        <xdr:cNvCxnSpPr/>
      </xdr:nvCxnSpPr>
      <xdr:spPr>
        <a:xfrm flipV="1">
          <a:off x="7277100" y="6388100"/>
          <a:ext cx="2257425" cy="219075"/>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117475</xdr:colOff>
      <xdr:row>0</xdr:row>
      <xdr:rowOff>76200</xdr:rowOff>
    </xdr:from>
    <xdr:ext cx="7922169" cy="335220"/>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8A83E523-4545-42E0-8AE4-B7DA2E25E33B}"/>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p>
                      <m:sSupPr>
                        <m:ctrlPr>
                          <a:rPr lang="hu-HU" sz="2000" b="0" i="1">
                            <a:solidFill>
                              <a:schemeClr val="tx1"/>
                            </a:solidFill>
                            <a:latin typeface="Cambria Math" panose="02040503050406030204" pitchFamily="18" charset="0"/>
                            <a:ea typeface="+mn-ea"/>
                            <a:cs typeface="+mn-cs"/>
                          </a:rPr>
                        </m:ctrlPr>
                      </m:sSup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𝑓𝑖𝑛𝑎𝑛𝑐𝑖𝑛𝑔</m:t>
                            </m:r>
                          </m:sub>
                        </m:sSub>
                        <m:r>
                          <a:rPr lang="hu-HU" sz="2000" b="0" i="1">
                            <a:solidFill>
                              <a:schemeClr val="tx1"/>
                            </a:solidFill>
                            <a:latin typeface="Cambria Math" panose="02040503050406030204" pitchFamily="18" charset="0"/>
                            <a:ea typeface="+mn-ea"/>
                            <a:cs typeface="+mn-cs"/>
                          </a:rPr>
                          <m:t>)</m:t>
                        </m:r>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𝐹𝑎𝑖𝑙𝑢𝑟𝑒</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𝐹𝑎𝑖𝑙𝑢𝑟𝑒</m:t>
                                </m:r>
                              </m:sub>
                            </m:sSub>
                          </m:e>
                        </m:d>
                      </m:e>
                      <m:sup>
                        <m:r>
                          <a:rPr lang="hu-HU" sz="2000" b="0" i="1">
                            <a:solidFill>
                              <a:schemeClr val="tx1"/>
                            </a:solidFill>
                            <a:latin typeface="Cambria Math" panose="02040503050406030204" pitchFamily="18" charset="0"/>
                            <a:ea typeface="+mn-ea"/>
                            <a:cs typeface="+mn-cs"/>
                          </a:rPr>
                          <m:t>𝑡</m:t>
                        </m:r>
                      </m:sup>
                    </m:sSup>
                    <m:r>
                      <a:rPr lang="hu-HU" sz="2000" b="0" i="1">
                        <a:solidFill>
                          <a:schemeClr val="tx1"/>
                        </a:solidFill>
                        <a:latin typeface="Cambria Math" panose="02040503050406030204" pitchFamily="18" charset="0"/>
                        <a:ea typeface="+mn-ea"/>
                        <a:cs typeface="+mn-cs"/>
                      </a:rPr>
                      <m:t>+</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𝑃𝑟</m:t>
                        </m:r>
                      </m:e>
                      <m:sub>
                        <m:r>
                          <a:rPr lang="hu-HU" sz="2000" b="0" i="1">
                            <a:solidFill>
                              <a:schemeClr val="tx1"/>
                            </a:solidFill>
                            <a:latin typeface="Cambria Math" panose="02040503050406030204" pitchFamily="18" charset="0"/>
                            <a:ea typeface="+mn-ea"/>
                            <a:cs typeface="+mn-cs"/>
                          </a:rPr>
                          <m:t>𝑆𝑢𝑐𝑐𝑒𝑠𝑠</m:t>
                        </m:r>
                      </m:sub>
                    </m:sSub>
                    <m:r>
                      <a:rPr lang="hu-HU" sz="2000" b="0" i="1">
                        <a:solidFill>
                          <a:schemeClr val="tx1"/>
                        </a:solidFill>
                        <a:latin typeface="Cambria Math" panose="02040503050406030204" pitchFamily="18" charset="0"/>
                        <a:ea typeface="+mn-ea"/>
                        <a:cs typeface="+mn-cs"/>
                      </a:rPr>
                      <m:t>∗</m:t>
                    </m:r>
                    <m:sSup>
                      <m:sSupPr>
                        <m:ctrlPr>
                          <a:rPr lang="hu-HU" sz="2000" b="0" i="1">
                            <a:solidFill>
                              <a:schemeClr val="tx1"/>
                            </a:solidFill>
                            <a:latin typeface="Cambria Math" panose="02040503050406030204" pitchFamily="18" charset="0"/>
                            <a:ea typeface="+mn-ea"/>
                            <a:cs typeface="+mn-cs"/>
                          </a:rPr>
                        </m:ctrlPr>
                      </m:sSupPr>
                      <m:e>
                        <m:d>
                          <m:dPr>
                            <m:ctrlPr>
                              <a:rPr lang="hu-HU" sz="2000" b="0" i="1">
                                <a:solidFill>
                                  <a:schemeClr val="tx1"/>
                                </a:solidFill>
                                <a:latin typeface="Cambria Math" panose="02040503050406030204" pitchFamily="18" charset="0"/>
                                <a:ea typeface="+mn-ea"/>
                                <a:cs typeface="+mn-cs"/>
                              </a:rPr>
                            </m:ctrlPr>
                          </m:dPr>
                          <m:e>
                            <m:r>
                              <a:rPr lang="hu-HU" sz="2000" b="0" i="1">
                                <a:solidFill>
                                  <a:schemeClr val="tx1"/>
                                </a:solidFill>
                                <a:latin typeface="Cambria Math" panose="02040503050406030204" pitchFamily="18" charset="0"/>
                                <a:ea typeface="+mn-ea"/>
                                <a:cs typeface="+mn-cs"/>
                              </a:rPr>
                              <m:t>1+</m:t>
                            </m:r>
                            <m:sSub>
                              <m:sSubPr>
                                <m:ctrlPr>
                                  <a:rPr lang="hu-HU" sz="2000" b="0" i="1">
                                    <a:solidFill>
                                      <a:schemeClr val="tx1"/>
                                    </a:solidFill>
                                    <a:latin typeface="Cambria Math" panose="02040503050406030204" pitchFamily="18" charset="0"/>
                                    <a:ea typeface="+mn-ea"/>
                                    <a:cs typeface="+mn-cs"/>
                                  </a:rPr>
                                </m:ctrlPr>
                              </m:sSubPr>
                              <m:e>
                                <m:r>
                                  <a:rPr lang="hu-HU" sz="2000" b="0" i="1">
                                    <a:solidFill>
                                      <a:schemeClr val="tx1"/>
                                    </a:solidFill>
                                    <a:latin typeface="Cambria Math" panose="02040503050406030204" pitchFamily="18" charset="0"/>
                                    <a:ea typeface="+mn-ea"/>
                                    <a:cs typeface="+mn-cs"/>
                                  </a:rPr>
                                  <m:t>𝑟</m:t>
                                </m:r>
                              </m:e>
                              <m:sub>
                                <m:r>
                                  <a:rPr lang="hu-HU" sz="2000" b="0" i="1">
                                    <a:solidFill>
                                      <a:schemeClr val="tx1"/>
                                    </a:solidFill>
                                    <a:latin typeface="Cambria Math" panose="02040503050406030204" pitchFamily="18" charset="0"/>
                                    <a:ea typeface="+mn-ea"/>
                                    <a:cs typeface="+mn-cs"/>
                                  </a:rPr>
                                  <m:t>𝑆𝑢𝑐𝑐𝑒𝑠𝑠</m:t>
                                </m:r>
                              </m:sub>
                            </m:sSub>
                          </m:e>
                        </m:d>
                      </m:e>
                      <m:sup>
                        <m:r>
                          <a:rPr lang="hu-HU" sz="2000" b="0" i="1">
                            <a:solidFill>
                              <a:schemeClr val="tx1"/>
                            </a:solidFill>
                            <a:latin typeface="Cambria Math" panose="02040503050406030204" pitchFamily="18" charset="0"/>
                            <a:ea typeface="+mn-ea"/>
                            <a:cs typeface="+mn-cs"/>
                          </a:rPr>
                          <m:t>𝑡</m:t>
                        </m:r>
                      </m:sup>
                    </m:sSup>
                  </m:oMath>
                </m:oMathPara>
              </a14:m>
              <a:endParaRPr lang="hu-HU" sz="2000" b="0" i="1">
                <a:solidFill>
                  <a:schemeClr val="tx1"/>
                </a:solidFill>
                <a:latin typeface="Cambria Math" panose="02040503050406030204" pitchFamily="18" charset="0"/>
                <a:ea typeface="+mn-ea"/>
                <a:cs typeface="+mn-cs"/>
              </a:endParaRPr>
            </a:p>
          </xdr:txBody>
        </xdr:sp>
      </mc:Choice>
      <mc:Fallback>
        <xdr:sp macro="" textlink="">
          <xdr:nvSpPr>
            <xdr:cNvPr id="6" name="TextBox 5">
              <a:extLst>
                <a:ext uri="{FF2B5EF4-FFF2-40B4-BE49-F238E27FC236}">
                  <a16:creationId xmlns:a16="http://schemas.microsoft.com/office/drawing/2014/main" id="{8A83E523-4545-42E0-8AE4-B7DA2E25E33B}"/>
                </a:ext>
              </a:extLst>
            </xdr:cNvPr>
            <xdr:cNvSpPr txBox="1"/>
          </xdr:nvSpPr>
          <xdr:spPr>
            <a:xfrm>
              <a:off x="803275" y="76200"/>
              <a:ext cx="7922169" cy="335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hu-HU" sz="2000" b="0" i="0">
                  <a:solidFill>
                    <a:schemeClr val="tx1"/>
                  </a:solidFill>
                  <a:latin typeface="Cambria Math" panose="02040503050406030204" pitchFamily="18" charset="0"/>
                  <a:ea typeface="+mn-ea"/>
                  <a:cs typeface="+mn-cs"/>
                </a:rPr>
                <a:t>〖(1+𝑟_𝑓𝑖𝑛𝑎𝑛𝑐𝑖𝑛𝑔)〗^𝑡=〖𝑃𝑟〗_𝐹𝑎𝑖𝑙𝑢𝑟𝑒∗(1+𝑟_𝐹𝑎𝑖𝑙𝑢𝑟𝑒 )^𝑡+〖𝑃𝑟〗_𝑆𝑢𝑐𝑐𝑒𝑠𝑠∗(1+𝑟_𝑆𝑢𝑐𝑐𝑒𝑠𝑠 )^𝑡</a:t>
              </a:r>
              <a:endParaRPr lang="hu-HU" sz="2000" b="0" i="1">
                <a:solidFill>
                  <a:schemeClr val="tx1"/>
                </a:solidFill>
                <a:latin typeface="Cambria Math" panose="02040503050406030204" pitchFamily="18" charset="0"/>
                <a:ea typeface="+mn-ea"/>
                <a:cs typeface="+mn-cs"/>
              </a:endParaRPr>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B6000-B0F6-47B0-907F-78391B4DB756}">
  <dimension ref="B3:L43"/>
  <sheetViews>
    <sheetView topLeftCell="A9" zoomScale="150" zoomScaleNormal="150" workbookViewId="0">
      <selection activeCell="B31" sqref="B31"/>
    </sheetView>
  </sheetViews>
  <sheetFormatPr defaultRowHeight="15.75" x14ac:dyDescent="0.25"/>
  <cols>
    <col min="2" max="2" width="17.75" bestFit="1" customWidth="1"/>
    <col min="3" max="3" width="23.75" bestFit="1" customWidth="1"/>
    <col min="6" max="6" width="17.25" bestFit="1" customWidth="1"/>
    <col min="9" max="9" width="12.875" bestFit="1" customWidth="1"/>
    <col min="11" max="11" width="17" bestFit="1" customWidth="1"/>
  </cols>
  <sheetData>
    <row r="3" spans="2:4" x14ac:dyDescent="0.25">
      <c r="B3" t="s">
        <v>0</v>
      </c>
    </row>
    <row r="5" spans="2:4" x14ac:dyDescent="0.25">
      <c r="B5" t="s">
        <v>2</v>
      </c>
      <c r="C5" s="14">
        <v>0.2</v>
      </c>
    </row>
    <row r="6" spans="2:4" x14ac:dyDescent="0.25">
      <c r="B6" s="10" t="s">
        <v>25</v>
      </c>
      <c r="C6" s="17">
        <f>+L35</f>
        <v>-1.4461306225026616E-2</v>
      </c>
    </row>
    <row r="7" spans="2:4" x14ac:dyDescent="0.25">
      <c r="B7" t="s">
        <v>26</v>
      </c>
      <c r="C7">
        <v>6</v>
      </c>
      <c r="D7" t="s">
        <v>27</v>
      </c>
    </row>
    <row r="8" spans="2:4" x14ac:dyDescent="0.25">
      <c r="B8" t="s">
        <v>28</v>
      </c>
      <c r="C8" s="13">
        <f>+D30</f>
        <v>0.7</v>
      </c>
    </row>
    <row r="9" spans="2:4" ht="18" x14ac:dyDescent="0.25">
      <c r="B9" t="s">
        <v>29</v>
      </c>
      <c r="C9">
        <f>+(1+C5)^C7</f>
        <v>2.9859839999999997</v>
      </c>
    </row>
    <row r="10" spans="2:4" ht="18" x14ac:dyDescent="0.25">
      <c r="B10" t="s">
        <v>30</v>
      </c>
      <c r="C10">
        <f>+(1+C6)^C7</f>
        <v>0.91630926987720496</v>
      </c>
    </row>
    <row r="11" spans="2:4" ht="18" x14ac:dyDescent="0.25">
      <c r="B11" t="s">
        <v>31</v>
      </c>
      <c r="C11">
        <f>+(C9-C8*C10)/(1-C8)</f>
        <v>7.8152250369531862</v>
      </c>
    </row>
    <row r="12" spans="2:4" ht="16.350000000000001" customHeight="1" x14ac:dyDescent="0.25">
      <c r="B12" s="15" t="s">
        <v>32</v>
      </c>
      <c r="C12" s="16">
        <f>+C11^(1/C7)-1</f>
        <v>0.40871643475770525</v>
      </c>
    </row>
    <row r="15" spans="2:4" x14ac:dyDescent="0.25">
      <c r="B15" t="s">
        <v>9</v>
      </c>
      <c r="C15" s="7">
        <v>7.0000000000000007E-2</v>
      </c>
    </row>
    <row r="19" spans="2:12" x14ac:dyDescent="0.25">
      <c r="B19" t="s">
        <v>1</v>
      </c>
    </row>
    <row r="20" spans="2:12" x14ac:dyDescent="0.25">
      <c r="B20" t="s">
        <v>35</v>
      </c>
      <c r="C20">
        <v>0</v>
      </c>
      <c r="G20">
        <v>2</v>
      </c>
      <c r="L20">
        <v>6</v>
      </c>
    </row>
    <row r="21" spans="2:12" x14ac:dyDescent="0.25">
      <c r="C21" t="s">
        <v>3</v>
      </c>
      <c r="G21" t="s">
        <v>4</v>
      </c>
      <c r="L21" t="s">
        <v>5</v>
      </c>
    </row>
    <row r="22" spans="2:12" x14ac:dyDescent="0.25">
      <c r="B22" t="s">
        <v>10</v>
      </c>
      <c r="C22" s="19">
        <v>30</v>
      </c>
      <c r="F22" t="s">
        <v>13</v>
      </c>
      <c r="G22" s="19">
        <v>100</v>
      </c>
      <c r="K22" t="s">
        <v>11</v>
      </c>
      <c r="L22" s="8">
        <v>1500</v>
      </c>
    </row>
    <row r="23" spans="2:12" x14ac:dyDescent="0.25">
      <c r="B23" t="s">
        <v>34</v>
      </c>
      <c r="C23" s="9">
        <f>+C26-C24</f>
        <v>58.746532181405342</v>
      </c>
      <c r="D23" s="2" t="s">
        <v>17</v>
      </c>
      <c r="F23" t="s">
        <v>34</v>
      </c>
      <c r="G23" s="9">
        <f>+G25-G24</f>
        <v>255.49517484683622</v>
      </c>
      <c r="K23" t="s">
        <v>12</v>
      </c>
      <c r="L23">
        <f>+G22</f>
        <v>100</v>
      </c>
    </row>
    <row r="24" spans="2:12" x14ac:dyDescent="0.25">
      <c r="B24" t="s">
        <v>6</v>
      </c>
      <c r="C24" s="19">
        <v>70</v>
      </c>
      <c r="D24" s="3">
        <f>1-D30</f>
        <v>0.30000000000000004</v>
      </c>
      <c r="F24" t="s">
        <v>7</v>
      </c>
      <c r="G24" s="19">
        <v>100</v>
      </c>
      <c r="K24" s="18" t="s">
        <v>14</v>
      </c>
      <c r="L24" s="18">
        <f>+L22-L23</f>
        <v>1400</v>
      </c>
    </row>
    <row r="25" spans="2:12" x14ac:dyDescent="0.25">
      <c r="B25" t="s">
        <v>15</v>
      </c>
      <c r="C25" s="9">
        <f>+C22+C24</f>
        <v>100</v>
      </c>
      <c r="F25" t="s">
        <v>33</v>
      </c>
      <c r="G25" s="9">
        <f>+L24/(1+C12)^(L20-G20)</f>
        <v>355.49517484683622</v>
      </c>
    </row>
    <row r="26" spans="2:12" x14ac:dyDescent="0.25">
      <c r="B26" t="s">
        <v>33</v>
      </c>
      <c r="C26" s="9">
        <f>+G23/(1+C12)^(G20-C20)</f>
        <v>128.74653218140534</v>
      </c>
    </row>
    <row r="28" spans="2:12" x14ac:dyDescent="0.25">
      <c r="B28" t="s">
        <v>23</v>
      </c>
      <c r="C28" s="20">
        <v>0.54370396480095362</v>
      </c>
    </row>
    <row r="29" spans="2:12" x14ac:dyDescent="0.25">
      <c r="B29" t="s">
        <v>23</v>
      </c>
      <c r="C29" s="6">
        <f>+C24/C26</f>
        <v>0.54370396479005112</v>
      </c>
      <c r="D29" s="4" t="s">
        <v>16</v>
      </c>
    </row>
    <row r="30" spans="2:12" x14ac:dyDescent="0.25">
      <c r="B30" t="s">
        <v>36</v>
      </c>
      <c r="C30" s="22">
        <f>+C28-C29</f>
        <v>1.09025011241215E-11</v>
      </c>
      <c r="D30" s="5">
        <v>0.7</v>
      </c>
      <c r="F30" t="str">
        <f>+B25</f>
        <v>BV Equity after</v>
      </c>
      <c r="G30">
        <f>+C25</f>
        <v>100</v>
      </c>
    </row>
    <row r="31" spans="2:12" x14ac:dyDescent="0.25">
      <c r="F31" t="s">
        <v>8</v>
      </c>
      <c r="G31" s="1">
        <v>0.9</v>
      </c>
      <c r="I31" t="str">
        <f>+B15</f>
        <v>rReinvestment</v>
      </c>
      <c r="J31" s="6">
        <f>+C15</f>
        <v>7.0000000000000007E-2</v>
      </c>
    </row>
    <row r="32" spans="2:12" x14ac:dyDescent="0.25">
      <c r="F32" t="s">
        <v>18</v>
      </c>
      <c r="G32">
        <f>+G30*G31</f>
        <v>90</v>
      </c>
      <c r="K32" t="s">
        <v>19</v>
      </c>
      <c r="L32" s="9">
        <f>+G33*(1+J31)^(L20-G20)</f>
        <v>64.141648891404344</v>
      </c>
    </row>
    <row r="33" spans="2:12" x14ac:dyDescent="0.25">
      <c r="F33" t="s">
        <v>22</v>
      </c>
      <c r="G33" s="12">
        <f>+G32*C28</f>
        <v>48.933356832085828</v>
      </c>
    </row>
    <row r="34" spans="2:12" x14ac:dyDescent="0.25">
      <c r="G34" t="s">
        <v>24</v>
      </c>
      <c r="K34" t="s">
        <v>20</v>
      </c>
      <c r="L34" s="6">
        <f>+L32/C24</f>
        <v>0.91630926987720496</v>
      </c>
    </row>
    <row r="35" spans="2:12" x14ac:dyDescent="0.25">
      <c r="K35" s="10" t="s">
        <v>21</v>
      </c>
      <c r="L35" s="11">
        <f>+L34^(1/L20)-1</f>
        <v>-1.4461306225026616E-2</v>
      </c>
    </row>
    <row r="37" spans="2:12" x14ac:dyDescent="0.25">
      <c r="F37" t="s">
        <v>39</v>
      </c>
      <c r="G37" s="6">
        <f>+G24/G25</f>
        <v>0.28129777019641583</v>
      </c>
      <c r="H37" s="13">
        <f>1-G37</f>
        <v>0.71870222980358411</v>
      </c>
    </row>
    <row r="38" spans="2:12" x14ac:dyDescent="0.25">
      <c r="B38" t="s">
        <v>38</v>
      </c>
      <c r="C38" s="6">
        <f>+C28</f>
        <v>0.54370396480095362</v>
      </c>
      <c r="F38" t="s">
        <v>38</v>
      </c>
      <c r="G38" s="6">
        <f>+C38*$H$37</f>
        <v>0.39076125185549476</v>
      </c>
      <c r="K38" t="s">
        <v>23</v>
      </c>
      <c r="L38" s="13">
        <f>+G37+G38</f>
        <v>0.67205902205191059</v>
      </c>
    </row>
    <row r="39" spans="2:12" x14ac:dyDescent="0.25">
      <c r="B39" t="s">
        <v>37</v>
      </c>
      <c r="C39" s="13">
        <f>1-C38</f>
        <v>0.45629603519904638</v>
      </c>
      <c r="F39" t="s">
        <v>37</v>
      </c>
      <c r="G39" s="6">
        <f>+C39*$H$37</f>
        <v>0.32794097794808935</v>
      </c>
      <c r="K39" t="s">
        <v>37</v>
      </c>
      <c r="L39" s="13">
        <f>+G39</f>
        <v>0.32794097794808935</v>
      </c>
    </row>
    <row r="41" spans="2:12" x14ac:dyDescent="0.25">
      <c r="B41" t="str">
        <f>+B23</f>
        <v>Pre Money Value E</v>
      </c>
      <c r="C41" s="9">
        <f>+C23</f>
        <v>58.746532181405342</v>
      </c>
      <c r="K41" t="s">
        <v>40</v>
      </c>
      <c r="L41" s="9">
        <f>+L39*L24</f>
        <v>459.11736912732511</v>
      </c>
    </row>
    <row r="42" spans="2:12" x14ac:dyDescent="0.25">
      <c r="B42" s="12" t="s">
        <v>41</v>
      </c>
      <c r="C42" s="21">
        <f>+(L41/C41)^(1/6)-1</f>
        <v>0.40871643475209529</v>
      </c>
    </row>
    <row r="43" spans="2:12" x14ac:dyDescent="0.25">
      <c r="C43" s="23">
        <f>+C42-C12</f>
        <v>-5.609956943430916E-12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B6E6-B2AE-4788-90D7-4ADE5A1DF018}">
  <dimension ref="B3:L43"/>
  <sheetViews>
    <sheetView topLeftCell="A7" zoomScale="150" zoomScaleNormal="150" workbookViewId="0">
      <selection activeCell="C23" sqref="C23"/>
    </sheetView>
  </sheetViews>
  <sheetFormatPr defaultRowHeight="15.75" x14ac:dyDescent="0.25"/>
  <cols>
    <col min="2" max="2" width="17.75" bestFit="1" customWidth="1"/>
    <col min="3" max="3" width="23.75" bestFit="1" customWidth="1"/>
    <col min="6" max="6" width="17.25" bestFit="1" customWidth="1"/>
    <col min="9" max="9" width="12.875" bestFit="1" customWidth="1"/>
    <col min="11" max="11" width="17" bestFit="1" customWidth="1"/>
  </cols>
  <sheetData>
    <row r="3" spans="2:4" x14ac:dyDescent="0.25">
      <c r="B3" t="s">
        <v>0</v>
      </c>
    </row>
    <row r="5" spans="2:4" x14ac:dyDescent="0.25">
      <c r="B5" t="s">
        <v>2</v>
      </c>
      <c r="C5" s="14">
        <v>0.2</v>
      </c>
    </row>
    <row r="6" spans="2:4" x14ac:dyDescent="0.25">
      <c r="B6" s="10" t="s">
        <v>25</v>
      </c>
      <c r="C6" s="17">
        <f>+L35</f>
        <v>4.316902598637995E-2</v>
      </c>
    </row>
    <row r="7" spans="2:4" x14ac:dyDescent="0.25">
      <c r="B7" t="s">
        <v>26</v>
      </c>
      <c r="C7">
        <v>6</v>
      </c>
      <c r="D7" t="s">
        <v>27</v>
      </c>
    </row>
    <row r="8" spans="2:4" x14ac:dyDescent="0.25">
      <c r="B8" t="s">
        <v>28</v>
      </c>
      <c r="C8" s="13">
        <f>+D30</f>
        <v>0.7</v>
      </c>
    </row>
    <row r="9" spans="2:4" ht="18" x14ac:dyDescent="0.25">
      <c r="B9" t="s">
        <v>29</v>
      </c>
      <c r="C9">
        <f>+(1+C5)^C7</f>
        <v>2.9859839999999997</v>
      </c>
    </row>
    <row r="10" spans="2:4" ht="18" x14ac:dyDescent="0.25">
      <c r="B10" t="s">
        <v>30</v>
      </c>
      <c r="C10">
        <f>+(1+C6)^C7</f>
        <v>1.2886295926391349</v>
      </c>
    </row>
    <row r="11" spans="2:4" ht="18" x14ac:dyDescent="0.25">
      <c r="B11" t="s">
        <v>31</v>
      </c>
      <c r="C11">
        <f>+(C9-C8*C10)/(1-C8)</f>
        <v>6.9464776171753497</v>
      </c>
    </row>
    <row r="12" spans="2:4" ht="16.350000000000001" customHeight="1" x14ac:dyDescent="0.25">
      <c r="B12" s="15" t="s">
        <v>32</v>
      </c>
      <c r="C12" s="16">
        <f>+C11^(1/C7)-1</f>
        <v>0.38131938555023104</v>
      </c>
    </row>
    <row r="15" spans="2:4" x14ac:dyDescent="0.25">
      <c r="B15" t="s">
        <v>9</v>
      </c>
      <c r="C15" s="7">
        <v>7.0000000000000007E-2</v>
      </c>
    </row>
    <row r="19" spans="2:12" x14ac:dyDescent="0.25">
      <c r="B19" t="s">
        <v>1</v>
      </c>
    </row>
    <row r="20" spans="2:12" x14ac:dyDescent="0.25">
      <c r="B20" t="s">
        <v>35</v>
      </c>
      <c r="C20">
        <v>0</v>
      </c>
      <c r="G20">
        <v>2</v>
      </c>
      <c r="L20">
        <v>6</v>
      </c>
    </row>
    <row r="21" spans="2:12" x14ac:dyDescent="0.25">
      <c r="C21" t="s">
        <v>3</v>
      </c>
      <c r="G21" t="s">
        <v>4</v>
      </c>
      <c r="L21" t="s">
        <v>5</v>
      </c>
    </row>
    <row r="22" spans="2:12" x14ac:dyDescent="0.25">
      <c r="B22" t="s">
        <v>10</v>
      </c>
      <c r="C22" s="19">
        <v>30</v>
      </c>
      <c r="F22" t="s">
        <v>13</v>
      </c>
      <c r="G22" s="19">
        <v>100</v>
      </c>
      <c r="K22" t="s">
        <v>11</v>
      </c>
      <c r="L22" s="8">
        <v>1100</v>
      </c>
    </row>
    <row r="23" spans="2:12" x14ac:dyDescent="0.25">
      <c r="B23" t="s">
        <v>34</v>
      </c>
      <c r="C23" s="9">
        <f>+C26-C24</f>
        <v>21.548138870838926</v>
      </c>
      <c r="D23" s="2" t="s">
        <v>17</v>
      </c>
      <c r="F23" t="s">
        <v>34</v>
      </c>
      <c r="G23" s="9">
        <f>+G25-G24</f>
        <v>174.67780795538459</v>
      </c>
      <c r="K23" t="s">
        <v>12</v>
      </c>
      <c r="L23">
        <f>+G22</f>
        <v>100</v>
      </c>
    </row>
    <row r="24" spans="2:12" x14ac:dyDescent="0.25">
      <c r="B24" t="s">
        <v>6</v>
      </c>
      <c r="C24" s="19">
        <v>70</v>
      </c>
      <c r="D24" s="3">
        <f>1-D30</f>
        <v>0.30000000000000004</v>
      </c>
      <c r="F24" t="s">
        <v>7</v>
      </c>
      <c r="G24" s="19">
        <v>100</v>
      </c>
      <c r="K24" s="18" t="s">
        <v>14</v>
      </c>
      <c r="L24" s="18">
        <f>+L22-L23</f>
        <v>1000</v>
      </c>
    </row>
    <row r="25" spans="2:12" x14ac:dyDescent="0.25">
      <c r="B25" t="s">
        <v>15</v>
      </c>
      <c r="C25" s="9">
        <f>+C22+C24</f>
        <v>100</v>
      </c>
      <c r="F25" t="s">
        <v>33</v>
      </c>
      <c r="G25" s="9">
        <f>+L24/(1+C12)^(L20-G20)</f>
        <v>274.67780795538459</v>
      </c>
    </row>
    <row r="26" spans="2:12" x14ac:dyDescent="0.25">
      <c r="B26" t="s">
        <v>33</v>
      </c>
      <c r="C26" s="9">
        <f>+G23/(1+C12)^(G20-C20)</f>
        <v>91.548138870838926</v>
      </c>
    </row>
    <row r="28" spans="2:12" x14ac:dyDescent="0.25">
      <c r="B28" t="s">
        <v>23</v>
      </c>
      <c r="C28" s="20">
        <v>0.76462504714333779</v>
      </c>
    </row>
    <row r="29" spans="2:12" x14ac:dyDescent="0.25">
      <c r="B29" t="s">
        <v>23</v>
      </c>
      <c r="C29" s="6">
        <f>+C24/C26</f>
        <v>0.76462504714333723</v>
      </c>
      <c r="D29" s="4" t="s">
        <v>16</v>
      </c>
    </row>
    <row r="30" spans="2:12" x14ac:dyDescent="0.25">
      <c r="B30" t="s">
        <v>36</v>
      </c>
      <c r="C30" s="22">
        <f>+C28-C29</f>
        <v>0</v>
      </c>
      <c r="D30" s="5">
        <v>0.7</v>
      </c>
      <c r="F30" t="str">
        <f>+B25</f>
        <v>BV Equity after</v>
      </c>
      <c r="G30">
        <f>+C25</f>
        <v>100</v>
      </c>
    </row>
    <row r="31" spans="2:12" x14ac:dyDescent="0.25">
      <c r="F31" t="s">
        <v>8</v>
      </c>
      <c r="G31" s="1">
        <v>0.9</v>
      </c>
      <c r="I31" t="str">
        <f>+B15</f>
        <v>rReinvestment</v>
      </c>
      <c r="J31" s="6">
        <f>+C15</f>
        <v>7.0000000000000007E-2</v>
      </c>
    </row>
    <row r="32" spans="2:12" x14ac:dyDescent="0.25">
      <c r="F32" t="s">
        <v>18</v>
      </c>
      <c r="G32">
        <f>+G30*G31</f>
        <v>90</v>
      </c>
      <c r="K32" t="s">
        <v>19</v>
      </c>
      <c r="L32" s="9">
        <f>+G33*(1+J31)^(L20-G20)</f>
        <v>90.204071484739416</v>
      </c>
    </row>
    <row r="33" spans="2:12" x14ac:dyDescent="0.25">
      <c r="F33" t="s">
        <v>22</v>
      </c>
      <c r="G33" s="12">
        <f>+G32*C28</f>
        <v>68.816254242900399</v>
      </c>
    </row>
    <row r="34" spans="2:12" x14ac:dyDescent="0.25">
      <c r="G34" t="s">
        <v>24</v>
      </c>
      <c r="K34" t="s">
        <v>20</v>
      </c>
      <c r="L34" s="6">
        <f>+L32/C24</f>
        <v>1.2886295926391345</v>
      </c>
    </row>
    <row r="35" spans="2:12" x14ac:dyDescent="0.25">
      <c r="K35" s="10" t="s">
        <v>21</v>
      </c>
      <c r="L35" s="11">
        <f>+L34^(1/L20)-1</f>
        <v>4.316902598637995E-2</v>
      </c>
    </row>
    <row r="37" spans="2:12" x14ac:dyDescent="0.25">
      <c r="F37" t="s">
        <v>39</v>
      </c>
      <c r="G37" s="6">
        <f>+G24/G25</f>
        <v>0.36406290243965694</v>
      </c>
      <c r="H37" s="13">
        <f>1-G37</f>
        <v>0.63593709756034311</v>
      </c>
    </row>
    <row r="38" spans="2:12" x14ac:dyDescent="0.25">
      <c r="B38" t="s">
        <v>38</v>
      </c>
      <c r="C38" s="6">
        <f>+C28</f>
        <v>0.76462504714333779</v>
      </c>
      <c r="F38" t="s">
        <v>38</v>
      </c>
      <c r="G38" s="6">
        <f>+C38*$H$37</f>
        <v>0.48625343320227477</v>
      </c>
      <c r="K38" t="s">
        <v>23</v>
      </c>
      <c r="L38" s="13">
        <f>+G37+G38</f>
        <v>0.85031633564193165</v>
      </c>
    </row>
    <row r="39" spans="2:12" x14ac:dyDescent="0.25">
      <c r="B39" t="s">
        <v>37</v>
      </c>
      <c r="C39" s="13">
        <f>1-C38</f>
        <v>0.23537495285666221</v>
      </c>
      <c r="F39" t="s">
        <v>37</v>
      </c>
      <c r="G39" s="6">
        <f>+C39*$H$37</f>
        <v>0.14968366435806835</v>
      </c>
      <c r="K39" t="s">
        <v>37</v>
      </c>
      <c r="L39" s="13">
        <f>+G39</f>
        <v>0.14968366435806835</v>
      </c>
    </row>
    <row r="41" spans="2:12" x14ac:dyDescent="0.25">
      <c r="B41" t="str">
        <f>+B23</f>
        <v>Pre Money Value E</v>
      </c>
      <c r="C41" s="9">
        <f>+C23</f>
        <v>21.548138870838926</v>
      </c>
      <c r="K41" t="s">
        <v>40</v>
      </c>
      <c r="L41" s="9">
        <f>+L39*L24</f>
        <v>149.68366435806834</v>
      </c>
    </row>
    <row r="42" spans="2:12" x14ac:dyDescent="0.25">
      <c r="B42" s="12" t="s">
        <v>41</v>
      </c>
      <c r="C42" s="21">
        <f>+(L41/C41)^(1/6)-1</f>
        <v>0.38131938555023059</v>
      </c>
    </row>
    <row r="43" spans="2:12" x14ac:dyDescent="0.25">
      <c r="C43" s="23">
        <f>+C42-C12</f>
        <v>-4.4408920985006262E-16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9277E-04E9-4FCE-8555-0F2A95D14154}">
  <dimension ref="B3:L43"/>
  <sheetViews>
    <sheetView topLeftCell="A4" zoomScale="150" zoomScaleNormal="150" workbookViewId="0">
      <selection activeCell="B21" sqref="B21"/>
    </sheetView>
  </sheetViews>
  <sheetFormatPr defaultRowHeight="15.75" x14ac:dyDescent="0.25"/>
  <cols>
    <col min="2" max="2" width="17.75" bestFit="1" customWidth="1"/>
    <col min="3" max="3" width="23.75" bestFit="1" customWidth="1"/>
    <col min="6" max="6" width="17.25" bestFit="1" customWidth="1"/>
    <col min="9" max="9" width="12.875" bestFit="1" customWidth="1"/>
    <col min="11" max="11" width="17" bestFit="1" customWidth="1"/>
  </cols>
  <sheetData>
    <row r="3" spans="2:4" x14ac:dyDescent="0.25">
      <c r="B3" t="s">
        <v>0</v>
      </c>
    </row>
    <row r="5" spans="2:4" x14ac:dyDescent="0.25">
      <c r="B5" t="s">
        <v>2</v>
      </c>
      <c r="C5" s="14">
        <v>0.18</v>
      </c>
      <c r="D5" t="s">
        <v>42</v>
      </c>
    </row>
    <row r="6" spans="2:4" x14ac:dyDescent="0.25">
      <c r="B6" s="10" t="s">
        <v>25</v>
      </c>
      <c r="C6" s="17">
        <f>+L35</f>
        <v>2.1818406360982978E-2</v>
      </c>
    </row>
    <row r="7" spans="2:4" x14ac:dyDescent="0.25">
      <c r="B7" t="s">
        <v>26</v>
      </c>
      <c r="C7">
        <v>6</v>
      </c>
      <c r="D7" t="s">
        <v>27</v>
      </c>
    </row>
    <row r="8" spans="2:4" x14ac:dyDescent="0.25">
      <c r="B8" t="s">
        <v>28</v>
      </c>
      <c r="C8" s="13">
        <f>+D30</f>
        <v>0.7</v>
      </c>
    </row>
    <row r="9" spans="2:4" ht="18" x14ac:dyDescent="0.25">
      <c r="B9" t="s">
        <v>29</v>
      </c>
      <c r="C9">
        <f>+(1+C5)^C7</f>
        <v>2.6995541530239993</v>
      </c>
    </row>
    <row r="10" spans="2:4" ht="18" x14ac:dyDescent="0.25">
      <c r="B10" t="s">
        <v>30</v>
      </c>
      <c r="C10">
        <f>+(1+C6)^C7</f>
        <v>1.1382622399638969</v>
      </c>
    </row>
    <row r="11" spans="2:4" ht="18" x14ac:dyDescent="0.25">
      <c r="B11" t="s">
        <v>31</v>
      </c>
      <c r="C11">
        <f>+(C9-C8*C10)/(1-C8)</f>
        <v>6.3425686168309046</v>
      </c>
    </row>
    <row r="12" spans="2:4" ht="16.350000000000001" customHeight="1" x14ac:dyDescent="0.25">
      <c r="B12" s="15" t="s">
        <v>32</v>
      </c>
      <c r="C12" s="16">
        <f>+C11^(1/C7)-1</f>
        <v>0.36053858332118316</v>
      </c>
    </row>
    <row r="15" spans="2:4" x14ac:dyDescent="0.25">
      <c r="B15" t="s">
        <v>9</v>
      </c>
      <c r="C15" s="7">
        <v>7.0000000000000007E-2</v>
      </c>
    </row>
    <row r="19" spans="2:12" x14ac:dyDescent="0.25">
      <c r="B19" t="s">
        <v>1</v>
      </c>
    </row>
    <row r="20" spans="2:12" x14ac:dyDescent="0.25">
      <c r="B20" t="s">
        <v>35</v>
      </c>
      <c r="C20">
        <v>0</v>
      </c>
      <c r="G20">
        <v>2</v>
      </c>
      <c r="L20">
        <v>6</v>
      </c>
    </row>
    <row r="21" spans="2:12" x14ac:dyDescent="0.25">
      <c r="C21" t="s">
        <v>3</v>
      </c>
      <c r="G21" t="s">
        <v>4</v>
      </c>
      <c r="L21" t="s">
        <v>5</v>
      </c>
    </row>
    <row r="22" spans="2:12" x14ac:dyDescent="0.25">
      <c r="B22" t="s">
        <v>10</v>
      </c>
      <c r="C22" s="19">
        <v>30</v>
      </c>
      <c r="F22" t="s">
        <v>13</v>
      </c>
      <c r="G22" s="19">
        <v>100</v>
      </c>
      <c r="K22" t="s">
        <v>11</v>
      </c>
      <c r="L22" s="8">
        <v>1100</v>
      </c>
    </row>
    <row r="23" spans="2:12" x14ac:dyDescent="0.25">
      <c r="B23" t="s">
        <v>34</v>
      </c>
      <c r="C23" s="9">
        <f>+C26-C24</f>
        <v>33.641882123531673</v>
      </c>
      <c r="D23" s="2" t="s">
        <v>17</v>
      </c>
      <c r="F23" t="s">
        <v>34</v>
      </c>
      <c r="G23" s="9">
        <f>+G25-G24</f>
        <v>191.84788506561028</v>
      </c>
      <c r="K23" t="s">
        <v>12</v>
      </c>
      <c r="L23">
        <f>+G22</f>
        <v>100</v>
      </c>
    </row>
    <row r="24" spans="2:12" x14ac:dyDescent="0.25">
      <c r="B24" t="s">
        <v>6</v>
      </c>
      <c r="C24" s="19">
        <v>70</v>
      </c>
      <c r="D24" s="3">
        <f>1-D30</f>
        <v>0.30000000000000004</v>
      </c>
      <c r="F24" t="s">
        <v>7</v>
      </c>
      <c r="G24" s="19">
        <v>100</v>
      </c>
      <c r="K24" s="18" t="s">
        <v>14</v>
      </c>
      <c r="L24" s="18">
        <f>+L22-L23</f>
        <v>1000</v>
      </c>
    </row>
    <row r="25" spans="2:12" x14ac:dyDescent="0.25">
      <c r="B25" t="s">
        <v>15</v>
      </c>
      <c r="C25" s="9">
        <f>+C22+C24</f>
        <v>100</v>
      </c>
      <c r="F25" t="s">
        <v>33</v>
      </c>
      <c r="G25" s="9">
        <f>+L24/(1+C12)^(L20-G20)</f>
        <v>291.84788506561028</v>
      </c>
    </row>
    <row r="26" spans="2:12" x14ac:dyDescent="0.25">
      <c r="B26" t="s">
        <v>33</v>
      </c>
      <c r="C26" s="9">
        <f>+G23/(1+C12)^(G20-C20)</f>
        <v>103.64188212353167</v>
      </c>
    </row>
    <row r="28" spans="2:12" x14ac:dyDescent="0.25">
      <c r="B28" t="s">
        <v>23</v>
      </c>
      <c r="C28" s="20">
        <v>0.67540263227340369</v>
      </c>
    </row>
    <row r="29" spans="2:12" x14ac:dyDescent="0.25">
      <c r="B29" t="s">
        <v>23</v>
      </c>
      <c r="C29" s="6">
        <f>+C24/C26</f>
        <v>0.6754026322733736</v>
      </c>
      <c r="D29" s="4" t="s">
        <v>16</v>
      </c>
    </row>
    <row r="30" spans="2:12" x14ac:dyDescent="0.25">
      <c r="B30" t="s">
        <v>36</v>
      </c>
      <c r="C30" s="22">
        <f>+C28-C29</f>
        <v>3.0087043967341742E-14</v>
      </c>
      <c r="D30" s="5">
        <v>0.7</v>
      </c>
      <c r="F30" t="str">
        <f>+B25</f>
        <v>BV Equity after</v>
      </c>
      <c r="G30">
        <f>+C25</f>
        <v>100</v>
      </c>
    </row>
    <row r="31" spans="2:12" x14ac:dyDescent="0.25">
      <c r="F31" t="s">
        <v>8</v>
      </c>
      <c r="G31" s="1">
        <v>0.9</v>
      </c>
      <c r="I31" t="str">
        <f>+B15</f>
        <v>rReinvestment</v>
      </c>
      <c r="J31" s="6">
        <f>+C15</f>
        <v>7.0000000000000007E-2</v>
      </c>
    </row>
    <row r="32" spans="2:12" x14ac:dyDescent="0.25">
      <c r="F32" t="s">
        <v>18</v>
      </c>
      <c r="G32">
        <f>+G30*G31</f>
        <v>90</v>
      </c>
      <c r="K32" t="s">
        <v>19</v>
      </c>
      <c r="L32" s="9">
        <f>+G33*(1+J31)^(L20-G20)</f>
        <v>79.67835679747273</v>
      </c>
    </row>
    <row r="33" spans="2:12" x14ac:dyDescent="0.25">
      <c r="F33" t="s">
        <v>22</v>
      </c>
      <c r="G33" s="12">
        <f>+G32*C28</f>
        <v>60.786236904606334</v>
      </c>
    </row>
    <row r="34" spans="2:12" x14ac:dyDescent="0.25">
      <c r="G34" t="s">
        <v>24</v>
      </c>
      <c r="K34" t="s">
        <v>20</v>
      </c>
      <c r="L34" s="6">
        <f>+L32/C24</f>
        <v>1.1382622399638962</v>
      </c>
    </row>
    <row r="35" spans="2:12" x14ac:dyDescent="0.25">
      <c r="K35" s="10" t="s">
        <v>21</v>
      </c>
      <c r="L35" s="11">
        <f>+L34^(1/L20)-1</f>
        <v>2.1818406360982978E-2</v>
      </c>
    </row>
    <row r="37" spans="2:12" x14ac:dyDescent="0.25">
      <c r="F37" t="s">
        <v>39</v>
      </c>
      <c r="G37" s="6">
        <f>+G24/G25</f>
        <v>0.34264425105400032</v>
      </c>
      <c r="H37" s="13">
        <f>1-G37</f>
        <v>0.65735574894599968</v>
      </c>
    </row>
    <row r="38" spans="2:12" x14ac:dyDescent="0.25">
      <c r="B38" t="s">
        <v>38</v>
      </c>
      <c r="C38" s="6">
        <f>+C28</f>
        <v>0.67540263227340369</v>
      </c>
      <c r="F38" t="s">
        <v>38</v>
      </c>
      <c r="G38" s="6">
        <f>+C38*$H$37</f>
        <v>0.44397980317818292</v>
      </c>
      <c r="K38" t="s">
        <v>23</v>
      </c>
      <c r="L38" s="13">
        <f>+G37+G38</f>
        <v>0.78662405423218318</v>
      </c>
    </row>
    <row r="39" spans="2:12" x14ac:dyDescent="0.25">
      <c r="B39" t="s">
        <v>37</v>
      </c>
      <c r="C39" s="13">
        <f>1-C38</f>
        <v>0.32459736772659631</v>
      </c>
      <c r="F39" t="s">
        <v>37</v>
      </c>
      <c r="G39" s="6">
        <f>+C39*$H$37</f>
        <v>0.21337594576781679</v>
      </c>
      <c r="K39" t="s">
        <v>37</v>
      </c>
      <c r="L39" s="13">
        <f>+G39</f>
        <v>0.21337594576781679</v>
      </c>
    </row>
    <row r="41" spans="2:12" x14ac:dyDescent="0.25">
      <c r="B41" t="str">
        <f>+B23</f>
        <v>Pre Money Value E</v>
      </c>
      <c r="C41" s="9">
        <f>+C23</f>
        <v>33.641882123531673</v>
      </c>
      <c r="K41" t="s">
        <v>40</v>
      </c>
      <c r="L41" s="9">
        <f>+L39*L24</f>
        <v>213.3759457678168</v>
      </c>
    </row>
    <row r="42" spans="2:12" x14ac:dyDescent="0.25">
      <c r="B42" s="12" t="s">
        <v>41</v>
      </c>
      <c r="C42" s="21">
        <f>+(L41/C41)^(1/6)-1</f>
        <v>0.36053858332116206</v>
      </c>
    </row>
    <row r="43" spans="2:12" x14ac:dyDescent="0.25">
      <c r="C43" s="23">
        <f>+C42-C12</f>
        <v>-2.1094237467877974E-14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C4564-569D-4DD2-A157-F83F02DE60C6}">
  <dimension ref="B3:L43"/>
  <sheetViews>
    <sheetView topLeftCell="A9" zoomScale="150" zoomScaleNormal="150" workbookViewId="0">
      <selection activeCell="B28" sqref="B28"/>
    </sheetView>
  </sheetViews>
  <sheetFormatPr defaultRowHeight="15.75" x14ac:dyDescent="0.25"/>
  <cols>
    <col min="2" max="2" width="17.75" bestFit="1" customWidth="1"/>
    <col min="3" max="3" width="23.75" bestFit="1" customWidth="1"/>
    <col min="6" max="6" width="17.25" bestFit="1" customWidth="1"/>
    <col min="9" max="9" width="12.875" bestFit="1" customWidth="1"/>
    <col min="11" max="11" width="17" bestFit="1" customWidth="1"/>
  </cols>
  <sheetData>
    <row r="3" spans="2:4" x14ac:dyDescent="0.25">
      <c r="B3" t="s">
        <v>0</v>
      </c>
    </row>
    <row r="5" spans="2:4" x14ac:dyDescent="0.25">
      <c r="B5" t="s">
        <v>2</v>
      </c>
      <c r="C5" s="14">
        <v>0.2</v>
      </c>
    </row>
    <row r="6" spans="2:4" x14ac:dyDescent="0.25">
      <c r="B6" s="10" t="s">
        <v>25</v>
      </c>
      <c r="C6" s="17">
        <f>+L35</f>
        <v>2.3683154571752629E-2</v>
      </c>
    </row>
    <row r="7" spans="2:4" x14ac:dyDescent="0.25">
      <c r="B7" t="s">
        <v>26</v>
      </c>
      <c r="C7">
        <v>6</v>
      </c>
      <c r="D7" t="s">
        <v>27</v>
      </c>
    </row>
    <row r="8" spans="2:4" x14ac:dyDescent="0.25">
      <c r="B8" t="s">
        <v>28</v>
      </c>
      <c r="C8" s="13">
        <f>+D30</f>
        <v>0.65</v>
      </c>
    </row>
    <row r="9" spans="2:4" ht="18" x14ac:dyDescent="0.25">
      <c r="B9" t="s">
        <v>29</v>
      </c>
      <c r="C9">
        <f>+(1+C5)^C7</f>
        <v>2.9859839999999997</v>
      </c>
    </row>
    <row r="10" spans="2:4" ht="18" x14ac:dyDescent="0.25">
      <c r="B10" t="s">
        <v>30</v>
      </c>
      <c r="C10">
        <f>+(1+C6)^C7</f>
        <v>1.1507827422115378</v>
      </c>
    </row>
    <row r="11" spans="2:4" ht="18" x14ac:dyDescent="0.25">
      <c r="B11" t="s">
        <v>31</v>
      </c>
      <c r="C11">
        <f>+(C9-C8*C10)/(1-C8)</f>
        <v>6.3942149073214294</v>
      </c>
    </row>
    <row r="12" spans="2:4" ht="16.350000000000001" customHeight="1" x14ac:dyDescent="0.25">
      <c r="B12" s="15" t="s">
        <v>32</v>
      </c>
      <c r="C12" s="16">
        <f>+C11^(1/C7)-1</f>
        <v>0.3623787827502154</v>
      </c>
    </row>
    <row r="15" spans="2:4" x14ac:dyDescent="0.25">
      <c r="B15" t="s">
        <v>9</v>
      </c>
      <c r="C15" s="7">
        <v>7.0000000000000007E-2</v>
      </c>
    </row>
    <row r="19" spans="2:12" x14ac:dyDescent="0.25">
      <c r="B19" t="s">
        <v>1</v>
      </c>
    </row>
    <row r="20" spans="2:12" x14ac:dyDescent="0.25">
      <c r="B20" t="s">
        <v>35</v>
      </c>
      <c r="C20">
        <v>0</v>
      </c>
      <c r="G20">
        <v>2</v>
      </c>
      <c r="L20">
        <v>6</v>
      </c>
    </row>
    <row r="21" spans="2:12" x14ac:dyDescent="0.25">
      <c r="C21" t="s">
        <v>3</v>
      </c>
      <c r="G21" t="s">
        <v>4</v>
      </c>
      <c r="L21" t="s">
        <v>5</v>
      </c>
    </row>
    <row r="22" spans="2:12" x14ac:dyDescent="0.25">
      <c r="B22" t="s">
        <v>10</v>
      </c>
      <c r="C22" s="19">
        <v>30</v>
      </c>
      <c r="F22" t="s">
        <v>13</v>
      </c>
      <c r="G22" s="19">
        <v>100</v>
      </c>
      <c r="K22" t="s">
        <v>11</v>
      </c>
      <c r="L22" s="8">
        <v>1100</v>
      </c>
    </row>
    <row r="23" spans="2:12" x14ac:dyDescent="0.25">
      <c r="B23" t="s">
        <v>34</v>
      </c>
      <c r="C23" s="9">
        <f>+C26-C24</f>
        <v>32.514259708548963</v>
      </c>
      <c r="D23" s="2" t="s">
        <v>17</v>
      </c>
      <c r="F23" t="s">
        <v>34</v>
      </c>
      <c r="G23" s="9">
        <f>+G25-G24</f>
        <v>190.27425174007453</v>
      </c>
      <c r="K23" t="s">
        <v>12</v>
      </c>
      <c r="L23">
        <f>+G22</f>
        <v>100</v>
      </c>
    </row>
    <row r="24" spans="2:12" x14ac:dyDescent="0.25">
      <c r="B24" t="s">
        <v>6</v>
      </c>
      <c r="C24" s="19">
        <v>70</v>
      </c>
      <c r="D24" s="3">
        <f>1-D30</f>
        <v>0.35</v>
      </c>
      <c r="F24" t="s">
        <v>7</v>
      </c>
      <c r="G24" s="19">
        <v>100</v>
      </c>
      <c r="K24" s="18" t="s">
        <v>14</v>
      </c>
      <c r="L24" s="18">
        <f>+L22-L23</f>
        <v>1000</v>
      </c>
    </row>
    <row r="25" spans="2:12" x14ac:dyDescent="0.25">
      <c r="B25" t="s">
        <v>15</v>
      </c>
      <c r="C25" s="9">
        <f>+C22+C24</f>
        <v>100</v>
      </c>
      <c r="F25" t="s">
        <v>33</v>
      </c>
      <c r="G25" s="9">
        <f>+L24/(1+C12)^(L20-G20)</f>
        <v>290.27425174007453</v>
      </c>
    </row>
    <row r="26" spans="2:12" x14ac:dyDescent="0.25">
      <c r="B26" t="s">
        <v>33</v>
      </c>
      <c r="C26" s="9">
        <f>+G23/(1+C12)^(G20-C20)</f>
        <v>102.51425970854896</v>
      </c>
    </row>
    <row r="28" spans="2:12" x14ac:dyDescent="0.25">
      <c r="B28" t="s">
        <v>23</v>
      </c>
      <c r="C28" s="20">
        <v>0.68283183433119166</v>
      </c>
    </row>
    <row r="29" spans="2:12" x14ac:dyDescent="0.25">
      <c r="B29" t="s">
        <v>23</v>
      </c>
      <c r="C29" s="6">
        <f>+C24/C26</f>
        <v>0.6828318343127292</v>
      </c>
      <c r="D29" s="4" t="s">
        <v>16</v>
      </c>
    </row>
    <row r="30" spans="2:12" x14ac:dyDescent="0.25">
      <c r="B30" t="s">
        <v>36</v>
      </c>
      <c r="C30" s="22">
        <f>+C28-C29</f>
        <v>1.8462453788004041E-11</v>
      </c>
      <c r="D30" s="5">
        <v>0.65</v>
      </c>
      <c r="F30" t="str">
        <f>+B25</f>
        <v>BV Equity after</v>
      </c>
      <c r="G30">
        <f>+C25</f>
        <v>100</v>
      </c>
    </row>
    <row r="31" spans="2:12" x14ac:dyDescent="0.25">
      <c r="F31" t="s">
        <v>8</v>
      </c>
      <c r="G31" s="1">
        <v>0.9</v>
      </c>
      <c r="I31" t="str">
        <f>+B15</f>
        <v>rReinvestment</v>
      </c>
      <c r="J31" s="6">
        <f>+C15</f>
        <v>7.0000000000000007E-2</v>
      </c>
    </row>
    <row r="32" spans="2:12" x14ac:dyDescent="0.25">
      <c r="F32" t="s">
        <v>18</v>
      </c>
      <c r="G32">
        <f>+G30*G31</f>
        <v>90</v>
      </c>
      <c r="K32" t="s">
        <v>19</v>
      </c>
      <c r="L32" s="9">
        <f>+G33*(1+J31)^(L20-G20)</f>
        <v>80.554791954807641</v>
      </c>
    </row>
    <row r="33" spans="2:12" x14ac:dyDescent="0.25">
      <c r="F33" t="s">
        <v>22</v>
      </c>
      <c r="G33" s="12">
        <f>+G32*C28</f>
        <v>61.454865089807249</v>
      </c>
    </row>
    <row r="34" spans="2:12" x14ac:dyDescent="0.25">
      <c r="G34" t="s">
        <v>24</v>
      </c>
      <c r="K34" t="s">
        <v>20</v>
      </c>
      <c r="L34" s="6">
        <f>+L32/C24</f>
        <v>1.1507827422115378</v>
      </c>
    </row>
    <row r="35" spans="2:12" x14ac:dyDescent="0.25">
      <c r="K35" s="10" t="s">
        <v>21</v>
      </c>
      <c r="L35" s="11">
        <f>+L34^(1/L20)-1</f>
        <v>2.3683154571752629E-2</v>
      </c>
    </row>
    <row r="37" spans="2:12" x14ac:dyDescent="0.25">
      <c r="F37" t="s">
        <v>39</v>
      </c>
      <c r="G37" s="6">
        <f>+G24/G25</f>
        <v>0.34450179235857542</v>
      </c>
      <c r="H37" s="13">
        <f>1-G37</f>
        <v>0.65549820764142464</v>
      </c>
    </row>
    <row r="38" spans="2:12" x14ac:dyDescent="0.25">
      <c r="B38" t="s">
        <v>38</v>
      </c>
      <c r="C38" s="6">
        <f>+C28</f>
        <v>0.68283183433119166</v>
      </c>
      <c r="F38" t="s">
        <v>38</v>
      </c>
      <c r="G38" s="6">
        <f>+C38*$H$37</f>
        <v>0.44759504352460233</v>
      </c>
      <c r="K38" t="s">
        <v>23</v>
      </c>
      <c r="L38" s="13">
        <f>+G37+G38</f>
        <v>0.7920968358831777</v>
      </c>
    </row>
    <row r="39" spans="2:12" x14ac:dyDescent="0.25">
      <c r="B39" t="s">
        <v>37</v>
      </c>
      <c r="C39" s="13">
        <f>1-C38</f>
        <v>0.31716816566880834</v>
      </c>
      <c r="F39" t="s">
        <v>37</v>
      </c>
      <c r="G39" s="6">
        <f>+C39*$H$37</f>
        <v>0.2079031641168223</v>
      </c>
      <c r="K39" t="s">
        <v>37</v>
      </c>
      <c r="L39" s="13">
        <f>+G39</f>
        <v>0.2079031641168223</v>
      </c>
    </row>
    <row r="41" spans="2:12" x14ac:dyDescent="0.25">
      <c r="B41" t="str">
        <f>+B23</f>
        <v>Pre Money Value E</v>
      </c>
      <c r="C41" s="9">
        <f>+C23</f>
        <v>32.514259708548963</v>
      </c>
      <c r="K41" t="s">
        <v>40</v>
      </c>
      <c r="L41" s="9">
        <f>+L39*L24</f>
        <v>207.9031641168223</v>
      </c>
    </row>
    <row r="42" spans="2:12" x14ac:dyDescent="0.25">
      <c r="B42" s="12" t="s">
        <v>41</v>
      </c>
      <c r="C42" s="21">
        <f>+(L41/C41)^(1/6)-1</f>
        <v>0.36237878273699797</v>
      </c>
    </row>
    <row r="43" spans="2:12" x14ac:dyDescent="0.25">
      <c r="C43" s="23">
        <f>+C42-C12</f>
        <v>-1.3217427152767414E-11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1F08B-8AD9-4DC7-A6FB-17EF690DED3C}">
  <dimension ref="B3:L43"/>
  <sheetViews>
    <sheetView tabSelected="1" topLeftCell="A6" zoomScale="150" zoomScaleNormal="150" workbookViewId="0">
      <selection activeCell="C25" sqref="C25"/>
    </sheetView>
  </sheetViews>
  <sheetFormatPr defaultRowHeight="15.75" x14ac:dyDescent="0.25"/>
  <cols>
    <col min="2" max="2" width="17.75" bestFit="1" customWidth="1"/>
    <col min="3" max="3" width="23.75" bestFit="1" customWidth="1"/>
    <col min="6" max="6" width="17.25" bestFit="1" customWidth="1"/>
    <col min="9" max="9" width="12.875" bestFit="1" customWidth="1"/>
    <col min="11" max="11" width="17" bestFit="1" customWidth="1"/>
  </cols>
  <sheetData>
    <row r="3" spans="2:4" x14ac:dyDescent="0.25">
      <c r="B3" t="s">
        <v>0</v>
      </c>
    </row>
    <row r="5" spans="2:4" x14ac:dyDescent="0.25">
      <c r="B5" t="s">
        <v>2</v>
      </c>
      <c r="C5" s="14">
        <v>0.2</v>
      </c>
    </row>
    <row r="6" spans="2:4" x14ac:dyDescent="0.25">
      <c r="B6" s="10" t="s">
        <v>25</v>
      </c>
      <c r="C6" s="17">
        <f>+L35</f>
        <v>7.3505863035060015E-2</v>
      </c>
    </row>
    <row r="7" spans="2:4" x14ac:dyDescent="0.25">
      <c r="B7" t="s">
        <v>26</v>
      </c>
      <c r="C7">
        <v>6</v>
      </c>
      <c r="D7" t="s">
        <v>27</v>
      </c>
    </row>
    <row r="8" spans="2:4" x14ac:dyDescent="0.25">
      <c r="B8" t="s">
        <v>28</v>
      </c>
      <c r="C8" s="13">
        <f>+D30</f>
        <v>0.7</v>
      </c>
    </row>
    <row r="9" spans="2:4" ht="18" x14ac:dyDescent="0.25">
      <c r="B9" t="s">
        <v>29</v>
      </c>
      <c r="C9">
        <f>+(1+C5)^C7</f>
        <v>2.9859839999999997</v>
      </c>
    </row>
    <row r="10" spans="2:4" ht="18" x14ac:dyDescent="0.25">
      <c r="B10" t="s">
        <v>30</v>
      </c>
      <c r="C10">
        <f>+(1+C6)^C7</f>
        <v>1.5304760022069035</v>
      </c>
    </row>
    <row r="11" spans="2:4" ht="18" x14ac:dyDescent="0.25">
      <c r="B11" t="s">
        <v>31</v>
      </c>
      <c r="C11">
        <f>+(C9-C8*C10)/(1-C8)</f>
        <v>6.38216932818389</v>
      </c>
    </row>
    <row r="12" spans="2:4" ht="16.350000000000001" customHeight="1" x14ac:dyDescent="0.25">
      <c r="B12" s="15" t="s">
        <v>32</v>
      </c>
      <c r="C12" s="16">
        <f>+C11^(1/C7)-1</f>
        <v>0.36195069950924741</v>
      </c>
    </row>
    <row r="15" spans="2:4" x14ac:dyDescent="0.25">
      <c r="B15" t="s">
        <v>9</v>
      </c>
      <c r="C15" s="7">
        <v>7.0000000000000007E-2</v>
      </c>
    </row>
    <row r="19" spans="2:12" x14ac:dyDescent="0.25">
      <c r="B19" t="s">
        <v>1</v>
      </c>
    </row>
    <row r="20" spans="2:12" x14ac:dyDescent="0.25">
      <c r="B20" t="s">
        <v>35</v>
      </c>
      <c r="C20">
        <v>0</v>
      </c>
      <c r="G20">
        <v>2</v>
      </c>
      <c r="L20">
        <v>6</v>
      </c>
    </row>
    <row r="21" spans="2:12" x14ac:dyDescent="0.25">
      <c r="C21" t="s">
        <v>3</v>
      </c>
      <c r="G21" t="s">
        <v>4</v>
      </c>
      <c r="L21" t="s">
        <v>5</v>
      </c>
    </row>
    <row r="22" spans="2:12" x14ac:dyDescent="0.25">
      <c r="B22" t="s">
        <v>10</v>
      </c>
      <c r="C22" s="19">
        <v>30</v>
      </c>
      <c r="F22" t="s">
        <v>13</v>
      </c>
      <c r="G22" s="19">
        <v>100</v>
      </c>
      <c r="K22" t="s">
        <v>11</v>
      </c>
      <c r="L22" s="8">
        <v>1100</v>
      </c>
    </row>
    <row r="23" spans="2:12" x14ac:dyDescent="0.25">
      <c r="B23" t="s">
        <v>34</v>
      </c>
      <c r="C23" s="9">
        <f>+C26-C24</f>
        <v>32.775555430587758</v>
      </c>
      <c r="D23" s="2" t="s">
        <v>17</v>
      </c>
      <c r="F23" t="s">
        <v>34</v>
      </c>
      <c r="G23" s="9">
        <f>+G25-G24</f>
        <v>190.63937550236722</v>
      </c>
      <c r="K23" t="s">
        <v>12</v>
      </c>
      <c r="L23">
        <f>+G22</f>
        <v>100</v>
      </c>
    </row>
    <row r="24" spans="2:12" x14ac:dyDescent="0.25">
      <c r="B24" t="s">
        <v>6</v>
      </c>
      <c r="C24" s="19">
        <v>70</v>
      </c>
      <c r="D24" s="3">
        <f>1-D30</f>
        <v>0.30000000000000004</v>
      </c>
      <c r="F24" t="s">
        <v>7</v>
      </c>
      <c r="G24" s="19">
        <v>100</v>
      </c>
      <c r="K24" s="18" t="s">
        <v>14</v>
      </c>
      <c r="L24" s="18">
        <f>+L22-L23</f>
        <v>1000</v>
      </c>
    </row>
    <row r="25" spans="2:12" x14ac:dyDescent="0.25">
      <c r="B25" t="s">
        <v>15</v>
      </c>
      <c r="C25" s="9">
        <f>+C22+C24</f>
        <v>100</v>
      </c>
      <c r="F25" t="s">
        <v>33</v>
      </c>
      <c r="G25" s="9">
        <f>+L24/(1+C12)^(L20-G20)</f>
        <v>290.63937550236722</v>
      </c>
    </row>
    <row r="26" spans="2:12" x14ac:dyDescent="0.25">
      <c r="B26" t="s">
        <v>33</v>
      </c>
      <c r="C26" s="9">
        <f>+G23/(1+C12)^(G20-C20)</f>
        <v>102.77555543058776</v>
      </c>
    </row>
    <row r="28" spans="2:12" x14ac:dyDescent="0.25">
      <c r="B28" t="s">
        <v>23</v>
      </c>
      <c r="C28" s="20">
        <v>0.68109580830508254</v>
      </c>
    </row>
    <row r="29" spans="2:12" x14ac:dyDescent="0.25">
      <c r="B29" t="s">
        <v>23</v>
      </c>
      <c r="C29" s="6">
        <f>+C24/C26</f>
        <v>0.68109580830508265</v>
      </c>
      <c r="D29" s="4" t="s">
        <v>16</v>
      </c>
    </row>
    <row r="30" spans="2:12" x14ac:dyDescent="0.25">
      <c r="B30" t="s">
        <v>36</v>
      </c>
      <c r="C30" s="22">
        <f>+C28-C29</f>
        <v>0</v>
      </c>
      <c r="D30" s="5">
        <v>0.7</v>
      </c>
      <c r="F30" t="str">
        <f>+B25</f>
        <v>BV Equity after</v>
      </c>
      <c r="G30">
        <f>+C25</f>
        <v>100</v>
      </c>
    </row>
    <row r="31" spans="2:12" x14ac:dyDescent="0.25">
      <c r="F31" t="s">
        <v>8</v>
      </c>
      <c r="G31" s="7">
        <v>1.2</v>
      </c>
      <c r="I31" t="str">
        <f>+B15</f>
        <v>rReinvestment</v>
      </c>
      <c r="J31" s="6">
        <f>+C15</f>
        <v>7.0000000000000007E-2</v>
      </c>
    </row>
    <row r="32" spans="2:12" x14ac:dyDescent="0.25">
      <c r="F32" t="s">
        <v>18</v>
      </c>
      <c r="G32">
        <f>+G30*G31</f>
        <v>120</v>
      </c>
      <c r="K32" t="s">
        <v>19</v>
      </c>
      <c r="L32" s="9">
        <f>+G33*(1+J31)^(L20-G20)</f>
        <v>107.13332015448324</v>
      </c>
    </row>
    <row r="33" spans="2:12" x14ac:dyDescent="0.25">
      <c r="F33" t="s">
        <v>22</v>
      </c>
      <c r="G33" s="24">
        <f>+G32*C28</f>
        <v>81.731496996609906</v>
      </c>
    </row>
    <row r="34" spans="2:12" x14ac:dyDescent="0.25">
      <c r="G34" t="s">
        <v>24</v>
      </c>
      <c r="K34" t="s">
        <v>20</v>
      </c>
      <c r="L34" s="6">
        <f>+L32/C24</f>
        <v>1.5304760022069035</v>
      </c>
    </row>
    <row r="35" spans="2:12" x14ac:dyDescent="0.25">
      <c r="K35" s="10" t="s">
        <v>21</v>
      </c>
      <c r="L35" s="11">
        <f>+L34^(1/L20)-1</f>
        <v>7.3505863035060015E-2</v>
      </c>
    </row>
    <row r="37" spans="2:12" x14ac:dyDescent="0.25">
      <c r="F37" t="s">
        <v>39</v>
      </c>
      <c r="G37" s="6">
        <f>+G24/G25</f>
        <v>0.34406900244383959</v>
      </c>
      <c r="H37" s="13">
        <f>1-G37</f>
        <v>0.65593099755616047</v>
      </c>
    </row>
    <row r="38" spans="2:12" x14ac:dyDescent="0.25">
      <c r="B38" t="s">
        <v>38</v>
      </c>
      <c r="C38" s="6">
        <f>+C28</f>
        <v>0.68109580830508254</v>
      </c>
      <c r="F38" t="s">
        <v>38</v>
      </c>
      <c r="G38" s="6">
        <f>+C38*$H$37</f>
        <v>0.44675185297287223</v>
      </c>
      <c r="K38" t="s">
        <v>23</v>
      </c>
      <c r="L38" s="13">
        <f>+G37+G38</f>
        <v>0.79082085541671177</v>
      </c>
    </row>
    <row r="39" spans="2:12" x14ac:dyDescent="0.25">
      <c r="B39" t="s">
        <v>37</v>
      </c>
      <c r="C39" s="13">
        <f>1-C38</f>
        <v>0.31890419169491746</v>
      </c>
      <c r="F39" t="s">
        <v>37</v>
      </c>
      <c r="G39" s="6">
        <f>+C39*$H$37</f>
        <v>0.20917914458328823</v>
      </c>
      <c r="K39" t="s">
        <v>37</v>
      </c>
      <c r="L39" s="13">
        <f>+G39</f>
        <v>0.20917914458328823</v>
      </c>
    </row>
    <row r="41" spans="2:12" x14ac:dyDescent="0.25">
      <c r="B41" t="str">
        <f>+B23</f>
        <v>Pre Money Value E</v>
      </c>
      <c r="C41" s="9">
        <f>+C23</f>
        <v>32.775555430587758</v>
      </c>
      <c r="K41" t="s">
        <v>40</v>
      </c>
      <c r="L41" s="9">
        <f>+L39*L24</f>
        <v>209.17914458328823</v>
      </c>
    </row>
    <row r="42" spans="2:12" x14ac:dyDescent="0.25">
      <c r="B42" s="12" t="s">
        <v>41</v>
      </c>
      <c r="C42" s="21">
        <f>+(L41/C41)^(1/6)-1</f>
        <v>0.36195069950924741</v>
      </c>
    </row>
    <row r="43" spans="2:12" x14ac:dyDescent="0.25">
      <c r="C43" s="23">
        <f>+C42-C12</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vt:lpstr>
      <vt:lpstr>Lower</vt:lpstr>
      <vt:lpstr>Macro</vt:lpstr>
      <vt:lpstr>PrFailure</vt:lpstr>
      <vt:lpstr>LiquRatio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2022-12-03T10:25:45Z</dcterms:created>
  <dcterms:modified xsi:type="dcterms:W3CDTF">2024-12-09T17:40:39Z</dcterms:modified>
</cp:coreProperties>
</file>