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Aktualis\2024ősz\Applied Business Valuation\Week1\"/>
    </mc:Choice>
  </mc:AlternateContent>
  <xr:revisionPtr revIDLastSave="0" documentId="13_ncr:1_{7B3E206B-5331-49C5-B45C-C77CF4FE6A66}" xr6:coauthVersionLast="47" xr6:coauthVersionMax="47" xr10:uidLastSave="{00000000-0000-0000-0000-000000000000}"/>
  <bookViews>
    <workbookView xWindow="-120" yWindow="-120" windowWidth="19440" windowHeight="14880" xr2:uid="{EE2224F1-1A86-480D-9DF9-DD5525925017}"/>
  </bookViews>
  <sheets>
    <sheet name="Munk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9" i="1" l="1"/>
  <c r="K49" i="1"/>
  <c r="L49" i="1"/>
  <c r="M49" i="1"/>
  <c r="M73" i="1" s="1"/>
  <c r="J52" i="1"/>
  <c r="J54" i="1" s="1"/>
  <c r="J61" i="1" s="1"/>
  <c r="K52" i="1"/>
  <c r="K54" i="1" s="1"/>
  <c r="K61" i="1" s="1"/>
  <c r="L52" i="1"/>
  <c r="L53" i="1" s="1"/>
  <c r="M52" i="1"/>
  <c r="M53" i="1" s="1"/>
  <c r="J53" i="1"/>
  <c r="K53" i="1"/>
  <c r="J55" i="1"/>
  <c r="K55" i="1"/>
  <c r="K64" i="1" s="1"/>
  <c r="K68" i="1" s="1"/>
  <c r="L55" i="1"/>
  <c r="L64" i="1" s="1"/>
  <c r="L68" i="1" s="1"/>
  <c r="M55" i="1"/>
  <c r="J56" i="1"/>
  <c r="K56" i="1"/>
  <c r="L56" i="1"/>
  <c r="M56" i="1"/>
  <c r="J57" i="1"/>
  <c r="K57" i="1"/>
  <c r="L57" i="1"/>
  <c r="M57" i="1"/>
  <c r="J58" i="1"/>
  <c r="K58" i="1"/>
  <c r="L58" i="1"/>
  <c r="M58" i="1"/>
  <c r="J59" i="1"/>
  <c r="K59" i="1"/>
  <c r="L59" i="1"/>
  <c r="M59" i="1"/>
  <c r="J64" i="1"/>
  <c r="M64" i="1"/>
  <c r="M68" i="1" s="1"/>
  <c r="J65" i="1"/>
  <c r="K65" i="1"/>
  <c r="L65" i="1"/>
  <c r="M65" i="1"/>
  <c r="J68" i="1"/>
  <c r="J70" i="1" s="1"/>
  <c r="J76" i="1" s="1"/>
  <c r="J81" i="1" s="1"/>
  <c r="J72" i="1"/>
  <c r="K72" i="1"/>
  <c r="K73" i="1" s="1"/>
  <c r="L72" i="1"/>
  <c r="L73" i="1" s="1"/>
  <c r="M72" i="1"/>
  <c r="J73" i="1"/>
  <c r="J74" i="1"/>
  <c r="K74" i="1"/>
  <c r="L74" i="1"/>
  <c r="M74" i="1"/>
  <c r="J78" i="1"/>
  <c r="K78" i="1"/>
  <c r="L78" i="1"/>
  <c r="M78" i="1"/>
  <c r="J79" i="1"/>
  <c r="K79" i="1"/>
  <c r="L79" i="1"/>
  <c r="M79" i="1"/>
  <c r="E76" i="1"/>
  <c r="F76" i="1"/>
  <c r="G76" i="1"/>
  <c r="H76" i="1"/>
  <c r="I76" i="1"/>
  <c r="D76" i="1"/>
  <c r="E73" i="1"/>
  <c r="F73" i="1"/>
  <c r="G73" i="1"/>
  <c r="H73" i="1"/>
  <c r="I73" i="1"/>
  <c r="D73" i="1"/>
  <c r="E61" i="1"/>
  <c r="F61" i="1"/>
  <c r="G61" i="1"/>
  <c r="H61" i="1"/>
  <c r="I61" i="1"/>
  <c r="D61" i="1"/>
  <c r="E54" i="1"/>
  <c r="F54" i="1"/>
  <c r="G54" i="1"/>
  <c r="H54" i="1"/>
  <c r="I54" i="1"/>
  <c r="D54" i="1"/>
  <c r="E49" i="1"/>
  <c r="F49" i="1"/>
  <c r="G49" i="1"/>
  <c r="D49" i="1"/>
  <c r="D53" i="1" s="1"/>
  <c r="D18" i="1"/>
  <c r="D16" i="1" s="1"/>
  <c r="D79" i="1" s="1"/>
  <c r="E18" i="1"/>
  <c r="E16" i="1" s="1"/>
  <c r="E79" i="1" s="1"/>
  <c r="F18" i="1"/>
  <c r="F16" i="1" s="1"/>
  <c r="F79" i="1" s="1"/>
  <c r="G18" i="1"/>
  <c r="G16" i="1" s="1"/>
  <c r="G79" i="1" s="1"/>
  <c r="C30" i="1"/>
  <c r="D30" i="1"/>
  <c r="E30" i="1"/>
  <c r="F30" i="1"/>
  <c r="G30" i="1"/>
  <c r="B78" i="1"/>
  <c r="E74" i="1"/>
  <c r="F74" i="1"/>
  <c r="G74" i="1"/>
  <c r="D74" i="1"/>
  <c r="D72" i="1"/>
  <c r="E72" i="1"/>
  <c r="F72" i="1"/>
  <c r="G72" i="1"/>
  <c r="B72" i="1"/>
  <c r="E65" i="1"/>
  <c r="F65" i="1"/>
  <c r="G65" i="1"/>
  <c r="D65" i="1"/>
  <c r="E55" i="1"/>
  <c r="F55" i="1"/>
  <c r="F64" i="1" s="1"/>
  <c r="G55" i="1"/>
  <c r="G64" i="1" s="1"/>
  <c r="D55" i="1"/>
  <c r="E56" i="1"/>
  <c r="F56" i="1"/>
  <c r="G56" i="1"/>
  <c r="E57" i="1"/>
  <c r="F57" i="1"/>
  <c r="G57" i="1"/>
  <c r="E58" i="1"/>
  <c r="F58" i="1"/>
  <c r="G58" i="1"/>
  <c r="E59" i="1"/>
  <c r="F59" i="1"/>
  <c r="G59" i="1"/>
  <c r="D59" i="1"/>
  <c r="D58" i="1"/>
  <c r="D57" i="1"/>
  <c r="D56" i="1"/>
  <c r="C52" i="1"/>
  <c r="D52" i="1"/>
  <c r="E52" i="1"/>
  <c r="E53" i="1" s="1"/>
  <c r="F52" i="1"/>
  <c r="F53" i="1" s="1"/>
  <c r="G52" i="1"/>
  <c r="G53" i="1" s="1"/>
  <c r="B52" i="1"/>
  <c r="H11" i="1"/>
  <c r="H125" i="1" s="1"/>
  <c r="H126" i="1" s="1"/>
  <c r="D40" i="1"/>
  <c r="E40" i="1"/>
  <c r="F40" i="1"/>
  <c r="G40" i="1"/>
  <c r="C40" i="1"/>
  <c r="D38" i="1"/>
  <c r="E38" i="1"/>
  <c r="F38" i="1"/>
  <c r="G38" i="1"/>
  <c r="C38" i="1"/>
  <c r="H9" i="1"/>
  <c r="H114" i="1" s="1"/>
  <c r="H122" i="1" s="1"/>
  <c r="E45" i="1"/>
  <c r="F45" i="1"/>
  <c r="G45" i="1"/>
  <c r="D45" i="1"/>
  <c r="E35" i="1"/>
  <c r="F35" i="1"/>
  <c r="G35" i="1"/>
  <c r="D35" i="1"/>
  <c r="H6" i="1"/>
  <c r="H24" i="1" s="1"/>
  <c r="H118" i="1" s="1"/>
  <c r="D39" i="1"/>
  <c r="E39" i="1"/>
  <c r="F39" i="1"/>
  <c r="G39" i="1"/>
  <c r="C39" i="1"/>
  <c r="E33" i="1"/>
  <c r="F33" i="1"/>
  <c r="G33" i="1"/>
  <c r="E34" i="1"/>
  <c r="F34" i="1"/>
  <c r="G34" i="1"/>
  <c r="C33" i="1"/>
  <c r="C34" i="1"/>
  <c r="D34" i="1"/>
  <c r="D33" i="1"/>
  <c r="D32" i="1"/>
  <c r="E32" i="1"/>
  <c r="F32" i="1"/>
  <c r="G32" i="1"/>
  <c r="E134" i="1"/>
  <c r="F134" i="1"/>
  <c r="E135" i="1" s="1"/>
  <c r="G134" i="1"/>
  <c r="H134" i="1"/>
  <c r="D134" i="1"/>
  <c r="E127" i="1"/>
  <c r="F127" i="1"/>
  <c r="G127" i="1"/>
  <c r="B129" i="1"/>
  <c r="D127" i="1"/>
  <c r="B125" i="1"/>
  <c r="E114" i="1"/>
  <c r="E122" i="1" s="1"/>
  <c r="F114" i="1"/>
  <c r="F122" i="1" s="1"/>
  <c r="G114" i="1"/>
  <c r="G122" i="1" s="1"/>
  <c r="E116" i="1"/>
  <c r="F116" i="1"/>
  <c r="G116" i="1"/>
  <c r="E117" i="1"/>
  <c r="F117" i="1"/>
  <c r="G117" i="1"/>
  <c r="E118" i="1"/>
  <c r="F118" i="1"/>
  <c r="G118" i="1"/>
  <c r="E119" i="1"/>
  <c r="F119" i="1"/>
  <c r="G119" i="1"/>
  <c r="E121" i="1"/>
  <c r="F121" i="1"/>
  <c r="G121" i="1"/>
  <c r="D121" i="1"/>
  <c r="D119" i="1"/>
  <c r="D117" i="1"/>
  <c r="D118" i="1"/>
  <c r="D116" i="1"/>
  <c r="D114" i="1"/>
  <c r="D122" i="1" s="1"/>
  <c r="B112" i="1"/>
  <c r="D112" i="1"/>
  <c r="E112" i="1"/>
  <c r="F112" i="1"/>
  <c r="G112" i="1"/>
  <c r="D125" i="1"/>
  <c r="E125" i="1"/>
  <c r="F125" i="1"/>
  <c r="G125" i="1"/>
  <c r="I5" i="1"/>
  <c r="J5" i="1" s="1"/>
  <c r="K5" i="1" s="1"/>
  <c r="L5" i="1" s="1"/>
  <c r="M5" i="1" s="1"/>
  <c r="N5" i="1" s="1"/>
  <c r="G5" i="1"/>
  <c r="F5" i="1" s="1"/>
  <c r="E5" i="1" s="1"/>
  <c r="D5" i="1" s="1"/>
  <c r="C5" i="1" s="1"/>
  <c r="L70" i="1" l="1"/>
  <c r="L76" i="1" s="1"/>
  <c r="L81" i="1" s="1"/>
  <c r="K70" i="1"/>
  <c r="K76" i="1" s="1"/>
  <c r="K81" i="1" s="1"/>
  <c r="M54" i="1"/>
  <c r="M61" i="1" s="1"/>
  <c r="M70" i="1" s="1"/>
  <c r="M76" i="1" s="1"/>
  <c r="M81" i="1" s="1"/>
  <c r="L54" i="1"/>
  <c r="L61" i="1" s="1"/>
  <c r="H55" i="1"/>
  <c r="H64" i="1" s="1"/>
  <c r="G68" i="1"/>
  <c r="F68" i="1"/>
  <c r="G70" i="1"/>
  <c r="F70" i="1"/>
  <c r="D64" i="1"/>
  <c r="D68" i="1" s="1"/>
  <c r="I6" i="1"/>
  <c r="D135" i="1"/>
  <c r="G135" i="1"/>
  <c r="H72" i="1"/>
  <c r="H58" i="1"/>
  <c r="E64" i="1"/>
  <c r="E68" i="1" s="1"/>
  <c r="F135" i="1"/>
  <c r="G15" i="1"/>
  <c r="G78" i="1" s="1"/>
  <c r="G19" i="1"/>
  <c r="F15" i="1"/>
  <c r="F78" i="1" s="1"/>
  <c r="F19" i="1"/>
  <c r="E15" i="1"/>
  <c r="E78" i="1" s="1"/>
  <c r="E19" i="1"/>
  <c r="D19" i="1"/>
  <c r="D15" i="1"/>
  <c r="D78" i="1" s="1"/>
  <c r="H7" i="1"/>
  <c r="H8" i="1"/>
  <c r="H23" i="1"/>
  <c r="D123" i="1"/>
  <c r="F123" i="1"/>
  <c r="E123" i="1"/>
  <c r="G123" i="1"/>
  <c r="G126" i="1"/>
  <c r="G81" i="1" l="1"/>
  <c r="E70" i="1"/>
  <c r="E81" i="1" s="1"/>
  <c r="D70" i="1"/>
  <c r="D81" i="1" s="1"/>
  <c r="F81" i="1"/>
  <c r="H57" i="1"/>
  <c r="J6" i="1"/>
  <c r="I24" i="1"/>
  <c r="I58" i="1" s="1"/>
  <c r="I8" i="1"/>
  <c r="H21" i="1"/>
  <c r="I23" i="1"/>
  <c r="I57" i="1" s="1"/>
  <c r="I7" i="1"/>
  <c r="H22" i="1"/>
  <c r="H26" i="1"/>
  <c r="H59" i="1" s="1"/>
  <c r="H10" i="1"/>
  <c r="G113" i="1"/>
  <c r="H117" i="1"/>
  <c r="G129" i="1"/>
  <c r="H119" i="1"/>
  <c r="I117" i="1"/>
  <c r="I9" i="1" l="1"/>
  <c r="H65" i="1"/>
  <c r="H68" i="1" s="1"/>
  <c r="H30" i="1"/>
  <c r="H56" i="1"/>
  <c r="I26" i="1"/>
  <c r="I22" i="1"/>
  <c r="I56" i="1" s="1"/>
  <c r="K6" i="1"/>
  <c r="J23" i="1"/>
  <c r="J24" i="1"/>
  <c r="I21" i="1"/>
  <c r="J8" i="1"/>
  <c r="J7" i="1"/>
  <c r="H52" i="1"/>
  <c r="H12" i="1"/>
  <c r="G115" i="1"/>
  <c r="G120" i="1" s="1"/>
  <c r="G136" i="1"/>
  <c r="H116" i="1"/>
  <c r="D126" i="1"/>
  <c r="D113" i="1"/>
  <c r="F113" i="1"/>
  <c r="F126" i="1"/>
  <c r="E126" i="1"/>
  <c r="E113" i="1"/>
  <c r="E130" i="1"/>
  <c r="H112" i="1"/>
  <c r="H113" i="1" s="1"/>
  <c r="I118" i="1"/>
  <c r="G130" i="1"/>
  <c r="F129" i="1"/>
  <c r="F130" i="1"/>
  <c r="H121" i="1"/>
  <c r="H123" i="1" s="1"/>
  <c r="E129" i="1"/>
  <c r="I121" i="1"/>
  <c r="J118" i="1"/>
  <c r="I119" i="1"/>
  <c r="H13" i="1" l="1"/>
  <c r="J26" i="1"/>
  <c r="J22" i="1"/>
  <c r="J9" i="1"/>
  <c r="J10" i="1" s="1"/>
  <c r="I65" i="1"/>
  <c r="K23" i="1"/>
  <c r="J21" i="1"/>
  <c r="K24" i="1"/>
  <c r="K7" i="1"/>
  <c r="L6" i="1"/>
  <c r="K8" i="1"/>
  <c r="I30" i="1"/>
  <c r="I59" i="1"/>
  <c r="H27" i="1"/>
  <c r="H127" i="1" s="1"/>
  <c r="I10" i="1"/>
  <c r="I55" i="1"/>
  <c r="I64" i="1" s="1"/>
  <c r="I68" i="1" s="1"/>
  <c r="F115" i="1"/>
  <c r="F120" i="1" s="1"/>
  <c r="E138" i="1"/>
  <c r="F136" i="1"/>
  <c r="G140" i="1" s="1"/>
  <c r="G139" i="1"/>
  <c r="G141" i="1"/>
  <c r="D115" i="1"/>
  <c r="D120" i="1" s="1"/>
  <c r="D136" i="1"/>
  <c r="F138" i="1"/>
  <c r="H115" i="1"/>
  <c r="H120" i="1" s="1"/>
  <c r="H136" i="1"/>
  <c r="G138" i="1"/>
  <c r="E115" i="1"/>
  <c r="E120" i="1" s="1"/>
  <c r="D138" i="1"/>
  <c r="E136" i="1"/>
  <c r="D129" i="1"/>
  <c r="D130" i="1"/>
  <c r="I114" i="1"/>
  <c r="I122" i="1" s="1"/>
  <c r="I123" i="1" s="1"/>
  <c r="J117" i="1"/>
  <c r="I116" i="1"/>
  <c r="J119" i="1"/>
  <c r="H14" i="1" l="1"/>
  <c r="H49" i="1"/>
  <c r="H53" i="1" s="1"/>
  <c r="H70" i="1" s="1"/>
  <c r="I11" i="1"/>
  <c r="H74" i="1"/>
  <c r="K26" i="1"/>
  <c r="K119" i="1" s="1"/>
  <c r="K22" i="1"/>
  <c r="J30" i="1"/>
  <c r="K9" i="1"/>
  <c r="K10" i="1" s="1"/>
  <c r="H28" i="1"/>
  <c r="J121" i="1"/>
  <c r="I12" i="1"/>
  <c r="I52" i="1"/>
  <c r="I134" i="1"/>
  <c r="H135" i="1" s="1"/>
  <c r="H141" i="1" s="1"/>
  <c r="I27" i="1"/>
  <c r="I127" i="1" s="1"/>
  <c r="L23" i="1"/>
  <c r="L117" i="1" s="1"/>
  <c r="L24" i="1"/>
  <c r="K21" i="1"/>
  <c r="M6" i="1"/>
  <c r="L8" i="1"/>
  <c r="L7" i="1"/>
  <c r="I112" i="1"/>
  <c r="I113" i="1" s="1"/>
  <c r="I136" i="1" s="1"/>
  <c r="E139" i="1"/>
  <c r="E140" i="1"/>
  <c r="E141" i="1"/>
  <c r="D139" i="1"/>
  <c r="D141" i="1"/>
  <c r="F140" i="1"/>
  <c r="F139" i="1"/>
  <c r="F141" i="1"/>
  <c r="H140" i="1"/>
  <c r="H139" i="1"/>
  <c r="J116" i="1"/>
  <c r="K118" i="1"/>
  <c r="J112" i="1"/>
  <c r="J113" i="1" s="1"/>
  <c r="J114" i="1"/>
  <c r="J122" i="1" s="1"/>
  <c r="K117" i="1"/>
  <c r="H138" i="1" l="1"/>
  <c r="I115" i="1"/>
  <c r="I120" i="1" s="1"/>
  <c r="H18" i="1"/>
  <c r="J27" i="1"/>
  <c r="K11" i="1" s="1"/>
  <c r="K12" i="1" s="1"/>
  <c r="J28" i="1"/>
  <c r="L22" i="1"/>
  <c r="L26" i="1"/>
  <c r="L119" i="1" s="1"/>
  <c r="L9" i="1"/>
  <c r="L10" i="1" s="1"/>
  <c r="K30" i="1"/>
  <c r="J11" i="1"/>
  <c r="J12" i="1" s="1"/>
  <c r="I74" i="1"/>
  <c r="I28" i="1"/>
  <c r="I13" i="1"/>
  <c r="K121" i="1"/>
  <c r="J123" i="1"/>
  <c r="I72" i="1"/>
  <c r="I125" i="1"/>
  <c r="I126" i="1" s="1"/>
  <c r="N6" i="1"/>
  <c r="M21" i="1" s="1"/>
  <c r="L21" i="1"/>
  <c r="M24" i="1"/>
  <c r="M118" i="1" s="1"/>
  <c r="M23" i="1"/>
  <c r="M7" i="1"/>
  <c r="M8" i="1"/>
  <c r="I140" i="1"/>
  <c r="I139" i="1"/>
  <c r="J115" i="1"/>
  <c r="J120" i="1" s="1"/>
  <c r="I138" i="1"/>
  <c r="J136" i="1"/>
  <c r="K112" i="1"/>
  <c r="K113" i="1" s="1"/>
  <c r="K114" i="1"/>
  <c r="K122" i="1" s="1"/>
  <c r="K125" i="1"/>
  <c r="J127" i="1"/>
  <c r="J125" i="1"/>
  <c r="L118" i="1"/>
  <c r="K116" i="1"/>
  <c r="M117" i="1"/>
  <c r="I14" i="1" l="1"/>
  <c r="I49" i="1"/>
  <c r="I53" i="1" s="1"/>
  <c r="I70" i="1" s="1"/>
  <c r="M121" i="1"/>
  <c r="K13" i="1"/>
  <c r="K14" i="1"/>
  <c r="J13" i="1"/>
  <c r="J14" i="1"/>
  <c r="K123" i="1"/>
  <c r="I18" i="1"/>
  <c r="M26" i="1"/>
  <c r="M119" i="1" s="1"/>
  <c r="M22" i="1"/>
  <c r="M30" i="1" s="1"/>
  <c r="M27" i="1" s="1"/>
  <c r="M28" i="1" s="1"/>
  <c r="K134" i="1"/>
  <c r="L30" i="1"/>
  <c r="M9" i="1"/>
  <c r="M10" i="1" s="1"/>
  <c r="K27" i="1"/>
  <c r="L11" i="1" s="1"/>
  <c r="L125" i="1" s="1"/>
  <c r="L126" i="1" s="1"/>
  <c r="K28" i="1"/>
  <c r="K18" i="1" s="1"/>
  <c r="J18" i="1"/>
  <c r="H16" i="1"/>
  <c r="J134" i="1"/>
  <c r="I135" i="1" s="1"/>
  <c r="I141" i="1" s="1"/>
  <c r="K115" i="1"/>
  <c r="K120" i="1" s="1"/>
  <c r="J138" i="1"/>
  <c r="K136" i="1"/>
  <c r="L121" i="1"/>
  <c r="J126" i="1"/>
  <c r="L112" i="1"/>
  <c r="L113" i="1" s="1"/>
  <c r="L114" i="1"/>
  <c r="K126" i="1"/>
  <c r="L116" i="1"/>
  <c r="J135" i="1" l="1"/>
  <c r="J141" i="1" s="1"/>
  <c r="J139" i="1"/>
  <c r="J140" i="1"/>
  <c r="K127" i="1"/>
  <c r="J16" i="1"/>
  <c r="J19" i="1" s="1"/>
  <c r="M116" i="1"/>
  <c r="L27" i="1"/>
  <c r="M11" i="1" s="1"/>
  <c r="M12" i="1" s="1"/>
  <c r="M13" i="1" s="1"/>
  <c r="L28" i="1"/>
  <c r="L18" i="1" s="1"/>
  <c r="H15" i="1"/>
  <c r="H130" i="1"/>
  <c r="H79" i="1"/>
  <c r="H19" i="1"/>
  <c r="L12" i="1"/>
  <c r="L13" i="1" s="1"/>
  <c r="I16" i="1"/>
  <c r="K16" i="1"/>
  <c r="K19" i="1" s="1"/>
  <c r="L134" i="1"/>
  <c r="K135" i="1" s="1"/>
  <c r="K141" i="1" s="1"/>
  <c r="K139" i="1"/>
  <c r="K140" i="1"/>
  <c r="L136" i="1"/>
  <c r="K138" i="1"/>
  <c r="L115" i="1"/>
  <c r="L120" i="1" s="1"/>
  <c r="L122" i="1"/>
  <c r="L123" i="1" s="1"/>
  <c r="M112" i="1"/>
  <c r="M113" i="1" s="1"/>
  <c r="M114" i="1"/>
  <c r="M122" i="1" s="1"/>
  <c r="M123" i="1" s="1"/>
  <c r="M14" i="1" l="1"/>
  <c r="L14" i="1"/>
  <c r="M134" i="1"/>
  <c r="L127" i="1"/>
  <c r="M125" i="1"/>
  <c r="M126" i="1" s="1"/>
  <c r="J130" i="1"/>
  <c r="I15" i="1"/>
  <c r="I79" i="1"/>
  <c r="I130" i="1"/>
  <c r="H78" i="1"/>
  <c r="H81" i="1" s="1"/>
  <c r="H129" i="1"/>
  <c r="K15" i="1"/>
  <c r="K129" i="1" s="1"/>
  <c r="J15" i="1"/>
  <c r="J129" i="1" s="1"/>
  <c r="I19" i="1"/>
  <c r="L16" i="1"/>
  <c r="L19" i="1" s="1"/>
  <c r="M18" i="1"/>
  <c r="L135" i="1"/>
  <c r="L141" i="1" s="1"/>
  <c r="M135" i="1"/>
  <c r="M115" i="1"/>
  <c r="M120" i="1" s="1"/>
  <c r="M136" i="1"/>
  <c r="L138" i="1"/>
  <c r="L139" i="1"/>
  <c r="L140" i="1"/>
  <c r="K130" i="1"/>
  <c r="M127" i="1"/>
  <c r="L15" i="1" l="1"/>
  <c r="L129" i="1" s="1"/>
  <c r="M16" i="1"/>
  <c r="M15" i="1" s="1"/>
  <c r="M19" i="1"/>
  <c r="I78" i="1"/>
  <c r="I81" i="1" s="1"/>
  <c r="I129" i="1"/>
  <c r="M141" i="1"/>
  <c r="M139" i="1"/>
  <c r="M140" i="1"/>
  <c r="M129" i="1"/>
  <c r="L130" i="1"/>
  <c r="D124" i="1"/>
  <c r="G124" i="1"/>
  <c r="K124" i="1"/>
  <c r="I124" i="1"/>
  <c r="E124" i="1"/>
  <c r="F124" i="1"/>
  <c r="M124" i="1"/>
  <c r="J124" i="1"/>
  <c r="L124" i="1"/>
  <c r="H124" i="1"/>
  <c r="M128" i="1" l="1"/>
  <c r="M137" i="1"/>
  <c r="J128" i="1"/>
  <c r="J131" i="1" s="1"/>
  <c r="J137" i="1"/>
  <c r="I128" i="1"/>
  <c r="I131" i="1" s="1"/>
  <c r="I137" i="1"/>
  <c r="K128" i="1"/>
  <c r="K131" i="1" s="1"/>
  <c r="K137" i="1"/>
  <c r="L128" i="1"/>
  <c r="L131" i="1" s="1"/>
  <c r="L137" i="1"/>
  <c r="F128" i="1"/>
  <c r="F131" i="1" s="1"/>
  <c r="F137" i="1"/>
  <c r="E128" i="1"/>
  <c r="E131" i="1" s="1"/>
  <c r="E137" i="1"/>
  <c r="G128" i="1"/>
  <c r="G131" i="1" s="1"/>
  <c r="G137" i="1"/>
  <c r="D128" i="1"/>
  <c r="D131" i="1" s="1"/>
  <c r="D137" i="1"/>
  <c r="M130" i="1"/>
  <c r="H128" i="1"/>
  <c r="H131" i="1" s="1"/>
  <c r="H137" i="1"/>
  <c r="M131" i="1" l="1"/>
</calcChain>
</file>

<file path=xl/sharedStrings.xml><?xml version="1.0" encoding="utf-8"?>
<sst xmlns="http://schemas.openxmlformats.org/spreadsheetml/2006/main" count="87" uniqueCount="72">
  <si>
    <t>Sales</t>
  </si>
  <si>
    <t>Material Expenses</t>
  </si>
  <si>
    <t>Labour Expeneses</t>
  </si>
  <si>
    <t>D&amp;A</t>
  </si>
  <si>
    <t>Operational profit</t>
  </si>
  <si>
    <t>Interest</t>
  </si>
  <si>
    <t>Profit before tax</t>
  </si>
  <si>
    <t>Tax</t>
  </si>
  <si>
    <t>Profit after tax</t>
  </si>
  <si>
    <t>PP&amp;E</t>
  </si>
  <si>
    <t>Investory</t>
  </si>
  <si>
    <t>Receivables</t>
  </si>
  <si>
    <t>Cash</t>
  </si>
  <si>
    <t>Payables</t>
  </si>
  <si>
    <t>Debt</t>
  </si>
  <si>
    <t>Equity</t>
  </si>
  <si>
    <t>g Sales</t>
  </si>
  <si>
    <t>Material exp/Sales</t>
  </si>
  <si>
    <t>Labour exp/Sales</t>
  </si>
  <si>
    <t>D&amp;A/PPE boy</t>
  </si>
  <si>
    <t>PPE boy/Sales</t>
  </si>
  <si>
    <t>Inventory tod (raw material only!)</t>
  </si>
  <si>
    <t>Receivables tod</t>
  </si>
  <si>
    <t>Cash/Sales</t>
  </si>
  <si>
    <t>Payables tod</t>
  </si>
  <si>
    <t>Debt/IC</t>
  </si>
  <si>
    <t>rD</t>
  </si>
  <si>
    <t>t</t>
  </si>
  <si>
    <t>Noplat</t>
  </si>
  <si>
    <t>Gross CF</t>
  </si>
  <si>
    <t>dInv</t>
  </si>
  <si>
    <t>dREc</t>
  </si>
  <si>
    <t>dCash</t>
  </si>
  <si>
    <t>dPay</t>
  </si>
  <si>
    <t>CF form operation</t>
  </si>
  <si>
    <t>dPP&amp;E</t>
  </si>
  <si>
    <t>CF from Investment</t>
  </si>
  <si>
    <t>FCFF</t>
  </si>
  <si>
    <t>Tax shield</t>
  </si>
  <si>
    <t>dDebt</t>
  </si>
  <si>
    <t>FCFE</t>
  </si>
  <si>
    <t>Dequity w/o Ret Ear</t>
  </si>
  <si>
    <t>dUnneeded wealth</t>
  </si>
  <si>
    <t>IC boy</t>
  </si>
  <si>
    <t>ROIC</t>
  </si>
  <si>
    <t>RONIC</t>
  </si>
  <si>
    <t>g</t>
  </si>
  <si>
    <t>K</t>
  </si>
  <si>
    <t>dIC</t>
  </si>
  <si>
    <t>PPE/D&amp;A</t>
  </si>
  <si>
    <t>IC</t>
  </si>
  <si>
    <t>Dividend</t>
  </si>
  <si>
    <t>Retained earnings</t>
  </si>
  <si>
    <t>dEquity needed</t>
  </si>
  <si>
    <t>Shareissue/buyback</t>
  </si>
  <si>
    <t>OP CF</t>
  </si>
  <si>
    <t>INV CF</t>
  </si>
  <si>
    <t>dCash=dL-dA+P/L</t>
  </si>
  <si>
    <t>dRec</t>
  </si>
  <si>
    <t>dOpCash</t>
  </si>
  <si>
    <t>-</t>
  </si>
  <si>
    <t>D&amp;A to be deducted</t>
  </si>
  <si>
    <t>D&amp;A to be added back</t>
  </si>
  <si>
    <t>dPPE</t>
  </si>
  <si>
    <t>Inv CF</t>
  </si>
  <si>
    <t>dEquity w/o retained earnings</t>
  </si>
  <si>
    <t>dNon operative assets</t>
  </si>
  <si>
    <t>Profit from Investments</t>
  </si>
  <si>
    <t>Tax on profit</t>
  </si>
  <si>
    <t>Tax shield (interest tax effect)</t>
  </si>
  <si>
    <t>effective tax rate</t>
  </si>
  <si>
    <t>NOPLAT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</si>
</sst>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
      <b/>
      <sz val="12"/>
      <color rgb="FFFF0000"/>
      <name val="Calibri"/>
      <family val="2"/>
      <charset val="238"/>
      <scheme val="minor"/>
    </font>
    <font>
      <sz val="12"/>
      <name val="Calibri"/>
      <family val="2"/>
      <charset val="238"/>
      <scheme val="minor"/>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8" tint="0.39997558519241921"/>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2" borderId="0" xfId="0" applyFont="1" applyFill="1" applyAlignment="1">
      <alignment horizontal="center"/>
    </xf>
    <xf numFmtId="0" fontId="2" fillId="0" borderId="0" xfId="0" applyFont="1" applyAlignment="1">
      <alignment horizontal="center"/>
    </xf>
    <xf numFmtId="9" fontId="0" fillId="3" borderId="0" xfId="0" applyNumberFormat="1" applyFill="1"/>
    <xf numFmtId="10" fontId="0" fillId="0" borderId="0" xfId="1" applyNumberFormat="1" applyFont="1"/>
    <xf numFmtId="4" fontId="0" fillId="0" borderId="0" xfId="0" applyNumberFormat="1"/>
    <xf numFmtId="0" fontId="0" fillId="4" borderId="0" xfId="0" applyFill="1"/>
    <xf numFmtId="10" fontId="0" fillId="3" borderId="0" xfId="0" applyNumberFormat="1" applyFill="1"/>
    <xf numFmtId="4" fontId="0" fillId="3" borderId="0" xfId="0" applyNumberFormat="1" applyFill="1"/>
    <xf numFmtId="10" fontId="0" fillId="3" borderId="0" xfId="1" applyNumberFormat="1" applyFont="1" applyFill="1"/>
    <xf numFmtId="0" fontId="0" fillId="0" borderId="0" xfId="0" quotePrefix="1"/>
    <xf numFmtId="0" fontId="0" fillId="3" borderId="0" xfId="0" applyFill="1"/>
    <xf numFmtId="0" fontId="3" fillId="0" borderId="0" xfId="0" quotePrefix="1" applyFont="1" applyAlignment="1">
      <alignment horizontal="right"/>
    </xf>
    <xf numFmtId="0" fontId="0" fillId="5" borderId="0" xfId="0" applyFill="1"/>
    <xf numFmtId="0" fontId="0" fillId="6" borderId="0" xfId="0" applyFill="1"/>
    <xf numFmtId="0" fontId="4" fillId="5" borderId="0" xfId="0" applyFont="1" applyFill="1"/>
    <xf numFmtId="0" fontId="0" fillId="7" borderId="0" xfId="0" applyFill="1"/>
    <xf numFmtId="0" fontId="2" fillId="0" borderId="0" xfId="0" applyFont="1"/>
    <xf numFmtId="4" fontId="2" fillId="0" borderId="0" xfId="0" applyNumberFormat="1" applyFont="1"/>
    <xf numFmtId="0" fontId="0" fillId="8" borderId="0" xfId="0" applyFill="1"/>
    <xf numFmtId="4" fontId="0" fillId="8" borderId="0" xfId="0" applyNumberFormat="1" applyFill="1"/>
  </cellXfs>
  <cellStyles count="2">
    <cellStyle name="Normál" xfId="0" builtinId="0"/>
    <cellStyle name="Százalék"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15</xdr:col>
      <xdr:colOff>152400</xdr:colOff>
      <xdr:row>1</xdr:row>
      <xdr:rowOff>54428</xdr:rowOff>
    </xdr:from>
    <xdr:to>
      <xdr:col>24</xdr:col>
      <xdr:colOff>429986</xdr:colOff>
      <xdr:row>21</xdr:row>
      <xdr:rowOff>43543</xdr:rowOff>
    </xdr:to>
    <xdr:sp macro="" textlink="">
      <xdr:nvSpPr>
        <xdr:cNvPr id="2" name="Szövegdoboz 1">
          <a:extLst>
            <a:ext uri="{FF2B5EF4-FFF2-40B4-BE49-F238E27FC236}">
              <a16:creationId xmlns:a16="http://schemas.microsoft.com/office/drawing/2014/main" id="{BF3E39FE-9270-FBFF-D298-C228965B1D42}"/>
            </a:ext>
          </a:extLst>
        </xdr:cNvPr>
        <xdr:cNvSpPr txBox="1"/>
      </xdr:nvSpPr>
      <xdr:spPr>
        <a:xfrm>
          <a:off x="13585371" y="255814"/>
          <a:ext cx="6547758" cy="40168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Inheriting a Kebab Shop</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had an excellent personal connection to his grandfather, who arrived in Central Europe two decades ago. By now, he has established a small self-service restaurant called “The Kebab Shop”, selling Turkish and Arabic food in a big city some 100 kilometres away from the capital. As a child, John spent most of his time with his grandmother while his parents worked as doctors, sometimes even at night. The grandparents lived in a flat just above their small restaurant, often working more than 10 hours daily in the shop. Thus, John grew up there and was involved in operational activities early on. </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While John learned how to manage a restaurant based on his real-life experience, he also gained a BA in Hotel management. During the last few years, the health of his grandparents deteriorated, and recently, on his grandfather’s 70</a:t>
          </a:r>
          <a:r>
            <a:rPr lang="en-GB" sz="1100" baseline="30000">
              <a:solidFill>
                <a:schemeClr val="dk1"/>
              </a:solidFill>
              <a:effectLst/>
              <a:latin typeface="+mn-lt"/>
              <a:ea typeface="+mn-ea"/>
              <a:cs typeface="+mn-cs"/>
            </a:rPr>
            <a:t>th</a:t>
          </a:r>
          <a:r>
            <a:rPr lang="en-GB" sz="1100">
              <a:solidFill>
                <a:schemeClr val="dk1"/>
              </a:solidFill>
              <a:effectLst/>
              <a:latin typeface="+mn-lt"/>
              <a:ea typeface="+mn-ea"/>
              <a:cs typeface="+mn-cs"/>
            </a:rPr>
            <a:t> birthday, Grandpa asked him to take over the daily management of the shop and made the impression that it might be John who would inherit the ownership of the shop sooner or later. John started his work as a CEO by analysing historical statements and setting up a new financial plan for the future. You see the data collected and predicted below.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Review the financial plan and give an overview of what the new strategy may look like.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Predict the financial statements of the company. (Assume 360-day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How much dividend can be paid in each of the years? (Assume that additional equity need is covered using retained earnings if possible.)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Calculate the business cash flow for all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5. </a:t>
          </a:r>
          <a:r>
            <a:rPr lang="en-GB" sz="1100">
              <a:solidFill>
                <a:schemeClr val="dk1"/>
              </a:solidFill>
              <a:effectLst/>
              <a:latin typeface="+mn-lt"/>
              <a:ea typeface="+mn-ea"/>
              <a:cs typeface="+mn-cs"/>
            </a:rPr>
            <a:t>Quantify the value drivers both historically and for the predicted years.</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29C3-5D86-411E-8DC3-4E35348195A5}">
  <dimension ref="A5:AE141"/>
  <sheetViews>
    <sheetView tabSelected="1" topLeftCell="C66" zoomScale="120" zoomScaleNormal="120" workbookViewId="0">
      <selection activeCell="M81" sqref="C81:M81"/>
    </sheetView>
  </sheetViews>
  <sheetFormatPr defaultRowHeight="15.75" x14ac:dyDescent="0.25"/>
  <cols>
    <col min="2" max="2" width="28.625" bestFit="1" customWidth="1"/>
    <col min="3" max="7" width="9.25" bestFit="1" customWidth="1"/>
    <col min="8" max="13" width="12.625" bestFit="1" customWidth="1"/>
    <col min="14" max="14" width="9.25" bestFit="1" customWidth="1"/>
  </cols>
  <sheetData>
    <row r="5" spans="2:14" x14ac:dyDescent="0.25">
      <c r="C5" s="2">
        <f t="shared" ref="C5:F5" si="0">+D5-1</f>
        <v>2020</v>
      </c>
      <c r="D5" s="2">
        <f t="shared" si="0"/>
        <v>2021</v>
      </c>
      <c r="E5" s="2">
        <f t="shared" si="0"/>
        <v>2022</v>
      </c>
      <c r="F5" s="2">
        <f t="shared" si="0"/>
        <v>2023</v>
      </c>
      <c r="G5" s="2">
        <f>+H5-1</f>
        <v>2024</v>
      </c>
      <c r="H5" s="1">
        <v>2025</v>
      </c>
      <c r="I5" s="2">
        <f>+H5+1</f>
        <v>2026</v>
      </c>
      <c r="J5" s="2">
        <f t="shared" ref="J5:N5" si="1">+I5+1</f>
        <v>2027</v>
      </c>
      <c r="K5" s="2">
        <f t="shared" si="1"/>
        <v>2028</v>
      </c>
      <c r="L5" s="2">
        <f t="shared" si="1"/>
        <v>2029</v>
      </c>
      <c r="M5" s="2">
        <f t="shared" si="1"/>
        <v>2030</v>
      </c>
      <c r="N5" s="2">
        <f t="shared" si="1"/>
        <v>2031</v>
      </c>
    </row>
    <row r="6" spans="2:14" x14ac:dyDescent="0.25">
      <c r="B6" s="11" t="s">
        <v>0</v>
      </c>
      <c r="C6" s="5">
        <v>10000</v>
      </c>
      <c r="D6" s="5">
        <v>10700</v>
      </c>
      <c r="E6" s="5">
        <v>11400</v>
      </c>
      <c r="F6" s="5">
        <v>12100</v>
      </c>
      <c r="G6" s="5">
        <v>12800</v>
      </c>
      <c r="H6" s="5">
        <f>+G6*(1+H32)</f>
        <v>14719.999999999998</v>
      </c>
      <c r="I6" s="5">
        <f>+H6*(1+I32)</f>
        <v>16486.399999999998</v>
      </c>
      <c r="J6" s="5">
        <f t="shared" ref="J6:N6" si="2">+I6*(1+J32)</f>
        <v>17805.311999999998</v>
      </c>
      <c r="K6" s="5">
        <f t="shared" si="2"/>
        <v>18873.630719999997</v>
      </c>
      <c r="L6" s="5">
        <f t="shared" si="2"/>
        <v>19817.312255999997</v>
      </c>
      <c r="M6" s="5">
        <f t="shared" si="2"/>
        <v>20808.177868799998</v>
      </c>
      <c r="N6" s="5">
        <f t="shared" si="2"/>
        <v>21848.58676224</v>
      </c>
    </row>
    <row r="7" spans="2:14" x14ac:dyDescent="0.25">
      <c r="B7" s="11" t="s">
        <v>1</v>
      </c>
      <c r="C7" s="5">
        <v>6500</v>
      </c>
      <c r="D7" s="5">
        <v>6900</v>
      </c>
      <c r="E7" s="5">
        <v>7300</v>
      </c>
      <c r="F7" s="5">
        <v>7800</v>
      </c>
      <c r="G7" s="5">
        <v>8200</v>
      </c>
      <c r="H7" s="5">
        <f>+H33*H6</f>
        <v>9126.4</v>
      </c>
      <c r="I7" s="5">
        <f>+I33*I6</f>
        <v>10221.567999999999</v>
      </c>
      <c r="J7" s="5">
        <f t="shared" ref="J7:M7" si="3">+J33*J6</f>
        <v>11039.293439999999</v>
      </c>
      <c r="K7" s="5">
        <f t="shared" si="3"/>
        <v>11701.651046399998</v>
      </c>
      <c r="L7" s="5">
        <f t="shared" si="3"/>
        <v>12286.733598719999</v>
      </c>
      <c r="M7" s="5">
        <f t="shared" si="3"/>
        <v>12901.070278655998</v>
      </c>
    </row>
    <row r="8" spans="2:14" x14ac:dyDescent="0.25">
      <c r="B8" s="11" t="s">
        <v>2</v>
      </c>
      <c r="C8" s="5">
        <v>1800</v>
      </c>
      <c r="D8" s="5">
        <v>2000</v>
      </c>
      <c r="E8" s="5">
        <v>2100</v>
      </c>
      <c r="F8" s="5">
        <v>2200</v>
      </c>
      <c r="G8" s="5">
        <v>2400</v>
      </c>
      <c r="H8" s="5">
        <f>+H34*H6</f>
        <v>2355.1999999999998</v>
      </c>
      <c r="I8" s="5">
        <f>+I34*I6</f>
        <v>2637.8239999999996</v>
      </c>
      <c r="J8" s="5">
        <f t="shared" ref="J8:M8" si="4">+J34*J6</f>
        <v>2848.8499199999997</v>
      </c>
      <c r="K8" s="5">
        <f t="shared" si="4"/>
        <v>3019.7809151999995</v>
      </c>
      <c r="L8" s="5">
        <f t="shared" si="4"/>
        <v>3170.7699609599995</v>
      </c>
      <c r="M8" s="5">
        <f t="shared" si="4"/>
        <v>3329.3084590079998</v>
      </c>
    </row>
    <row r="9" spans="2:14" x14ac:dyDescent="0.25">
      <c r="B9" s="15" t="s">
        <v>3</v>
      </c>
      <c r="C9" s="5">
        <v>735</v>
      </c>
      <c r="D9" s="5">
        <v>750</v>
      </c>
      <c r="E9" s="5">
        <v>800</v>
      </c>
      <c r="F9" s="5">
        <v>890</v>
      </c>
      <c r="G9" s="5">
        <v>970</v>
      </c>
      <c r="H9" s="5">
        <f>+H35*G21</f>
        <v>996</v>
      </c>
      <c r="I9" s="5">
        <f>+I35*H21</f>
        <v>1094.69696</v>
      </c>
      <c r="J9" s="5">
        <f t="shared" ref="J9:M9" si="5">+J35*I21</f>
        <v>1182.2727167999999</v>
      </c>
      <c r="K9" s="5">
        <f t="shared" si="5"/>
        <v>1253.2090798080001</v>
      </c>
      <c r="L9" s="5">
        <f t="shared" si="5"/>
        <v>1315.8695337984</v>
      </c>
      <c r="M9" s="5">
        <f t="shared" si="5"/>
        <v>1381.66301048832</v>
      </c>
    </row>
    <row r="10" spans="2:14" x14ac:dyDescent="0.25">
      <c r="B10" s="11" t="s">
        <v>4</v>
      </c>
      <c r="C10" s="5">
        <v>965</v>
      </c>
      <c r="D10" s="5">
        <v>1050</v>
      </c>
      <c r="E10" s="5">
        <v>1200</v>
      </c>
      <c r="F10" s="5">
        <v>1210</v>
      </c>
      <c r="G10" s="5">
        <v>1230</v>
      </c>
      <c r="H10" s="5">
        <f>+H6-H7-H8-H9</f>
        <v>2242.3999999999987</v>
      </c>
      <c r="I10" s="5">
        <f>+I6-I7-I8-I9</f>
        <v>2532.3110399999987</v>
      </c>
      <c r="J10" s="5">
        <f t="shared" ref="J10:M10" si="6">+J6-J7-J8-J9</f>
        <v>2734.8959231999988</v>
      </c>
      <c r="K10" s="5">
        <f t="shared" si="6"/>
        <v>2898.989678592</v>
      </c>
      <c r="L10" s="5">
        <f t="shared" si="6"/>
        <v>3043.9391625215994</v>
      </c>
      <c r="M10" s="5">
        <f t="shared" si="6"/>
        <v>3196.1361206476804</v>
      </c>
    </row>
    <row r="11" spans="2:14" x14ac:dyDescent="0.25">
      <c r="B11" s="16" t="s">
        <v>5</v>
      </c>
      <c r="C11" s="5">
        <v>0</v>
      </c>
      <c r="D11" s="5">
        <v>0</v>
      </c>
      <c r="E11" s="5">
        <v>0</v>
      </c>
      <c r="F11" s="5">
        <v>0</v>
      </c>
      <c r="G11" s="5">
        <v>0</v>
      </c>
      <c r="H11" s="5">
        <f>+G27*H42</f>
        <v>0</v>
      </c>
      <c r="I11" s="5">
        <f>+H27*I42</f>
        <v>0</v>
      </c>
      <c r="J11" s="5">
        <f t="shared" ref="J11:M11" si="7">+I27*J42</f>
        <v>51.970628266666672</v>
      </c>
      <c r="K11" s="5">
        <f t="shared" si="7"/>
        <v>111.77878118400001</v>
      </c>
      <c r="L11" s="5">
        <f t="shared" si="7"/>
        <v>175.80157894655997</v>
      </c>
      <c r="M11" s="5">
        <f t="shared" si="7"/>
        <v>245.64439310745601</v>
      </c>
    </row>
    <row r="12" spans="2:14" x14ac:dyDescent="0.25">
      <c r="B12" t="s">
        <v>6</v>
      </c>
      <c r="C12" s="5">
        <v>965</v>
      </c>
      <c r="D12" s="5">
        <v>1050</v>
      </c>
      <c r="E12" s="5">
        <v>1200</v>
      </c>
      <c r="F12" s="5">
        <v>1210</v>
      </c>
      <c r="G12" s="5">
        <v>1230</v>
      </c>
      <c r="H12" s="5">
        <f>+H10-H11</f>
        <v>2242.3999999999987</v>
      </c>
      <c r="I12" s="5">
        <f>+I10-I11</f>
        <v>2532.3110399999987</v>
      </c>
      <c r="J12" s="5">
        <f t="shared" ref="J12:M12" si="8">+J10-J11</f>
        <v>2682.9252949333322</v>
      </c>
      <c r="K12" s="5">
        <f t="shared" si="8"/>
        <v>2787.2108974080002</v>
      </c>
      <c r="L12" s="5">
        <f t="shared" si="8"/>
        <v>2868.1375835750396</v>
      </c>
      <c r="M12" s="5">
        <f t="shared" si="8"/>
        <v>2950.4917275402245</v>
      </c>
    </row>
    <row r="13" spans="2:14" x14ac:dyDescent="0.25">
      <c r="B13" s="19" t="s">
        <v>7</v>
      </c>
      <c r="C13" s="5">
        <v>100</v>
      </c>
      <c r="D13" s="5">
        <v>90</v>
      </c>
      <c r="E13" s="5">
        <v>110</v>
      </c>
      <c r="F13" s="5">
        <v>100</v>
      </c>
      <c r="G13" s="5">
        <v>90</v>
      </c>
      <c r="H13" s="5">
        <f>+IF(H12&lt;0,0,H12*H43)</f>
        <v>448.47999999999979</v>
      </c>
      <c r="I13" s="5">
        <f>+IF(I12&lt;0,0,I12*I43)</f>
        <v>506.46220799999975</v>
      </c>
      <c r="J13" s="5">
        <f t="shared" ref="J13:M13" si="9">+IF(J12&lt;0,0,J12*J43)</f>
        <v>536.58505898666647</v>
      </c>
      <c r="K13" s="5">
        <f t="shared" si="9"/>
        <v>557.44217948160008</v>
      </c>
      <c r="L13" s="5">
        <f t="shared" si="9"/>
        <v>573.62751671500791</v>
      </c>
      <c r="M13" s="5">
        <f t="shared" si="9"/>
        <v>590.09834550804487</v>
      </c>
    </row>
    <row r="14" spans="2:14" x14ac:dyDescent="0.25">
      <c r="B14" t="s">
        <v>8</v>
      </c>
      <c r="C14" s="5">
        <v>865</v>
      </c>
      <c r="D14" s="5">
        <v>960</v>
      </c>
      <c r="E14" s="5">
        <v>1090</v>
      </c>
      <c r="F14" s="5">
        <v>1110</v>
      </c>
      <c r="G14" s="5">
        <v>1140</v>
      </c>
      <c r="H14" s="5">
        <f>+H12-H13</f>
        <v>1793.9199999999989</v>
      </c>
      <c r="I14" s="5">
        <f>+I12-I13</f>
        <v>2025.848831999999</v>
      </c>
      <c r="J14" s="5">
        <f t="shared" ref="J14:M14" si="10">+J12-J13</f>
        <v>2146.3402359466659</v>
      </c>
      <c r="K14" s="5">
        <f t="shared" si="10"/>
        <v>2229.7687179264003</v>
      </c>
      <c r="L14" s="5">
        <f t="shared" si="10"/>
        <v>2294.5100668600317</v>
      </c>
      <c r="M14" s="5">
        <f t="shared" si="10"/>
        <v>2360.3933820321795</v>
      </c>
    </row>
    <row r="15" spans="2:14" x14ac:dyDescent="0.25">
      <c r="B15" s="16" t="s">
        <v>51</v>
      </c>
      <c r="C15" s="5"/>
      <c r="D15" s="5">
        <f t="shared" ref="D15:G15" si="11">+D14-D16</f>
        <v>525</v>
      </c>
      <c r="E15" s="5">
        <f t="shared" si="11"/>
        <v>35</v>
      </c>
      <c r="F15" s="5">
        <f t="shared" si="11"/>
        <v>595</v>
      </c>
      <c r="G15" s="5">
        <f t="shared" si="11"/>
        <v>615</v>
      </c>
      <c r="H15" s="5">
        <f>+H14-H16</f>
        <v>437.38222222222316</v>
      </c>
      <c r="I15" s="5">
        <f t="shared" ref="I15:M15" si="12">+I14-I16</f>
        <v>1551.0732231111081</v>
      </c>
      <c r="J15" s="5">
        <f t="shared" si="12"/>
        <v>1881.0960418133332</v>
      </c>
      <c r="K15" s="5">
        <f t="shared" si="12"/>
        <v>2229.7687179264003</v>
      </c>
      <c r="L15" s="5">
        <f t="shared" si="12"/>
        <v>2294.5100668600317</v>
      </c>
      <c r="M15" s="5">
        <f t="shared" si="12"/>
        <v>1658.5522588680174</v>
      </c>
    </row>
    <row r="16" spans="2:14" x14ac:dyDescent="0.25">
      <c r="B16" t="s">
        <v>52</v>
      </c>
      <c r="C16" s="5"/>
      <c r="D16" s="5">
        <f t="shared" ref="D16:G16" si="13">+IF(D14&lt;0,D14,MAX(0,MIN(D14,D18)))</f>
        <v>435</v>
      </c>
      <c r="E16" s="5">
        <f t="shared" si="13"/>
        <v>1055</v>
      </c>
      <c r="F16" s="5">
        <f t="shared" si="13"/>
        <v>515</v>
      </c>
      <c r="G16" s="5">
        <f t="shared" si="13"/>
        <v>525</v>
      </c>
      <c r="H16" s="5">
        <f>+IF(H14&lt;0,H14,MAX(0,MIN(H14,H18)))</f>
        <v>1356.5377777777758</v>
      </c>
      <c r="I16" s="5">
        <f t="shared" ref="I16:M16" si="14">+IF(I14&lt;0,I14,MAX(0,MIN(I14,I18)))</f>
        <v>474.77560888889093</v>
      </c>
      <c r="J16" s="5">
        <f t="shared" si="14"/>
        <v>265.24419413333271</v>
      </c>
      <c r="K16" s="5">
        <f t="shared" si="14"/>
        <v>0</v>
      </c>
      <c r="L16" s="5">
        <f t="shared" si="14"/>
        <v>0</v>
      </c>
      <c r="M16" s="5">
        <f t="shared" si="14"/>
        <v>701.84112316416213</v>
      </c>
    </row>
    <row r="17" spans="2:14" x14ac:dyDescent="0.25">
      <c r="C17" s="5"/>
      <c r="D17" s="5"/>
      <c r="E17" s="5"/>
      <c r="F17" s="5"/>
      <c r="G17" s="5"/>
      <c r="H17" s="5"/>
      <c r="I17" s="5"/>
      <c r="J17" s="5"/>
      <c r="K17" s="5"/>
      <c r="L17" s="5"/>
      <c r="M17" s="5"/>
    </row>
    <row r="18" spans="2:14" x14ac:dyDescent="0.25">
      <c r="B18" t="s">
        <v>53</v>
      </c>
      <c r="C18" s="5"/>
      <c r="D18" s="5">
        <f t="shared" ref="D18:G18" si="15">+D28-C28</f>
        <v>435</v>
      </c>
      <c r="E18" s="5">
        <f t="shared" si="15"/>
        <v>1055</v>
      </c>
      <c r="F18" s="5">
        <f t="shared" si="15"/>
        <v>515</v>
      </c>
      <c r="G18" s="5">
        <f t="shared" si="15"/>
        <v>525</v>
      </c>
      <c r="H18" s="5">
        <f>+H28-G28</f>
        <v>1356.5377777777758</v>
      </c>
      <c r="I18" s="5">
        <f t="shared" ref="I18:M18" si="16">+I28-H28</f>
        <v>474.77560888889093</v>
      </c>
      <c r="J18" s="5">
        <f t="shared" si="16"/>
        <v>265.24419413333271</v>
      </c>
      <c r="K18" s="5">
        <f t="shared" si="16"/>
        <v>-140.00118988800023</v>
      </c>
      <c r="L18" s="5">
        <f t="shared" si="16"/>
        <v>-194.7339276288003</v>
      </c>
      <c r="M18" s="5">
        <f t="shared" si="16"/>
        <v>701.84112316416213</v>
      </c>
    </row>
    <row r="19" spans="2:14" x14ac:dyDescent="0.25">
      <c r="B19" t="s">
        <v>54</v>
      </c>
      <c r="C19" s="5"/>
      <c r="D19" s="5">
        <f t="shared" ref="D19:G19" si="17">+D18-D16</f>
        <v>0</v>
      </c>
      <c r="E19" s="5">
        <f t="shared" si="17"/>
        <v>0</v>
      </c>
      <c r="F19" s="5">
        <f t="shared" si="17"/>
        <v>0</v>
      </c>
      <c r="G19" s="5">
        <f t="shared" si="17"/>
        <v>0</v>
      </c>
      <c r="H19" s="5">
        <f>+H18-H16</f>
        <v>0</v>
      </c>
      <c r="I19" s="5">
        <f t="shared" ref="I19:M19" si="18">+I18-I16</f>
        <v>0</v>
      </c>
      <c r="J19" s="5">
        <f t="shared" si="18"/>
        <v>0</v>
      </c>
      <c r="K19" s="5">
        <f t="shared" si="18"/>
        <v>-140.00118988800023</v>
      </c>
      <c r="L19" s="5">
        <f t="shared" si="18"/>
        <v>-194.7339276288003</v>
      </c>
      <c r="M19" s="5">
        <f t="shared" si="18"/>
        <v>0</v>
      </c>
    </row>
    <row r="20" spans="2:14" x14ac:dyDescent="0.25">
      <c r="C20" s="5"/>
      <c r="D20" s="5"/>
      <c r="E20" s="5"/>
      <c r="F20" s="5"/>
      <c r="G20" s="5"/>
      <c r="H20" s="5"/>
      <c r="I20" s="5"/>
      <c r="J20" s="5"/>
      <c r="K20" s="5"/>
      <c r="L20" s="5"/>
      <c r="M20" s="5"/>
    </row>
    <row r="21" spans="2:14" x14ac:dyDescent="0.25">
      <c r="B21" s="13" t="s">
        <v>9</v>
      </c>
      <c r="C21" s="5">
        <v>9500</v>
      </c>
      <c r="D21" s="5">
        <v>10000</v>
      </c>
      <c r="E21" s="5">
        <v>11000</v>
      </c>
      <c r="F21" s="5">
        <v>11500</v>
      </c>
      <c r="G21" s="5">
        <v>12000</v>
      </c>
      <c r="H21" s="5">
        <f>+I36*I6</f>
        <v>13189.119999999999</v>
      </c>
      <c r="I21" s="5">
        <f t="shared" ref="I21:M21" si="19">+J36*J6</f>
        <v>14244.249599999999</v>
      </c>
      <c r="J21" s="5">
        <f t="shared" si="19"/>
        <v>15098.904575999999</v>
      </c>
      <c r="K21" s="5">
        <f t="shared" si="19"/>
        <v>15853.849804799998</v>
      </c>
      <c r="L21" s="5">
        <f t="shared" si="19"/>
        <v>16646.542295039999</v>
      </c>
      <c r="M21" s="5">
        <f t="shared" si="19"/>
        <v>17478.869409792002</v>
      </c>
    </row>
    <row r="22" spans="2:14" x14ac:dyDescent="0.25">
      <c r="B22" s="11" t="s">
        <v>10</v>
      </c>
      <c r="C22" s="5">
        <v>115</v>
      </c>
      <c r="D22" s="5">
        <v>130</v>
      </c>
      <c r="E22" s="5">
        <v>135</v>
      </c>
      <c r="F22" s="5">
        <v>140</v>
      </c>
      <c r="G22" s="5">
        <v>155</v>
      </c>
      <c r="H22" s="5">
        <f>+H37/360*H7</f>
        <v>177.45777777777778</v>
      </c>
      <c r="I22" s="5">
        <f t="shared" ref="I22:M22" si="20">+I37/360*I7</f>
        <v>198.7527111111111</v>
      </c>
      <c r="J22" s="5">
        <f t="shared" si="20"/>
        <v>214.652928</v>
      </c>
      <c r="K22" s="5">
        <f t="shared" si="20"/>
        <v>227.53210367999998</v>
      </c>
      <c r="L22" s="5">
        <f t="shared" si="20"/>
        <v>238.90870886399998</v>
      </c>
      <c r="M22" s="5">
        <f t="shared" si="20"/>
        <v>250.85414430719996</v>
      </c>
    </row>
    <row r="23" spans="2:14" x14ac:dyDescent="0.25">
      <c r="B23" s="11" t="s">
        <v>11</v>
      </c>
      <c r="C23" s="5">
        <v>0</v>
      </c>
      <c r="D23" s="5">
        <v>0</v>
      </c>
      <c r="E23" s="5">
        <v>0</v>
      </c>
      <c r="F23" s="5">
        <v>0</v>
      </c>
      <c r="G23" s="5">
        <v>0</v>
      </c>
      <c r="H23" s="5">
        <f>+H38/360*H6</f>
        <v>81.777777777777771</v>
      </c>
      <c r="I23" s="5">
        <f t="shared" ref="I23:M23" si="21">+I38/360*I6</f>
        <v>228.97777777777773</v>
      </c>
      <c r="J23" s="5">
        <f t="shared" si="21"/>
        <v>494.59199999999993</v>
      </c>
      <c r="K23" s="5">
        <f t="shared" si="21"/>
        <v>524.26751999999988</v>
      </c>
      <c r="L23" s="5">
        <f t="shared" si="21"/>
        <v>550.48089599999992</v>
      </c>
      <c r="M23" s="5">
        <f t="shared" si="21"/>
        <v>578.00494079999987</v>
      </c>
    </row>
    <row r="24" spans="2:14" x14ac:dyDescent="0.25">
      <c r="B24" s="11" t="s">
        <v>12</v>
      </c>
      <c r="C24" s="5">
        <v>430</v>
      </c>
      <c r="D24" s="5">
        <v>400</v>
      </c>
      <c r="E24" s="5">
        <v>470</v>
      </c>
      <c r="F24" s="5">
        <v>500</v>
      </c>
      <c r="G24" s="5">
        <v>520</v>
      </c>
      <c r="H24" s="5">
        <f>+H6*H39</f>
        <v>588.79999999999995</v>
      </c>
      <c r="I24" s="5">
        <f t="shared" ref="I24:M24" si="22">+I6*I39</f>
        <v>659.4559999999999</v>
      </c>
      <c r="J24" s="5">
        <f t="shared" si="22"/>
        <v>712.21247999999991</v>
      </c>
      <c r="K24" s="5">
        <f t="shared" si="22"/>
        <v>754.94522879999988</v>
      </c>
      <c r="L24" s="5">
        <f t="shared" si="22"/>
        <v>792.69249023999987</v>
      </c>
      <c r="M24" s="5">
        <f t="shared" si="22"/>
        <v>832.32711475199994</v>
      </c>
    </row>
    <row r="25" spans="2:14" x14ac:dyDescent="0.25">
      <c r="C25" s="5"/>
      <c r="D25" s="5"/>
      <c r="E25" s="5"/>
      <c r="F25" s="5"/>
      <c r="G25" s="5"/>
      <c r="H25" s="5"/>
      <c r="I25" s="5"/>
      <c r="J25" s="5"/>
      <c r="K25" s="5"/>
      <c r="L25" s="5"/>
      <c r="M25" s="5"/>
    </row>
    <row r="26" spans="2:14" x14ac:dyDescent="0.25">
      <c r="B26" s="11" t="s">
        <v>13</v>
      </c>
      <c r="C26" s="5">
        <v>300</v>
      </c>
      <c r="D26" s="5">
        <v>350</v>
      </c>
      <c r="E26" s="5">
        <v>370</v>
      </c>
      <c r="F26" s="5">
        <v>390</v>
      </c>
      <c r="G26" s="5">
        <v>400</v>
      </c>
      <c r="H26" s="5">
        <f>+H40/360*H7</f>
        <v>405.6177777777778</v>
      </c>
      <c r="I26" s="5">
        <f t="shared" ref="I26:M26" si="23">+I40/360*I7</f>
        <v>482.68515555555553</v>
      </c>
      <c r="J26" s="5">
        <f t="shared" si="23"/>
        <v>551.96467199999995</v>
      </c>
      <c r="K26" s="5">
        <f t="shared" si="23"/>
        <v>617.58713855999997</v>
      </c>
      <c r="L26" s="5">
        <f t="shared" si="23"/>
        <v>682.59631103999993</v>
      </c>
      <c r="M26" s="5">
        <f t="shared" si="23"/>
        <v>716.72612659199979</v>
      </c>
    </row>
    <row r="27" spans="2:14" x14ac:dyDescent="0.25">
      <c r="B27" s="16" t="s">
        <v>14</v>
      </c>
      <c r="C27" s="5">
        <v>0</v>
      </c>
      <c r="D27" s="5">
        <v>0</v>
      </c>
      <c r="E27" s="5">
        <v>0</v>
      </c>
      <c r="F27" s="5">
        <v>0</v>
      </c>
      <c r="G27" s="5">
        <v>0</v>
      </c>
      <c r="H27" s="5">
        <f>+H30*H41</f>
        <v>0</v>
      </c>
      <c r="I27" s="5">
        <f t="shared" ref="I27:M27" si="24">+I30*I41</f>
        <v>742.43754666666666</v>
      </c>
      <c r="J27" s="5">
        <f t="shared" si="24"/>
        <v>1596.8397312</v>
      </c>
      <c r="K27" s="5">
        <f t="shared" si="24"/>
        <v>2511.4511278079995</v>
      </c>
      <c r="L27" s="5">
        <f t="shared" si="24"/>
        <v>3509.2056158207997</v>
      </c>
      <c r="M27" s="5">
        <f t="shared" si="24"/>
        <v>3684.6658966118407</v>
      </c>
    </row>
    <row r="28" spans="2:14" x14ac:dyDescent="0.25">
      <c r="B28" s="16" t="s">
        <v>15</v>
      </c>
      <c r="C28" s="5">
        <v>9745</v>
      </c>
      <c r="D28" s="5">
        <v>10180</v>
      </c>
      <c r="E28" s="5">
        <v>11235</v>
      </c>
      <c r="F28" s="5">
        <v>11750</v>
      </c>
      <c r="G28" s="5">
        <v>12275</v>
      </c>
      <c r="H28" s="5">
        <f>+H30-H27</f>
        <v>13631.537777777776</v>
      </c>
      <c r="I28" s="5">
        <f t="shared" ref="I28:M28" si="25">+I30-I27</f>
        <v>14106.313386666667</v>
      </c>
      <c r="J28" s="5">
        <f t="shared" si="25"/>
        <v>14371.557580799999</v>
      </c>
      <c r="K28" s="5">
        <f t="shared" si="25"/>
        <v>14231.556390911999</v>
      </c>
      <c r="L28" s="5">
        <f t="shared" si="25"/>
        <v>14036.822463283199</v>
      </c>
      <c r="M28" s="5">
        <f t="shared" si="25"/>
        <v>14738.663586447361</v>
      </c>
    </row>
    <row r="29" spans="2:14" x14ac:dyDescent="0.25">
      <c r="C29" s="5"/>
      <c r="D29" s="5"/>
      <c r="E29" s="5"/>
      <c r="F29" s="5"/>
      <c r="G29" s="5"/>
      <c r="H29" s="5"/>
      <c r="I29" s="5"/>
      <c r="J29" s="5"/>
      <c r="K29" s="5"/>
      <c r="L29" s="5"/>
      <c r="M29" s="5"/>
    </row>
    <row r="30" spans="2:14" x14ac:dyDescent="0.25">
      <c r="B30" t="s">
        <v>50</v>
      </c>
      <c r="C30" s="5">
        <f t="shared" ref="C30:G30" si="26">SUM(C21:C24)-C26</f>
        <v>9745</v>
      </c>
      <c r="D30" s="5">
        <f t="shared" si="26"/>
        <v>10180</v>
      </c>
      <c r="E30" s="5">
        <f t="shared" si="26"/>
        <v>11235</v>
      </c>
      <c r="F30" s="5">
        <f t="shared" si="26"/>
        <v>11750</v>
      </c>
      <c r="G30" s="5">
        <f t="shared" si="26"/>
        <v>12275</v>
      </c>
      <c r="H30" s="5">
        <f>SUM(H21:H24)-H26</f>
        <v>13631.537777777776</v>
      </c>
      <c r="I30" s="5">
        <f t="shared" ref="I30:M30" si="27">SUM(I21:I24)-I26</f>
        <v>14848.750933333333</v>
      </c>
      <c r="J30" s="5">
        <f t="shared" si="27"/>
        <v>15968.397311999999</v>
      </c>
      <c r="K30" s="5">
        <f t="shared" si="27"/>
        <v>16743.007518719998</v>
      </c>
      <c r="L30" s="5">
        <f t="shared" si="27"/>
        <v>17546.028079103999</v>
      </c>
      <c r="M30" s="5">
        <f t="shared" si="27"/>
        <v>18423.329483059202</v>
      </c>
    </row>
    <row r="32" spans="2:14" x14ac:dyDescent="0.25">
      <c r="B32" t="s">
        <v>16</v>
      </c>
      <c r="D32" s="4">
        <f t="shared" ref="D32:F32" si="28">+D6/C6-1</f>
        <v>7.0000000000000062E-2</v>
      </c>
      <c r="E32" s="4">
        <f t="shared" si="28"/>
        <v>6.5420560747663448E-2</v>
      </c>
      <c r="F32" s="4">
        <f t="shared" si="28"/>
        <v>6.1403508771929793E-2</v>
      </c>
      <c r="G32" s="4">
        <f>+G6/F6-1</f>
        <v>5.7851239669421517E-2</v>
      </c>
      <c r="H32" s="3">
        <v>0.15</v>
      </c>
      <c r="I32" s="3">
        <v>0.12</v>
      </c>
      <c r="J32" s="3">
        <v>0.08</v>
      </c>
      <c r="K32" s="3">
        <v>0.06</v>
      </c>
      <c r="L32" s="3">
        <v>0.05</v>
      </c>
      <c r="M32" s="3">
        <v>0.05</v>
      </c>
      <c r="N32" s="3">
        <v>0.05</v>
      </c>
    </row>
    <row r="33" spans="2:14" x14ac:dyDescent="0.25">
      <c r="B33" t="s">
        <v>17</v>
      </c>
      <c r="C33" s="4">
        <f>+C7/C6</f>
        <v>0.65</v>
      </c>
      <c r="D33" s="4">
        <f>+D7/D6</f>
        <v>0.64485981308411211</v>
      </c>
      <c r="E33" s="4">
        <f t="shared" ref="E33:G33" si="29">+E7/E6</f>
        <v>0.64035087719298245</v>
      </c>
      <c r="F33" s="4">
        <f t="shared" si="29"/>
        <v>0.64462809917355368</v>
      </c>
      <c r="G33" s="4">
        <f t="shared" si="29"/>
        <v>0.640625</v>
      </c>
      <c r="H33" s="3">
        <v>0.62</v>
      </c>
      <c r="I33" s="3">
        <v>0.62</v>
      </c>
      <c r="J33" s="3">
        <v>0.62</v>
      </c>
      <c r="K33" s="3">
        <v>0.62</v>
      </c>
      <c r="L33" s="3">
        <v>0.62</v>
      </c>
      <c r="M33" s="3">
        <v>0.62</v>
      </c>
    </row>
    <row r="34" spans="2:14" x14ac:dyDescent="0.25">
      <c r="B34" t="s">
        <v>18</v>
      </c>
      <c r="C34" s="4">
        <f>+C8/C6</f>
        <v>0.18</v>
      </c>
      <c r="D34" s="4">
        <f>+D8/D6</f>
        <v>0.18691588785046728</v>
      </c>
      <c r="E34" s="4">
        <f t="shared" ref="E34:G34" si="30">+E8/E6</f>
        <v>0.18421052631578946</v>
      </c>
      <c r="F34" s="4">
        <f t="shared" si="30"/>
        <v>0.18181818181818182</v>
      </c>
      <c r="G34" s="4">
        <f t="shared" si="30"/>
        <v>0.1875</v>
      </c>
      <c r="H34" s="3">
        <v>0.16</v>
      </c>
      <c r="I34" s="3">
        <v>0.16</v>
      </c>
      <c r="J34" s="3">
        <v>0.16</v>
      </c>
      <c r="K34" s="3">
        <v>0.16</v>
      </c>
      <c r="L34" s="3">
        <v>0.16</v>
      </c>
      <c r="M34" s="3">
        <v>0.16</v>
      </c>
    </row>
    <row r="35" spans="2:14" x14ac:dyDescent="0.25">
      <c r="B35" t="s">
        <v>19</v>
      </c>
      <c r="D35" s="4">
        <f>+D9/C21</f>
        <v>7.8947368421052627E-2</v>
      </c>
      <c r="E35" s="4">
        <f t="shared" ref="E35:G35" si="31">+E9/D21</f>
        <v>0.08</v>
      </c>
      <c r="F35" s="4">
        <f t="shared" si="31"/>
        <v>8.0909090909090903E-2</v>
      </c>
      <c r="G35" s="4">
        <f t="shared" si="31"/>
        <v>8.4347826086956526E-2</v>
      </c>
      <c r="H35" s="7">
        <v>8.3000000000000004E-2</v>
      </c>
      <c r="I35" s="7">
        <v>8.3000000000000004E-2</v>
      </c>
      <c r="J35" s="7">
        <v>8.3000000000000004E-2</v>
      </c>
      <c r="K35" s="7">
        <v>8.3000000000000004E-2</v>
      </c>
      <c r="L35" s="7">
        <v>8.3000000000000004E-2</v>
      </c>
      <c r="M35" s="7">
        <v>8.3000000000000004E-2</v>
      </c>
    </row>
    <row r="36" spans="2:14" x14ac:dyDescent="0.25">
      <c r="B36" t="s">
        <v>20</v>
      </c>
      <c r="D36" s="5"/>
      <c r="E36" s="5"/>
      <c r="F36" s="5"/>
      <c r="G36" s="5"/>
      <c r="H36" s="6"/>
      <c r="I36" s="8">
        <v>0.8</v>
      </c>
      <c r="J36" s="8">
        <v>0.8</v>
      </c>
      <c r="K36" s="8">
        <v>0.8</v>
      </c>
      <c r="L36" s="8">
        <v>0.8</v>
      </c>
      <c r="M36" s="8">
        <v>0.8</v>
      </c>
      <c r="N36" s="8">
        <v>0.8</v>
      </c>
    </row>
    <row r="37" spans="2:14" x14ac:dyDescent="0.25">
      <c r="B37" t="s">
        <v>21</v>
      </c>
      <c r="C37" s="5"/>
      <c r="D37" s="5"/>
      <c r="E37" s="5"/>
      <c r="F37" s="5"/>
      <c r="G37" s="5"/>
      <c r="H37" s="8">
        <v>7</v>
      </c>
      <c r="I37" s="8">
        <v>7</v>
      </c>
      <c r="J37" s="8">
        <v>7</v>
      </c>
      <c r="K37" s="8">
        <v>7</v>
      </c>
      <c r="L37" s="8">
        <v>7</v>
      </c>
      <c r="M37" s="8">
        <v>7</v>
      </c>
    </row>
    <row r="38" spans="2:14" x14ac:dyDescent="0.25">
      <c r="B38" t="s">
        <v>22</v>
      </c>
      <c r="C38" s="5">
        <f>+C23/C6*360</f>
        <v>0</v>
      </c>
      <c r="D38" s="5">
        <f t="shared" ref="D38:G38" si="32">+D23/D6*360</f>
        <v>0</v>
      </c>
      <c r="E38" s="5">
        <f t="shared" si="32"/>
        <v>0</v>
      </c>
      <c r="F38" s="5">
        <f t="shared" si="32"/>
        <v>0</v>
      </c>
      <c r="G38" s="5">
        <f t="shared" si="32"/>
        <v>0</v>
      </c>
      <c r="H38" s="8">
        <v>2</v>
      </c>
      <c r="I38" s="8">
        <v>5</v>
      </c>
      <c r="J38" s="8">
        <v>10</v>
      </c>
      <c r="K38" s="8">
        <v>10</v>
      </c>
      <c r="L38" s="8">
        <v>10</v>
      </c>
      <c r="M38" s="8">
        <v>10</v>
      </c>
    </row>
    <row r="39" spans="2:14" x14ac:dyDescent="0.25">
      <c r="B39" t="s">
        <v>23</v>
      </c>
      <c r="C39" s="4">
        <f>+C24/C6</f>
        <v>4.2999999999999997E-2</v>
      </c>
      <c r="D39" s="4">
        <f t="shared" ref="D39:G39" si="33">+D24/D6</f>
        <v>3.7383177570093455E-2</v>
      </c>
      <c r="E39" s="4">
        <f t="shared" si="33"/>
        <v>4.12280701754386E-2</v>
      </c>
      <c r="F39" s="4">
        <f t="shared" si="33"/>
        <v>4.1322314049586778E-2</v>
      </c>
      <c r="G39" s="4">
        <f t="shared" si="33"/>
        <v>4.0625000000000001E-2</v>
      </c>
      <c r="H39" s="9">
        <v>0.04</v>
      </c>
      <c r="I39" s="9">
        <v>0.04</v>
      </c>
      <c r="J39" s="9">
        <v>0.04</v>
      </c>
      <c r="K39" s="9">
        <v>0.04</v>
      </c>
      <c r="L39" s="9">
        <v>0.04</v>
      </c>
      <c r="M39" s="9">
        <v>0.04</v>
      </c>
    </row>
    <row r="40" spans="2:14" x14ac:dyDescent="0.25">
      <c r="B40" t="s">
        <v>24</v>
      </c>
      <c r="C40" s="5">
        <f>+C26/C7*360</f>
        <v>16.615384615384617</v>
      </c>
      <c r="D40" s="5">
        <f t="shared" ref="D40:G40" si="34">+D26/D7*360</f>
        <v>18.260869565217391</v>
      </c>
      <c r="E40" s="5">
        <f t="shared" si="34"/>
        <v>18.246575342465754</v>
      </c>
      <c r="F40" s="5">
        <f t="shared" si="34"/>
        <v>18</v>
      </c>
      <c r="G40" s="5">
        <f t="shared" si="34"/>
        <v>17.560975609756099</v>
      </c>
      <c r="H40" s="8">
        <v>16</v>
      </c>
      <c r="I40" s="8">
        <v>17</v>
      </c>
      <c r="J40" s="8">
        <v>18</v>
      </c>
      <c r="K40" s="8">
        <v>19</v>
      </c>
      <c r="L40" s="8">
        <v>20</v>
      </c>
      <c r="M40" s="8">
        <v>20</v>
      </c>
    </row>
    <row r="41" spans="2:14" x14ac:dyDescent="0.25">
      <c r="B41" t="s">
        <v>25</v>
      </c>
      <c r="C41" s="4"/>
      <c r="D41" s="4"/>
      <c r="E41" s="4"/>
      <c r="F41" s="4"/>
      <c r="G41" s="4"/>
      <c r="H41" s="9">
        <v>0</v>
      </c>
      <c r="I41" s="9">
        <v>0.05</v>
      </c>
      <c r="J41" s="9">
        <v>0.1</v>
      </c>
      <c r="K41" s="9">
        <v>0.15</v>
      </c>
      <c r="L41" s="9">
        <v>0.2</v>
      </c>
      <c r="M41" s="9">
        <v>0.2</v>
      </c>
    </row>
    <row r="42" spans="2:14" x14ac:dyDescent="0.25">
      <c r="B42" t="s">
        <v>26</v>
      </c>
      <c r="C42" s="6"/>
      <c r="D42" s="6"/>
      <c r="E42" s="6"/>
      <c r="F42" s="6"/>
      <c r="G42" s="6"/>
      <c r="H42" s="6"/>
      <c r="I42" s="7">
        <v>7.0000000000000007E-2</v>
      </c>
      <c r="J42" s="7">
        <v>7.0000000000000007E-2</v>
      </c>
      <c r="K42" s="7">
        <v>7.0000000000000007E-2</v>
      </c>
      <c r="L42" s="7">
        <v>7.0000000000000007E-2</v>
      </c>
      <c r="M42" s="7">
        <v>7.0000000000000007E-2</v>
      </c>
    </row>
    <row r="43" spans="2:14" x14ac:dyDescent="0.25">
      <c r="B43" t="s">
        <v>27</v>
      </c>
      <c r="C43" s="4"/>
      <c r="D43" s="4"/>
      <c r="E43" s="4"/>
      <c r="F43" s="4"/>
      <c r="G43" s="4"/>
      <c r="H43" s="7">
        <v>0.2</v>
      </c>
      <c r="I43" s="7">
        <v>0.2</v>
      </c>
      <c r="J43" s="7">
        <v>0.2</v>
      </c>
      <c r="K43" s="7">
        <v>0.2</v>
      </c>
      <c r="L43" s="7">
        <v>0.2</v>
      </c>
      <c r="M43" s="7">
        <v>0.2</v>
      </c>
    </row>
    <row r="45" spans="2:14" x14ac:dyDescent="0.25">
      <c r="B45" t="s">
        <v>49</v>
      </c>
      <c r="D45" s="5">
        <f>+C21/D9</f>
        <v>12.666666666666666</v>
      </c>
      <c r="E45" s="5">
        <f t="shared" ref="E45:G45" si="35">+D21/E9</f>
        <v>12.5</v>
      </c>
      <c r="F45" s="5">
        <f t="shared" si="35"/>
        <v>12.359550561797754</v>
      </c>
      <c r="G45" s="5">
        <f t="shared" si="35"/>
        <v>11.855670103092784</v>
      </c>
    </row>
    <row r="47" spans="2:14" x14ac:dyDescent="0.25">
      <c r="B47" s="10" t="s">
        <v>57</v>
      </c>
    </row>
    <row r="48" spans="2:14" x14ac:dyDescent="0.25">
      <c r="B48" s="10"/>
    </row>
    <row r="49" spans="1:31" x14ac:dyDescent="0.25">
      <c r="B49" s="10" t="s">
        <v>70</v>
      </c>
      <c r="D49" s="4">
        <f>+D13/D12</f>
        <v>8.5714285714285715E-2</v>
      </c>
      <c r="E49" s="4">
        <f t="shared" ref="E49:M49" si="36">+E13/E12</f>
        <v>9.166666666666666E-2</v>
      </c>
      <c r="F49" s="4">
        <f t="shared" si="36"/>
        <v>8.2644628099173556E-2</v>
      </c>
      <c r="G49" s="4">
        <f t="shared" si="36"/>
        <v>7.3170731707317069E-2</v>
      </c>
      <c r="H49" s="4">
        <f t="shared" si="36"/>
        <v>0.2</v>
      </c>
      <c r="I49" s="4">
        <f t="shared" si="36"/>
        <v>0.2</v>
      </c>
      <c r="J49" s="4">
        <f t="shared" ref="J49:AE49" si="37">+J13/J12</f>
        <v>0.2</v>
      </c>
      <c r="K49" s="4">
        <f t="shared" si="37"/>
        <v>0.2</v>
      </c>
      <c r="L49" s="4">
        <f t="shared" si="37"/>
        <v>0.2</v>
      </c>
      <c r="M49" s="4">
        <f t="shared" si="37"/>
        <v>0.19999999999999998</v>
      </c>
      <c r="N49" s="4"/>
      <c r="O49" s="4"/>
      <c r="P49" s="4"/>
      <c r="Q49" s="4"/>
      <c r="R49" s="4"/>
      <c r="S49" s="4"/>
      <c r="T49" s="4"/>
      <c r="U49" s="4"/>
      <c r="V49" s="4"/>
      <c r="W49" s="4"/>
      <c r="X49" s="4"/>
      <c r="Y49" s="4"/>
      <c r="Z49" s="4"/>
      <c r="AA49" s="4"/>
      <c r="AB49" s="4"/>
      <c r="AC49" s="4"/>
      <c r="AD49" s="4"/>
      <c r="AE49" s="4"/>
    </row>
    <row r="51" spans="1:31" x14ac:dyDescent="0.25">
      <c r="A51" t="s">
        <v>55</v>
      </c>
    </row>
    <row r="52" spans="1:31" x14ac:dyDescent="0.25">
      <c r="B52" s="5" t="str">
        <f>+B10</f>
        <v>Operational profit</v>
      </c>
      <c r="C52" s="5">
        <f t="shared" ref="C52:H52" si="38">+C10</f>
        <v>965</v>
      </c>
      <c r="D52" s="5">
        <f t="shared" si="38"/>
        <v>1050</v>
      </c>
      <c r="E52" s="5">
        <f t="shared" si="38"/>
        <v>1200</v>
      </c>
      <c r="F52" s="5">
        <f t="shared" si="38"/>
        <v>1210</v>
      </c>
      <c r="G52" s="5">
        <f t="shared" si="38"/>
        <v>1230</v>
      </c>
      <c r="H52" s="5">
        <f t="shared" si="38"/>
        <v>2242.3999999999987</v>
      </c>
      <c r="I52" s="5">
        <f t="shared" ref="I52:AE52" si="39">+I10</f>
        <v>2532.3110399999987</v>
      </c>
      <c r="J52" s="5">
        <f t="shared" si="39"/>
        <v>2734.8959231999988</v>
      </c>
      <c r="K52" s="5">
        <f t="shared" si="39"/>
        <v>2898.989678592</v>
      </c>
      <c r="L52" s="5">
        <f t="shared" si="39"/>
        <v>3043.9391625215994</v>
      </c>
      <c r="M52" s="5">
        <f t="shared" si="39"/>
        <v>3196.1361206476804</v>
      </c>
      <c r="N52" s="5"/>
      <c r="O52" s="5"/>
      <c r="P52" s="5"/>
      <c r="Q52" s="5"/>
      <c r="R52" s="5"/>
      <c r="S52" s="5"/>
      <c r="T52" s="5"/>
      <c r="U52" s="5"/>
      <c r="V52" s="5"/>
      <c r="W52" s="5"/>
      <c r="X52" s="5"/>
      <c r="Y52" s="5"/>
      <c r="Z52" s="5"/>
      <c r="AA52" s="5"/>
      <c r="AB52" s="5"/>
      <c r="AC52" s="5"/>
      <c r="AD52" s="5"/>
      <c r="AE52" s="5"/>
    </row>
    <row r="53" spans="1:31" x14ac:dyDescent="0.25">
      <c r="B53" s="19" t="s">
        <v>68</v>
      </c>
      <c r="D53" s="5">
        <f>+D52*D49</f>
        <v>90</v>
      </c>
      <c r="E53" s="5">
        <f t="shared" ref="E53:I53" si="40">+E52*E49</f>
        <v>109.99999999999999</v>
      </c>
      <c r="F53" s="5">
        <f t="shared" si="40"/>
        <v>100</v>
      </c>
      <c r="G53" s="5">
        <f t="shared" si="40"/>
        <v>90</v>
      </c>
      <c r="H53" s="5">
        <f t="shared" si="40"/>
        <v>448.47999999999979</v>
      </c>
      <c r="I53" s="5">
        <f t="shared" si="40"/>
        <v>506.46220799999975</v>
      </c>
      <c r="J53" s="5">
        <f t="shared" ref="J53" si="41">+J52*J49</f>
        <v>546.97918463999974</v>
      </c>
      <c r="K53" s="5">
        <f t="shared" ref="K53" si="42">+K52*K49</f>
        <v>579.79793571840003</v>
      </c>
      <c r="L53" s="5">
        <f t="shared" ref="L53" si="43">+L52*L49</f>
        <v>608.78783250431991</v>
      </c>
      <c r="M53" s="5">
        <f t="shared" ref="M53" si="44">+M52*M49</f>
        <v>639.22722412953601</v>
      </c>
      <c r="N53" s="5"/>
      <c r="O53" s="5"/>
      <c r="P53" s="5"/>
      <c r="Q53" s="5"/>
      <c r="R53" s="5"/>
      <c r="S53" s="5"/>
      <c r="T53" s="5"/>
      <c r="U53" s="5"/>
      <c r="V53" s="5"/>
      <c r="W53" s="5"/>
      <c r="X53" s="5"/>
      <c r="Y53" s="5"/>
      <c r="Z53" s="5"/>
      <c r="AA53" s="5"/>
      <c r="AB53" s="5"/>
      <c r="AC53" s="5"/>
      <c r="AD53" s="5"/>
      <c r="AE53" s="5"/>
    </row>
    <row r="54" spans="1:31" x14ac:dyDescent="0.25">
      <c r="B54" s="5" t="s">
        <v>71</v>
      </c>
      <c r="D54" s="5">
        <f>+D52-D53</f>
        <v>960</v>
      </c>
      <c r="E54" s="5">
        <f t="shared" ref="E54:I54" si="45">+E52-E53</f>
        <v>1090</v>
      </c>
      <c r="F54" s="5">
        <f t="shared" si="45"/>
        <v>1110</v>
      </c>
      <c r="G54" s="5">
        <f t="shared" si="45"/>
        <v>1140</v>
      </c>
      <c r="H54" s="5">
        <f t="shared" si="45"/>
        <v>1793.9199999999989</v>
      </c>
      <c r="I54" s="5">
        <f t="shared" si="45"/>
        <v>2025.848831999999</v>
      </c>
      <c r="J54" s="5">
        <f t="shared" ref="J54" si="46">+J52-J53</f>
        <v>2187.916738559999</v>
      </c>
      <c r="K54" s="5">
        <f t="shared" ref="K54" si="47">+K52-K53</f>
        <v>2319.1917428736001</v>
      </c>
      <c r="L54" s="5">
        <f t="shared" ref="L54" si="48">+L52-L53</f>
        <v>2435.1513300172796</v>
      </c>
      <c r="M54" s="5">
        <f t="shared" ref="M54" si="49">+M52-M53</f>
        <v>2556.9088965181445</v>
      </c>
      <c r="N54" s="5"/>
      <c r="O54" s="5"/>
      <c r="P54" s="5"/>
      <c r="Q54" s="5"/>
      <c r="R54" s="5"/>
      <c r="S54" s="5"/>
      <c r="T54" s="5"/>
      <c r="U54" s="5"/>
      <c r="V54" s="5"/>
      <c r="W54" s="5"/>
      <c r="X54" s="5"/>
      <c r="Y54" s="5"/>
      <c r="Z54" s="5"/>
      <c r="AA54" s="5"/>
      <c r="AB54" s="5"/>
      <c r="AC54" s="5"/>
      <c r="AD54" s="5"/>
      <c r="AE54" s="5"/>
    </row>
    <row r="55" spans="1:31" x14ac:dyDescent="0.25">
      <c r="B55" t="s">
        <v>62</v>
      </c>
      <c r="D55" s="5">
        <f>+D9</f>
        <v>750</v>
      </c>
      <c r="E55" s="5">
        <f t="shared" ref="E55:H55" si="50">+E9</f>
        <v>800</v>
      </c>
      <c r="F55" s="5">
        <f t="shared" si="50"/>
        <v>890</v>
      </c>
      <c r="G55" s="5">
        <f t="shared" si="50"/>
        <v>970</v>
      </c>
      <c r="H55" s="5">
        <f t="shared" si="50"/>
        <v>996</v>
      </c>
      <c r="I55" s="5">
        <f t="shared" ref="I55:AE55" si="51">+I9</f>
        <v>1094.69696</v>
      </c>
      <c r="J55" s="5">
        <f t="shared" si="51"/>
        <v>1182.2727167999999</v>
      </c>
      <c r="K55" s="5">
        <f t="shared" si="51"/>
        <v>1253.2090798080001</v>
      </c>
      <c r="L55" s="5">
        <f t="shared" si="51"/>
        <v>1315.8695337984</v>
      </c>
      <c r="M55" s="5">
        <f t="shared" si="51"/>
        <v>1381.66301048832</v>
      </c>
      <c r="N55" s="5"/>
      <c r="O55" s="5"/>
      <c r="P55" s="5"/>
      <c r="Q55" s="5"/>
      <c r="R55" s="5"/>
      <c r="S55" s="5"/>
      <c r="T55" s="5"/>
      <c r="U55" s="5"/>
      <c r="V55" s="5"/>
      <c r="W55" s="5"/>
      <c r="X55" s="5"/>
      <c r="Y55" s="5"/>
      <c r="Z55" s="5"/>
      <c r="AA55" s="5"/>
      <c r="AB55" s="5"/>
      <c r="AC55" s="5"/>
      <c r="AD55" s="5"/>
      <c r="AE55" s="5"/>
    </row>
    <row r="56" spans="1:31" x14ac:dyDescent="0.25">
      <c r="A56" s="12" t="s">
        <v>60</v>
      </c>
      <c r="B56" t="s">
        <v>30</v>
      </c>
      <c r="D56" s="5">
        <f>+C22-D22</f>
        <v>-15</v>
      </c>
      <c r="E56" s="5">
        <f t="shared" ref="E56:H56" si="52">+D22-E22</f>
        <v>-5</v>
      </c>
      <c r="F56" s="5">
        <f t="shared" si="52"/>
        <v>-5</v>
      </c>
      <c r="G56" s="5">
        <f t="shared" si="52"/>
        <v>-15</v>
      </c>
      <c r="H56" s="5">
        <f t="shared" si="52"/>
        <v>-22.457777777777778</v>
      </c>
      <c r="I56" s="5">
        <f t="shared" ref="I56:AE56" si="53">+H22-I22</f>
        <v>-21.294933333333319</v>
      </c>
      <c r="J56" s="5">
        <f t="shared" si="53"/>
        <v>-15.900216888888906</v>
      </c>
      <c r="K56" s="5">
        <f t="shared" si="53"/>
        <v>-12.879175679999975</v>
      </c>
      <c r="L56" s="5">
        <f t="shared" si="53"/>
        <v>-11.376605183999999</v>
      </c>
      <c r="M56" s="5">
        <f t="shared" si="53"/>
        <v>-11.945435443199983</v>
      </c>
      <c r="N56" s="5"/>
      <c r="O56" s="5"/>
      <c r="P56" s="5"/>
      <c r="Q56" s="5"/>
      <c r="R56" s="5"/>
      <c r="S56" s="5"/>
      <c r="T56" s="5"/>
      <c r="U56" s="5"/>
      <c r="V56" s="5"/>
      <c r="W56" s="5"/>
      <c r="X56" s="5"/>
      <c r="Y56" s="5"/>
      <c r="Z56" s="5"/>
      <c r="AA56" s="5"/>
      <c r="AB56" s="5"/>
      <c r="AC56" s="5"/>
      <c r="AD56" s="5"/>
      <c r="AE56" s="5"/>
    </row>
    <row r="57" spans="1:31" x14ac:dyDescent="0.25">
      <c r="A57" s="12" t="s">
        <v>60</v>
      </c>
      <c r="B57" t="s">
        <v>58</v>
      </c>
      <c r="D57" s="5">
        <f>+C23-D23</f>
        <v>0</v>
      </c>
      <c r="E57" s="5">
        <f>+D23-E23</f>
        <v>0</v>
      </c>
      <c r="F57" s="5">
        <f>+E23-F23</f>
        <v>0</v>
      </c>
      <c r="G57" s="5">
        <f>+F23-G23</f>
        <v>0</v>
      </c>
      <c r="H57" s="5">
        <f>+G23-H23</f>
        <v>-81.777777777777771</v>
      </c>
      <c r="I57" s="5">
        <f t="shared" ref="I57:AE57" si="54">+H23-I23</f>
        <v>-147.19999999999996</v>
      </c>
      <c r="J57" s="5">
        <f t="shared" si="54"/>
        <v>-265.61422222222222</v>
      </c>
      <c r="K57" s="5">
        <f t="shared" si="54"/>
        <v>-29.675519999999949</v>
      </c>
      <c r="L57" s="5">
        <f t="shared" si="54"/>
        <v>-26.213376000000039</v>
      </c>
      <c r="M57" s="5">
        <f t="shared" si="54"/>
        <v>-27.524044799999956</v>
      </c>
      <c r="N57" s="5"/>
      <c r="O57" s="5"/>
      <c r="P57" s="5"/>
      <c r="Q57" s="5"/>
      <c r="R57" s="5"/>
      <c r="S57" s="5"/>
      <c r="T57" s="5"/>
      <c r="U57" s="5"/>
      <c r="V57" s="5"/>
      <c r="W57" s="5"/>
      <c r="X57" s="5"/>
      <c r="Y57" s="5"/>
      <c r="Z57" s="5"/>
      <c r="AA57" s="5"/>
      <c r="AB57" s="5"/>
      <c r="AC57" s="5"/>
      <c r="AD57" s="5"/>
      <c r="AE57" s="5"/>
    </row>
    <row r="58" spans="1:31" x14ac:dyDescent="0.25">
      <c r="A58" s="12" t="s">
        <v>60</v>
      </c>
      <c r="B58" t="s">
        <v>59</v>
      </c>
      <c r="D58" s="5">
        <f>+C24-D24</f>
        <v>30</v>
      </c>
      <c r="E58" s="5">
        <f t="shared" ref="E58:H58" si="55">+D24-E24</f>
        <v>-70</v>
      </c>
      <c r="F58" s="5">
        <f t="shared" si="55"/>
        <v>-30</v>
      </c>
      <c r="G58" s="5">
        <f t="shared" si="55"/>
        <v>-20</v>
      </c>
      <c r="H58" s="5">
        <f t="shared" si="55"/>
        <v>-68.799999999999955</v>
      </c>
      <c r="I58" s="5">
        <f t="shared" ref="I58:AE58" si="56">+H24-I24</f>
        <v>-70.655999999999949</v>
      </c>
      <c r="J58" s="5">
        <f t="shared" si="56"/>
        <v>-52.75648000000001</v>
      </c>
      <c r="K58" s="5">
        <f t="shared" si="56"/>
        <v>-42.732748799999968</v>
      </c>
      <c r="L58" s="5">
        <f t="shared" si="56"/>
        <v>-37.747261439999988</v>
      </c>
      <c r="M58" s="5">
        <f t="shared" si="56"/>
        <v>-39.634624512000073</v>
      </c>
      <c r="N58" s="5"/>
      <c r="O58" s="5"/>
      <c r="P58" s="5"/>
      <c r="Q58" s="5"/>
      <c r="R58" s="5"/>
      <c r="S58" s="5"/>
      <c r="T58" s="5"/>
      <c r="U58" s="5"/>
      <c r="V58" s="5"/>
      <c r="W58" s="5"/>
      <c r="X58" s="5"/>
      <c r="Y58" s="5"/>
      <c r="Z58" s="5"/>
      <c r="AA58" s="5"/>
      <c r="AB58" s="5"/>
      <c r="AC58" s="5"/>
      <c r="AD58" s="5"/>
      <c r="AE58" s="5"/>
    </row>
    <row r="59" spans="1:31" x14ac:dyDescent="0.25">
      <c r="B59" t="s">
        <v>33</v>
      </c>
      <c r="D59" s="5">
        <f>+D26-C26</f>
        <v>50</v>
      </c>
      <c r="E59" s="5">
        <f t="shared" ref="E59:H59" si="57">+E26-D26</f>
        <v>20</v>
      </c>
      <c r="F59" s="5">
        <f t="shared" si="57"/>
        <v>20</v>
      </c>
      <c r="G59" s="5">
        <f t="shared" si="57"/>
        <v>10</v>
      </c>
      <c r="H59" s="5">
        <f t="shared" si="57"/>
        <v>5.6177777777778033</v>
      </c>
      <c r="I59" s="5">
        <f t="shared" ref="I59:AE59" si="58">+I26-H26</f>
        <v>77.067377777777722</v>
      </c>
      <c r="J59" s="5">
        <f t="shared" si="58"/>
        <v>69.279516444444425</v>
      </c>
      <c r="K59" s="5">
        <f t="shared" si="58"/>
        <v>65.622466560000021</v>
      </c>
      <c r="L59" s="5">
        <f t="shared" si="58"/>
        <v>65.009172479999961</v>
      </c>
      <c r="M59" s="5">
        <f t="shared" si="58"/>
        <v>34.129815551999855</v>
      </c>
      <c r="N59" s="5"/>
      <c r="O59" s="5"/>
      <c r="P59" s="5"/>
      <c r="Q59" s="5"/>
      <c r="R59" s="5"/>
      <c r="S59" s="5"/>
      <c r="T59" s="5"/>
      <c r="U59" s="5"/>
      <c r="V59" s="5"/>
      <c r="W59" s="5"/>
      <c r="X59" s="5"/>
      <c r="Y59" s="5"/>
      <c r="Z59" s="5"/>
      <c r="AA59" s="5"/>
      <c r="AB59" s="5"/>
      <c r="AC59" s="5"/>
      <c r="AD59" s="5"/>
      <c r="AE59" s="5"/>
    </row>
    <row r="61" spans="1:31" x14ac:dyDescent="0.25">
      <c r="B61" t="s">
        <v>55</v>
      </c>
      <c r="D61" s="5">
        <f>SUM(D54:D60)</f>
        <v>1775</v>
      </c>
      <c r="E61" s="5">
        <f t="shared" ref="E61:I61" si="59">SUM(E54:E60)</f>
        <v>1835</v>
      </c>
      <c r="F61" s="5">
        <f t="shared" si="59"/>
        <v>1985</v>
      </c>
      <c r="G61" s="5">
        <f t="shared" si="59"/>
        <v>2085</v>
      </c>
      <c r="H61" s="5">
        <f t="shared" si="59"/>
        <v>2622.5022222222219</v>
      </c>
      <c r="I61" s="5">
        <f t="shared" si="59"/>
        <v>2958.462236444444</v>
      </c>
      <c r="J61" s="5">
        <f t="shared" ref="J61" si="60">SUM(J54:J60)</f>
        <v>3105.1980526933321</v>
      </c>
      <c r="K61" s="5">
        <f t="shared" ref="K61" si="61">SUM(K54:K60)</f>
        <v>3552.7358447616007</v>
      </c>
      <c r="L61" s="5">
        <f t="shared" ref="L61" si="62">SUM(L54:L60)</f>
        <v>3740.6927936716797</v>
      </c>
      <c r="M61" s="5">
        <f t="shared" ref="M61" si="63">SUM(M54:M60)</f>
        <v>3893.5976178032643</v>
      </c>
      <c r="N61" s="5"/>
      <c r="O61" s="5"/>
      <c r="P61" s="5"/>
      <c r="Q61" s="5"/>
      <c r="R61" s="5"/>
      <c r="S61" s="5"/>
      <c r="T61" s="5"/>
      <c r="U61" s="5"/>
      <c r="V61" s="5"/>
      <c r="W61" s="5"/>
      <c r="X61" s="5"/>
      <c r="Y61" s="5"/>
      <c r="Z61" s="5"/>
      <c r="AA61" s="5"/>
      <c r="AB61" s="5"/>
      <c r="AC61" s="5"/>
      <c r="AD61" s="5"/>
      <c r="AE61" s="5"/>
    </row>
    <row r="62" spans="1:31" x14ac:dyDescent="0.25">
      <c r="A62" t="s">
        <v>56</v>
      </c>
    </row>
    <row r="64" spans="1:31" x14ac:dyDescent="0.25">
      <c r="B64" t="s">
        <v>61</v>
      </c>
      <c r="D64" s="5">
        <f>+D55</f>
        <v>750</v>
      </c>
      <c r="E64" s="5">
        <f t="shared" ref="E64:H64" si="64">+E55</f>
        <v>800</v>
      </c>
      <c r="F64" s="5">
        <f t="shared" si="64"/>
        <v>890</v>
      </c>
      <c r="G64" s="5">
        <f t="shared" si="64"/>
        <v>970</v>
      </c>
      <c r="H64" s="5">
        <f t="shared" si="64"/>
        <v>996</v>
      </c>
      <c r="I64" s="5">
        <f t="shared" ref="I64:AE64" si="65">+I55</f>
        <v>1094.69696</v>
      </c>
      <c r="J64" s="5">
        <f t="shared" si="65"/>
        <v>1182.2727167999999</v>
      </c>
      <c r="K64" s="5">
        <f t="shared" si="65"/>
        <v>1253.2090798080001</v>
      </c>
      <c r="L64" s="5">
        <f t="shared" si="65"/>
        <v>1315.8695337984</v>
      </c>
      <c r="M64" s="5">
        <f t="shared" si="65"/>
        <v>1381.66301048832</v>
      </c>
      <c r="N64" s="5"/>
      <c r="O64" s="5"/>
      <c r="P64" s="5"/>
      <c r="Q64" s="5"/>
      <c r="R64" s="5"/>
      <c r="S64" s="5"/>
      <c r="T64" s="5"/>
      <c r="U64" s="5"/>
      <c r="V64" s="5"/>
      <c r="W64" s="5"/>
      <c r="X64" s="5"/>
      <c r="Y64" s="5"/>
      <c r="Z64" s="5"/>
      <c r="AA64" s="5"/>
      <c r="AB64" s="5"/>
      <c r="AC64" s="5"/>
      <c r="AD64" s="5"/>
      <c r="AE64" s="5"/>
    </row>
    <row r="65" spans="2:31" x14ac:dyDescent="0.25">
      <c r="B65" t="s">
        <v>63</v>
      </c>
      <c r="D65" s="5">
        <f>+D21-C21</f>
        <v>500</v>
      </c>
      <c r="E65" s="5">
        <f t="shared" ref="E65:H65" si="66">+E21-D21</f>
        <v>1000</v>
      </c>
      <c r="F65" s="5">
        <f t="shared" si="66"/>
        <v>500</v>
      </c>
      <c r="G65" s="5">
        <f t="shared" si="66"/>
        <v>500</v>
      </c>
      <c r="H65" s="5">
        <f t="shared" si="66"/>
        <v>1189.119999999999</v>
      </c>
      <c r="I65" s="5">
        <f t="shared" ref="I65:AE65" si="67">+I21-H21</f>
        <v>1055.1296000000002</v>
      </c>
      <c r="J65" s="5">
        <f t="shared" si="67"/>
        <v>854.65497599999981</v>
      </c>
      <c r="K65" s="5">
        <f t="shared" si="67"/>
        <v>754.94522879999931</v>
      </c>
      <c r="L65" s="5">
        <f t="shared" si="67"/>
        <v>792.69249024000055</v>
      </c>
      <c r="M65" s="5">
        <f t="shared" si="67"/>
        <v>832.32711475200267</v>
      </c>
      <c r="N65" s="5"/>
      <c r="O65" s="5"/>
      <c r="P65" s="5"/>
      <c r="Q65" s="5"/>
      <c r="R65" s="5"/>
      <c r="S65" s="5"/>
      <c r="T65" s="5"/>
      <c r="U65" s="5"/>
      <c r="V65" s="5"/>
      <c r="W65" s="5"/>
      <c r="X65" s="5"/>
      <c r="Y65" s="5"/>
      <c r="Z65" s="5"/>
      <c r="AA65" s="5"/>
      <c r="AB65" s="5"/>
      <c r="AC65" s="5"/>
      <c r="AD65" s="5"/>
      <c r="AE65" s="5"/>
    </row>
    <row r="66" spans="2:31" x14ac:dyDescent="0.25">
      <c r="B66" t="s">
        <v>67</v>
      </c>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spans="2:31" x14ac:dyDescent="0.25">
      <c r="B67" s="19" t="s">
        <v>68</v>
      </c>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row>
    <row r="68" spans="2:31" x14ac:dyDescent="0.25">
      <c r="B68" t="s">
        <v>64</v>
      </c>
      <c r="D68" s="5">
        <f>-D64-D65</f>
        <v>-1250</v>
      </c>
      <c r="E68" s="5">
        <f t="shared" ref="E68:H68" si="68">-E64-E65</f>
        <v>-1800</v>
      </c>
      <c r="F68" s="5">
        <f t="shared" si="68"/>
        <v>-1390</v>
      </c>
      <c r="G68" s="5">
        <f t="shared" si="68"/>
        <v>-1470</v>
      </c>
      <c r="H68" s="5">
        <f t="shared" si="68"/>
        <v>-2185.119999999999</v>
      </c>
      <c r="I68" s="5">
        <f t="shared" ref="I68:AE68" si="69">-I64-I65</f>
        <v>-2149.8265600000004</v>
      </c>
      <c r="J68" s="5">
        <f t="shared" si="69"/>
        <v>-2036.9276927999997</v>
      </c>
      <c r="K68" s="5">
        <f t="shared" si="69"/>
        <v>-2008.1543086079994</v>
      </c>
      <c r="L68" s="5">
        <f t="shared" si="69"/>
        <v>-2108.5620240384005</v>
      </c>
      <c r="M68" s="5">
        <f t="shared" si="69"/>
        <v>-2213.9901252403224</v>
      </c>
      <c r="N68" s="5"/>
      <c r="O68" s="5"/>
      <c r="P68" s="5"/>
      <c r="Q68" s="5"/>
      <c r="R68" s="5"/>
      <c r="S68" s="5"/>
      <c r="T68" s="5"/>
      <c r="U68" s="5"/>
      <c r="V68" s="5"/>
      <c r="W68" s="5"/>
      <c r="X68" s="5"/>
      <c r="Y68" s="5"/>
      <c r="Z68" s="5"/>
      <c r="AA68" s="5"/>
      <c r="AB68" s="5"/>
      <c r="AC68" s="5"/>
      <c r="AD68" s="5"/>
      <c r="AE68" s="5"/>
    </row>
    <row r="70" spans="2:31" x14ac:dyDescent="0.25">
      <c r="B70" s="17" t="s">
        <v>37</v>
      </c>
      <c r="C70" s="17"/>
      <c r="D70" s="18">
        <f>+D68+D61</f>
        <v>525</v>
      </c>
      <c r="E70" s="18">
        <f t="shared" ref="E70:H70" si="70">+E68+E61</f>
        <v>35</v>
      </c>
      <c r="F70" s="18">
        <f t="shared" si="70"/>
        <v>595</v>
      </c>
      <c r="G70" s="18">
        <f t="shared" si="70"/>
        <v>615</v>
      </c>
      <c r="H70" s="18">
        <f t="shared" si="70"/>
        <v>437.38222222222294</v>
      </c>
      <c r="I70" s="18">
        <f t="shared" ref="I70:AE70" si="71">+I68+I61</f>
        <v>808.63567644444356</v>
      </c>
      <c r="J70" s="18">
        <f t="shared" si="71"/>
        <v>1068.2703598933324</v>
      </c>
      <c r="K70" s="18">
        <f t="shared" si="71"/>
        <v>1544.5815361536013</v>
      </c>
      <c r="L70" s="18">
        <f t="shared" si="71"/>
        <v>1632.1307696332792</v>
      </c>
      <c r="M70" s="18">
        <f t="shared" si="71"/>
        <v>1679.6074925629418</v>
      </c>
      <c r="N70" s="18"/>
      <c r="O70" s="18"/>
      <c r="P70" s="18"/>
      <c r="Q70" s="18"/>
      <c r="R70" s="18"/>
      <c r="S70" s="18"/>
      <c r="T70" s="18"/>
      <c r="U70" s="18"/>
      <c r="V70" s="18"/>
      <c r="W70" s="18"/>
      <c r="X70" s="18"/>
      <c r="Y70" s="18"/>
      <c r="Z70" s="18"/>
      <c r="AA70" s="18"/>
      <c r="AB70" s="18"/>
      <c r="AC70" s="18"/>
      <c r="AD70" s="18"/>
      <c r="AE70" s="18"/>
    </row>
    <row r="72" spans="2:31" x14ac:dyDescent="0.25">
      <c r="B72" s="5" t="str">
        <f>+B11</f>
        <v>Interest</v>
      </c>
      <c r="C72" s="5"/>
      <c r="D72" s="5">
        <f>+D11</f>
        <v>0</v>
      </c>
      <c r="E72" s="5">
        <f>+E11</f>
        <v>0</v>
      </c>
      <c r="F72" s="5">
        <f>+F11</f>
        <v>0</v>
      </c>
      <c r="G72" s="5">
        <f>+G11</f>
        <v>0</v>
      </c>
      <c r="H72" s="5">
        <f>+H11</f>
        <v>0</v>
      </c>
      <c r="I72" s="5">
        <f t="shared" ref="I72:AE72" si="72">+I11</f>
        <v>0</v>
      </c>
      <c r="J72" s="5">
        <f t="shared" si="72"/>
        <v>51.970628266666672</v>
      </c>
      <c r="K72" s="5">
        <f t="shared" si="72"/>
        <v>111.77878118400001</v>
      </c>
      <c r="L72" s="5">
        <f t="shared" si="72"/>
        <v>175.80157894655997</v>
      </c>
      <c r="M72" s="5">
        <f t="shared" si="72"/>
        <v>245.64439310745601</v>
      </c>
      <c r="N72" s="5"/>
      <c r="O72" s="5"/>
      <c r="P72" s="5"/>
      <c r="Q72" s="5"/>
      <c r="R72" s="5"/>
      <c r="S72" s="5"/>
      <c r="T72" s="5"/>
      <c r="U72" s="5"/>
      <c r="V72" s="5"/>
      <c r="W72" s="5"/>
      <c r="X72" s="5"/>
      <c r="Y72" s="5"/>
      <c r="Z72" s="5"/>
      <c r="AA72" s="5"/>
      <c r="AB72" s="5"/>
      <c r="AC72" s="5"/>
      <c r="AD72" s="5"/>
      <c r="AE72" s="5"/>
    </row>
    <row r="73" spans="2:31" x14ac:dyDescent="0.25">
      <c r="B73" s="19" t="s">
        <v>69</v>
      </c>
      <c r="D73" s="5">
        <f>+D72*D49</f>
        <v>0</v>
      </c>
      <c r="E73" s="5">
        <f t="shared" ref="E73:I73" si="73">+E72*E49</f>
        <v>0</v>
      </c>
      <c r="F73" s="5">
        <f t="shared" si="73"/>
        <v>0</v>
      </c>
      <c r="G73" s="5">
        <f t="shared" si="73"/>
        <v>0</v>
      </c>
      <c r="H73" s="5">
        <f t="shared" si="73"/>
        <v>0</v>
      </c>
      <c r="I73" s="5">
        <f t="shared" si="73"/>
        <v>0</v>
      </c>
      <c r="J73" s="5">
        <f t="shared" ref="J73" si="74">+J72*J49</f>
        <v>10.394125653333335</v>
      </c>
      <c r="K73" s="5">
        <f t="shared" ref="K73" si="75">+K72*K49</f>
        <v>22.355756236800005</v>
      </c>
      <c r="L73" s="5">
        <f t="shared" ref="L73" si="76">+L72*L49</f>
        <v>35.160315789311994</v>
      </c>
      <c r="M73" s="5">
        <f t="shared" ref="M73" si="77">+M72*M49</f>
        <v>49.128878621491197</v>
      </c>
      <c r="N73" s="5"/>
      <c r="O73" s="5"/>
      <c r="P73" s="5"/>
      <c r="Q73" s="5"/>
      <c r="R73" s="5"/>
      <c r="S73" s="5"/>
      <c r="T73" s="5"/>
      <c r="U73" s="5"/>
      <c r="V73" s="5"/>
      <c r="W73" s="5"/>
      <c r="X73" s="5"/>
      <c r="Y73" s="5"/>
      <c r="Z73" s="5"/>
      <c r="AA73" s="5"/>
      <c r="AB73" s="5"/>
      <c r="AC73" s="5"/>
      <c r="AD73" s="5"/>
      <c r="AE73" s="5"/>
    </row>
    <row r="74" spans="2:31" x14ac:dyDescent="0.25">
      <c r="B74" t="s">
        <v>39</v>
      </c>
      <c r="D74" s="5">
        <f>+D27-C27</f>
        <v>0</v>
      </c>
      <c r="E74" s="5">
        <f t="shared" ref="E74:I74" si="78">+E27-D27</f>
        <v>0</v>
      </c>
      <c r="F74" s="5">
        <f t="shared" si="78"/>
        <v>0</v>
      </c>
      <c r="G74" s="5">
        <f t="shared" si="78"/>
        <v>0</v>
      </c>
      <c r="H74" s="5">
        <f t="shared" si="78"/>
        <v>0</v>
      </c>
      <c r="I74" s="5">
        <f t="shared" si="78"/>
        <v>742.43754666666666</v>
      </c>
      <c r="J74" s="5">
        <f t="shared" ref="J74:AE74" si="79">+J27-I27</f>
        <v>854.4021845333333</v>
      </c>
      <c r="K74" s="5">
        <f t="shared" si="79"/>
        <v>914.6113966079995</v>
      </c>
      <c r="L74" s="5">
        <f t="shared" si="79"/>
        <v>997.75448801280027</v>
      </c>
      <c r="M74" s="5">
        <f t="shared" si="79"/>
        <v>175.46028079104099</v>
      </c>
      <c r="N74" s="5"/>
      <c r="O74" s="5"/>
      <c r="P74" s="5"/>
      <c r="Q74" s="5"/>
      <c r="R74" s="5"/>
      <c r="S74" s="5"/>
      <c r="T74" s="5"/>
      <c r="U74" s="5"/>
      <c r="V74" s="5"/>
      <c r="W74" s="5"/>
      <c r="X74" s="5"/>
      <c r="Y74" s="5"/>
      <c r="Z74" s="5"/>
      <c r="AA74" s="5"/>
      <c r="AB74" s="5"/>
      <c r="AC74" s="5"/>
      <c r="AD74" s="5"/>
      <c r="AE74" s="5"/>
    </row>
    <row r="76" spans="2:31" x14ac:dyDescent="0.25">
      <c r="B76" s="17" t="s">
        <v>40</v>
      </c>
      <c r="C76" s="17"/>
      <c r="D76" s="18">
        <f>+D70-D72+D74+D73</f>
        <v>525</v>
      </c>
      <c r="E76" s="18">
        <f t="shared" ref="E76:I76" si="80">+E70-E72+E74+E73</f>
        <v>35</v>
      </c>
      <c r="F76" s="18">
        <f t="shared" si="80"/>
        <v>595</v>
      </c>
      <c r="G76" s="18">
        <f t="shared" si="80"/>
        <v>615</v>
      </c>
      <c r="H76" s="18">
        <f t="shared" si="80"/>
        <v>437.38222222222294</v>
      </c>
      <c r="I76" s="18">
        <f t="shared" si="80"/>
        <v>1551.0732231111101</v>
      </c>
      <c r="J76" s="18">
        <f t="shared" ref="J76:AE76" si="81">+J70-J72+J74+J73</f>
        <v>1881.0960418133322</v>
      </c>
      <c r="K76" s="18">
        <f t="shared" si="81"/>
        <v>2369.769907814401</v>
      </c>
      <c r="L76" s="18">
        <f t="shared" si="81"/>
        <v>2489.2439944888315</v>
      </c>
      <c r="M76" s="18">
        <f t="shared" si="81"/>
        <v>1658.552258868018</v>
      </c>
      <c r="N76" s="18"/>
      <c r="O76" s="18"/>
      <c r="P76" s="18"/>
      <c r="Q76" s="18"/>
      <c r="R76" s="18"/>
      <c r="S76" s="18"/>
      <c r="T76" s="18"/>
      <c r="U76" s="18"/>
      <c r="V76" s="18"/>
      <c r="W76" s="18"/>
      <c r="X76" s="18"/>
      <c r="Y76" s="18"/>
      <c r="Z76" s="18"/>
      <c r="AA76" s="18"/>
      <c r="AB76" s="18"/>
      <c r="AC76" s="18"/>
      <c r="AD76" s="18"/>
      <c r="AE76" s="18"/>
    </row>
    <row r="78" spans="2:31" x14ac:dyDescent="0.25">
      <c r="B78" s="5" t="str">
        <f>+B15</f>
        <v>Dividend</v>
      </c>
      <c r="C78" s="5"/>
      <c r="D78" s="5">
        <f>+D15</f>
        <v>525</v>
      </c>
      <c r="E78" s="5">
        <f>+E15</f>
        <v>35</v>
      </c>
      <c r="F78" s="5">
        <f>+F15</f>
        <v>595</v>
      </c>
      <c r="G78" s="5">
        <f>+G15</f>
        <v>615</v>
      </c>
      <c r="H78" s="5">
        <f>+H15</f>
        <v>437.38222222222316</v>
      </c>
      <c r="I78" s="5">
        <f>+I15</f>
        <v>1551.0732231111081</v>
      </c>
      <c r="J78" s="5">
        <f t="shared" ref="J78:AE78" si="82">+J15</f>
        <v>1881.0960418133332</v>
      </c>
      <c r="K78" s="5">
        <f t="shared" si="82"/>
        <v>2229.7687179264003</v>
      </c>
      <c r="L78" s="5">
        <f t="shared" si="82"/>
        <v>2294.5100668600317</v>
      </c>
      <c r="M78" s="5">
        <f t="shared" si="82"/>
        <v>1658.5522588680174</v>
      </c>
      <c r="N78" s="5"/>
      <c r="O78" s="5"/>
      <c r="P78" s="5"/>
      <c r="Q78" s="5"/>
      <c r="R78" s="5"/>
      <c r="S78" s="5"/>
      <c r="T78" s="5"/>
      <c r="U78" s="5"/>
      <c r="V78" s="5"/>
      <c r="W78" s="5"/>
      <c r="X78" s="5"/>
      <c r="Y78" s="5"/>
      <c r="Z78" s="5"/>
      <c r="AA78" s="5"/>
      <c r="AB78" s="5"/>
      <c r="AC78" s="5"/>
      <c r="AD78" s="5"/>
      <c r="AE78" s="5"/>
    </row>
    <row r="79" spans="2:31" x14ac:dyDescent="0.25">
      <c r="B79" t="s">
        <v>65</v>
      </c>
      <c r="D79" s="5">
        <f>+D28-C28-D16</f>
        <v>0</v>
      </c>
      <c r="E79" s="5">
        <f t="shared" ref="E79:I79" si="83">+E28-D28-E16</f>
        <v>0</v>
      </c>
      <c r="F79" s="5">
        <f t="shared" si="83"/>
        <v>0</v>
      </c>
      <c r="G79" s="5">
        <f t="shared" si="83"/>
        <v>0</v>
      </c>
      <c r="H79" s="5">
        <f t="shared" si="83"/>
        <v>0</v>
      </c>
      <c r="I79" s="5">
        <f t="shared" si="83"/>
        <v>0</v>
      </c>
      <c r="J79" s="5">
        <f t="shared" ref="J79:AE79" si="84">+J28-I28-J16</f>
        <v>0</v>
      </c>
      <c r="K79" s="5">
        <f t="shared" si="84"/>
        <v>-140.00118988800023</v>
      </c>
      <c r="L79" s="5">
        <f t="shared" si="84"/>
        <v>-194.7339276288003</v>
      </c>
      <c r="M79" s="5">
        <f t="shared" si="84"/>
        <v>0</v>
      </c>
      <c r="N79" s="5"/>
      <c r="O79" s="5"/>
      <c r="P79" s="5"/>
      <c r="Q79" s="5"/>
      <c r="R79" s="5"/>
      <c r="S79" s="5"/>
      <c r="T79" s="5"/>
      <c r="U79" s="5"/>
      <c r="V79" s="5"/>
      <c r="W79" s="5"/>
      <c r="X79" s="5"/>
      <c r="Y79" s="5"/>
      <c r="Z79" s="5"/>
      <c r="AA79" s="5"/>
      <c r="AB79" s="5"/>
      <c r="AC79" s="5"/>
      <c r="AD79" s="5"/>
      <c r="AE79" s="5"/>
    </row>
    <row r="81" spans="2:31" x14ac:dyDescent="0.25">
      <c r="B81" t="s">
        <v>66</v>
      </c>
      <c r="D81" s="5">
        <f>+D76-D78+D79</f>
        <v>0</v>
      </c>
      <c r="E81" s="5">
        <f t="shared" ref="E81:I81" si="85">+E76-E78+E79</f>
        <v>0</v>
      </c>
      <c r="F81" s="5">
        <f t="shared" si="85"/>
        <v>0</v>
      </c>
      <c r="G81" s="5">
        <f t="shared" si="85"/>
        <v>0</v>
      </c>
      <c r="H81" s="5">
        <f t="shared" si="85"/>
        <v>-2.2737367544323206E-13</v>
      </c>
      <c r="I81" s="5">
        <f t="shared" si="85"/>
        <v>2.0463630789890885E-12</v>
      </c>
      <c r="J81" s="5">
        <f t="shared" ref="J81:AE81" si="86">+J76-J78+J79</f>
        <v>-9.0949470177292824E-13</v>
      </c>
      <c r="K81" s="5">
        <f t="shared" si="86"/>
        <v>4.5474735088646412E-13</v>
      </c>
      <c r="L81" s="5">
        <f t="shared" si="86"/>
        <v>-4.5474735088646412E-13</v>
      </c>
      <c r="M81" s="5">
        <f t="shared" si="86"/>
        <v>6.8212102632969618E-13</v>
      </c>
      <c r="N81" s="5"/>
      <c r="O81" s="5"/>
      <c r="P81" s="5"/>
      <c r="Q81" s="5"/>
      <c r="R81" s="5"/>
      <c r="S81" s="5"/>
      <c r="T81" s="5"/>
      <c r="U81" s="5"/>
      <c r="V81" s="5"/>
      <c r="W81" s="5"/>
      <c r="X81" s="5"/>
      <c r="Y81" s="5"/>
      <c r="Z81" s="5"/>
      <c r="AA81" s="5"/>
      <c r="AB81" s="5"/>
      <c r="AC81" s="5"/>
      <c r="AD81" s="5"/>
      <c r="AE81" s="5"/>
    </row>
    <row r="86" spans="2:31" x14ac:dyDescent="0.25">
      <c r="C86" s="13">
        <v>120</v>
      </c>
    </row>
    <row r="87" spans="2:31" x14ac:dyDescent="0.25">
      <c r="B87" s="13"/>
      <c r="C87" s="14">
        <v>40</v>
      </c>
      <c r="D87" t="s">
        <v>3</v>
      </c>
    </row>
    <row r="88" spans="2:31" x14ac:dyDescent="0.25">
      <c r="B88" s="13">
        <v>100</v>
      </c>
      <c r="C88" s="14"/>
    </row>
    <row r="89" spans="2:31" x14ac:dyDescent="0.25">
      <c r="B89" s="13"/>
      <c r="C89" s="13">
        <v>60</v>
      </c>
    </row>
    <row r="90" spans="2:31" x14ac:dyDescent="0.25">
      <c r="B90" t="s">
        <v>9</v>
      </c>
    </row>
    <row r="112" spans="2:13" x14ac:dyDescent="0.25">
      <c r="B112" s="5" t="str">
        <f>+B10</f>
        <v>Operational profit</v>
      </c>
      <c r="C112" s="5"/>
      <c r="D112" s="5">
        <f t="shared" ref="D112:M112" si="87">+D10</f>
        <v>1050</v>
      </c>
      <c r="E112" s="5">
        <f t="shared" si="87"/>
        <v>1200</v>
      </c>
      <c r="F112" s="5">
        <f t="shared" si="87"/>
        <v>1210</v>
      </c>
      <c r="G112" s="5">
        <f t="shared" si="87"/>
        <v>1230</v>
      </c>
      <c r="H112" s="5">
        <f t="shared" si="87"/>
        <v>2242.3999999999987</v>
      </c>
      <c r="I112" s="5">
        <f t="shared" si="87"/>
        <v>2532.3110399999987</v>
      </c>
      <c r="J112" s="5">
        <f t="shared" si="87"/>
        <v>2734.8959231999988</v>
      </c>
      <c r="K112" s="5">
        <f t="shared" si="87"/>
        <v>2898.989678592</v>
      </c>
      <c r="L112" s="5">
        <f t="shared" si="87"/>
        <v>3043.9391625215994</v>
      </c>
      <c r="M112" s="5">
        <f t="shared" si="87"/>
        <v>3196.1361206476804</v>
      </c>
    </row>
    <row r="113" spans="2:13" x14ac:dyDescent="0.25">
      <c r="B113" t="s">
        <v>28</v>
      </c>
      <c r="D113" s="5">
        <f>+D112*(1-D43)</f>
        <v>1050</v>
      </c>
      <c r="E113" s="5">
        <f t="shared" ref="E113:M113" si="88">+E112*(1-E43)</f>
        <v>1200</v>
      </c>
      <c r="F113" s="5">
        <f t="shared" si="88"/>
        <v>1210</v>
      </c>
      <c r="G113" s="5">
        <f t="shared" si="88"/>
        <v>1230</v>
      </c>
      <c r="H113" s="5">
        <f t="shared" si="88"/>
        <v>1793.9199999999992</v>
      </c>
      <c r="I113" s="5">
        <f t="shared" si="88"/>
        <v>2025.848831999999</v>
      </c>
      <c r="J113" s="5">
        <f t="shared" si="88"/>
        <v>2187.916738559999</v>
      </c>
      <c r="K113" s="5">
        <f t="shared" si="88"/>
        <v>2319.1917428736001</v>
      </c>
      <c r="L113" s="5">
        <f t="shared" si="88"/>
        <v>2435.1513300172796</v>
      </c>
      <c r="M113" s="5">
        <f t="shared" si="88"/>
        <v>2556.9088965181445</v>
      </c>
    </row>
    <row r="114" spans="2:13" x14ac:dyDescent="0.25">
      <c r="B114" t="s">
        <v>3</v>
      </c>
      <c r="D114" s="5">
        <f>+D9</f>
        <v>750</v>
      </c>
      <c r="E114" s="5">
        <f t="shared" ref="E114:M114" si="89">+E9</f>
        <v>800</v>
      </c>
      <c r="F114" s="5">
        <f t="shared" si="89"/>
        <v>890</v>
      </c>
      <c r="G114" s="5">
        <f t="shared" si="89"/>
        <v>970</v>
      </c>
      <c r="H114" s="5">
        <f t="shared" si="89"/>
        <v>996</v>
      </c>
      <c r="I114" s="5">
        <f t="shared" si="89"/>
        <v>1094.69696</v>
      </c>
      <c r="J114" s="5">
        <f t="shared" si="89"/>
        <v>1182.2727167999999</v>
      </c>
      <c r="K114" s="5">
        <f t="shared" si="89"/>
        <v>1253.2090798080001</v>
      </c>
      <c r="L114" s="5">
        <f t="shared" si="89"/>
        <v>1315.8695337984</v>
      </c>
      <c r="M114" s="5">
        <f t="shared" si="89"/>
        <v>1381.66301048832</v>
      </c>
    </row>
    <row r="115" spans="2:13" x14ac:dyDescent="0.25">
      <c r="B115" t="s">
        <v>29</v>
      </c>
      <c r="D115" s="5">
        <f>+D113+D114</f>
        <v>1800</v>
      </c>
      <c r="E115" s="5">
        <f t="shared" ref="E115:M115" si="90">+E113+E114</f>
        <v>2000</v>
      </c>
      <c r="F115" s="5">
        <f t="shared" si="90"/>
        <v>2100</v>
      </c>
      <c r="G115" s="5">
        <f t="shared" si="90"/>
        <v>2200</v>
      </c>
      <c r="H115" s="5">
        <f t="shared" si="90"/>
        <v>2789.9199999999992</v>
      </c>
      <c r="I115" s="5">
        <f t="shared" si="90"/>
        <v>3120.545791999999</v>
      </c>
      <c r="J115" s="5">
        <f t="shared" si="90"/>
        <v>3370.1894553599986</v>
      </c>
      <c r="K115" s="5">
        <f t="shared" si="90"/>
        <v>3572.4008226816004</v>
      </c>
      <c r="L115" s="5">
        <f t="shared" si="90"/>
        <v>3751.0208638156796</v>
      </c>
      <c r="M115" s="5">
        <f t="shared" si="90"/>
        <v>3938.5719070064642</v>
      </c>
    </row>
    <row r="116" spans="2:13" x14ac:dyDescent="0.25">
      <c r="B116" t="s">
        <v>30</v>
      </c>
      <c r="D116" s="5">
        <f>+C22-D22</f>
        <v>-15</v>
      </c>
      <c r="E116" s="5">
        <f t="shared" ref="E116:M116" si="91">+D22-E22</f>
        <v>-5</v>
      </c>
      <c r="F116" s="5">
        <f t="shared" si="91"/>
        <v>-5</v>
      </c>
      <c r="G116" s="5">
        <f t="shared" si="91"/>
        <v>-15</v>
      </c>
      <c r="H116" s="5">
        <f t="shared" si="91"/>
        <v>-22.457777777777778</v>
      </c>
      <c r="I116" s="5">
        <f t="shared" si="91"/>
        <v>-21.294933333333319</v>
      </c>
      <c r="J116" s="5">
        <f t="shared" si="91"/>
        <v>-15.900216888888906</v>
      </c>
      <c r="K116" s="5">
        <f t="shared" si="91"/>
        <v>-12.879175679999975</v>
      </c>
      <c r="L116" s="5">
        <f t="shared" si="91"/>
        <v>-11.376605183999999</v>
      </c>
      <c r="M116" s="5">
        <f t="shared" si="91"/>
        <v>-11.945435443199983</v>
      </c>
    </row>
    <row r="117" spans="2:13" x14ac:dyDescent="0.25">
      <c r="B117" t="s">
        <v>31</v>
      </c>
      <c r="D117" s="5">
        <f>+C23-D23</f>
        <v>0</v>
      </c>
      <c r="E117" s="5">
        <f t="shared" ref="E117:M117" si="92">+D23-E23</f>
        <v>0</v>
      </c>
      <c r="F117" s="5">
        <f t="shared" si="92"/>
        <v>0</v>
      </c>
      <c r="G117" s="5">
        <f t="shared" si="92"/>
        <v>0</v>
      </c>
      <c r="H117" s="5">
        <f t="shared" si="92"/>
        <v>-81.777777777777771</v>
      </c>
      <c r="I117" s="5">
        <f t="shared" si="92"/>
        <v>-147.19999999999996</v>
      </c>
      <c r="J117" s="5">
        <f t="shared" si="92"/>
        <v>-265.61422222222222</v>
      </c>
      <c r="K117" s="5">
        <f t="shared" si="92"/>
        <v>-29.675519999999949</v>
      </c>
      <c r="L117" s="5">
        <f t="shared" si="92"/>
        <v>-26.213376000000039</v>
      </c>
      <c r="M117" s="5">
        <f t="shared" si="92"/>
        <v>-27.524044799999956</v>
      </c>
    </row>
    <row r="118" spans="2:13" x14ac:dyDescent="0.25">
      <c r="B118" t="s">
        <v>32</v>
      </c>
      <c r="D118" s="5">
        <f>+C24-D24</f>
        <v>30</v>
      </c>
      <c r="E118" s="5">
        <f t="shared" ref="E118:M118" si="93">+D24-E24</f>
        <v>-70</v>
      </c>
      <c r="F118" s="5">
        <f t="shared" si="93"/>
        <v>-30</v>
      </c>
      <c r="G118" s="5">
        <f t="shared" si="93"/>
        <v>-20</v>
      </c>
      <c r="H118" s="5">
        <f t="shared" si="93"/>
        <v>-68.799999999999955</v>
      </c>
      <c r="I118" s="5">
        <f t="shared" si="93"/>
        <v>-70.655999999999949</v>
      </c>
      <c r="J118" s="5">
        <f t="shared" si="93"/>
        <v>-52.75648000000001</v>
      </c>
      <c r="K118" s="5">
        <f t="shared" si="93"/>
        <v>-42.732748799999968</v>
      </c>
      <c r="L118" s="5">
        <f t="shared" si="93"/>
        <v>-37.747261439999988</v>
      </c>
      <c r="M118" s="5">
        <f t="shared" si="93"/>
        <v>-39.634624512000073</v>
      </c>
    </row>
    <row r="119" spans="2:13" x14ac:dyDescent="0.25">
      <c r="B119" t="s">
        <v>33</v>
      </c>
      <c r="D119" s="5">
        <f>+D26-C26</f>
        <v>50</v>
      </c>
      <c r="E119" s="5">
        <f t="shared" ref="E119:M119" si="94">+E26-D26</f>
        <v>20</v>
      </c>
      <c r="F119" s="5">
        <f t="shared" si="94"/>
        <v>20</v>
      </c>
      <c r="G119" s="5">
        <f t="shared" si="94"/>
        <v>10</v>
      </c>
      <c r="H119" s="5">
        <f t="shared" si="94"/>
        <v>5.6177777777778033</v>
      </c>
      <c r="I119" s="5">
        <f t="shared" si="94"/>
        <v>77.067377777777722</v>
      </c>
      <c r="J119" s="5">
        <f t="shared" si="94"/>
        <v>69.279516444444425</v>
      </c>
      <c r="K119" s="5">
        <f t="shared" si="94"/>
        <v>65.622466560000021</v>
      </c>
      <c r="L119" s="5">
        <f t="shared" si="94"/>
        <v>65.009172479999961</v>
      </c>
      <c r="M119" s="5">
        <f t="shared" si="94"/>
        <v>34.129815551999855</v>
      </c>
    </row>
    <row r="120" spans="2:13" x14ac:dyDescent="0.25">
      <c r="B120" t="s">
        <v>34</v>
      </c>
      <c r="D120" s="5">
        <f>+D115+D116+D117+D118+D119</f>
        <v>1865</v>
      </c>
      <c r="E120" s="5">
        <f t="shared" ref="E120:M120" si="95">+E115+E116+E117+E118+E119</f>
        <v>1945</v>
      </c>
      <c r="F120" s="5">
        <f t="shared" si="95"/>
        <v>2085</v>
      </c>
      <c r="G120" s="5">
        <f t="shared" si="95"/>
        <v>2175</v>
      </c>
      <c r="H120" s="5">
        <f t="shared" si="95"/>
        <v>2622.5022222222219</v>
      </c>
      <c r="I120" s="5">
        <f t="shared" si="95"/>
        <v>2958.462236444444</v>
      </c>
      <c r="J120" s="5">
        <f t="shared" si="95"/>
        <v>3105.1980526933321</v>
      </c>
      <c r="K120" s="5">
        <f t="shared" si="95"/>
        <v>3552.7358447616007</v>
      </c>
      <c r="L120" s="5">
        <f t="shared" si="95"/>
        <v>3740.6927936716797</v>
      </c>
      <c r="M120" s="5">
        <f t="shared" si="95"/>
        <v>3893.5976178032643</v>
      </c>
    </row>
    <row r="121" spans="2:13" x14ac:dyDescent="0.25">
      <c r="B121" t="s">
        <v>35</v>
      </c>
      <c r="D121" s="5">
        <f>+C21-D21</f>
        <v>-500</v>
      </c>
      <c r="E121" s="5">
        <f t="shared" ref="E121:M121" si="96">+D21-E21</f>
        <v>-1000</v>
      </c>
      <c r="F121" s="5">
        <f t="shared" si="96"/>
        <v>-500</v>
      </c>
      <c r="G121" s="5">
        <f t="shared" si="96"/>
        <v>-500</v>
      </c>
      <c r="H121" s="5">
        <f t="shared" si="96"/>
        <v>-1189.119999999999</v>
      </c>
      <c r="I121" s="5">
        <f t="shared" si="96"/>
        <v>-1055.1296000000002</v>
      </c>
      <c r="J121" s="5">
        <f t="shared" si="96"/>
        <v>-854.65497599999981</v>
      </c>
      <c r="K121" s="5">
        <f t="shared" si="96"/>
        <v>-754.94522879999931</v>
      </c>
      <c r="L121" s="5">
        <f t="shared" si="96"/>
        <v>-792.69249024000055</v>
      </c>
      <c r="M121" s="5">
        <f t="shared" si="96"/>
        <v>-832.32711475200267</v>
      </c>
    </row>
    <row r="122" spans="2:13" x14ac:dyDescent="0.25">
      <c r="B122" t="s">
        <v>3</v>
      </c>
      <c r="D122" s="5">
        <f>-D114</f>
        <v>-750</v>
      </c>
      <c r="E122" s="5">
        <f t="shared" ref="E122:M122" si="97">-E114</f>
        <v>-800</v>
      </c>
      <c r="F122" s="5">
        <f t="shared" si="97"/>
        <v>-890</v>
      </c>
      <c r="G122" s="5">
        <f t="shared" si="97"/>
        <v>-970</v>
      </c>
      <c r="H122" s="5">
        <f t="shared" si="97"/>
        <v>-996</v>
      </c>
      <c r="I122" s="5">
        <f t="shared" si="97"/>
        <v>-1094.69696</v>
      </c>
      <c r="J122" s="5">
        <f t="shared" si="97"/>
        <v>-1182.2727167999999</v>
      </c>
      <c r="K122" s="5">
        <f t="shared" si="97"/>
        <v>-1253.2090798080001</v>
      </c>
      <c r="L122" s="5">
        <f t="shared" si="97"/>
        <v>-1315.8695337984</v>
      </c>
      <c r="M122" s="5">
        <f t="shared" si="97"/>
        <v>-1381.66301048832</v>
      </c>
    </row>
    <row r="123" spans="2:13" x14ac:dyDescent="0.25">
      <c r="B123" t="s">
        <v>36</v>
      </c>
      <c r="D123" s="5">
        <f>+D121+D122</f>
        <v>-1250</v>
      </c>
      <c r="E123" s="5">
        <f t="shared" ref="E123:M123" si="98">+E121+E122</f>
        <v>-1800</v>
      </c>
      <c r="F123" s="5">
        <f t="shared" si="98"/>
        <v>-1390</v>
      </c>
      <c r="G123" s="5">
        <f t="shared" si="98"/>
        <v>-1470</v>
      </c>
      <c r="H123" s="5">
        <f t="shared" si="98"/>
        <v>-2185.119999999999</v>
      </c>
      <c r="I123" s="5">
        <f t="shared" si="98"/>
        <v>-2149.8265600000004</v>
      </c>
      <c r="J123" s="5">
        <f t="shared" si="98"/>
        <v>-2036.9276927999997</v>
      </c>
      <c r="K123" s="5">
        <f t="shared" si="98"/>
        <v>-2008.1543086079994</v>
      </c>
      <c r="L123" s="5">
        <f t="shared" si="98"/>
        <v>-2108.5620240384005</v>
      </c>
      <c r="M123" s="5">
        <f t="shared" si="98"/>
        <v>-2213.9901252403224</v>
      </c>
    </row>
    <row r="124" spans="2:13" x14ac:dyDescent="0.25">
      <c r="B124" t="s">
        <v>37</v>
      </c>
      <c r="D124" s="5">
        <f>+D123+D120</f>
        <v>615</v>
      </c>
      <c r="E124" s="5">
        <f t="shared" ref="E124:M124" si="99">+E123+E120</f>
        <v>145</v>
      </c>
      <c r="F124" s="5">
        <f t="shared" si="99"/>
        <v>695</v>
      </c>
      <c r="G124" s="5">
        <f t="shared" si="99"/>
        <v>705</v>
      </c>
      <c r="H124" s="5">
        <f t="shared" si="99"/>
        <v>437.38222222222294</v>
      </c>
      <c r="I124" s="5">
        <f t="shared" si="99"/>
        <v>808.63567644444356</v>
      </c>
      <c r="J124" s="5">
        <f t="shared" si="99"/>
        <v>1068.2703598933324</v>
      </c>
      <c r="K124" s="5">
        <f t="shared" si="99"/>
        <v>1544.5815361536013</v>
      </c>
      <c r="L124" s="5">
        <f t="shared" si="99"/>
        <v>1632.1307696332792</v>
      </c>
      <c r="M124" s="5">
        <f t="shared" si="99"/>
        <v>1679.6074925629418</v>
      </c>
    </row>
    <row r="125" spans="2:13" x14ac:dyDescent="0.25">
      <c r="B125" t="str">
        <f>+B11</f>
        <v>Interest</v>
      </c>
      <c r="D125" s="5">
        <f>-D11</f>
        <v>0</v>
      </c>
      <c r="E125" s="5">
        <f t="shared" ref="E125:M125" si="100">-E11</f>
        <v>0</v>
      </c>
      <c r="F125" s="5">
        <f t="shared" si="100"/>
        <v>0</v>
      </c>
      <c r="G125" s="5">
        <f t="shared" si="100"/>
        <v>0</v>
      </c>
      <c r="H125" s="5">
        <f t="shared" si="100"/>
        <v>0</v>
      </c>
      <c r="I125" s="5">
        <f t="shared" si="100"/>
        <v>0</v>
      </c>
      <c r="J125" s="5">
        <f t="shared" si="100"/>
        <v>-51.970628266666672</v>
      </c>
      <c r="K125" s="5">
        <f t="shared" si="100"/>
        <v>-111.77878118400001</v>
      </c>
      <c r="L125" s="5">
        <f t="shared" si="100"/>
        <v>-175.80157894655997</v>
      </c>
      <c r="M125" s="5">
        <f t="shared" si="100"/>
        <v>-245.64439310745601</v>
      </c>
    </row>
    <row r="126" spans="2:13" x14ac:dyDescent="0.25">
      <c r="B126" t="s">
        <v>38</v>
      </c>
      <c r="D126" s="5">
        <f>-D125*D43</f>
        <v>0</v>
      </c>
      <c r="E126" s="5">
        <f t="shared" ref="E126:M126" si="101">-E125*E43</f>
        <v>0</v>
      </c>
      <c r="F126" s="5">
        <f t="shared" si="101"/>
        <v>0</v>
      </c>
      <c r="G126" s="5">
        <f t="shared" si="101"/>
        <v>0</v>
      </c>
      <c r="H126" s="5">
        <f t="shared" si="101"/>
        <v>0</v>
      </c>
      <c r="I126" s="5">
        <f t="shared" si="101"/>
        <v>0</v>
      </c>
      <c r="J126" s="5">
        <f t="shared" si="101"/>
        <v>10.394125653333335</v>
      </c>
      <c r="K126" s="5">
        <f t="shared" si="101"/>
        <v>22.355756236800005</v>
      </c>
      <c r="L126" s="5">
        <f t="shared" si="101"/>
        <v>35.160315789311994</v>
      </c>
      <c r="M126" s="5">
        <f t="shared" si="101"/>
        <v>49.128878621491204</v>
      </c>
    </row>
    <row r="127" spans="2:13" x14ac:dyDescent="0.25">
      <c r="B127" t="s">
        <v>39</v>
      </c>
      <c r="D127" s="5">
        <f>+D27-C27</f>
        <v>0</v>
      </c>
      <c r="E127" s="5">
        <f t="shared" ref="E127:M127" si="102">+E27-D27</f>
        <v>0</v>
      </c>
      <c r="F127" s="5">
        <f t="shared" si="102"/>
        <v>0</v>
      </c>
      <c r="G127" s="5">
        <f t="shared" si="102"/>
        <v>0</v>
      </c>
      <c r="H127" s="5">
        <f t="shared" si="102"/>
        <v>0</v>
      </c>
      <c r="I127" s="5">
        <f t="shared" si="102"/>
        <v>742.43754666666666</v>
      </c>
      <c r="J127" s="5">
        <f t="shared" si="102"/>
        <v>854.4021845333333</v>
      </c>
      <c r="K127" s="5">
        <f t="shared" si="102"/>
        <v>914.6113966079995</v>
      </c>
      <c r="L127" s="5">
        <f t="shared" si="102"/>
        <v>997.75448801280027</v>
      </c>
      <c r="M127" s="5">
        <f t="shared" si="102"/>
        <v>175.46028079104099</v>
      </c>
    </row>
    <row r="128" spans="2:13" x14ac:dyDescent="0.25">
      <c r="B128" t="s">
        <v>40</v>
      </c>
      <c r="D128" s="5">
        <f>SUM(D124:D127)</f>
        <v>615</v>
      </c>
      <c r="E128" s="5">
        <f t="shared" ref="E128:M128" si="103">SUM(E124:E127)</f>
        <v>145</v>
      </c>
      <c r="F128" s="5">
        <f t="shared" si="103"/>
        <v>695</v>
      </c>
      <c r="G128" s="5">
        <f t="shared" si="103"/>
        <v>705</v>
      </c>
      <c r="H128" s="5">
        <f t="shared" si="103"/>
        <v>437.38222222222294</v>
      </c>
      <c r="I128" s="5">
        <f t="shared" si="103"/>
        <v>1551.0732231111101</v>
      </c>
      <c r="J128" s="5">
        <f t="shared" si="103"/>
        <v>1881.0960418133322</v>
      </c>
      <c r="K128" s="5">
        <f t="shared" si="103"/>
        <v>2369.7699078144005</v>
      </c>
      <c r="L128" s="5">
        <f t="shared" si="103"/>
        <v>2489.2439944888315</v>
      </c>
      <c r="M128" s="5">
        <f t="shared" si="103"/>
        <v>1658.552258868018</v>
      </c>
    </row>
    <row r="129" spans="2:13" x14ac:dyDescent="0.25">
      <c r="B129" t="str">
        <f>+B15</f>
        <v>Dividend</v>
      </c>
      <c r="D129" s="5">
        <f>-D15</f>
        <v>-525</v>
      </c>
      <c r="E129" s="5">
        <f t="shared" ref="E129:M129" si="104">-E15</f>
        <v>-35</v>
      </c>
      <c r="F129" s="5">
        <f t="shared" si="104"/>
        <v>-595</v>
      </c>
      <c r="G129" s="5">
        <f t="shared" si="104"/>
        <v>-615</v>
      </c>
      <c r="H129" s="5">
        <f t="shared" si="104"/>
        <v>-437.38222222222316</v>
      </c>
      <c r="I129" s="5">
        <f t="shared" si="104"/>
        <v>-1551.0732231111081</v>
      </c>
      <c r="J129" s="5">
        <f t="shared" si="104"/>
        <v>-1881.0960418133332</v>
      </c>
      <c r="K129" s="5">
        <f t="shared" si="104"/>
        <v>-2229.7687179264003</v>
      </c>
      <c r="L129" s="5">
        <f t="shared" si="104"/>
        <v>-2294.5100668600317</v>
      </c>
      <c r="M129" s="5">
        <f t="shared" si="104"/>
        <v>-1658.5522588680174</v>
      </c>
    </row>
    <row r="130" spans="2:13" x14ac:dyDescent="0.25">
      <c r="B130" t="s">
        <v>41</v>
      </c>
      <c r="D130" s="5">
        <f>+D28-C28-D16</f>
        <v>0</v>
      </c>
      <c r="E130" s="5">
        <f t="shared" ref="E130:M130" si="105">+E28-D28-E16</f>
        <v>0</v>
      </c>
      <c r="F130" s="5">
        <f t="shared" si="105"/>
        <v>0</v>
      </c>
      <c r="G130" s="5">
        <f t="shared" si="105"/>
        <v>0</v>
      </c>
      <c r="H130" s="5">
        <f t="shared" si="105"/>
        <v>0</v>
      </c>
      <c r="I130" s="5">
        <f t="shared" si="105"/>
        <v>0</v>
      </c>
      <c r="J130" s="5">
        <f t="shared" si="105"/>
        <v>0</v>
      </c>
      <c r="K130" s="5">
        <f t="shared" si="105"/>
        <v>-140.00118988800023</v>
      </c>
      <c r="L130" s="5">
        <f t="shared" si="105"/>
        <v>-194.7339276288003</v>
      </c>
      <c r="M130" s="5">
        <f t="shared" si="105"/>
        <v>0</v>
      </c>
    </row>
    <row r="131" spans="2:13" x14ac:dyDescent="0.25">
      <c r="B131" t="s">
        <v>42</v>
      </c>
      <c r="D131" s="5">
        <f>+D128+D129+D130</f>
        <v>90</v>
      </c>
      <c r="E131" s="5">
        <f t="shared" ref="E131:M131" si="106">+E128+E129+E130</f>
        <v>110</v>
      </c>
      <c r="F131" s="5">
        <f t="shared" si="106"/>
        <v>100</v>
      </c>
      <c r="G131" s="5">
        <f t="shared" si="106"/>
        <v>90</v>
      </c>
      <c r="H131" s="5">
        <f t="shared" si="106"/>
        <v>-2.2737367544323206E-13</v>
      </c>
      <c r="I131" s="5">
        <f t="shared" si="106"/>
        <v>2.0463630789890885E-12</v>
      </c>
      <c r="J131" s="5">
        <f t="shared" si="106"/>
        <v>-9.0949470177292824E-13</v>
      </c>
      <c r="K131" s="5">
        <f t="shared" si="106"/>
        <v>0</v>
      </c>
      <c r="L131" s="5">
        <f t="shared" si="106"/>
        <v>-4.5474735088646412E-13</v>
      </c>
      <c r="M131" s="5">
        <f t="shared" si="106"/>
        <v>6.8212102632969618E-13</v>
      </c>
    </row>
    <row r="134" spans="2:13" x14ac:dyDescent="0.25">
      <c r="B134" t="s">
        <v>43</v>
      </c>
      <c r="D134" s="5">
        <f>+C27+C28</f>
        <v>9745</v>
      </c>
      <c r="E134" s="5">
        <f t="shared" ref="E134:M134" si="107">+D27+D28</f>
        <v>10180</v>
      </c>
      <c r="F134" s="5">
        <f t="shared" si="107"/>
        <v>11235</v>
      </c>
      <c r="G134" s="5">
        <f t="shared" si="107"/>
        <v>11750</v>
      </c>
      <c r="H134" s="5">
        <f t="shared" si="107"/>
        <v>12275</v>
      </c>
      <c r="I134" s="5">
        <f t="shared" si="107"/>
        <v>13631.537777777776</v>
      </c>
      <c r="J134" s="5">
        <f t="shared" si="107"/>
        <v>14848.750933333333</v>
      </c>
      <c r="K134" s="5">
        <f t="shared" si="107"/>
        <v>15968.397311999999</v>
      </c>
      <c r="L134" s="5">
        <f t="shared" si="107"/>
        <v>16743.007518719998</v>
      </c>
      <c r="M134" s="5">
        <f t="shared" si="107"/>
        <v>17546.028079103999</v>
      </c>
    </row>
    <row r="135" spans="2:13" x14ac:dyDescent="0.25">
      <c r="B135" t="s">
        <v>48</v>
      </c>
      <c r="D135" s="5">
        <f>+E134-D134</f>
        <v>435</v>
      </c>
      <c r="E135" s="5">
        <f t="shared" ref="E135:M135" si="108">+F134-E134</f>
        <v>1055</v>
      </c>
      <c r="F135" s="5">
        <f t="shared" si="108"/>
        <v>515</v>
      </c>
      <c r="G135" s="5">
        <f t="shared" si="108"/>
        <v>525</v>
      </c>
      <c r="H135" s="5">
        <f t="shared" si="108"/>
        <v>1356.5377777777758</v>
      </c>
      <c r="I135" s="5">
        <f t="shared" si="108"/>
        <v>1217.213155555557</v>
      </c>
      <c r="J135" s="5">
        <f t="shared" si="108"/>
        <v>1119.6463786666664</v>
      </c>
      <c r="K135" s="5">
        <f t="shared" si="108"/>
        <v>774.61020671999904</v>
      </c>
      <c r="L135" s="5">
        <f t="shared" si="108"/>
        <v>803.02056038400042</v>
      </c>
      <c r="M135" s="5">
        <f t="shared" si="108"/>
        <v>-17546.028079103999</v>
      </c>
    </row>
    <row r="136" spans="2:13" x14ac:dyDescent="0.25">
      <c r="B136" t="s">
        <v>28</v>
      </c>
      <c r="D136" s="5">
        <f>+D113</f>
        <v>1050</v>
      </c>
      <c r="E136" s="5">
        <f t="shared" ref="E136:M136" si="109">+E113</f>
        <v>1200</v>
      </c>
      <c r="F136" s="5">
        <f t="shared" si="109"/>
        <v>1210</v>
      </c>
      <c r="G136" s="5">
        <f t="shared" si="109"/>
        <v>1230</v>
      </c>
      <c r="H136" s="5">
        <f t="shared" si="109"/>
        <v>1793.9199999999992</v>
      </c>
      <c r="I136" s="5">
        <f t="shared" si="109"/>
        <v>2025.848831999999</v>
      </c>
      <c r="J136" s="5">
        <f t="shared" si="109"/>
        <v>2187.916738559999</v>
      </c>
      <c r="K136" s="5">
        <f t="shared" si="109"/>
        <v>2319.1917428736001</v>
      </c>
      <c r="L136" s="5">
        <f t="shared" si="109"/>
        <v>2435.1513300172796</v>
      </c>
      <c r="M136" s="5">
        <f t="shared" si="109"/>
        <v>2556.9088965181445</v>
      </c>
    </row>
    <row r="137" spans="2:13" x14ac:dyDescent="0.25">
      <c r="B137" t="s">
        <v>37</v>
      </c>
      <c r="D137" s="5">
        <f>+D124</f>
        <v>615</v>
      </c>
      <c r="E137" s="5">
        <f t="shared" ref="E137:M137" si="110">+E124</f>
        <v>145</v>
      </c>
      <c r="F137" s="5">
        <f t="shared" si="110"/>
        <v>695</v>
      </c>
      <c r="G137" s="5">
        <f t="shared" si="110"/>
        <v>705</v>
      </c>
      <c r="H137" s="5">
        <f t="shared" si="110"/>
        <v>437.38222222222294</v>
      </c>
      <c r="I137" s="5">
        <f t="shared" si="110"/>
        <v>808.63567644444356</v>
      </c>
      <c r="J137" s="5">
        <f t="shared" si="110"/>
        <v>1068.2703598933324</v>
      </c>
      <c r="K137" s="5">
        <f t="shared" si="110"/>
        <v>1544.5815361536013</v>
      </c>
      <c r="L137" s="5">
        <f t="shared" si="110"/>
        <v>1632.1307696332792</v>
      </c>
      <c r="M137" s="5">
        <f t="shared" si="110"/>
        <v>1679.6074925629418</v>
      </c>
    </row>
    <row r="138" spans="2:13" x14ac:dyDescent="0.25">
      <c r="B138" t="s">
        <v>46</v>
      </c>
      <c r="D138" s="4">
        <f>+E113/D113-1</f>
        <v>0.14285714285714279</v>
      </c>
      <c r="E138" s="4">
        <f t="shared" ref="E138:L138" si="111">+F113/E113-1</f>
        <v>8.3333333333333037E-3</v>
      </c>
      <c r="F138" s="4">
        <f t="shared" si="111"/>
        <v>1.6528925619834656E-2</v>
      </c>
      <c r="G138" s="4">
        <f t="shared" si="111"/>
        <v>0.45847154471544638</v>
      </c>
      <c r="H138" s="4">
        <f t="shared" si="111"/>
        <v>0.12928605066000709</v>
      </c>
      <c r="I138" s="4">
        <f t="shared" si="111"/>
        <v>8.0000000000000071E-2</v>
      </c>
      <c r="J138" s="4">
        <f t="shared" si="111"/>
        <v>6.0000000000000497E-2</v>
      </c>
      <c r="K138" s="4">
        <f t="shared" si="111"/>
        <v>4.9999999999999822E-2</v>
      </c>
      <c r="L138" s="4">
        <f t="shared" si="111"/>
        <v>5.0000000000000266E-2</v>
      </c>
      <c r="M138" s="4"/>
    </row>
    <row r="139" spans="2:13" x14ac:dyDescent="0.25">
      <c r="B139" t="s">
        <v>44</v>
      </c>
      <c r="D139" s="4">
        <f>+D136/D134</f>
        <v>0.10774756285274499</v>
      </c>
      <c r="E139" s="4">
        <f t="shared" ref="E139:M139" si="112">+E136/E134</f>
        <v>0.11787819253438114</v>
      </c>
      <c r="F139" s="4">
        <f t="shared" si="112"/>
        <v>0.10769915442812639</v>
      </c>
      <c r="G139" s="4">
        <f t="shared" si="112"/>
        <v>0.10468085106382979</v>
      </c>
      <c r="H139" s="4">
        <f t="shared" si="112"/>
        <v>0.14614419551934821</v>
      </c>
      <c r="I139" s="4">
        <f t="shared" si="112"/>
        <v>0.14861484192213084</v>
      </c>
      <c r="J139" s="4">
        <f t="shared" si="112"/>
        <v>0.14734685418208729</v>
      </c>
      <c r="K139" s="4">
        <f t="shared" si="112"/>
        <v>0.14523635012079542</v>
      </c>
      <c r="L139" s="4">
        <f t="shared" si="112"/>
        <v>0.14544288577154307</v>
      </c>
      <c r="M139" s="4">
        <f t="shared" si="112"/>
        <v>0.14572579531906887</v>
      </c>
    </row>
    <row r="140" spans="2:13" x14ac:dyDescent="0.25">
      <c r="B140" t="s">
        <v>45</v>
      </c>
      <c r="E140" s="4">
        <f>+(E136-D136)/D135</f>
        <v>0.34482758620689657</v>
      </c>
      <c r="F140" s="4">
        <f t="shared" ref="F140:M140" si="113">+(F136-E136)/E135</f>
        <v>9.4786729857819912E-3</v>
      </c>
      <c r="G140" s="4">
        <f t="shared" si="113"/>
        <v>3.8834951456310676E-2</v>
      </c>
      <c r="H140" s="4">
        <f t="shared" si="113"/>
        <v>1.0741333333333318</v>
      </c>
      <c r="I140" s="4">
        <f t="shared" si="113"/>
        <v>0.17097115598205903</v>
      </c>
      <c r="J140" s="4">
        <f t="shared" si="113"/>
        <v>0.13314669318212338</v>
      </c>
      <c r="K140" s="4">
        <f t="shared" si="113"/>
        <v>0.1172468440168853</v>
      </c>
      <c r="L140" s="4">
        <f t="shared" si="113"/>
        <v>0.14970056699187781</v>
      </c>
      <c r="M140" s="4">
        <f t="shared" si="113"/>
        <v>0.15162446954364531</v>
      </c>
    </row>
    <row r="141" spans="2:13" x14ac:dyDescent="0.25">
      <c r="B141" t="s">
        <v>47</v>
      </c>
      <c r="D141" s="4">
        <f>+D135/D136</f>
        <v>0.41428571428571431</v>
      </c>
      <c r="E141" s="4">
        <f t="shared" ref="E141:M141" si="114">+E135/E136</f>
        <v>0.87916666666666665</v>
      </c>
      <c r="F141" s="4">
        <f t="shared" si="114"/>
        <v>0.42561983471074383</v>
      </c>
      <c r="G141" s="4">
        <f t="shared" si="114"/>
        <v>0.42682926829268292</v>
      </c>
      <c r="H141" s="4">
        <f t="shared" si="114"/>
        <v>0.75618632814048359</v>
      </c>
      <c r="I141" s="4">
        <f t="shared" si="114"/>
        <v>0.60084105799437937</v>
      </c>
      <c r="J141" s="4">
        <f t="shared" si="114"/>
        <v>0.51174085326646102</v>
      </c>
      <c r="K141" s="4">
        <f t="shared" si="114"/>
        <v>0.33400007097309531</v>
      </c>
      <c r="L141" s="4">
        <f t="shared" si="114"/>
        <v>0.32976207699515014</v>
      </c>
      <c r="M141" s="4">
        <f t="shared" si="114"/>
        <v>-6.8622030698853598</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Juhász</dc:creator>
  <cp:lastModifiedBy>Juhász Péter</cp:lastModifiedBy>
  <dcterms:created xsi:type="dcterms:W3CDTF">2023-11-05T11:18:39Z</dcterms:created>
  <dcterms:modified xsi:type="dcterms:W3CDTF">2024-11-05T16:07:15Z</dcterms:modified>
</cp:coreProperties>
</file>