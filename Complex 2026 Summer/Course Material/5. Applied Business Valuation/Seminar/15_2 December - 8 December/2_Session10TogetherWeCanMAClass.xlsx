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Aktualis\2024ősz\Applied Business Valuation\Week5\"/>
    </mc:Choice>
  </mc:AlternateContent>
  <xr:revisionPtr revIDLastSave="0" documentId="13_ncr:1_{A914081F-FD23-49E7-BD12-2578454B351B}" xr6:coauthVersionLast="47" xr6:coauthVersionMax="47" xr10:uidLastSave="{00000000-0000-0000-0000-000000000000}"/>
  <bookViews>
    <workbookView xWindow="-120" yWindow="-120" windowWidth="19440" windowHeight="14880" activeTab="2" xr2:uid="{B869E576-A99B-4FEA-906C-625D59485636}"/>
  </bookViews>
  <sheets>
    <sheet name="Base case" sheetId="1" r:id="rId1"/>
    <sheet name="Base case (2)" sheetId="2" r:id="rId2"/>
    <sheet name="Half siz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2" l="1"/>
  <c r="H12" i="3"/>
  <c r="G45" i="3"/>
  <c r="N43" i="3"/>
  <c r="M35" i="3"/>
  <c r="I35" i="3"/>
  <c r="H35" i="3"/>
  <c r="G35" i="3"/>
  <c r="F35" i="3"/>
  <c r="E35" i="3"/>
  <c r="D35" i="3"/>
  <c r="D34" i="3"/>
  <c r="D36" i="3" s="1"/>
  <c r="S31" i="3"/>
  <c r="R31" i="3"/>
  <c r="Q31" i="3"/>
  <c r="P31" i="3"/>
  <c r="O31" i="3"/>
  <c r="N31" i="3"/>
  <c r="M31" i="3"/>
  <c r="S30" i="3"/>
  <c r="R30" i="3"/>
  <c r="Q30" i="3"/>
  <c r="S29" i="3"/>
  <c r="R29" i="3"/>
  <c r="Q29" i="3"/>
  <c r="P29" i="3"/>
  <c r="O29" i="3"/>
  <c r="N29" i="3"/>
  <c r="M29" i="3"/>
  <c r="O28" i="3"/>
  <c r="N35" i="3" s="1"/>
  <c r="D26" i="3"/>
  <c r="D38" i="3" s="1"/>
  <c r="M25" i="3"/>
  <c r="M26" i="3" s="1"/>
  <c r="M38" i="3" s="1"/>
  <c r="P23" i="3"/>
  <c r="M23" i="3"/>
  <c r="N23" i="3" s="1"/>
  <c r="G23" i="3"/>
  <c r="E23" i="3"/>
  <c r="D13" i="3"/>
  <c r="D12" i="3"/>
  <c r="D14" i="3" s="1"/>
  <c r="D15" i="3" s="1"/>
  <c r="D16" i="3" s="1"/>
  <c r="D3" i="3"/>
  <c r="G65" i="2"/>
  <c r="G64" i="2"/>
  <c r="G63" i="2"/>
  <c r="G58" i="2"/>
  <c r="J58" i="2"/>
  <c r="J56" i="2"/>
  <c r="J54" i="2"/>
  <c r="I54" i="2"/>
  <c r="O44" i="2"/>
  <c r="O45" i="2"/>
  <c r="O43" i="2"/>
  <c r="M45" i="2"/>
  <c r="M44" i="2"/>
  <c r="N43" i="2"/>
  <c r="M43" i="2"/>
  <c r="G54" i="2"/>
  <c r="G52" i="2"/>
  <c r="G51" i="2"/>
  <c r="G50" i="2"/>
  <c r="G45" i="2"/>
  <c r="M35" i="2"/>
  <c r="I35" i="2"/>
  <c r="H35" i="2"/>
  <c r="G35" i="2"/>
  <c r="F35" i="2"/>
  <c r="E35" i="2"/>
  <c r="D35" i="2"/>
  <c r="D34" i="2"/>
  <c r="S31" i="2"/>
  <c r="R31" i="2"/>
  <c r="Q31" i="2"/>
  <c r="P31" i="2"/>
  <c r="O31" i="2"/>
  <c r="N31" i="2"/>
  <c r="M31" i="2"/>
  <c r="S30" i="2"/>
  <c r="R30" i="2"/>
  <c r="Q30" i="2"/>
  <c r="S29" i="2"/>
  <c r="R29" i="2"/>
  <c r="Q29" i="2"/>
  <c r="P29" i="2"/>
  <c r="O29" i="2"/>
  <c r="N29" i="2"/>
  <c r="M29" i="2"/>
  <c r="O28" i="2"/>
  <c r="P28" i="2" s="1"/>
  <c r="D26" i="2"/>
  <c r="D38" i="2" s="1"/>
  <c r="M25" i="2"/>
  <c r="M34" i="2" s="1"/>
  <c r="P23" i="2"/>
  <c r="M23" i="2"/>
  <c r="G23" i="2"/>
  <c r="E23" i="2"/>
  <c r="D13" i="2"/>
  <c r="D12" i="2"/>
  <c r="D14" i="2" s="1"/>
  <c r="D15" i="2" s="1"/>
  <c r="D16" i="2" s="1"/>
  <c r="G9" i="2"/>
  <c r="G10" i="2" s="1"/>
  <c r="D3" i="2"/>
  <c r="O39" i="1"/>
  <c r="O100" i="1"/>
  <c r="O91" i="1"/>
  <c r="N96" i="1" s="1"/>
  <c r="P91" i="1"/>
  <c r="O96" i="1" s="1"/>
  <c r="N91" i="1"/>
  <c r="O89" i="1"/>
  <c r="P89" i="1"/>
  <c r="Q89" i="1"/>
  <c r="R89" i="1"/>
  <c r="S89" i="1"/>
  <c r="N89" i="1"/>
  <c r="M88" i="1"/>
  <c r="M95" i="1" s="1"/>
  <c r="M92" i="1"/>
  <c r="N92" i="1"/>
  <c r="O92" i="1"/>
  <c r="P92" i="1"/>
  <c r="Q91" i="1"/>
  <c r="R91" i="1"/>
  <c r="S91" i="1"/>
  <c r="Q92" i="1"/>
  <c r="R92" i="1"/>
  <c r="S92" i="1"/>
  <c r="N90" i="1"/>
  <c r="O90" i="1"/>
  <c r="P90" i="1"/>
  <c r="Q90" i="1"/>
  <c r="R90" i="1"/>
  <c r="S90" i="1"/>
  <c r="M90" i="1"/>
  <c r="M84" i="1"/>
  <c r="N84" i="1" s="1"/>
  <c r="P84" i="1"/>
  <c r="O80" i="1"/>
  <c r="O58" i="1"/>
  <c r="G68" i="1"/>
  <c r="F68" i="1"/>
  <c r="H68" i="1" s="1"/>
  <c r="N60" i="1"/>
  <c r="N61" i="1"/>
  <c r="R71" i="1"/>
  <c r="S71" i="1"/>
  <c r="Q71" i="1"/>
  <c r="N72" i="1"/>
  <c r="O72" i="1"/>
  <c r="P72" i="1"/>
  <c r="Q72" i="1"/>
  <c r="R72" i="1"/>
  <c r="S72" i="1"/>
  <c r="N70" i="1"/>
  <c r="O70" i="1"/>
  <c r="P70" i="1"/>
  <c r="Q70" i="1"/>
  <c r="R70" i="1"/>
  <c r="S70" i="1"/>
  <c r="M70" i="1"/>
  <c r="M72" i="1"/>
  <c r="O71" i="1"/>
  <c r="P71" i="1"/>
  <c r="N71" i="1"/>
  <c r="M76" i="1" s="1"/>
  <c r="M64" i="1"/>
  <c r="M66" i="1"/>
  <c r="M67" i="1" s="1"/>
  <c r="M79" i="1" s="1"/>
  <c r="N76" i="1"/>
  <c r="P64" i="1"/>
  <c r="N64" i="1"/>
  <c r="M61" i="1"/>
  <c r="M60" i="1"/>
  <c r="M42" i="1"/>
  <c r="N42" i="1" s="1"/>
  <c r="M44" i="1"/>
  <c r="M53" i="1" s="1"/>
  <c r="R49" i="1"/>
  <c r="S49" i="1"/>
  <c r="Q49" i="1"/>
  <c r="N48" i="1"/>
  <c r="O48" i="1"/>
  <c r="P48" i="1"/>
  <c r="Q48" i="1"/>
  <c r="R48" i="1"/>
  <c r="S48" i="1"/>
  <c r="N50" i="1"/>
  <c r="O50" i="1"/>
  <c r="P50" i="1"/>
  <c r="Q50" i="1"/>
  <c r="R50" i="1"/>
  <c r="S50" i="1"/>
  <c r="M50" i="1"/>
  <c r="M48" i="1"/>
  <c r="N54" i="1"/>
  <c r="M54" i="1"/>
  <c r="O47" i="1"/>
  <c r="P47" i="1" s="1"/>
  <c r="P42" i="1"/>
  <c r="G15" i="1"/>
  <c r="G13" i="1"/>
  <c r="G42" i="1"/>
  <c r="G12" i="1"/>
  <c r="G46" i="1"/>
  <c r="G44" i="1"/>
  <c r="G45" i="1"/>
  <c r="G43" i="1"/>
  <c r="G41" i="1"/>
  <c r="M38" i="1"/>
  <c r="R35" i="1"/>
  <c r="Q35" i="1"/>
  <c r="P35" i="1"/>
  <c r="O35" i="1"/>
  <c r="N35" i="1"/>
  <c r="M35" i="1"/>
  <c r="M34" i="1"/>
  <c r="M36" i="1" s="1"/>
  <c r="D39" i="1"/>
  <c r="D38" i="1"/>
  <c r="G37" i="1"/>
  <c r="F37" i="1" s="1"/>
  <c r="E37" i="1" s="1"/>
  <c r="D37" i="1" s="1"/>
  <c r="H37" i="1"/>
  <c r="I37" i="1"/>
  <c r="F34" i="1"/>
  <c r="G34" i="1" s="1"/>
  <c r="F35" i="1"/>
  <c r="G35" i="1"/>
  <c r="H35" i="1"/>
  <c r="I35" i="1"/>
  <c r="E35" i="1"/>
  <c r="E36" i="1" s="1"/>
  <c r="E34" i="1"/>
  <c r="D36" i="1"/>
  <c r="D35" i="1"/>
  <c r="D34" i="1"/>
  <c r="G10" i="1"/>
  <c r="G9" i="1"/>
  <c r="D16" i="1"/>
  <c r="D15" i="1"/>
  <c r="D14" i="1"/>
  <c r="D13" i="1"/>
  <c r="D12" i="1"/>
  <c r="M23" i="1"/>
  <c r="D3" i="1"/>
  <c r="P28" i="1"/>
  <c r="Q28" i="1" s="1"/>
  <c r="R28" i="1" s="1"/>
  <c r="S28" i="1" s="1"/>
  <c r="O28" i="1"/>
  <c r="D26" i="1"/>
  <c r="M25" i="1"/>
  <c r="M26" i="1"/>
  <c r="R30" i="1"/>
  <c r="S30" i="1"/>
  <c r="Q30" i="1"/>
  <c r="N29" i="1"/>
  <c r="O29" i="1"/>
  <c r="P29" i="1"/>
  <c r="Q29" i="1"/>
  <c r="R29" i="1"/>
  <c r="S29" i="1"/>
  <c r="N31" i="1"/>
  <c r="O31" i="1"/>
  <c r="P31" i="1"/>
  <c r="Q31" i="1"/>
  <c r="R31" i="1"/>
  <c r="S31" i="1"/>
  <c r="M31" i="1"/>
  <c r="M29" i="1"/>
  <c r="P23" i="1"/>
  <c r="N23" i="1"/>
  <c r="G23" i="1"/>
  <c r="E23" i="1"/>
  <c r="M34" i="3" l="1"/>
  <c r="M36" i="3" s="1"/>
  <c r="G9" i="3"/>
  <c r="G43" i="3"/>
  <c r="M45" i="3"/>
  <c r="O45" i="3" s="1"/>
  <c r="P28" i="3"/>
  <c r="E34" i="3"/>
  <c r="M26" i="2"/>
  <c r="M38" i="2" s="1"/>
  <c r="G43" i="2" s="1"/>
  <c r="N35" i="2"/>
  <c r="M36" i="2"/>
  <c r="Q28" i="2"/>
  <c r="R28" i="2" s="1"/>
  <c r="S28" i="2" s="1"/>
  <c r="R35" i="2" s="1"/>
  <c r="O35" i="2"/>
  <c r="N23" i="2"/>
  <c r="N34" i="2"/>
  <c r="D36" i="2"/>
  <c r="E34" i="2"/>
  <c r="R96" i="1"/>
  <c r="Q96" i="1"/>
  <c r="P96" i="1"/>
  <c r="M96" i="1"/>
  <c r="N95" i="1"/>
  <c r="M97" i="1"/>
  <c r="M87" i="1"/>
  <c r="M99" i="1" s="1"/>
  <c r="H69" i="1"/>
  <c r="M75" i="1"/>
  <c r="M77" i="1" s="1"/>
  <c r="Q47" i="1"/>
  <c r="O54" i="1"/>
  <c r="N53" i="1"/>
  <c r="M55" i="1"/>
  <c r="M45" i="1"/>
  <c r="M57" i="1" s="1"/>
  <c r="N34" i="1"/>
  <c r="H34" i="1"/>
  <c r="G36" i="1"/>
  <c r="F36" i="1"/>
  <c r="N34" i="3" l="1"/>
  <c r="N36" i="3"/>
  <c r="O34" i="3"/>
  <c r="E36" i="3"/>
  <c r="F34" i="3"/>
  <c r="O35" i="3"/>
  <c r="Q28" i="3"/>
  <c r="G10" i="3"/>
  <c r="E36" i="2"/>
  <c r="F34" i="2"/>
  <c r="O34" i="2"/>
  <c r="N36" i="2"/>
  <c r="Q35" i="2"/>
  <c r="P35" i="2"/>
  <c r="O95" i="1"/>
  <c r="N97" i="1"/>
  <c r="N75" i="1"/>
  <c r="N77" i="1" s="1"/>
  <c r="O76" i="1"/>
  <c r="O53" i="1"/>
  <c r="N55" i="1"/>
  <c r="R47" i="1"/>
  <c r="P54" i="1"/>
  <c r="N36" i="1"/>
  <c r="O34" i="1"/>
  <c r="I34" i="1"/>
  <c r="I36" i="1" s="1"/>
  <c r="H36" i="1"/>
  <c r="P35" i="3" l="1"/>
  <c r="R28" i="3"/>
  <c r="F36" i="3"/>
  <c r="G34" i="3"/>
  <c r="O36" i="3"/>
  <c r="P34" i="3"/>
  <c r="P34" i="2"/>
  <c r="O36" i="2"/>
  <c r="F36" i="2"/>
  <c r="G34" i="2"/>
  <c r="P95" i="1"/>
  <c r="O97" i="1"/>
  <c r="O75" i="1"/>
  <c r="P75" i="1" s="1"/>
  <c r="P76" i="1"/>
  <c r="S47" i="1"/>
  <c r="R54" i="1" s="1"/>
  <c r="Q54" i="1"/>
  <c r="P53" i="1"/>
  <c r="O55" i="1"/>
  <c r="O36" i="1"/>
  <c r="P34" i="1"/>
  <c r="P36" i="3" l="1"/>
  <c r="Q34" i="3"/>
  <c r="G36" i="3"/>
  <c r="H34" i="3"/>
  <c r="Q35" i="3"/>
  <c r="S28" i="3"/>
  <c r="R35" i="3" s="1"/>
  <c r="G36" i="2"/>
  <c r="H34" i="2"/>
  <c r="Q34" i="2"/>
  <c r="P36" i="2"/>
  <c r="Q95" i="1"/>
  <c r="P97" i="1"/>
  <c r="O77" i="1"/>
  <c r="P77" i="1"/>
  <c r="Q75" i="1"/>
  <c r="Q76" i="1"/>
  <c r="R76" i="1"/>
  <c r="P55" i="1"/>
  <c r="Q53" i="1"/>
  <c r="P36" i="1"/>
  <c r="Q34" i="1"/>
  <c r="H36" i="3" l="1"/>
  <c r="I34" i="3"/>
  <c r="I36" i="3" s="1"/>
  <c r="I37" i="3" s="1"/>
  <c r="Q36" i="3"/>
  <c r="R34" i="3"/>
  <c r="R36" i="3" s="1"/>
  <c r="R37" i="3" s="1"/>
  <c r="Q36" i="2"/>
  <c r="R34" i="2"/>
  <c r="R36" i="2" s="1"/>
  <c r="R37" i="2" s="1"/>
  <c r="H36" i="2"/>
  <c r="I34" i="2"/>
  <c r="I36" i="2" s="1"/>
  <c r="I37" i="2" s="1"/>
  <c r="R95" i="1"/>
  <c r="R97" i="1" s="1"/>
  <c r="R98" i="1" s="1"/>
  <c r="Q97" i="1"/>
  <c r="Q77" i="1"/>
  <c r="R75" i="1"/>
  <c r="R77" i="1" s="1"/>
  <c r="R78" i="1" s="1"/>
  <c r="Q55" i="1"/>
  <c r="R53" i="1"/>
  <c r="R55" i="1" s="1"/>
  <c r="R56" i="1" s="1"/>
  <c r="R34" i="1"/>
  <c r="R36" i="1" s="1"/>
  <c r="R37" i="1" s="1"/>
  <c r="Q36" i="1"/>
  <c r="Q37" i="1" s="1"/>
  <c r="P37" i="1"/>
  <c r="O37" i="1" s="1"/>
  <c r="N37" i="1" s="1"/>
  <c r="M37" i="1" s="1"/>
  <c r="M39" i="1" s="1"/>
  <c r="Q37" i="3" l="1"/>
  <c r="P37" i="3" s="1"/>
  <c r="O37" i="3" s="1"/>
  <c r="N37" i="3" s="1"/>
  <c r="M37" i="3" s="1"/>
  <c r="H37" i="3"/>
  <c r="G37" i="3" s="1"/>
  <c r="F37" i="3" s="1"/>
  <c r="E37" i="3" s="1"/>
  <c r="D37" i="3" s="1"/>
  <c r="D39" i="3" s="1"/>
  <c r="H37" i="2"/>
  <c r="G37" i="2" s="1"/>
  <c r="F37" i="2" s="1"/>
  <c r="E37" i="2" s="1"/>
  <c r="D37" i="2" s="1"/>
  <c r="D39" i="2" s="1"/>
  <c r="Q37" i="2"/>
  <c r="P37" i="2" s="1"/>
  <c r="O37" i="2" s="1"/>
  <c r="N37" i="2" s="1"/>
  <c r="M37" i="2" s="1"/>
  <c r="Q98" i="1"/>
  <c r="P98" i="1" s="1"/>
  <c r="O98" i="1" s="1"/>
  <c r="N98" i="1" s="1"/>
  <c r="M98" i="1" s="1"/>
  <c r="Q78" i="1"/>
  <c r="P78" i="1" s="1"/>
  <c r="O78" i="1" s="1"/>
  <c r="N78" i="1" s="1"/>
  <c r="M78" i="1" s="1"/>
  <c r="M80" i="1" s="1"/>
  <c r="Q56" i="1"/>
  <c r="P56" i="1" s="1"/>
  <c r="O56" i="1" s="1"/>
  <c r="N56" i="1" s="1"/>
  <c r="M56" i="1" s="1"/>
  <c r="M58" i="1" s="1"/>
  <c r="M43" i="3" l="1"/>
  <c r="O43" i="3" s="1"/>
  <c r="G42" i="3"/>
  <c r="G12" i="3" s="1"/>
  <c r="M39" i="3"/>
  <c r="G13" i="3"/>
  <c r="G15" i="3" s="1"/>
  <c r="G13" i="2"/>
  <c r="G15" i="2" s="1"/>
  <c r="G42" i="2"/>
  <c r="G12" i="2" s="1"/>
  <c r="M39" i="2"/>
  <c r="M100" i="1"/>
  <c r="G41" i="3" l="1"/>
  <c r="M44" i="3"/>
  <c r="O44" i="3" s="1"/>
  <c r="G44" i="3"/>
  <c r="G46" i="3" s="1"/>
  <c r="G50" i="3" s="1"/>
  <c r="G44" i="2"/>
  <c r="G46" i="2" s="1"/>
  <c r="G41" i="2"/>
  <c r="G51" i="3" l="1"/>
  <c r="G52" i="3" s="1"/>
  <c r="I54" i="3" l="1"/>
  <c r="G54" i="3"/>
  <c r="G58" i="3" s="1"/>
  <c r="G63" i="3" l="1"/>
  <c r="G64" i="3" s="1"/>
  <c r="G65" i="3" s="1"/>
  <c r="J54" i="3"/>
  <c r="J56" i="3" l="1"/>
  <c r="J58" i="3" s="1"/>
</calcChain>
</file>

<file path=xl/sharedStrings.xml><?xml version="1.0" encoding="utf-8"?>
<sst xmlns="http://schemas.openxmlformats.org/spreadsheetml/2006/main" count="270" uniqueCount="59">
  <si>
    <t>WACC</t>
  </si>
  <si>
    <t>g</t>
  </si>
  <si>
    <t>Toy Story</t>
  </si>
  <si>
    <t>TV</t>
  </si>
  <si>
    <t>RONIC</t>
  </si>
  <si>
    <t>ROIC</t>
  </si>
  <si>
    <t>t</t>
  </si>
  <si>
    <t>WSIA before</t>
  </si>
  <si>
    <t>IC boy</t>
  </si>
  <si>
    <t>WSIA+Toy Story</t>
  </si>
  <si>
    <t>RONIC long term</t>
  </si>
  <si>
    <t>g long term</t>
  </si>
  <si>
    <t>Additional IC</t>
  </si>
  <si>
    <t>Debt</t>
  </si>
  <si>
    <t>Debt boy</t>
  </si>
  <si>
    <t>Transaction costs</t>
  </si>
  <si>
    <t>Seller</t>
  </si>
  <si>
    <t>Buyer</t>
  </si>
  <si>
    <t>Number of shares</t>
  </si>
  <si>
    <t>Noplat</t>
  </si>
  <si>
    <t>K</t>
  </si>
  <si>
    <t>FCFF</t>
  </si>
  <si>
    <t>V boy</t>
  </si>
  <si>
    <t>E boy</t>
  </si>
  <si>
    <t>Min Price</t>
  </si>
  <si>
    <t>Min Price with trx costs</t>
  </si>
  <si>
    <t>D boy</t>
  </si>
  <si>
    <t>dE</t>
  </si>
  <si>
    <t>Synergy</t>
  </si>
  <si>
    <t>dD</t>
  </si>
  <si>
    <t>dIC</t>
  </si>
  <si>
    <t>Max Price: E target + Syn</t>
  </si>
  <si>
    <t>Synergy focus on Vs!</t>
  </si>
  <si>
    <t>Max Price: V joint after - V Buyer before - dIC - D target</t>
  </si>
  <si>
    <t>Max Price with trx costs</t>
  </si>
  <si>
    <t>Sales syn</t>
  </si>
  <si>
    <t>Cost syn</t>
  </si>
  <si>
    <t>V=FCFF/(WACC-g)=FCFF*1/(WACC-g)</t>
  </si>
  <si>
    <t>1/(WA CC-g)</t>
  </si>
  <si>
    <t>dFCFF</t>
  </si>
  <si>
    <t>1) Additive</t>
  </si>
  <si>
    <t>2) Multiplicative</t>
  </si>
  <si>
    <t>V</t>
  </si>
  <si>
    <t>3) Dependent</t>
  </si>
  <si>
    <t>Price</t>
  </si>
  <si>
    <t>40% Cash</t>
  </si>
  <si>
    <t>60% Stake</t>
  </si>
  <si>
    <t>%ownership</t>
  </si>
  <si>
    <t>Total V</t>
  </si>
  <si>
    <t>Total E</t>
  </si>
  <si>
    <t>Total D</t>
  </si>
  <si>
    <t>dBV</t>
  </si>
  <si>
    <t>Stake</t>
  </si>
  <si>
    <t>Stake value</t>
  </si>
  <si>
    <t>Contribution to fresh equity</t>
  </si>
  <si>
    <t>Old shares</t>
  </si>
  <si>
    <t>Stakeof old owners</t>
  </si>
  <si>
    <t>Total number shares</t>
  </si>
  <si>
    <t>New shares to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</si>
</sst>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s>
  <fills count="11">
    <fill>
      <patternFill patternType="none"/>
    </fill>
    <fill>
      <patternFill patternType="gray125"/>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9" tint="0.39997558519241921"/>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9" fontId="0" fillId="0" borderId="0" xfId="0" applyNumberFormat="1"/>
    <xf numFmtId="4" fontId="0" fillId="0" borderId="0" xfId="0" applyNumberFormat="1"/>
    <xf numFmtId="0" fontId="2" fillId="0" borderId="0" xfId="0" applyFont="1" applyAlignment="1">
      <alignment horizontal="center"/>
    </xf>
    <xf numFmtId="10" fontId="0" fillId="0" borderId="0" xfId="0" applyNumberFormat="1"/>
    <xf numFmtId="10" fontId="0" fillId="0" borderId="0" xfId="1" applyNumberFormat="1" applyFont="1"/>
    <xf numFmtId="10" fontId="0" fillId="2" borderId="0" xfId="0" applyNumberFormat="1" applyFill="1"/>
    <xf numFmtId="10" fontId="0" fillId="3" borderId="0" xfId="0" applyNumberFormat="1" applyFill="1"/>
    <xf numFmtId="4" fontId="0" fillId="3" borderId="0" xfId="0" applyNumberFormat="1" applyFill="1"/>
    <xf numFmtId="4" fontId="0" fillId="0" borderId="0" xfId="1" applyNumberFormat="1" applyFont="1"/>
    <xf numFmtId="0" fontId="2" fillId="4" borderId="0" xfId="0" applyFont="1" applyFill="1"/>
    <xf numFmtId="4" fontId="2" fillId="4" borderId="0" xfId="0" applyNumberFormat="1" applyFont="1" applyFill="1"/>
    <xf numFmtId="0" fontId="2" fillId="5" borderId="0" xfId="0" applyFont="1" applyFill="1"/>
    <xf numFmtId="4" fontId="2" fillId="5" borderId="0" xfId="0" applyNumberFormat="1" applyFont="1" applyFill="1"/>
    <xf numFmtId="0" fontId="0" fillId="5" borderId="0" xfId="0" applyFill="1"/>
    <xf numFmtId="0" fontId="0" fillId="0" borderId="1" xfId="0" applyBorder="1"/>
    <xf numFmtId="4" fontId="0" fillId="0" borderId="2" xfId="0" applyNumberFormat="1" applyBorder="1"/>
    <xf numFmtId="0" fontId="0" fillId="0" borderId="3" xfId="0" applyBorder="1"/>
    <xf numFmtId="4" fontId="0" fillId="0" borderId="4" xfId="0" applyNumberFormat="1" applyBorder="1"/>
    <xf numFmtId="0" fontId="0" fillId="0" borderId="0" xfId="0" applyAlignment="1">
      <alignment wrapText="1"/>
    </xf>
    <xf numFmtId="0" fontId="0" fillId="6" borderId="0" xfId="0" applyFill="1"/>
    <xf numFmtId="0" fontId="2" fillId="6" borderId="0" xfId="0" applyFont="1" applyFill="1"/>
    <xf numFmtId="4" fontId="2" fillId="6" borderId="0" xfId="0" applyNumberFormat="1" applyFont="1" applyFill="1"/>
    <xf numFmtId="0" fontId="2" fillId="6" borderId="5" xfId="0" applyFont="1" applyFill="1" applyBorder="1"/>
    <xf numFmtId="4" fontId="2" fillId="6" borderId="6" xfId="0" applyNumberFormat="1" applyFont="1" applyFill="1" applyBorder="1"/>
    <xf numFmtId="10" fontId="0" fillId="7" borderId="0" xfId="0" applyNumberFormat="1" applyFill="1"/>
    <xf numFmtId="0" fontId="0" fillId="7" borderId="0" xfId="0" applyFill="1"/>
    <xf numFmtId="0" fontId="0" fillId="8" borderId="0" xfId="0" applyFill="1"/>
    <xf numFmtId="4" fontId="0" fillId="9" borderId="0" xfId="0" applyNumberFormat="1" applyFill="1"/>
    <xf numFmtId="4" fontId="2" fillId="9" borderId="0" xfId="0" applyNumberFormat="1" applyFont="1" applyFill="1"/>
    <xf numFmtId="4" fontId="0" fillId="10" borderId="0" xfId="0" applyNumberFormat="1"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10</xdr:col>
      <xdr:colOff>21772</xdr:colOff>
      <xdr:row>0</xdr:row>
      <xdr:rowOff>174172</xdr:rowOff>
    </xdr:from>
    <xdr:to>
      <xdr:col>21</xdr:col>
      <xdr:colOff>359229</xdr:colOff>
      <xdr:row>20</xdr:row>
      <xdr:rowOff>76200</xdr:rowOff>
    </xdr:to>
    <xdr:sp macro="" textlink="">
      <xdr:nvSpPr>
        <xdr:cNvPr id="2" name="Szövegdoboz 1">
          <a:extLst>
            <a:ext uri="{FF2B5EF4-FFF2-40B4-BE49-F238E27FC236}">
              <a16:creationId xmlns:a16="http://schemas.microsoft.com/office/drawing/2014/main" id="{5DDCD563-CD55-2DCB-5696-58C704F1E452}"/>
            </a:ext>
          </a:extLst>
        </xdr:cNvPr>
        <xdr:cNvSpPr txBox="1"/>
      </xdr:nvSpPr>
      <xdr:spPr>
        <a:xfrm>
          <a:off x="8273143" y="2389415"/>
          <a:ext cx="8164286" cy="3929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dk1"/>
              </a:solidFill>
              <a:effectLst/>
              <a:latin typeface="+mn-lt"/>
              <a:ea typeface="+mn-ea"/>
              <a:cs typeface="+mn-cs"/>
            </a:rPr>
            <a:t>Together We Can</a:t>
          </a:r>
          <a:endParaRPr lang="hu-HU" sz="14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r>
            <a:rPr lang="hu-HU" sz="1200">
              <a:solidFill>
                <a:schemeClr val="dk1"/>
              </a:solidFill>
              <a:effectLst/>
              <a:latin typeface="+mn-lt"/>
              <a:ea typeface="+mn-ea"/>
              <a:cs typeface="+mn-cs"/>
            </a:rPr>
            <a:t>  </a:t>
          </a:r>
          <a:r>
            <a:rPr lang="en-GB" sz="1200">
              <a:solidFill>
                <a:schemeClr val="dk1"/>
              </a:solidFill>
              <a:effectLst/>
              <a:latin typeface="+mn-lt"/>
              <a:ea typeface="+mn-ea"/>
              <a:cs typeface="+mn-cs"/>
            </a:rPr>
            <a:t>Albert teamed up with Julian some ten years ago. They opened a toy retail shop, Toy Story, where they both had 50% ownership, but as Albert acted as a COE for a depressed wage, he received 60% of the dividends. Now, the huge grocery chain, WSIA (We Sell It All)</a:t>
          </a:r>
          <a:r>
            <a:rPr lang="hu-HU" sz="1200">
              <a:solidFill>
                <a:schemeClr val="dk1"/>
              </a:solidFill>
              <a:effectLst/>
              <a:latin typeface="+mn-lt"/>
              <a:ea typeface="+mn-ea"/>
              <a:cs typeface="+mn-cs"/>
            </a:rPr>
            <a:t> Co. </a:t>
          </a:r>
          <a:r>
            <a:rPr lang="en-GB" sz="1200">
              <a:solidFill>
                <a:schemeClr val="dk1"/>
              </a:solidFill>
              <a:effectLst/>
              <a:latin typeface="+mn-lt"/>
              <a:ea typeface="+mn-ea"/>
              <a:cs typeface="+mn-cs"/>
            </a:rPr>
            <a:t>has contacted them with a takeover offer. WSIA expects both to extend its operation with toy coverage and go online using the established web shop of Toy Story after some initial investment financed up to 50 percent from debt. </a:t>
          </a:r>
          <a:endParaRPr lang="hu-HU" sz="1200">
            <a:solidFill>
              <a:schemeClr val="dk1"/>
            </a:solidFill>
            <a:effectLst/>
            <a:latin typeface="+mn-lt"/>
            <a:ea typeface="+mn-ea"/>
            <a:cs typeface="+mn-cs"/>
          </a:endParaRPr>
        </a:p>
        <a:p>
          <a:r>
            <a:rPr lang="hu-HU" sz="1200">
              <a:solidFill>
                <a:schemeClr val="dk1"/>
              </a:solidFill>
              <a:effectLst/>
              <a:latin typeface="+mn-lt"/>
              <a:ea typeface="+mn-ea"/>
              <a:cs typeface="+mn-cs"/>
            </a:rPr>
            <a:t>  </a:t>
          </a:r>
          <a:r>
            <a:rPr lang="en-GB" sz="1200">
              <a:solidFill>
                <a:schemeClr val="dk1"/>
              </a:solidFill>
              <a:effectLst/>
              <a:latin typeface="+mn-lt"/>
              <a:ea typeface="+mn-ea"/>
              <a:cs typeface="+mn-cs"/>
            </a:rPr>
            <a:t>WSIA analysis predicts that thanks to some cost advantages (joint accounting, HR, one CEO), the joint ROIC will be higher than the weigh</a:t>
          </a:r>
          <a:r>
            <a:rPr lang="hu-HU" sz="1200">
              <a:solidFill>
                <a:schemeClr val="dk1"/>
              </a:solidFill>
              <a:effectLst/>
              <a:latin typeface="+mn-lt"/>
              <a:ea typeface="+mn-ea"/>
              <a:cs typeface="+mn-cs"/>
            </a:rPr>
            <a:t>t</a:t>
          </a:r>
          <a:r>
            <a:rPr lang="en-GB" sz="1200">
              <a:solidFill>
                <a:schemeClr val="dk1"/>
              </a:solidFill>
              <a:effectLst/>
              <a:latin typeface="+mn-lt"/>
              <a:ea typeface="+mn-ea"/>
              <a:cs typeface="+mn-cs"/>
            </a:rPr>
            <a:t>e</a:t>
          </a:r>
          <a:r>
            <a:rPr lang="hu-HU" sz="1200">
              <a:solidFill>
                <a:schemeClr val="dk1"/>
              </a:solidFill>
              <a:effectLst/>
              <a:latin typeface="+mn-lt"/>
              <a:ea typeface="+mn-ea"/>
              <a:cs typeface="+mn-cs"/>
            </a:rPr>
            <a:t>d</a:t>
          </a:r>
          <a:r>
            <a:rPr lang="en-GB" sz="1200">
              <a:solidFill>
                <a:schemeClr val="dk1"/>
              </a:solidFill>
              <a:effectLst/>
              <a:latin typeface="+mn-lt"/>
              <a:ea typeface="+mn-ea"/>
              <a:cs typeface="+mn-cs"/>
            </a:rPr>
            <a:t> average, and the growth will also be boosted for a short period.</a:t>
          </a:r>
          <a:r>
            <a:rPr lang="hu-HU" sz="1200">
              <a:solidFill>
                <a:schemeClr val="dk1"/>
              </a:solidFill>
              <a:effectLst/>
              <a:latin typeface="+mn-lt"/>
              <a:ea typeface="+mn-ea"/>
              <a:cs typeface="+mn-cs"/>
            </a:rPr>
            <a:t> WSIA will apply it current D/IC strategy</a:t>
          </a:r>
          <a:r>
            <a:rPr lang="hu-HU" sz="1200" baseline="0">
              <a:solidFill>
                <a:schemeClr val="dk1"/>
              </a:solidFill>
              <a:effectLst/>
              <a:latin typeface="+mn-lt"/>
              <a:ea typeface="+mn-ea"/>
              <a:cs typeface="+mn-cs"/>
            </a:rPr>
            <a:t> after the transaction, while WACC is kept at the same level.</a:t>
          </a:r>
          <a:endParaRPr lang="hu-HU" sz="12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1. </a:t>
          </a:r>
          <a:r>
            <a:rPr lang="en-GB" sz="1200">
              <a:solidFill>
                <a:schemeClr val="dk1"/>
              </a:solidFill>
              <a:effectLst/>
              <a:latin typeface="+mn-lt"/>
              <a:ea typeface="+mn-ea"/>
              <a:cs typeface="+mn-cs"/>
            </a:rPr>
            <a:t>What is the minimum price Albert and Julian would accept? What is the maximum price WSIA would pay?</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2. </a:t>
          </a:r>
          <a:r>
            <a:rPr lang="en-GB" sz="1200">
              <a:solidFill>
                <a:schemeClr val="dk1"/>
              </a:solidFill>
              <a:effectLst/>
              <a:latin typeface="+mn-lt"/>
              <a:ea typeface="+mn-ea"/>
              <a:cs typeface="+mn-cs"/>
            </a:rPr>
            <a:t>How would your answer change if the seller faced transaction costs (advisory and legal costs) amounting to 300, while the buyer would have to pay 600 for the same?</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3. </a:t>
          </a:r>
          <a:r>
            <a:rPr lang="en-GB" sz="1200">
              <a:solidFill>
                <a:schemeClr val="dk1"/>
              </a:solidFill>
              <a:effectLst/>
              <a:latin typeface="+mn-lt"/>
              <a:ea typeface="+mn-ea"/>
              <a:cs typeface="+mn-cs"/>
            </a:rPr>
            <a:t>How much is the total synergy predicted? What part of that comes from cost synergy (change of initial ROIC) and sales synergy (higher growth)?</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4. </a:t>
          </a:r>
          <a:r>
            <a:rPr lang="en-GB" sz="1200">
              <a:solidFill>
                <a:schemeClr val="dk1"/>
              </a:solidFill>
              <a:effectLst/>
              <a:latin typeface="+mn-lt"/>
              <a:ea typeface="+mn-ea"/>
              <a:cs typeface="+mn-cs"/>
            </a:rPr>
            <a:t>After several weeks of bargaining, they agreed on a price that covers handing over 30 percent of the synergies expected by WSIA to the current owners. As Julian is in bad need of money, Toy Story owners ask for 40 percent of the price in cash, while for the remainder, they will become owners of the new, merged firm. What percentage of ownership should they get?</a:t>
          </a:r>
          <a:r>
            <a:rPr lang="hu-HU" sz="1200">
              <a:solidFill>
                <a:schemeClr val="dk1"/>
              </a:solidFill>
              <a:effectLst/>
              <a:latin typeface="+mn-lt"/>
              <a:ea typeface="+mn-ea"/>
              <a:cs typeface="+mn-cs"/>
            </a:rPr>
            <a:t> How many new shares have to be issued?</a:t>
          </a:r>
        </a:p>
        <a:p>
          <a:pPr lvl="0"/>
          <a:r>
            <a:rPr lang="hu-HU" sz="1200">
              <a:solidFill>
                <a:schemeClr val="dk1"/>
              </a:solidFill>
              <a:effectLst/>
              <a:latin typeface="+mn-lt"/>
              <a:ea typeface="+mn-ea"/>
              <a:cs typeface="+mn-cs"/>
            </a:rPr>
            <a:t>5. </a:t>
          </a:r>
          <a:r>
            <a:rPr lang="en-GB" sz="1200">
              <a:solidFill>
                <a:schemeClr val="dk1"/>
              </a:solidFill>
              <a:effectLst/>
              <a:latin typeface="+mn-lt"/>
              <a:ea typeface="+mn-ea"/>
              <a:cs typeface="+mn-cs"/>
            </a:rPr>
            <a:t>Would it make any difference in the takeover price if WSIA were of half the size (consider IC) as it is now?</a:t>
          </a:r>
          <a:endParaRPr lang="hu-HU" sz="12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endParaRPr lang="hu-HU"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21772</xdr:colOff>
      <xdr:row>0</xdr:row>
      <xdr:rowOff>174172</xdr:rowOff>
    </xdr:from>
    <xdr:to>
      <xdr:col>21</xdr:col>
      <xdr:colOff>359229</xdr:colOff>
      <xdr:row>20</xdr:row>
      <xdr:rowOff>76200</xdr:rowOff>
    </xdr:to>
    <xdr:sp macro="" textlink="">
      <xdr:nvSpPr>
        <xdr:cNvPr id="2" name="Szövegdoboz 1">
          <a:extLst>
            <a:ext uri="{FF2B5EF4-FFF2-40B4-BE49-F238E27FC236}">
              <a16:creationId xmlns:a16="http://schemas.microsoft.com/office/drawing/2014/main" id="{3D15E82C-7024-4FCB-8DCB-5184D71A57A9}"/>
            </a:ext>
          </a:extLst>
        </xdr:cNvPr>
        <xdr:cNvSpPr txBox="1"/>
      </xdr:nvSpPr>
      <xdr:spPr>
        <a:xfrm>
          <a:off x="9365797" y="174172"/>
          <a:ext cx="9157607" cy="41025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dk1"/>
              </a:solidFill>
              <a:effectLst/>
              <a:latin typeface="+mn-lt"/>
              <a:ea typeface="+mn-ea"/>
              <a:cs typeface="+mn-cs"/>
            </a:rPr>
            <a:t>Together We Can</a:t>
          </a:r>
          <a:endParaRPr lang="hu-HU" sz="14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r>
            <a:rPr lang="hu-HU" sz="1200">
              <a:solidFill>
                <a:schemeClr val="dk1"/>
              </a:solidFill>
              <a:effectLst/>
              <a:latin typeface="+mn-lt"/>
              <a:ea typeface="+mn-ea"/>
              <a:cs typeface="+mn-cs"/>
            </a:rPr>
            <a:t>  </a:t>
          </a:r>
          <a:r>
            <a:rPr lang="en-GB" sz="1200">
              <a:solidFill>
                <a:schemeClr val="dk1"/>
              </a:solidFill>
              <a:effectLst/>
              <a:latin typeface="+mn-lt"/>
              <a:ea typeface="+mn-ea"/>
              <a:cs typeface="+mn-cs"/>
            </a:rPr>
            <a:t>Albert teamed up with Julian some ten years ago. They opened a toy retail shop, Toy Story, where they both had 50% ownership, but as Albert acted as a COE for a depressed wage, he received 60% of the dividends. Now, the huge grocery chain, WSIA (We Sell It All)</a:t>
          </a:r>
          <a:r>
            <a:rPr lang="hu-HU" sz="1200">
              <a:solidFill>
                <a:schemeClr val="dk1"/>
              </a:solidFill>
              <a:effectLst/>
              <a:latin typeface="+mn-lt"/>
              <a:ea typeface="+mn-ea"/>
              <a:cs typeface="+mn-cs"/>
            </a:rPr>
            <a:t> Co. </a:t>
          </a:r>
          <a:r>
            <a:rPr lang="en-GB" sz="1200">
              <a:solidFill>
                <a:schemeClr val="dk1"/>
              </a:solidFill>
              <a:effectLst/>
              <a:latin typeface="+mn-lt"/>
              <a:ea typeface="+mn-ea"/>
              <a:cs typeface="+mn-cs"/>
            </a:rPr>
            <a:t>has contacted them with a takeover offer. WSIA expects both to extend its operation with toy coverage and go online using the established web shop of Toy Story after some initial investment financed up to 50 percent from debt. </a:t>
          </a:r>
          <a:endParaRPr lang="hu-HU" sz="1200">
            <a:solidFill>
              <a:schemeClr val="dk1"/>
            </a:solidFill>
            <a:effectLst/>
            <a:latin typeface="+mn-lt"/>
            <a:ea typeface="+mn-ea"/>
            <a:cs typeface="+mn-cs"/>
          </a:endParaRPr>
        </a:p>
        <a:p>
          <a:r>
            <a:rPr lang="hu-HU" sz="1200">
              <a:solidFill>
                <a:schemeClr val="dk1"/>
              </a:solidFill>
              <a:effectLst/>
              <a:latin typeface="+mn-lt"/>
              <a:ea typeface="+mn-ea"/>
              <a:cs typeface="+mn-cs"/>
            </a:rPr>
            <a:t>  </a:t>
          </a:r>
          <a:r>
            <a:rPr lang="en-GB" sz="1200">
              <a:solidFill>
                <a:schemeClr val="dk1"/>
              </a:solidFill>
              <a:effectLst/>
              <a:latin typeface="+mn-lt"/>
              <a:ea typeface="+mn-ea"/>
              <a:cs typeface="+mn-cs"/>
            </a:rPr>
            <a:t>WSIA analysis predicts that thanks to some cost advantages (joint accounting, HR, one CEO), the joint ROIC will be higher than the weigh</a:t>
          </a:r>
          <a:r>
            <a:rPr lang="hu-HU" sz="1200">
              <a:solidFill>
                <a:schemeClr val="dk1"/>
              </a:solidFill>
              <a:effectLst/>
              <a:latin typeface="+mn-lt"/>
              <a:ea typeface="+mn-ea"/>
              <a:cs typeface="+mn-cs"/>
            </a:rPr>
            <a:t>t</a:t>
          </a:r>
          <a:r>
            <a:rPr lang="en-GB" sz="1200">
              <a:solidFill>
                <a:schemeClr val="dk1"/>
              </a:solidFill>
              <a:effectLst/>
              <a:latin typeface="+mn-lt"/>
              <a:ea typeface="+mn-ea"/>
              <a:cs typeface="+mn-cs"/>
            </a:rPr>
            <a:t>e</a:t>
          </a:r>
          <a:r>
            <a:rPr lang="hu-HU" sz="1200">
              <a:solidFill>
                <a:schemeClr val="dk1"/>
              </a:solidFill>
              <a:effectLst/>
              <a:latin typeface="+mn-lt"/>
              <a:ea typeface="+mn-ea"/>
              <a:cs typeface="+mn-cs"/>
            </a:rPr>
            <a:t>d</a:t>
          </a:r>
          <a:r>
            <a:rPr lang="en-GB" sz="1200">
              <a:solidFill>
                <a:schemeClr val="dk1"/>
              </a:solidFill>
              <a:effectLst/>
              <a:latin typeface="+mn-lt"/>
              <a:ea typeface="+mn-ea"/>
              <a:cs typeface="+mn-cs"/>
            </a:rPr>
            <a:t> average, and the growth will also be boosted for a short period.</a:t>
          </a:r>
          <a:r>
            <a:rPr lang="hu-HU" sz="1200">
              <a:solidFill>
                <a:schemeClr val="dk1"/>
              </a:solidFill>
              <a:effectLst/>
              <a:latin typeface="+mn-lt"/>
              <a:ea typeface="+mn-ea"/>
              <a:cs typeface="+mn-cs"/>
            </a:rPr>
            <a:t> WSIA will apply it current D/IC strategy</a:t>
          </a:r>
          <a:r>
            <a:rPr lang="hu-HU" sz="1200" baseline="0">
              <a:solidFill>
                <a:schemeClr val="dk1"/>
              </a:solidFill>
              <a:effectLst/>
              <a:latin typeface="+mn-lt"/>
              <a:ea typeface="+mn-ea"/>
              <a:cs typeface="+mn-cs"/>
            </a:rPr>
            <a:t> after the transaction, while WACC is kept at the same level.</a:t>
          </a:r>
          <a:endParaRPr lang="hu-HU" sz="12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1. </a:t>
          </a:r>
          <a:r>
            <a:rPr lang="en-GB" sz="1200">
              <a:solidFill>
                <a:schemeClr val="dk1"/>
              </a:solidFill>
              <a:effectLst/>
              <a:latin typeface="+mn-lt"/>
              <a:ea typeface="+mn-ea"/>
              <a:cs typeface="+mn-cs"/>
            </a:rPr>
            <a:t>What is the minimum price Albert and Julian would accept? What is the maximum price WSIA would pay?</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2. </a:t>
          </a:r>
          <a:r>
            <a:rPr lang="en-GB" sz="1200">
              <a:solidFill>
                <a:schemeClr val="dk1"/>
              </a:solidFill>
              <a:effectLst/>
              <a:latin typeface="+mn-lt"/>
              <a:ea typeface="+mn-ea"/>
              <a:cs typeface="+mn-cs"/>
            </a:rPr>
            <a:t>How would your answer change if the seller faced transaction costs (advisory and legal costs) amounting to 300, while the buyer would have to pay 600 for the same?</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3. </a:t>
          </a:r>
          <a:r>
            <a:rPr lang="en-GB" sz="1200">
              <a:solidFill>
                <a:schemeClr val="dk1"/>
              </a:solidFill>
              <a:effectLst/>
              <a:latin typeface="+mn-lt"/>
              <a:ea typeface="+mn-ea"/>
              <a:cs typeface="+mn-cs"/>
            </a:rPr>
            <a:t>How much is the total synergy predicted? What part of that comes from cost synergy (change of initial ROIC) and sales synergy (higher growth)?</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4. </a:t>
          </a:r>
          <a:r>
            <a:rPr lang="en-GB" sz="1200">
              <a:solidFill>
                <a:schemeClr val="dk1"/>
              </a:solidFill>
              <a:effectLst/>
              <a:latin typeface="+mn-lt"/>
              <a:ea typeface="+mn-ea"/>
              <a:cs typeface="+mn-cs"/>
            </a:rPr>
            <a:t>After several weeks of bargaining, they agreed on a price that covers handing over 30 percent of the synergies expected by WSIA to the current owners. As Julian is in bad need of money, Toy Story owners ask for 40 percent of the price in cash, while for the remainder, they will become owners of the new, merged firm. What percentage of ownership should they get?</a:t>
          </a:r>
          <a:r>
            <a:rPr lang="hu-HU" sz="1200">
              <a:solidFill>
                <a:schemeClr val="dk1"/>
              </a:solidFill>
              <a:effectLst/>
              <a:latin typeface="+mn-lt"/>
              <a:ea typeface="+mn-ea"/>
              <a:cs typeface="+mn-cs"/>
            </a:rPr>
            <a:t> How many new shares have to be issued?</a:t>
          </a:r>
        </a:p>
        <a:p>
          <a:pPr lvl="0"/>
          <a:r>
            <a:rPr lang="hu-HU" sz="1200">
              <a:solidFill>
                <a:schemeClr val="dk1"/>
              </a:solidFill>
              <a:effectLst/>
              <a:latin typeface="+mn-lt"/>
              <a:ea typeface="+mn-ea"/>
              <a:cs typeface="+mn-cs"/>
            </a:rPr>
            <a:t>5. </a:t>
          </a:r>
          <a:r>
            <a:rPr lang="en-GB" sz="1200">
              <a:solidFill>
                <a:schemeClr val="dk1"/>
              </a:solidFill>
              <a:effectLst/>
              <a:latin typeface="+mn-lt"/>
              <a:ea typeface="+mn-ea"/>
              <a:cs typeface="+mn-cs"/>
            </a:rPr>
            <a:t>Would it make any difference in the takeover price if WSIA were of half the size (consider IC) as it is now?</a:t>
          </a:r>
          <a:endParaRPr lang="hu-HU" sz="12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endParaRPr lang="hu-HU"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21772</xdr:colOff>
      <xdr:row>0</xdr:row>
      <xdr:rowOff>174172</xdr:rowOff>
    </xdr:from>
    <xdr:to>
      <xdr:col>21</xdr:col>
      <xdr:colOff>359229</xdr:colOff>
      <xdr:row>20</xdr:row>
      <xdr:rowOff>76200</xdr:rowOff>
    </xdr:to>
    <xdr:sp macro="" textlink="">
      <xdr:nvSpPr>
        <xdr:cNvPr id="2" name="Szövegdoboz 1">
          <a:extLst>
            <a:ext uri="{FF2B5EF4-FFF2-40B4-BE49-F238E27FC236}">
              <a16:creationId xmlns:a16="http://schemas.microsoft.com/office/drawing/2014/main" id="{3EC6FF8F-ACEE-4629-9199-C7CD74F6E57F}"/>
            </a:ext>
          </a:extLst>
        </xdr:cNvPr>
        <xdr:cNvSpPr txBox="1"/>
      </xdr:nvSpPr>
      <xdr:spPr>
        <a:xfrm>
          <a:off x="10689772" y="174172"/>
          <a:ext cx="9157607" cy="41025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dk1"/>
              </a:solidFill>
              <a:effectLst/>
              <a:latin typeface="+mn-lt"/>
              <a:ea typeface="+mn-ea"/>
              <a:cs typeface="+mn-cs"/>
            </a:rPr>
            <a:t>Together We Can</a:t>
          </a:r>
          <a:endParaRPr lang="hu-HU" sz="14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r>
            <a:rPr lang="hu-HU" sz="1200">
              <a:solidFill>
                <a:schemeClr val="dk1"/>
              </a:solidFill>
              <a:effectLst/>
              <a:latin typeface="+mn-lt"/>
              <a:ea typeface="+mn-ea"/>
              <a:cs typeface="+mn-cs"/>
            </a:rPr>
            <a:t>  </a:t>
          </a:r>
          <a:r>
            <a:rPr lang="en-GB" sz="1200">
              <a:solidFill>
                <a:schemeClr val="dk1"/>
              </a:solidFill>
              <a:effectLst/>
              <a:latin typeface="+mn-lt"/>
              <a:ea typeface="+mn-ea"/>
              <a:cs typeface="+mn-cs"/>
            </a:rPr>
            <a:t>Albert teamed up with Julian some ten years ago. They opened a toy retail shop, Toy Story, where they both had 50% ownership, but as Albert acted as a COE for a depressed wage, he received 60% of the dividends. Now, the huge grocery chain, WSIA (We Sell It All)</a:t>
          </a:r>
          <a:r>
            <a:rPr lang="hu-HU" sz="1200">
              <a:solidFill>
                <a:schemeClr val="dk1"/>
              </a:solidFill>
              <a:effectLst/>
              <a:latin typeface="+mn-lt"/>
              <a:ea typeface="+mn-ea"/>
              <a:cs typeface="+mn-cs"/>
            </a:rPr>
            <a:t> Co. </a:t>
          </a:r>
          <a:r>
            <a:rPr lang="en-GB" sz="1200">
              <a:solidFill>
                <a:schemeClr val="dk1"/>
              </a:solidFill>
              <a:effectLst/>
              <a:latin typeface="+mn-lt"/>
              <a:ea typeface="+mn-ea"/>
              <a:cs typeface="+mn-cs"/>
            </a:rPr>
            <a:t>has contacted them with a takeover offer. WSIA expects both to extend its operation with toy coverage and go online using the established web shop of Toy Story after some initial investment financed up to 50 percent from debt. </a:t>
          </a:r>
          <a:endParaRPr lang="hu-HU" sz="1200">
            <a:solidFill>
              <a:schemeClr val="dk1"/>
            </a:solidFill>
            <a:effectLst/>
            <a:latin typeface="+mn-lt"/>
            <a:ea typeface="+mn-ea"/>
            <a:cs typeface="+mn-cs"/>
          </a:endParaRPr>
        </a:p>
        <a:p>
          <a:r>
            <a:rPr lang="hu-HU" sz="1200">
              <a:solidFill>
                <a:schemeClr val="dk1"/>
              </a:solidFill>
              <a:effectLst/>
              <a:latin typeface="+mn-lt"/>
              <a:ea typeface="+mn-ea"/>
              <a:cs typeface="+mn-cs"/>
            </a:rPr>
            <a:t>  </a:t>
          </a:r>
          <a:r>
            <a:rPr lang="en-GB" sz="1200">
              <a:solidFill>
                <a:schemeClr val="dk1"/>
              </a:solidFill>
              <a:effectLst/>
              <a:latin typeface="+mn-lt"/>
              <a:ea typeface="+mn-ea"/>
              <a:cs typeface="+mn-cs"/>
            </a:rPr>
            <a:t>WSIA analysis predicts that thanks to some cost advantages (joint accounting, HR, one CEO), the joint ROIC will be higher than the weigh</a:t>
          </a:r>
          <a:r>
            <a:rPr lang="hu-HU" sz="1200">
              <a:solidFill>
                <a:schemeClr val="dk1"/>
              </a:solidFill>
              <a:effectLst/>
              <a:latin typeface="+mn-lt"/>
              <a:ea typeface="+mn-ea"/>
              <a:cs typeface="+mn-cs"/>
            </a:rPr>
            <a:t>t</a:t>
          </a:r>
          <a:r>
            <a:rPr lang="en-GB" sz="1200">
              <a:solidFill>
                <a:schemeClr val="dk1"/>
              </a:solidFill>
              <a:effectLst/>
              <a:latin typeface="+mn-lt"/>
              <a:ea typeface="+mn-ea"/>
              <a:cs typeface="+mn-cs"/>
            </a:rPr>
            <a:t>e</a:t>
          </a:r>
          <a:r>
            <a:rPr lang="hu-HU" sz="1200">
              <a:solidFill>
                <a:schemeClr val="dk1"/>
              </a:solidFill>
              <a:effectLst/>
              <a:latin typeface="+mn-lt"/>
              <a:ea typeface="+mn-ea"/>
              <a:cs typeface="+mn-cs"/>
            </a:rPr>
            <a:t>d</a:t>
          </a:r>
          <a:r>
            <a:rPr lang="en-GB" sz="1200">
              <a:solidFill>
                <a:schemeClr val="dk1"/>
              </a:solidFill>
              <a:effectLst/>
              <a:latin typeface="+mn-lt"/>
              <a:ea typeface="+mn-ea"/>
              <a:cs typeface="+mn-cs"/>
            </a:rPr>
            <a:t> average, and the growth will also be boosted for a short period.</a:t>
          </a:r>
          <a:r>
            <a:rPr lang="hu-HU" sz="1200">
              <a:solidFill>
                <a:schemeClr val="dk1"/>
              </a:solidFill>
              <a:effectLst/>
              <a:latin typeface="+mn-lt"/>
              <a:ea typeface="+mn-ea"/>
              <a:cs typeface="+mn-cs"/>
            </a:rPr>
            <a:t> WSIA will apply it current D/IC strategy</a:t>
          </a:r>
          <a:r>
            <a:rPr lang="hu-HU" sz="1200" baseline="0">
              <a:solidFill>
                <a:schemeClr val="dk1"/>
              </a:solidFill>
              <a:effectLst/>
              <a:latin typeface="+mn-lt"/>
              <a:ea typeface="+mn-ea"/>
              <a:cs typeface="+mn-cs"/>
            </a:rPr>
            <a:t> after the transaction, while WACC is kept at the same level.</a:t>
          </a:r>
          <a:endParaRPr lang="hu-HU" sz="12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1. </a:t>
          </a:r>
          <a:r>
            <a:rPr lang="en-GB" sz="1200">
              <a:solidFill>
                <a:schemeClr val="dk1"/>
              </a:solidFill>
              <a:effectLst/>
              <a:latin typeface="+mn-lt"/>
              <a:ea typeface="+mn-ea"/>
              <a:cs typeface="+mn-cs"/>
            </a:rPr>
            <a:t>What is the minimum price Albert and Julian would accept? What is the maximum price WSIA would pay?</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2. </a:t>
          </a:r>
          <a:r>
            <a:rPr lang="en-GB" sz="1200">
              <a:solidFill>
                <a:schemeClr val="dk1"/>
              </a:solidFill>
              <a:effectLst/>
              <a:latin typeface="+mn-lt"/>
              <a:ea typeface="+mn-ea"/>
              <a:cs typeface="+mn-cs"/>
            </a:rPr>
            <a:t>How would your answer change if the seller faced transaction costs (advisory and legal costs) amounting to 300, while the buyer would have to pay 600 for the same?</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3. </a:t>
          </a:r>
          <a:r>
            <a:rPr lang="en-GB" sz="1200">
              <a:solidFill>
                <a:schemeClr val="dk1"/>
              </a:solidFill>
              <a:effectLst/>
              <a:latin typeface="+mn-lt"/>
              <a:ea typeface="+mn-ea"/>
              <a:cs typeface="+mn-cs"/>
            </a:rPr>
            <a:t>How much is the total synergy predicted? What part of that comes from cost synergy (change of initial ROIC) and sales synergy (higher growth)?</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4. </a:t>
          </a:r>
          <a:r>
            <a:rPr lang="en-GB" sz="1200">
              <a:solidFill>
                <a:schemeClr val="dk1"/>
              </a:solidFill>
              <a:effectLst/>
              <a:latin typeface="+mn-lt"/>
              <a:ea typeface="+mn-ea"/>
              <a:cs typeface="+mn-cs"/>
            </a:rPr>
            <a:t>After several weeks of bargaining, they agreed on a price that covers handing over 30 percent of the synergies expected by WSIA to the current owners. As Julian is in bad need of money, Toy Story owners ask for 40 percent of the price in cash, while for the remainder, they will become owners of the new, merged firm. What percentage of ownership should they get?</a:t>
          </a:r>
          <a:r>
            <a:rPr lang="hu-HU" sz="1200">
              <a:solidFill>
                <a:schemeClr val="dk1"/>
              </a:solidFill>
              <a:effectLst/>
              <a:latin typeface="+mn-lt"/>
              <a:ea typeface="+mn-ea"/>
              <a:cs typeface="+mn-cs"/>
            </a:rPr>
            <a:t> How many new shares have to be issued?</a:t>
          </a:r>
        </a:p>
        <a:p>
          <a:pPr lvl="0"/>
          <a:r>
            <a:rPr lang="hu-HU" sz="1200">
              <a:solidFill>
                <a:schemeClr val="dk1"/>
              </a:solidFill>
              <a:effectLst/>
              <a:latin typeface="+mn-lt"/>
              <a:ea typeface="+mn-ea"/>
              <a:cs typeface="+mn-cs"/>
            </a:rPr>
            <a:t>5. </a:t>
          </a:r>
          <a:r>
            <a:rPr lang="en-GB" sz="1200">
              <a:solidFill>
                <a:schemeClr val="dk1"/>
              </a:solidFill>
              <a:effectLst/>
              <a:latin typeface="+mn-lt"/>
              <a:ea typeface="+mn-ea"/>
              <a:cs typeface="+mn-cs"/>
            </a:rPr>
            <a:t>Would it make any difference in the takeover price if WSIA were of half the size (consider IC) as it is now?</a:t>
          </a:r>
          <a:endParaRPr lang="hu-HU" sz="12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endParaRPr lang="hu-HU" sz="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D4511-B5D2-4481-A2F3-4730A225F3D4}">
  <dimension ref="C1:S100"/>
  <sheetViews>
    <sheetView topLeftCell="A7" zoomScale="120" zoomScaleNormal="120" workbookViewId="0">
      <selection activeCell="A7" sqref="A7"/>
    </sheetView>
  </sheetViews>
  <sheetFormatPr defaultRowHeight="15.75" x14ac:dyDescent="0.25"/>
  <cols>
    <col min="3" max="3" width="15.5" bestFit="1" customWidth="1"/>
    <col min="4" max="4" width="11.875" bestFit="1" customWidth="1"/>
    <col min="5" max="5" width="9.25" bestFit="1" customWidth="1"/>
    <col min="6" max="6" width="33.25" customWidth="1"/>
    <col min="7" max="9" width="9.25" bestFit="1" customWidth="1"/>
    <col min="10" max="10" width="7" bestFit="1" customWidth="1"/>
    <col min="12" max="12" width="14.125" bestFit="1" customWidth="1"/>
    <col min="13" max="18" width="11.25" bestFit="1" customWidth="1"/>
    <col min="19" max="19" width="7.125" bestFit="1" customWidth="1"/>
  </cols>
  <sheetData>
    <row r="1" spans="3:7" x14ac:dyDescent="0.25">
      <c r="E1" s="4"/>
    </row>
    <row r="2" spans="3:7" x14ac:dyDescent="0.25">
      <c r="E2" s="4"/>
    </row>
    <row r="3" spans="3:7" x14ac:dyDescent="0.25">
      <c r="C3" s="3" t="s">
        <v>2</v>
      </c>
      <c r="D3" s="3">
        <f>+D23</f>
        <v>2025</v>
      </c>
      <c r="F3" t="s">
        <v>15</v>
      </c>
    </row>
    <row r="4" spans="3:7" x14ac:dyDescent="0.25">
      <c r="C4" t="s">
        <v>8</v>
      </c>
      <c r="D4" s="2">
        <v>6000</v>
      </c>
      <c r="F4" t="s">
        <v>16</v>
      </c>
      <c r="G4" s="2">
        <v>300</v>
      </c>
    </row>
    <row r="5" spans="3:7" x14ac:dyDescent="0.25">
      <c r="C5" t="s">
        <v>13</v>
      </c>
      <c r="D5" s="2">
        <v>2800</v>
      </c>
      <c r="F5" t="s">
        <v>17</v>
      </c>
      <c r="G5" s="2">
        <v>600</v>
      </c>
    </row>
    <row r="6" spans="3:7" x14ac:dyDescent="0.25">
      <c r="C6" t="s">
        <v>5</v>
      </c>
      <c r="D6" s="4">
        <v>0.14000000000000001</v>
      </c>
    </row>
    <row r="7" spans="3:7" x14ac:dyDescent="0.25">
      <c r="C7" t="s">
        <v>10</v>
      </c>
      <c r="D7" s="5">
        <v>0.12</v>
      </c>
    </row>
    <row r="8" spans="3:7" x14ac:dyDescent="0.25">
      <c r="C8" t="s">
        <v>0</v>
      </c>
      <c r="D8" s="4">
        <v>0.1</v>
      </c>
    </row>
    <row r="9" spans="3:7" x14ac:dyDescent="0.25">
      <c r="C9" t="s">
        <v>11</v>
      </c>
      <c r="D9" s="4">
        <v>0.06</v>
      </c>
      <c r="F9" t="s">
        <v>24</v>
      </c>
      <c r="G9" s="2">
        <f>+D16</f>
        <v>7700</v>
      </c>
    </row>
    <row r="10" spans="3:7" x14ac:dyDescent="0.25">
      <c r="C10" t="s">
        <v>6</v>
      </c>
      <c r="D10" s="4">
        <v>0.12</v>
      </c>
      <c r="F10" t="s">
        <v>25</v>
      </c>
      <c r="G10" s="2">
        <f>+G9+G4</f>
        <v>8000</v>
      </c>
    </row>
    <row r="12" spans="3:7" x14ac:dyDescent="0.25">
      <c r="C12" t="s">
        <v>19</v>
      </c>
      <c r="D12" s="9">
        <f>+D4*D6</f>
        <v>840.00000000000011</v>
      </c>
      <c r="F12" t="s">
        <v>31</v>
      </c>
      <c r="G12" s="2">
        <f>+D16+G42</f>
        <v>10832.581080424949</v>
      </c>
    </row>
    <row r="13" spans="3:7" ht="31.5" x14ac:dyDescent="0.25">
      <c r="C13" t="s">
        <v>20</v>
      </c>
      <c r="D13" s="5">
        <f>+D9/D7</f>
        <v>0.5</v>
      </c>
      <c r="F13" s="19" t="s">
        <v>33</v>
      </c>
      <c r="G13" s="2">
        <f>+M37-D37-M24-D5</f>
        <v>10832.581080424949</v>
      </c>
    </row>
    <row r="14" spans="3:7" x14ac:dyDescent="0.25">
      <c r="C14" t="s">
        <v>21</v>
      </c>
      <c r="D14" s="2">
        <f>+D12*(1-D13)</f>
        <v>420.00000000000006</v>
      </c>
    </row>
    <row r="15" spans="3:7" x14ac:dyDescent="0.25">
      <c r="C15" s="10" t="s">
        <v>22</v>
      </c>
      <c r="D15" s="11">
        <f>+D14/(D8-D9)</f>
        <v>10500</v>
      </c>
      <c r="F15" t="s">
        <v>34</v>
      </c>
      <c r="G15" s="2">
        <f>+G13-G5</f>
        <v>10232.581080424949</v>
      </c>
    </row>
    <row r="16" spans="3:7" x14ac:dyDescent="0.25">
      <c r="C16" s="12" t="s">
        <v>23</v>
      </c>
      <c r="D16" s="13">
        <f>+D15-D5</f>
        <v>7700</v>
      </c>
    </row>
    <row r="23" spans="3:19" x14ac:dyDescent="0.25">
      <c r="C23" t="s">
        <v>7</v>
      </c>
      <c r="D23" s="3">
        <v>2025</v>
      </c>
      <c r="E23" s="3">
        <f>+D23+1</f>
        <v>2026</v>
      </c>
      <c r="F23" s="3">
        <v>2025</v>
      </c>
      <c r="G23" s="3">
        <f t="shared" ref="G23" si="0">+F23+1</f>
        <v>2026</v>
      </c>
      <c r="H23" s="3">
        <v>2026</v>
      </c>
      <c r="I23" s="3" t="s">
        <v>3</v>
      </c>
      <c r="L23" t="s">
        <v>9</v>
      </c>
      <c r="M23" s="3">
        <f>+D23</f>
        <v>2025</v>
      </c>
      <c r="N23" s="3">
        <f>+M23+1</f>
        <v>2026</v>
      </c>
      <c r="O23" s="3">
        <v>2025</v>
      </c>
      <c r="P23" s="3">
        <f t="shared" ref="P23" si="1">+O23+1</f>
        <v>2026</v>
      </c>
      <c r="Q23" s="3">
        <v>2026</v>
      </c>
      <c r="R23" s="3" t="s">
        <v>3</v>
      </c>
    </row>
    <row r="24" spans="3:19" x14ac:dyDescent="0.25">
      <c r="E24" s="3"/>
      <c r="F24" s="3"/>
      <c r="G24" s="3"/>
      <c r="H24" s="3"/>
      <c r="I24" s="3"/>
      <c r="L24" t="s">
        <v>12</v>
      </c>
      <c r="M24" s="8">
        <v>1000</v>
      </c>
      <c r="N24" s="3"/>
      <c r="O24" s="3"/>
      <c r="P24" s="3"/>
      <c r="Q24" s="3"/>
      <c r="R24" s="3"/>
    </row>
    <row r="25" spans="3:19" x14ac:dyDescent="0.25">
      <c r="C25" t="s">
        <v>8</v>
      </c>
      <c r="D25" s="2">
        <v>30000</v>
      </c>
      <c r="E25" s="1"/>
      <c r="L25" t="s">
        <v>8</v>
      </c>
      <c r="M25" s="2">
        <f>+D25+D4+M24</f>
        <v>37000</v>
      </c>
      <c r="N25" s="1"/>
    </row>
    <row r="26" spans="3:19" x14ac:dyDescent="0.25">
      <c r="C26" t="s">
        <v>14</v>
      </c>
      <c r="D26" s="2">
        <f>+D25*50%</f>
        <v>15000</v>
      </c>
      <c r="E26" s="1"/>
      <c r="L26" t="s">
        <v>14</v>
      </c>
      <c r="M26" s="2">
        <f>+M25*50%</f>
        <v>18500</v>
      </c>
      <c r="N26" s="1"/>
    </row>
    <row r="27" spans="3:19" x14ac:dyDescent="0.25">
      <c r="C27" t="s">
        <v>5</v>
      </c>
      <c r="D27" s="4">
        <v>0.13</v>
      </c>
      <c r="L27" t="s">
        <v>5</v>
      </c>
      <c r="M27" s="7">
        <v>0.13400000000000001</v>
      </c>
    </row>
    <row r="28" spans="3:19" x14ac:dyDescent="0.25">
      <c r="C28" t="s">
        <v>4</v>
      </c>
      <c r="D28" s="4"/>
      <c r="E28" s="4">
        <v>0.11</v>
      </c>
      <c r="F28" s="4">
        <v>0.11</v>
      </c>
      <c r="G28" s="4">
        <v>0.11</v>
      </c>
      <c r="H28" s="4">
        <v>0.11</v>
      </c>
      <c r="I28" s="4">
        <v>0.11</v>
      </c>
      <c r="J28" s="4">
        <v>0.11</v>
      </c>
      <c r="L28" t="s">
        <v>4</v>
      </c>
      <c r="M28" s="4"/>
      <c r="N28" s="7">
        <v>0.11191542288552156</v>
      </c>
      <c r="O28" s="7">
        <f>+N28</f>
        <v>0.11191542288552156</v>
      </c>
      <c r="P28" s="7">
        <f t="shared" ref="P28:S28" si="2">+O28</f>
        <v>0.11191542288552156</v>
      </c>
      <c r="Q28" s="7">
        <f t="shared" si="2"/>
        <v>0.11191542288552156</v>
      </c>
      <c r="R28" s="7">
        <f t="shared" si="2"/>
        <v>0.11191542288552156</v>
      </c>
      <c r="S28" s="7">
        <f t="shared" si="2"/>
        <v>0.11191542288552156</v>
      </c>
    </row>
    <row r="29" spans="3:19" x14ac:dyDescent="0.25">
      <c r="C29" t="s">
        <v>0</v>
      </c>
      <c r="D29" s="4">
        <v>0.1</v>
      </c>
      <c r="E29" s="4">
        <v>0.1</v>
      </c>
      <c r="F29" s="4">
        <v>0.1</v>
      </c>
      <c r="G29" s="4">
        <v>0.1</v>
      </c>
      <c r="H29" s="4">
        <v>0.1</v>
      </c>
      <c r="I29" s="4">
        <v>0.1</v>
      </c>
      <c r="J29" s="4">
        <v>0.1</v>
      </c>
      <c r="L29" t="s">
        <v>0</v>
      </c>
      <c r="M29" s="6">
        <f>+D29</f>
        <v>0.1</v>
      </c>
      <c r="N29" s="6">
        <f t="shared" ref="N29:S30" si="3">+E29</f>
        <v>0.1</v>
      </c>
      <c r="O29" s="6">
        <f t="shared" si="3"/>
        <v>0.1</v>
      </c>
      <c r="P29" s="6">
        <f t="shared" si="3"/>
        <v>0.1</v>
      </c>
      <c r="Q29" s="6">
        <f t="shared" si="3"/>
        <v>0.1</v>
      </c>
      <c r="R29" s="6">
        <f t="shared" si="3"/>
        <v>0.1</v>
      </c>
      <c r="S29" s="6">
        <f t="shared" si="3"/>
        <v>0.1</v>
      </c>
    </row>
    <row r="30" spans="3:19" x14ac:dyDescent="0.25">
      <c r="C30" t="s">
        <v>1</v>
      </c>
      <c r="D30" s="4"/>
      <c r="E30" s="4">
        <v>0.06</v>
      </c>
      <c r="F30" s="4">
        <v>0.06</v>
      </c>
      <c r="G30" s="4">
        <v>0.06</v>
      </c>
      <c r="H30" s="4">
        <v>0.06</v>
      </c>
      <c r="I30" s="4">
        <v>0.06</v>
      </c>
      <c r="J30" s="4">
        <v>0.06</v>
      </c>
      <c r="L30" t="s">
        <v>1</v>
      </c>
      <c r="M30" s="4"/>
      <c r="N30" s="7">
        <v>0.12</v>
      </c>
      <c r="O30" s="7">
        <v>0.1</v>
      </c>
      <c r="P30" s="7">
        <v>0.08</v>
      </c>
      <c r="Q30" s="6">
        <f>+H30</f>
        <v>0.06</v>
      </c>
      <c r="R30" s="6">
        <f t="shared" si="3"/>
        <v>0.06</v>
      </c>
      <c r="S30" s="6">
        <f t="shared" si="3"/>
        <v>0.06</v>
      </c>
    </row>
    <row r="31" spans="3:19" x14ac:dyDescent="0.25">
      <c r="C31" t="s">
        <v>6</v>
      </c>
      <c r="D31" s="4">
        <v>0.12</v>
      </c>
      <c r="E31" s="4">
        <v>0.12</v>
      </c>
      <c r="F31" s="4">
        <v>0.12</v>
      </c>
      <c r="G31" s="4">
        <v>0.12</v>
      </c>
      <c r="H31" s="4">
        <v>0.12</v>
      </c>
      <c r="I31" s="4">
        <v>0.12</v>
      </c>
      <c r="J31" s="4">
        <v>0.12</v>
      </c>
      <c r="L31" t="s">
        <v>6</v>
      </c>
      <c r="M31" s="6">
        <f>+D31</f>
        <v>0.12</v>
      </c>
      <c r="N31" s="6">
        <f t="shared" ref="N31:S31" si="4">+E31</f>
        <v>0.12</v>
      </c>
      <c r="O31" s="6">
        <f t="shared" si="4"/>
        <v>0.12</v>
      </c>
      <c r="P31" s="6">
        <f t="shared" si="4"/>
        <v>0.12</v>
      </c>
      <c r="Q31" s="6">
        <f t="shared" si="4"/>
        <v>0.12</v>
      </c>
      <c r="R31" s="6">
        <f t="shared" si="4"/>
        <v>0.12</v>
      </c>
      <c r="S31" s="6">
        <f t="shared" si="4"/>
        <v>0.12</v>
      </c>
    </row>
    <row r="32" spans="3:19" x14ac:dyDescent="0.25">
      <c r="C32" t="s">
        <v>18</v>
      </c>
      <c r="D32" s="2">
        <v>1000000</v>
      </c>
    </row>
    <row r="34" spans="3:19" x14ac:dyDescent="0.25">
      <c r="C34" t="s">
        <v>19</v>
      </c>
      <c r="D34" s="2">
        <f>+D25*D27</f>
        <v>3900</v>
      </c>
      <c r="E34" s="2">
        <f>+D34+D34*D35*E28</f>
        <v>4134</v>
      </c>
      <c r="F34" s="2">
        <f t="shared" ref="F34:I34" si="5">+E34+E34*E35*F28</f>
        <v>4382.04</v>
      </c>
      <c r="G34" s="2">
        <f t="shared" si="5"/>
        <v>4644.9624000000003</v>
      </c>
      <c r="H34" s="2">
        <f t="shared" si="5"/>
        <v>4923.6601440000004</v>
      </c>
      <c r="I34" s="2">
        <f t="shared" si="5"/>
        <v>5219.0797526400002</v>
      </c>
      <c r="L34" t="s">
        <v>19</v>
      </c>
      <c r="M34" s="2">
        <f>+M25*M27</f>
        <v>4958</v>
      </c>
      <c r="N34" s="2">
        <f>+M34+M34*M35*N28</f>
        <v>5552.96</v>
      </c>
      <c r="O34" s="2">
        <f t="shared" ref="O34:R34" si="6">+N34+N34*N35*O28</f>
        <v>6108.2560000000003</v>
      </c>
      <c r="P34" s="2">
        <f t="shared" si="6"/>
        <v>6596.9164800000008</v>
      </c>
      <c r="Q34" s="2">
        <f t="shared" si="6"/>
        <v>6992.7314688000006</v>
      </c>
      <c r="R34" s="2">
        <f t="shared" si="6"/>
        <v>7412.2953569280007</v>
      </c>
    </row>
    <row r="35" spans="3:19" x14ac:dyDescent="0.25">
      <c r="C35" t="s">
        <v>20</v>
      </c>
      <c r="D35" s="5">
        <f>+E30/E28</f>
        <v>0.54545454545454541</v>
      </c>
      <c r="E35" s="5">
        <f>+F30/F28</f>
        <v>0.54545454545454541</v>
      </c>
      <c r="F35" s="5">
        <f t="shared" ref="F35:I35" si="7">+G30/G28</f>
        <v>0.54545454545454541</v>
      </c>
      <c r="G35" s="5">
        <f t="shared" si="7"/>
        <v>0.54545454545454541</v>
      </c>
      <c r="H35" s="5">
        <f t="shared" si="7"/>
        <v>0.54545454545454541</v>
      </c>
      <c r="I35" s="5">
        <f t="shared" si="7"/>
        <v>0.54545454545454541</v>
      </c>
      <c r="L35" t="s">
        <v>20</v>
      </c>
      <c r="M35" s="5">
        <f>+N30/N28</f>
        <v>1.0722382751727451</v>
      </c>
      <c r="N35" s="5">
        <f>+O30/O28</f>
        <v>0.89353189597728766</v>
      </c>
      <c r="O35" s="5">
        <f t="shared" ref="O35:R35" si="8">+P30/P28</f>
        <v>0.71482551678183004</v>
      </c>
      <c r="P35" s="5">
        <f t="shared" si="8"/>
        <v>0.53611913758637253</v>
      </c>
      <c r="Q35" s="5">
        <f t="shared" si="8"/>
        <v>0.53611913758637253</v>
      </c>
      <c r="R35" s="5">
        <f t="shared" si="8"/>
        <v>0.53611913758637253</v>
      </c>
    </row>
    <row r="36" spans="3:19" x14ac:dyDescent="0.25">
      <c r="C36" t="s">
        <v>21</v>
      </c>
      <c r="D36" s="2">
        <f>+D34*(1-D35)</f>
        <v>1772.727272727273</v>
      </c>
      <c r="E36" s="2">
        <f>+E34*(1-E35)</f>
        <v>1879.0909090909092</v>
      </c>
      <c r="F36" s="2">
        <f t="shared" ref="F36:I36" si="9">+F34*(1-F35)</f>
        <v>1991.8363636363638</v>
      </c>
      <c r="G36" s="2">
        <f t="shared" si="9"/>
        <v>2111.3465454545458</v>
      </c>
      <c r="H36" s="2">
        <f t="shared" si="9"/>
        <v>2238.0273381818188</v>
      </c>
      <c r="I36" s="2">
        <f t="shared" si="9"/>
        <v>2372.3089784727276</v>
      </c>
      <c r="L36" t="s">
        <v>21</v>
      </c>
      <c r="M36" s="2">
        <f>+M34*(1-M35)</f>
        <v>-358.15736830647</v>
      </c>
      <c r="N36" s="2">
        <f>+N34*(1-N35)</f>
        <v>591.21312291396077</v>
      </c>
      <c r="O36" s="2">
        <f t="shared" ref="O36" si="10">+O34*(1-O35)</f>
        <v>1741.9187481642862</v>
      </c>
      <c r="P36" s="2">
        <f t="shared" ref="P36" si="11">+P34*(1-P35)</f>
        <v>3060.1833060130721</v>
      </c>
      <c r="Q36" s="2">
        <f t="shared" ref="Q36" si="12">+Q34*(1-Q35)</f>
        <v>3243.794304373856</v>
      </c>
      <c r="R36" s="2">
        <f t="shared" ref="R36" si="13">+R34*(1-R35)</f>
        <v>3438.4219626362878</v>
      </c>
    </row>
    <row r="37" spans="3:19" x14ac:dyDescent="0.25">
      <c r="C37" s="10" t="s">
        <v>22</v>
      </c>
      <c r="D37" s="11">
        <f t="shared" ref="D37:G37" si="14">+(D36+E37)/(1+D29)</f>
        <v>44318.181818181802</v>
      </c>
      <c r="E37" s="11">
        <f t="shared" si="14"/>
        <v>46977.272727272713</v>
      </c>
      <c r="F37" s="11">
        <f t="shared" si="14"/>
        <v>49795.909090909081</v>
      </c>
      <c r="G37" s="11">
        <f t="shared" si="14"/>
        <v>52783.663636363628</v>
      </c>
      <c r="H37" s="11">
        <f>+(H36+I37)/(1+H29)</f>
        <v>55950.683454545448</v>
      </c>
      <c r="I37" s="11">
        <f>+I36/(J29-J30)</f>
        <v>59307.724461818179</v>
      </c>
      <c r="L37" s="10" t="s">
        <v>22</v>
      </c>
      <c r="M37" s="11">
        <f t="shared" ref="M37" si="15">+(M36+N37)/(1+M29)</f>
        <v>58950.76289860675</v>
      </c>
      <c r="N37" s="11">
        <f t="shared" ref="N37" si="16">+(N36+O37)/(1+N29)</f>
        <v>65203.996556773898</v>
      </c>
      <c r="O37" s="11">
        <f t="shared" ref="O37" si="17">+(O36+P37)/(1+O29)</f>
        <v>71133.183089537328</v>
      </c>
      <c r="P37" s="11">
        <f t="shared" ref="P37" si="18">+(P36+Q37)/(1+P29)</f>
        <v>76504.582650326774</v>
      </c>
      <c r="Q37" s="11">
        <f>+(Q36+R37)/(1+Q29)</f>
        <v>81094.857609346393</v>
      </c>
      <c r="R37" s="11">
        <f>+R36/(S29-S30)</f>
        <v>85960.54906590718</v>
      </c>
    </row>
    <row r="38" spans="3:19" x14ac:dyDescent="0.25">
      <c r="C38" t="s">
        <v>26</v>
      </c>
      <c r="D38" s="2">
        <f>+D26</f>
        <v>15000</v>
      </c>
      <c r="L38" t="s">
        <v>26</v>
      </c>
      <c r="M38" s="2">
        <f>+M26</f>
        <v>18500</v>
      </c>
    </row>
    <row r="39" spans="3:19" x14ac:dyDescent="0.25">
      <c r="C39" s="12" t="s">
        <v>23</v>
      </c>
      <c r="D39" s="13">
        <f>+D37-D38</f>
        <v>29318.181818181802</v>
      </c>
      <c r="L39" s="12" t="s">
        <v>23</v>
      </c>
      <c r="M39" s="13">
        <f>+M37-M38</f>
        <v>40450.76289860675</v>
      </c>
      <c r="O39">
        <f>+O58*O80*O100</f>
        <v>1.1119999610325295</v>
      </c>
    </row>
    <row r="41" spans="3:19" x14ac:dyDescent="0.25">
      <c r="F41" t="s">
        <v>27</v>
      </c>
      <c r="G41" s="2">
        <f>+M39-D39</f>
        <v>11132.581080424949</v>
      </c>
      <c r="K41" s="2"/>
    </row>
    <row r="42" spans="3:19" x14ac:dyDescent="0.25">
      <c r="F42" s="21" t="s">
        <v>32</v>
      </c>
      <c r="G42" s="22">
        <f>+M37-D37-D15-M24</f>
        <v>3132.5810804249486</v>
      </c>
      <c r="L42" t="s">
        <v>9</v>
      </c>
      <c r="M42" s="3">
        <f>+M23</f>
        <v>2025</v>
      </c>
      <c r="N42" s="3">
        <f>+M42+1</f>
        <v>2026</v>
      </c>
      <c r="O42" s="3">
        <v>2025</v>
      </c>
      <c r="P42" s="3">
        <f t="shared" ref="P42" si="19">+O42+1</f>
        <v>2026</v>
      </c>
      <c r="Q42" s="3">
        <v>2026</v>
      </c>
      <c r="R42" s="3" t="s">
        <v>3</v>
      </c>
    </row>
    <row r="43" spans="3:19" x14ac:dyDescent="0.25">
      <c r="F43" s="15" t="s">
        <v>29</v>
      </c>
      <c r="G43" s="16">
        <f>+M38-D38-D5</f>
        <v>700</v>
      </c>
      <c r="L43" t="s">
        <v>12</v>
      </c>
      <c r="M43" s="8">
        <v>1000</v>
      </c>
      <c r="N43" s="3"/>
      <c r="O43" s="3"/>
      <c r="P43" s="3"/>
      <c r="Q43" s="3"/>
      <c r="R43" s="3"/>
    </row>
    <row r="44" spans="3:19" x14ac:dyDescent="0.25">
      <c r="F44" s="17" t="s">
        <v>27</v>
      </c>
      <c r="G44" s="18">
        <f>+M39-D39-D16</f>
        <v>3432.5810804249486</v>
      </c>
      <c r="L44" t="s">
        <v>8</v>
      </c>
      <c r="M44" s="2">
        <f>+M25</f>
        <v>37000</v>
      </c>
      <c r="N44" s="1"/>
    </row>
    <row r="45" spans="3:19" x14ac:dyDescent="0.25">
      <c r="F45" s="17" t="s">
        <v>30</v>
      </c>
      <c r="G45" s="18">
        <f>+M24</f>
        <v>1000</v>
      </c>
      <c r="L45" t="s">
        <v>14</v>
      </c>
      <c r="M45" s="2">
        <f>+M44*50%</f>
        <v>18500</v>
      </c>
      <c r="N45" s="1"/>
    </row>
    <row r="46" spans="3:19" x14ac:dyDescent="0.25">
      <c r="F46" s="23" t="s">
        <v>28</v>
      </c>
      <c r="G46" s="24">
        <f>+G44+G43-G45</f>
        <v>3132.5810804249486</v>
      </c>
      <c r="L46" t="s">
        <v>5</v>
      </c>
      <c r="M46" s="7">
        <v>0.13400000000000001</v>
      </c>
    </row>
    <row r="47" spans="3:19" x14ac:dyDescent="0.25">
      <c r="L47" t="s">
        <v>4</v>
      </c>
      <c r="M47" s="4"/>
      <c r="N47" s="7">
        <v>0.11191542288552156</v>
      </c>
      <c r="O47" s="7">
        <f>+N47</f>
        <v>0.11191542288552156</v>
      </c>
      <c r="P47" s="7">
        <f t="shared" ref="P47" si="20">+O47</f>
        <v>0.11191542288552156</v>
      </c>
      <c r="Q47" s="7">
        <f t="shared" ref="Q47" si="21">+P47</f>
        <v>0.11191542288552156</v>
      </c>
      <c r="R47" s="7">
        <f t="shared" ref="R47" si="22">+Q47</f>
        <v>0.11191542288552156</v>
      </c>
      <c r="S47" s="7">
        <f t="shared" ref="S47" si="23">+R47</f>
        <v>0.11191542288552156</v>
      </c>
    </row>
    <row r="48" spans="3:19" x14ac:dyDescent="0.25">
      <c r="L48" t="s">
        <v>0</v>
      </c>
      <c r="M48" s="6">
        <f>+M29</f>
        <v>0.1</v>
      </c>
      <c r="N48" s="6">
        <f t="shared" ref="N48:S48" si="24">+N29</f>
        <v>0.1</v>
      </c>
      <c r="O48" s="6">
        <f t="shared" si="24"/>
        <v>0.1</v>
      </c>
      <c r="P48" s="6">
        <f t="shared" si="24"/>
        <v>0.1</v>
      </c>
      <c r="Q48" s="6">
        <f t="shared" si="24"/>
        <v>0.1</v>
      </c>
      <c r="R48" s="6">
        <f t="shared" si="24"/>
        <v>0.1</v>
      </c>
      <c r="S48" s="6">
        <f t="shared" si="24"/>
        <v>0.1</v>
      </c>
    </row>
    <row r="49" spans="4:19" x14ac:dyDescent="0.25">
      <c r="L49" t="s">
        <v>1</v>
      </c>
      <c r="M49" s="4"/>
      <c r="N49" s="25">
        <v>0.06</v>
      </c>
      <c r="O49" s="25">
        <v>0.06</v>
      </c>
      <c r="P49" s="25">
        <v>0.06</v>
      </c>
      <c r="Q49" s="6">
        <f>+Q30</f>
        <v>0.06</v>
      </c>
      <c r="R49" s="6">
        <f t="shared" ref="R49:S49" si="25">+R30</f>
        <v>0.06</v>
      </c>
      <c r="S49" s="6">
        <f t="shared" si="25"/>
        <v>0.06</v>
      </c>
    </row>
    <row r="50" spans="4:19" x14ac:dyDescent="0.25">
      <c r="F50" t="s">
        <v>37</v>
      </c>
      <c r="L50" t="s">
        <v>6</v>
      </c>
      <c r="M50" s="6">
        <f>+M31</f>
        <v>0.12</v>
      </c>
      <c r="N50" s="6">
        <f t="shared" ref="N50:S50" si="26">+N31</f>
        <v>0.12</v>
      </c>
      <c r="O50" s="6">
        <f t="shared" si="26"/>
        <v>0.12</v>
      </c>
      <c r="P50" s="6">
        <f t="shared" si="26"/>
        <v>0.12</v>
      </c>
      <c r="Q50" s="6">
        <f t="shared" si="26"/>
        <v>0.12</v>
      </c>
      <c r="R50" s="6">
        <f t="shared" si="26"/>
        <v>0.12</v>
      </c>
      <c r="S50" s="6">
        <f t="shared" si="26"/>
        <v>0.12</v>
      </c>
    </row>
    <row r="52" spans="4:19" x14ac:dyDescent="0.25">
      <c r="F52" t="s">
        <v>38</v>
      </c>
    </row>
    <row r="53" spans="4:19" x14ac:dyDescent="0.25">
      <c r="E53" s="26"/>
      <c r="F53" s="26"/>
      <c r="G53" s="20"/>
      <c r="L53" t="s">
        <v>19</v>
      </c>
      <c r="M53" s="2">
        <f>+M44*M46</f>
        <v>4958</v>
      </c>
      <c r="N53" s="2">
        <f>+M53+M53*M54*N47</f>
        <v>5255.48</v>
      </c>
      <c r="O53" s="2">
        <f t="shared" ref="O53:R53" si="27">+N53+N53*N54*O47</f>
        <v>5570.8087999999998</v>
      </c>
      <c r="P53" s="2">
        <f t="shared" si="27"/>
        <v>5905.0573279999999</v>
      </c>
      <c r="Q53" s="2">
        <f t="shared" si="27"/>
        <v>6259.3607676800002</v>
      </c>
      <c r="R53" s="2">
        <f t="shared" si="27"/>
        <v>6634.9224137408</v>
      </c>
    </row>
    <row r="54" spans="4:19" x14ac:dyDescent="0.25">
      <c r="D54" t="s">
        <v>21</v>
      </c>
      <c r="E54" s="26"/>
      <c r="F54" s="26"/>
      <c r="G54" s="20"/>
      <c r="L54" t="s">
        <v>20</v>
      </c>
      <c r="M54" s="5">
        <f>+N49/N47</f>
        <v>0.53611913758637253</v>
      </c>
      <c r="N54" s="5">
        <f>+O49/O47</f>
        <v>0.53611913758637253</v>
      </c>
      <c r="O54" s="5">
        <f t="shared" ref="O54:R54" si="28">+P49/P47</f>
        <v>0.53611913758637253</v>
      </c>
      <c r="P54" s="5">
        <f t="shared" si="28"/>
        <v>0.53611913758637253</v>
      </c>
      <c r="Q54" s="5">
        <f t="shared" si="28"/>
        <v>0.53611913758637253</v>
      </c>
      <c r="R54" s="5">
        <f t="shared" si="28"/>
        <v>0.53611913758637253</v>
      </c>
    </row>
    <row r="55" spans="4:19" x14ac:dyDescent="0.25">
      <c r="E55" s="26"/>
      <c r="F55" s="26"/>
      <c r="G55" s="20"/>
      <c r="L55" t="s">
        <v>21</v>
      </c>
      <c r="M55" s="2">
        <f>+M53*(1-M54)</f>
        <v>2299.9213158467651</v>
      </c>
      <c r="N55" s="2">
        <f>+N53*(1-N54)</f>
        <v>2437.9165947975707</v>
      </c>
      <c r="O55" s="2">
        <f t="shared" ref="O55" si="29">+O53*(1-O54)</f>
        <v>2584.191590485425</v>
      </c>
      <c r="P55" s="2">
        <f t="shared" ref="P55" si="30">+P53*(1-P54)</f>
        <v>2739.2430859145506</v>
      </c>
      <c r="Q55" s="2">
        <f t="shared" ref="Q55" si="31">+Q53*(1-Q54)</f>
        <v>2903.597671069424</v>
      </c>
      <c r="R55" s="2">
        <f t="shared" ref="R55" si="32">+R53*(1-R54)</f>
        <v>3077.8135313335893</v>
      </c>
    </row>
    <row r="56" spans="4:19" x14ac:dyDescent="0.25">
      <c r="E56" s="26"/>
      <c r="F56" s="26"/>
      <c r="G56" s="20"/>
      <c r="L56" s="10" t="s">
        <v>22</v>
      </c>
      <c r="M56" s="11">
        <f t="shared" ref="M56" si="33">+(M55+N56)/(1+M48)</f>
        <v>57498.03289616909</v>
      </c>
      <c r="N56" s="11">
        <f t="shared" ref="N56" si="34">+(N55+O56)/(1+N48)</f>
        <v>60947.914869939239</v>
      </c>
      <c r="O56" s="11">
        <f t="shared" ref="O56" si="35">+(O55+P56)/(1+O48)</f>
        <v>64604.789762135602</v>
      </c>
      <c r="P56" s="11">
        <f t="shared" ref="P56" si="36">+(P55+Q56)/(1+P48)</f>
        <v>68481.077147863747</v>
      </c>
      <c r="Q56" s="11">
        <f>+(Q55+R56)/(1+Q48)</f>
        <v>72589.941776735577</v>
      </c>
      <c r="R56" s="11">
        <f>+R55/(S48-S49)</f>
        <v>76945.338283339719</v>
      </c>
    </row>
    <row r="57" spans="4:19" x14ac:dyDescent="0.25">
      <c r="D57" t="s">
        <v>39</v>
      </c>
      <c r="E57" s="14"/>
      <c r="F57" s="14"/>
      <c r="G57" s="27"/>
      <c r="L57" t="s">
        <v>26</v>
      </c>
      <c r="M57" s="2">
        <f>+M45</f>
        <v>18500</v>
      </c>
    </row>
    <row r="58" spans="4:19" x14ac:dyDescent="0.25">
      <c r="L58" s="12" t="s">
        <v>23</v>
      </c>
      <c r="M58" s="13">
        <f>+M56-M57</f>
        <v>38998.03289616909</v>
      </c>
      <c r="O58">
        <f>+M37/M56</f>
        <v>1.0252657339610387</v>
      </c>
    </row>
    <row r="59" spans="4:19" x14ac:dyDescent="0.25">
      <c r="F59" t="s">
        <v>40</v>
      </c>
    </row>
    <row r="60" spans="4:19" x14ac:dyDescent="0.25">
      <c r="F60" t="s">
        <v>41</v>
      </c>
      <c r="L60" t="s">
        <v>35</v>
      </c>
      <c r="M60" s="2">
        <f>+M37-M56</f>
        <v>1452.73000243766</v>
      </c>
      <c r="N60" s="2">
        <f>+G46-N61</f>
        <v>44.312546957167797</v>
      </c>
    </row>
    <row r="61" spans="4:19" x14ac:dyDescent="0.25">
      <c r="F61" t="s">
        <v>43</v>
      </c>
      <c r="L61" t="s">
        <v>36</v>
      </c>
      <c r="M61" s="2">
        <f>+G46-M60</f>
        <v>1679.8510779872886</v>
      </c>
      <c r="N61" s="2">
        <f>+M37-M78</f>
        <v>3088.2685334677808</v>
      </c>
    </row>
    <row r="64" spans="4:19" x14ac:dyDescent="0.25">
      <c r="L64" t="s">
        <v>9</v>
      </c>
      <c r="M64" s="3">
        <f>+M42</f>
        <v>2025</v>
      </c>
      <c r="N64" s="3">
        <f>+M64+1</f>
        <v>2026</v>
      </c>
      <c r="O64" s="3">
        <v>2025</v>
      </c>
      <c r="P64" s="3">
        <f t="shared" ref="P64" si="37">+O64+1</f>
        <v>2026</v>
      </c>
      <c r="Q64" s="3">
        <v>2026</v>
      </c>
      <c r="R64" s="3" t="s">
        <v>3</v>
      </c>
    </row>
    <row r="65" spans="5:19" x14ac:dyDescent="0.25">
      <c r="E65" t="s">
        <v>21</v>
      </c>
      <c r="F65">
        <v>100</v>
      </c>
      <c r="G65">
        <v>110</v>
      </c>
      <c r="L65" t="s">
        <v>12</v>
      </c>
      <c r="M65" s="8">
        <v>1000</v>
      </c>
      <c r="N65" s="3"/>
      <c r="O65" s="3"/>
      <c r="P65" s="3"/>
      <c r="Q65" s="3"/>
      <c r="R65" s="3"/>
    </row>
    <row r="66" spans="5:19" x14ac:dyDescent="0.25">
      <c r="E66" t="s">
        <v>0</v>
      </c>
      <c r="F66" s="1">
        <v>0.08</v>
      </c>
      <c r="G66" s="1">
        <v>0.08</v>
      </c>
      <c r="L66" t="s">
        <v>8</v>
      </c>
      <c r="M66" s="2">
        <f>+M44</f>
        <v>37000</v>
      </c>
      <c r="N66" s="1"/>
    </row>
    <row r="67" spans="5:19" x14ac:dyDescent="0.25">
      <c r="E67" t="s">
        <v>1</v>
      </c>
      <c r="F67" s="1">
        <v>0.03</v>
      </c>
      <c r="G67" s="1">
        <v>0.03</v>
      </c>
      <c r="L67" t="s">
        <v>14</v>
      </c>
      <c r="M67" s="2">
        <f>+M66*50%</f>
        <v>18500</v>
      </c>
      <c r="N67" s="1"/>
    </row>
    <row r="68" spans="5:19" x14ac:dyDescent="0.25">
      <c r="E68" t="s">
        <v>42</v>
      </c>
      <c r="F68" s="2">
        <f>+F65/(F66-F67)</f>
        <v>2000</v>
      </c>
      <c r="G68" s="2">
        <f>+G65/(G66-G67)</f>
        <v>2200</v>
      </c>
      <c r="H68">
        <f>+G68/F68</f>
        <v>1.1000000000000001</v>
      </c>
      <c r="L68" t="s">
        <v>5</v>
      </c>
      <c r="M68" s="25">
        <v>0.13</v>
      </c>
    </row>
    <row r="69" spans="5:19" x14ac:dyDescent="0.25">
      <c r="H69" s="2">
        <f>+G68-F68</f>
        <v>200</v>
      </c>
      <c r="L69" t="s">
        <v>4</v>
      </c>
      <c r="M69" s="4"/>
      <c r="N69" s="25">
        <v>0.11</v>
      </c>
      <c r="O69" s="25">
        <v>0.11</v>
      </c>
      <c r="P69" s="25">
        <v>0.11</v>
      </c>
      <c r="Q69" s="25">
        <v>0.11</v>
      </c>
      <c r="R69" s="25">
        <v>0.11</v>
      </c>
      <c r="S69" s="25">
        <v>0.11</v>
      </c>
    </row>
    <row r="70" spans="5:19" x14ac:dyDescent="0.25">
      <c r="L70" t="s">
        <v>0</v>
      </c>
      <c r="M70" s="6">
        <f>+M48</f>
        <v>0.1</v>
      </c>
      <c r="N70" s="6">
        <f t="shared" ref="N70:S70" si="38">+N48</f>
        <v>0.1</v>
      </c>
      <c r="O70" s="6">
        <f t="shared" si="38"/>
        <v>0.1</v>
      </c>
      <c r="P70" s="6">
        <f t="shared" si="38"/>
        <v>0.1</v>
      </c>
      <c r="Q70" s="6">
        <f t="shared" si="38"/>
        <v>0.1</v>
      </c>
      <c r="R70" s="6">
        <f t="shared" si="38"/>
        <v>0.1</v>
      </c>
      <c r="S70" s="6">
        <f t="shared" si="38"/>
        <v>0.1</v>
      </c>
    </row>
    <row r="71" spans="5:19" x14ac:dyDescent="0.25">
      <c r="L71" t="s">
        <v>1</v>
      </c>
      <c r="M71" s="4"/>
      <c r="N71" s="7">
        <f>+N30</f>
        <v>0.12</v>
      </c>
      <c r="O71" s="7">
        <f t="shared" ref="O71:P71" si="39">+O30</f>
        <v>0.1</v>
      </c>
      <c r="P71" s="7">
        <f t="shared" si="39"/>
        <v>0.08</v>
      </c>
      <c r="Q71" s="6">
        <f>+Q49</f>
        <v>0.06</v>
      </c>
      <c r="R71" s="6">
        <f t="shared" ref="R71:S71" si="40">+R49</f>
        <v>0.06</v>
      </c>
      <c r="S71" s="6">
        <f t="shared" si="40"/>
        <v>0.06</v>
      </c>
    </row>
    <row r="72" spans="5:19" x14ac:dyDescent="0.25">
      <c r="L72" t="s">
        <v>6</v>
      </c>
      <c r="M72" s="6">
        <f>+M50</f>
        <v>0.12</v>
      </c>
      <c r="N72" s="6">
        <f t="shared" ref="N72:S72" si="41">+N50</f>
        <v>0.12</v>
      </c>
      <c r="O72" s="6">
        <f t="shared" si="41"/>
        <v>0.12</v>
      </c>
      <c r="P72" s="6">
        <f t="shared" si="41"/>
        <v>0.12</v>
      </c>
      <c r="Q72" s="6">
        <f t="shared" si="41"/>
        <v>0.12</v>
      </c>
      <c r="R72" s="6">
        <f t="shared" si="41"/>
        <v>0.12</v>
      </c>
      <c r="S72" s="6">
        <f t="shared" si="41"/>
        <v>0.12</v>
      </c>
    </row>
    <row r="75" spans="5:19" x14ac:dyDescent="0.25">
      <c r="L75" t="s">
        <v>19</v>
      </c>
      <c r="M75" s="2">
        <f>+M66*M68</f>
        <v>4810</v>
      </c>
      <c r="N75" s="2">
        <f>+M75+M75*M76*N69</f>
        <v>5387.2</v>
      </c>
      <c r="O75" s="2">
        <f t="shared" ref="O75:R75" si="42">+N75+N75*N76*O69</f>
        <v>5925.92</v>
      </c>
      <c r="P75" s="2">
        <f t="shared" si="42"/>
        <v>6399.9935999999998</v>
      </c>
      <c r="Q75" s="2">
        <f t="shared" si="42"/>
        <v>6783.9932159999998</v>
      </c>
      <c r="R75" s="2">
        <f t="shared" si="42"/>
        <v>7191.0328089599998</v>
      </c>
    </row>
    <row r="76" spans="5:19" x14ac:dyDescent="0.25">
      <c r="L76" t="s">
        <v>20</v>
      </c>
      <c r="M76" s="5">
        <f>+N71/N69</f>
        <v>1.0909090909090908</v>
      </c>
      <c r="N76" s="5">
        <f>+O71/O69</f>
        <v>0.90909090909090917</v>
      </c>
      <c r="O76" s="5">
        <f t="shared" ref="O76:R76" si="43">+P71/P69</f>
        <v>0.72727272727272729</v>
      </c>
      <c r="P76" s="5">
        <f t="shared" si="43"/>
        <v>0.54545454545454541</v>
      </c>
      <c r="Q76" s="5">
        <f t="shared" si="43"/>
        <v>0.54545454545454541</v>
      </c>
      <c r="R76" s="5">
        <f t="shared" si="43"/>
        <v>0.54545454545454541</v>
      </c>
    </row>
    <row r="77" spans="5:19" x14ac:dyDescent="0.25">
      <c r="L77" t="s">
        <v>21</v>
      </c>
      <c r="M77" s="2">
        <f>+M75*(1-M76)</f>
        <v>-437.27272727272691</v>
      </c>
      <c r="N77" s="2">
        <f>+N75*(1-N76)</f>
        <v>489.74545454545409</v>
      </c>
      <c r="O77" s="2">
        <f t="shared" ref="O77" si="44">+O75*(1-O76)</f>
        <v>1616.1599999999999</v>
      </c>
      <c r="P77" s="2">
        <f t="shared" ref="P77" si="45">+P75*(1-P76)</f>
        <v>2909.0880000000002</v>
      </c>
      <c r="Q77" s="2">
        <f t="shared" ref="Q77" si="46">+Q75*(1-Q76)</f>
        <v>3083.63328</v>
      </c>
      <c r="R77" s="2">
        <f t="shared" ref="R77" si="47">+R75*(1-R76)</f>
        <v>3268.6512768000002</v>
      </c>
    </row>
    <row r="78" spans="5:19" x14ac:dyDescent="0.25">
      <c r="L78" s="10" t="s">
        <v>22</v>
      </c>
      <c r="M78" s="11">
        <f t="shared" ref="M78" si="48">+(M77+N78)/(1+M70)</f>
        <v>55862.494365138969</v>
      </c>
      <c r="N78" s="11">
        <f t="shared" ref="N78" si="49">+(N77+O78)/(1+N70)</f>
        <v>61886.016528925597</v>
      </c>
      <c r="O78" s="11">
        <f t="shared" ref="O78" si="50">+(O77+P78)/(1+O70)</f>
        <v>67584.872727272712</v>
      </c>
      <c r="P78" s="11">
        <f t="shared" ref="P78" si="51">+(P77+Q78)/(1+P70)</f>
        <v>72727.199999999983</v>
      </c>
      <c r="Q78" s="11">
        <f>+(Q77+R78)/(1+Q70)</f>
        <v>77090.83199999998</v>
      </c>
      <c r="R78" s="11">
        <f>+R77/(S70-S71)</f>
        <v>81716.281919999994</v>
      </c>
    </row>
    <row r="79" spans="5:19" x14ac:dyDescent="0.25">
      <c r="L79" t="s">
        <v>26</v>
      </c>
      <c r="M79" s="2">
        <f>+M67</f>
        <v>18500</v>
      </c>
    </row>
    <row r="80" spans="5:19" x14ac:dyDescent="0.25">
      <c r="L80" s="12" t="s">
        <v>23</v>
      </c>
      <c r="M80" s="13">
        <f>+M78-M79</f>
        <v>37362.494365138969</v>
      </c>
      <c r="O80">
        <f>+M37/M78</f>
        <v>1.0552833984333327</v>
      </c>
    </row>
    <row r="84" spans="12:19" x14ac:dyDescent="0.25">
      <c r="L84" t="s">
        <v>9</v>
      </c>
      <c r="M84" s="3">
        <f>+M64</f>
        <v>2025</v>
      </c>
      <c r="N84" s="3">
        <f>+M84+1</f>
        <v>2026</v>
      </c>
      <c r="O84" s="3">
        <v>2025</v>
      </c>
      <c r="P84" s="3">
        <f t="shared" ref="P84" si="52">+O84+1</f>
        <v>2026</v>
      </c>
      <c r="Q84" s="3">
        <v>2026</v>
      </c>
      <c r="R84" s="3" t="s">
        <v>3</v>
      </c>
    </row>
    <row r="85" spans="12:19" x14ac:dyDescent="0.25">
      <c r="L85" t="s">
        <v>12</v>
      </c>
      <c r="M85" s="28">
        <v>0</v>
      </c>
      <c r="N85" s="3"/>
      <c r="O85" s="3"/>
      <c r="P85" s="3"/>
      <c r="Q85" s="3"/>
      <c r="R85" s="3"/>
    </row>
    <row r="86" spans="12:19" x14ac:dyDescent="0.25">
      <c r="L86" t="s">
        <v>8</v>
      </c>
      <c r="M86" s="2">
        <v>36000</v>
      </c>
      <c r="N86" s="1"/>
    </row>
    <row r="87" spans="12:19" x14ac:dyDescent="0.25">
      <c r="L87" t="s">
        <v>14</v>
      </c>
      <c r="M87" s="2">
        <f>+M86*50%</f>
        <v>18000</v>
      </c>
      <c r="N87" s="1"/>
    </row>
    <row r="88" spans="12:19" x14ac:dyDescent="0.25">
      <c r="L88" t="s">
        <v>5</v>
      </c>
      <c r="M88" s="25">
        <f>+M46</f>
        <v>0.13400000000000001</v>
      </c>
    </row>
    <row r="89" spans="12:19" x14ac:dyDescent="0.25">
      <c r="L89" t="s">
        <v>4</v>
      </c>
      <c r="M89" s="4"/>
      <c r="N89" s="25">
        <f>+N47</f>
        <v>0.11191542288552156</v>
      </c>
      <c r="O89" s="25">
        <f t="shared" ref="O89:S89" si="53">+O47</f>
        <v>0.11191542288552156</v>
      </c>
      <c r="P89" s="25">
        <f t="shared" si="53"/>
        <v>0.11191542288552156</v>
      </c>
      <c r="Q89" s="25">
        <f t="shared" si="53"/>
        <v>0.11191542288552156</v>
      </c>
      <c r="R89" s="25">
        <f t="shared" si="53"/>
        <v>0.11191542288552156</v>
      </c>
      <c r="S89" s="25">
        <f t="shared" si="53"/>
        <v>0.11191542288552156</v>
      </c>
    </row>
    <row r="90" spans="12:19" x14ac:dyDescent="0.25">
      <c r="L90" t="s">
        <v>0</v>
      </c>
      <c r="M90" s="6">
        <f>+M70</f>
        <v>0.1</v>
      </c>
      <c r="N90" s="6">
        <f t="shared" ref="N90:S90" si="54">+N70</f>
        <v>0.1</v>
      </c>
      <c r="O90" s="6">
        <f t="shared" si="54"/>
        <v>0.1</v>
      </c>
      <c r="P90" s="6">
        <f t="shared" si="54"/>
        <v>0.1</v>
      </c>
      <c r="Q90" s="6">
        <f t="shared" si="54"/>
        <v>0.1</v>
      </c>
      <c r="R90" s="6">
        <f t="shared" si="54"/>
        <v>0.1</v>
      </c>
      <c r="S90" s="6">
        <f t="shared" si="54"/>
        <v>0.1</v>
      </c>
    </row>
    <row r="91" spans="12:19" x14ac:dyDescent="0.25">
      <c r="L91" t="s">
        <v>1</v>
      </c>
      <c r="M91" s="4"/>
      <c r="N91" s="7">
        <f>+N71</f>
        <v>0.12</v>
      </c>
      <c r="O91" s="7">
        <f t="shared" ref="O91:P91" si="55">+O71</f>
        <v>0.1</v>
      </c>
      <c r="P91" s="7">
        <f t="shared" si="55"/>
        <v>0.08</v>
      </c>
      <c r="Q91" s="6">
        <f t="shared" ref="Q91:S91" si="56">+Q71</f>
        <v>0.06</v>
      </c>
      <c r="R91" s="6">
        <f t="shared" si="56"/>
        <v>0.06</v>
      </c>
      <c r="S91" s="6">
        <f t="shared" si="56"/>
        <v>0.06</v>
      </c>
    </row>
    <row r="92" spans="12:19" x14ac:dyDescent="0.25">
      <c r="L92" t="s">
        <v>6</v>
      </c>
      <c r="M92" s="6">
        <f t="shared" ref="M92:P92" si="57">+M72</f>
        <v>0.12</v>
      </c>
      <c r="N92" s="6">
        <f t="shared" si="57"/>
        <v>0.12</v>
      </c>
      <c r="O92" s="6">
        <f t="shared" si="57"/>
        <v>0.12</v>
      </c>
      <c r="P92" s="6">
        <f t="shared" si="57"/>
        <v>0.12</v>
      </c>
      <c r="Q92" s="6">
        <f t="shared" ref="Q92:S92" si="58">+Q72</f>
        <v>0.12</v>
      </c>
      <c r="R92" s="6">
        <f t="shared" si="58"/>
        <v>0.12</v>
      </c>
      <c r="S92" s="6">
        <f t="shared" si="58"/>
        <v>0.12</v>
      </c>
    </row>
    <row r="95" spans="12:19" x14ac:dyDescent="0.25">
      <c r="L95" t="s">
        <v>19</v>
      </c>
      <c r="M95" s="2">
        <f>+M86*M88</f>
        <v>4824</v>
      </c>
      <c r="N95" s="2">
        <f>+M95+M95*M96*N89</f>
        <v>5402.88</v>
      </c>
      <c r="O95" s="2">
        <f t="shared" ref="O95:R95" si="59">+N95+N95*N96*O89</f>
        <v>5943.1679999999997</v>
      </c>
      <c r="P95" s="2">
        <f t="shared" si="59"/>
        <v>6418.6214399999999</v>
      </c>
      <c r="Q95" s="2">
        <f t="shared" si="59"/>
        <v>6803.7387263999999</v>
      </c>
      <c r="R95" s="2">
        <f t="shared" si="59"/>
        <v>7211.9630499839996</v>
      </c>
    </row>
    <row r="96" spans="12:19" x14ac:dyDescent="0.25">
      <c r="L96" t="s">
        <v>20</v>
      </c>
      <c r="M96" s="5">
        <f>+N91/N89</f>
        <v>1.0722382751727451</v>
      </c>
      <c r="N96" s="5">
        <f>+O91/O89</f>
        <v>0.89353189597728766</v>
      </c>
      <c r="O96" s="5">
        <f t="shared" ref="O96:R96" si="60">+P91/P89</f>
        <v>0.71482551678183004</v>
      </c>
      <c r="P96" s="5">
        <f t="shared" si="60"/>
        <v>0.53611913758637253</v>
      </c>
      <c r="Q96" s="5">
        <f t="shared" si="60"/>
        <v>0.53611913758637253</v>
      </c>
      <c r="R96" s="5">
        <f t="shared" si="60"/>
        <v>0.53611913758637253</v>
      </c>
    </row>
    <row r="97" spans="12:18" x14ac:dyDescent="0.25">
      <c r="L97" t="s">
        <v>21</v>
      </c>
      <c r="M97" s="2">
        <f>+M95*(1-M96)</f>
        <v>-348.47743943332216</v>
      </c>
      <c r="N97" s="2">
        <f>+N95*(1-N96)</f>
        <v>575.23438986223209</v>
      </c>
      <c r="O97" s="2">
        <f t="shared" ref="O97" si="61">+O95*(1-O96)</f>
        <v>1694.8398630787647</v>
      </c>
      <c r="P97" s="2">
        <f t="shared" ref="P97" si="62">+P95*(1-P96)</f>
        <v>2977.4756490937993</v>
      </c>
      <c r="Q97" s="2">
        <f t="shared" ref="Q97" si="63">+Q95*(1-Q96)</f>
        <v>3156.1241880394273</v>
      </c>
      <c r="R97" s="2">
        <f t="shared" ref="R97" si="64">+R95*(1-R96)</f>
        <v>3345.4916393217927</v>
      </c>
    </row>
    <row r="98" spans="12:18" x14ac:dyDescent="0.25">
      <c r="L98" s="10" t="s">
        <v>22</v>
      </c>
      <c r="M98" s="11">
        <f t="shared" ref="M98" si="65">+(M97+N98)/(1+M90)</f>
        <v>57357.49903648223</v>
      </c>
      <c r="N98" s="11">
        <f t="shared" ref="N98" si="66">+(N97+O98)/(1+N90)</f>
        <v>63441.726379563777</v>
      </c>
      <c r="O98" s="11">
        <f t="shared" ref="O98" si="67">+(O97+P98)/(1+O90)</f>
        <v>69210.664627657927</v>
      </c>
      <c r="P98" s="11">
        <f t="shared" ref="P98" si="68">+(P97+Q98)/(1+P90)</f>
        <v>74436.891227344953</v>
      </c>
      <c r="Q98" s="11">
        <f>+(Q97+R98)/(1+Q90)</f>
        <v>78903.104700985656</v>
      </c>
      <c r="R98" s="11">
        <f>+R97/(S90-S91)</f>
        <v>83637.290983044804</v>
      </c>
    </row>
    <row r="99" spans="12:18" x14ac:dyDescent="0.25">
      <c r="L99" t="s">
        <v>26</v>
      </c>
      <c r="M99" s="2">
        <f>+M87</f>
        <v>18000</v>
      </c>
    </row>
    <row r="100" spans="12:18" x14ac:dyDescent="0.25">
      <c r="L100" s="12" t="s">
        <v>23</v>
      </c>
      <c r="M100" s="13">
        <f>+M98-M99</f>
        <v>39357.49903648223</v>
      </c>
      <c r="O100">
        <f>+M37/M98</f>
        <v>1.0277777777777781</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9941-F97C-47F5-9CFD-192C1ADF6695}">
  <dimension ref="C1:S65"/>
  <sheetViews>
    <sheetView zoomScale="120" zoomScaleNormal="120" workbookViewId="0">
      <selection activeCell="H12" sqref="H12"/>
    </sheetView>
  </sheetViews>
  <sheetFormatPr defaultRowHeight="15.75" x14ac:dyDescent="0.25"/>
  <cols>
    <col min="3" max="3" width="15.5" bestFit="1" customWidth="1"/>
    <col min="4" max="4" width="11.875" bestFit="1" customWidth="1"/>
    <col min="5" max="5" width="9.25" bestFit="1" customWidth="1"/>
    <col min="6" max="6" width="33.25" customWidth="1"/>
    <col min="7" max="7" width="11.75" bestFit="1" customWidth="1"/>
    <col min="8" max="8" width="9.25" bestFit="1" customWidth="1"/>
    <col min="9" max="9" width="23" bestFit="1" customWidth="1"/>
    <col min="10" max="10" width="8.125" bestFit="1" customWidth="1"/>
    <col min="12" max="12" width="14.125" bestFit="1" customWidth="1"/>
    <col min="13" max="18" width="11.25" bestFit="1" customWidth="1"/>
    <col min="19" max="19" width="7.125" bestFit="1" customWidth="1"/>
  </cols>
  <sheetData>
    <row r="1" spans="3:8" x14ac:dyDescent="0.25">
      <c r="E1" s="4"/>
    </row>
    <row r="2" spans="3:8" x14ac:dyDescent="0.25">
      <c r="E2" s="4"/>
    </row>
    <row r="3" spans="3:8" x14ac:dyDescent="0.25">
      <c r="C3" s="3" t="s">
        <v>2</v>
      </c>
      <c r="D3" s="3">
        <f>+D23</f>
        <v>2025</v>
      </c>
      <c r="F3" t="s">
        <v>15</v>
      </c>
    </row>
    <row r="4" spans="3:8" x14ac:dyDescent="0.25">
      <c r="C4" t="s">
        <v>8</v>
      </c>
      <c r="D4" s="2">
        <v>6000</v>
      </c>
      <c r="F4" t="s">
        <v>16</v>
      </c>
      <c r="G4" s="2">
        <v>300</v>
      </c>
    </row>
    <row r="5" spans="3:8" x14ac:dyDescent="0.25">
      <c r="C5" t="s">
        <v>13</v>
      </c>
      <c r="D5" s="2">
        <v>2800</v>
      </c>
      <c r="F5" t="s">
        <v>17</v>
      </c>
      <c r="G5" s="2">
        <v>600</v>
      </c>
    </row>
    <row r="6" spans="3:8" x14ac:dyDescent="0.25">
      <c r="C6" t="s">
        <v>5</v>
      </c>
      <c r="D6" s="4">
        <v>0.14000000000000001</v>
      </c>
    </row>
    <row r="7" spans="3:8" x14ac:dyDescent="0.25">
      <c r="C7" t="s">
        <v>10</v>
      </c>
      <c r="D7" s="5">
        <v>0.12</v>
      </c>
    </row>
    <row r="8" spans="3:8" x14ac:dyDescent="0.25">
      <c r="C8" t="s">
        <v>0</v>
      </c>
      <c r="D8" s="4">
        <v>0.1</v>
      </c>
    </row>
    <row r="9" spans="3:8" x14ac:dyDescent="0.25">
      <c r="C9" t="s">
        <v>11</v>
      </c>
      <c r="D9" s="4">
        <v>0.06</v>
      </c>
      <c r="F9" t="s">
        <v>24</v>
      </c>
      <c r="G9" s="2">
        <f>+D16</f>
        <v>7700</v>
      </c>
    </row>
    <row r="10" spans="3:8" x14ac:dyDescent="0.25">
      <c r="C10" t="s">
        <v>6</v>
      </c>
      <c r="D10" s="4">
        <v>0.12</v>
      </c>
      <c r="F10" t="s">
        <v>25</v>
      </c>
      <c r="G10" s="2">
        <f>+G9+G4</f>
        <v>8000</v>
      </c>
    </row>
    <row r="12" spans="3:8" x14ac:dyDescent="0.25">
      <c r="C12" t="s">
        <v>19</v>
      </c>
      <c r="D12" s="9">
        <f>+D4*D6</f>
        <v>840.00000000000011</v>
      </c>
      <c r="F12" t="s">
        <v>31</v>
      </c>
      <c r="G12" s="2">
        <f>+D16+G42</f>
        <v>10832.581080424949</v>
      </c>
      <c r="H12">
        <f>+G12/G9</f>
        <v>1.4068287117434999</v>
      </c>
    </row>
    <row r="13" spans="3:8" ht="31.5" x14ac:dyDescent="0.25">
      <c r="C13" t="s">
        <v>20</v>
      </c>
      <c r="D13" s="5">
        <f>+D9/D7</f>
        <v>0.5</v>
      </c>
      <c r="F13" s="19" t="s">
        <v>33</v>
      </c>
      <c r="G13" s="2">
        <f>+M37-D37-M24-D5</f>
        <v>10832.581080424949</v>
      </c>
    </row>
    <row r="14" spans="3:8" x14ac:dyDescent="0.25">
      <c r="C14" t="s">
        <v>21</v>
      </c>
      <c r="D14" s="2">
        <f>+D12*(1-D13)</f>
        <v>420.00000000000006</v>
      </c>
    </row>
    <row r="15" spans="3:8" x14ac:dyDescent="0.25">
      <c r="C15" s="10" t="s">
        <v>22</v>
      </c>
      <c r="D15" s="11">
        <f>+D14/(D8-D9)</f>
        <v>10500</v>
      </c>
      <c r="F15" t="s">
        <v>34</v>
      </c>
      <c r="G15" s="2">
        <f>+G13-G5</f>
        <v>10232.581080424949</v>
      </c>
    </row>
    <row r="16" spans="3:8" x14ac:dyDescent="0.25">
      <c r="C16" s="12" t="s">
        <v>23</v>
      </c>
      <c r="D16" s="13">
        <f>+D15-D5</f>
        <v>7700</v>
      </c>
    </row>
    <row r="23" spans="3:19" x14ac:dyDescent="0.25">
      <c r="C23" t="s">
        <v>7</v>
      </c>
      <c r="D23" s="3">
        <v>2025</v>
      </c>
      <c r="E23" s="3">
        <f>+D23+1</f>
        <v>2026</v>
      </c>
      <c r="F23" s="3">
        <v>2025</v>
      </c>
      <c r="G23" s="3">
        <f t="shared" ref="G23" si="0">+F23+1</f>
        <v>2026</v>
      </c>
      <c r="H23" s="3">
        <v>2026</v>
      </c>
      <c r="I23" s="3" t="s">
        <v>3</v>
      </c>
      <c r="L23" t="s">
        <v>9</v>
      </c>
      <c r="M23" s="3">
        <f>+D23</f>
        <v>2025</v>
      </c>
      <c r="N23" s="3">
        <f>+M23+1</f>
        <v>2026</v>
      </c>
      <c r="O23" s="3">
        <v>2025</v>
      </c>
      <c r="P23" s="3">
        <f t="shared" ref="P23" si="1">+O23+1</f>
        <v>2026</v>
      </c>
      <c r="Q23" s="3">
        <v>2026</v>
      </c>
      <c r="R23" s="3" t="s">
        <v>3</v>
      </c>
    </row>
    <row r="24" spans="3:19" x14ac:dyDescent="0.25">
      <c r="E24" s="3"/>
      <c r="F24" s="3"/>
      <c r="G24" s="3"/>
      <c r="H24" s="3"/>
      <c r="I24" s="3"/>
      <c r="L24" t="s">
        <v>12</v>
      </c>
      <c r="M24" s="8">
        <v>1000</v>
      </c>
      <c r="N24" s="3"/>
      <c r="O24" s="3"/>
      <c r="P24" s="3"/>
      <c r="Q24" s="3"/>
      <c r="R24" s="3"/>
    </row>
    <row r="25" spans="3:19" x14ac:dyDescent="0.25">
      <c r="C25" t="s">
        <v>8</v>
      </c>
      <c r="D25" s="2">
        <v>30000</v>
      </c>
      <c r="E25" s="1"/>
      <c r="L25" t="s">
        <v>8</v>
      </c>
      <c r="M25" s="2">
        <f>+D25+D4+M24</f>
        <v>37000</v>
      </c>
      <c r="N25" s="1"/>
    </row>
    <row r="26" spans="3:19" x14ac:dyDescent="0.25">
      <c r="C26" t="s">
        <v>14</v>
      </c>
      <c r="D26" s="2">
        <f>+D25*50%</f>
        <v>15000</v>
      </c>
      <c r="E26" s="1"/>
      <c r="L26" t="s">
        <v>14</v>
      </c>
      <c r="M26" s="2">
        <f>+M25*50%</f>
        <v>18500</v>
      </c>
      <c r="N26" s="1"/>
    </row>
    <row r="27" spans="3:19" x14ac:dyDescent="0.25">
      <c r="C27" t="s">
        <v>5</v>
      </c>
      <c r="D27" s="4">
        <v>0.13</v>
      </c>
      <c r="L27" t="s">
        <v>5</v>
      </c>
      <c r="M27" s="7">
        <v>0.13400000000000001</v>
      </c>
    </row>
    <row r="28" spans="3:19" x14ac:dyDescent="0.25">
      <c r="C28" t="s">
        <v>4</v>
      </c>
      <c r="D28" s="4"/>
      <c r="E28" s="4">
        <v>0.11</v>
      </c>
      <c r="F28" s="4">
        <v>0.11</v>
      </c>
      <c r="G28" s="4">
        <v>0.11</v>
      </c>
      <c r="H28" s="4">
        <v>0.11</v>
      </c>
      <c r="I28" s="4">
        <v>0.11</v>
      </c>
      <c r="J28" s="4">
        <v>0.11</v>
      </c>
      <c r="L28" t="s">
        <v>4</v>
      </c>
      <c r="M28" s="4"/>
      <c r="N28" s="7">
        <v>0.11191542288552156</v>
      </c>
      <c r="O28" s="7">
        <f>+N28</f>
        <v>0.11191542288552156</v>
      </c>
      <c r="P28" s="7">
        <f t="shared" ref="P28:S28" si="2">+O28</f>
        <v>0.11191542288552156</v>
      </c>
      <c r="Q28" s="7">
        <f t="shared" si="2"/>
        <v>0.11191542288552156</v>
      </c>
      <c r="R28" s="7">
        <f t="shared" si="2"/>
        <v>0.11191542288552156</v>
      </c>
      <c r="S28" s="7">
        <f t="shared" si="2"/>
        <v>0.11191542288552156</v>
      </c>
    </row>
    <row r="29" spans="3:19" x14ac:dyDescent="0.25">
      <c r="C29" t="s">
        <v>0</v>
      </c>
      <c r="D29" s="4">
        <v>0.1</v>
      </c>
      <c r="E29" s="4">
        <v>0.1</v>
      </c>
      <c r="F29" s="4">
        <v>0.1</v>
      </c>
      <c r="G29" s="4">
        <v>0.1</v>
      </c>
      <c r="H29" s="4">
        <v>0.1</v>
      </c>
      <c r="I29" s="4">
        <v>0.1</v>
      </c>
      <c r="J29" s="4">
        <v>0.1</v>
      </c>
      <c r="L29" t="s">
        <v>0</v>
      </c>
      <c r="M29" s="6">
        <f>+D29</f>
        <v>0.1</v>
      </c>
      <c r="N29" s="6">
        <f t="shared" ref="N29:S30" si="3">+E29</f>
        <v>0.1</v>
      </c>
      <c r="O29" s="6">
        <f t="shared" si="3"/>
        <v>0.1</v>
      </c>
      <c r="P29" s="6">
        <f t="shared" si="3"/>
        <v>0.1</v>
      </c>
      <c r="Q29" s="6">
        <f t="shared" si="3"/>
        <v>0.1</v>
      </c>
      <c r="R29" s="6">
        <f t="shared" si="3"/>
        <v>0.1</v>
      </c>
      <c r="S29" s="6">
        <f t="shared" si="3"/>
        <v>0.1</v>
      </c>
    </row>
    <row r="30" spans="3:19" x14ac:dyDescent="0.25">
      <c r="C30" t="s">
        <v>1</v>
      </c>
      <c r="D30" s="4"/>
      <c r="E30" s="4">
        <v>0.06</v>
      </c>
      <c r="F30" s="4">
        <v>0.06</v>
      </c>
      <c r="G30" s="4">
        <v>0.06</v>
      </c>
      <c r="H30" s="4">
        <v>0.06</v>
      </c>
      <c r="I30" s="4">
        <v>0.06</v>
      </c>
      <c r="J30" s="4">
        <v>0.06</v>
      </c>
      <c r="L30" t="s">
        <v>1</v>
      </c>
      <c r="M30" s="4"/>
      <c r="N30" s="7">
        <v>0.12</v>
      </c>
      <c r="O30" s="7">
        <v>0.1</v>
      </c>
      <c r="P30" s="7">
        <v>0.08</v>
      </c>
      <c r="Q30" s="6">
        <f>+H30</f>
        <v>0.06</v>
      </c>
      <c r="R30" s="6">
        <f t="shared" si="3"/>
        <v>0.06</v>
      </c>
      <c r="S30" s="6">
        <f t="shared" si="3"/>
        <v>0.06</v>
      </c>
    </row>
    <row r="31" spans="3:19" x14ac:dyDescent="0.25">
      <c r="C31" t="s">
        <v>6</v>
      </c>
      <c r="D31" s="4">
        <v>0.12</v>
      </c>
      <c r="E31" s="4">
        <v>0.12</v>
      </c>
      <c r="F31" s="4">
        <v>0.12</v>
      </c>
      <c r="G31" s="4">
        <v>0.12</v>
      </c>
      <c r="H31" s="4">
        <v>0.12</v>
      </c>
      <c r="I31" s="4">
        <v>0.12</v>
      </c>
      <c r="J31" s="4">
        <v>0.12</v>
      </c>
      <c r="L31" t="s">
        <v>6</v>
      </c>
      <c r="M31" s="6">
        <f>+D31</f>
        <v>0.12</v>
      </c>
      <c r="N31" s="6">
        <f t="shared" ref="N31:S31" si="4">+E31</f>
        <v>0.12</v>
      </c>
      <c r="O31" s="6">
        <f t="shared" si="4"/>
        <v>0.12</v>
      </c>
      <c r="P31" s="6">
        <f t="shared" si="4"/>
        <v>0.12</v>
      </c>
      <c r="Q31" s="6">
        <f t="shared" si="4"/>
        <v>0.12</v>
      </c>
      <c r="R31" s="6">
        <f t="shared" si="4"/>
        <v>0.12</v>
      </c>
      <c r="S31" s="6">
        <f t="shared" si="4"/>
        <v>0.12</v>
      </c>
    </row>
    <row r="32" spans="3:19" x14ac:dyDescent="0.25">
      <c r="C32" t="s">
        <v>18</v>
      </c>
      <c r="D32" s="2">
        <v>1000000</v>
      </c>
    </row>
    <row r="34" spans="3:18" x14ac:dyDescent="0.25">
      <c r="C34" t="s">
        <v>19</v>
      </c>
      <c r="D34" s="2">
        <f>+D25*D27</f>
        <v>3900</v>
      </c>
      <c r="E34" s="2">
        <f>+D34+D34*D35*E28</f>
        <v>4134</v>
      </c>
      <c r="F34" s="2">
        <f t="shared" ref="F34:I34" si="5">+E34+E34*E35*F28</f>
        <v>4382.04</v>
      </c>
      <c r="G34" s="2">
        <f t="shared" si="5"/>
        <v>4644.9624000000003</v>
      </c>
      <c r="H34" s="2">
        <f t="shared" si="5"/>
        <v>4923.6601440000004</v>
      </c>
      <c r="I34" s="2">
        <f t="shared" si="5"/>
        <v>5219.0797526400002</v>
      </c>
      <c r="L34" t="s">
        <v>19</v>
      </c>
      <c r="M34" s="2">
        <f>+M25*M27</f>
        <v>4958</v>
      </c>
      <c r="N34" s="2">
        <f>+M34+M34*M35*N28</f>
        <v>5552.96</v>
      </c>
      <c r="O34" s="2">
        <f t="shared" ref="O34:R34" si="6">+N34+N34*N35*O28</f>
        <v>6108.2560000000003</v>
      </c>
      <c r="P34" s="2">
        <f t="shared" si="6"/>
        <v>6596.9164800000008</v>
      </c>
      <c r="Q34" s="2">
        <f t="shared" si="6"/>
        <v>6992.7314688000006</v>
      </c>
      <c r="R34" s="2">
        <f t="shared" si="6"/>
        <v>7412.2953569280007</v>
      </c>
    </row>
    <row r="35" spans="3:18" x14ac:dyDescent="0.25">
      <c r="C35" t="s">
        <v>20</v>
      </c>
      <c r="D35" s="5">
        <f>+E30/E28</f>
        <v>0.54545454545454541</v>
      </c>
      <c r="E35" s="5">
        <f>+F30/F28</f>
        <v>0.54545454545454541</v>
      </c>
      <c r="F35" s="5">
        <f t="shared" ref="F35:I35" si="7">+G30/G28</f>
        <v>0.54545454545454541</v>
      </c>
      <c r="G35" s="5">
        <f t="shared" si="7"/>
        <v>0.54545454545454541</v>
      </c>
      <c r="H35" s="5">
        <f t="shared" si="7"/>
        <v>0.54545454545454541</v>
      </c>
      <c r="I35" s="5">
        <f t="shared" si="7"/>
        <v>0.54545454545454541</v>
      </c>
      <c r="L35" t="s">
        <v>20</v>
      </c>
      <c r="M35" s="5">
        <f>+N30/N28</f>
        <v>1.0722382751727451</v>
      </c>
      <c r="N35" s="5">
        <f>+O30/O28</f>
        <v>0.89353189597728766</v>
      </c>
      <c r="O35" s="5">
        <f t="shared" ref="O35:R35" si="8">+P30/P28</f>
        <v>0.71482551678183004</v>
      </c>
      <c r="P35" s="5">
        <f t="shared" si="8"/>
        <v>0.53611913758637253</v>
      </c>
      <c r="Q35" s="5">
        <f t="shared" si="8"/>
        <v>0.53611913758637253</v>
      </c>
      <c r="R35" s="5">
        <f t="shared" si="8"/>
        <v>0.53611913758637253</v>
      </c>
    </row>
    <row r="36" spans="3:18" x14ac:dyDescent="0.25">
      <c r="C36" t="s">
        <v>21</v>
      </c>
      <c r="D36" s="2">
        <f>+D34*(1-D35)</f>
        <v>1772.727272727273</v>
      </c>
      <c r="E36" s="2">
        <f>+E34*(1-E35)</f>
        <v>1879.0909090909092</v>
      </c>
      <c r="F36" s="2">
        <f t="shared" ref="F36:I36" si="9">+F34*(1-F35)</f>
        <v>1991.8363636363638</v>
      </c>
      <c r="G36" s="2">
        <f t="shared" si="9"/>
        <v>2111.3465454545458</v>
      </c>
      <c r="H36" s="2">
        <f t="shared" si="9"/>
        <v>2238.0273381818188</v>
      </c>
      <c r="I36" s="2">
        <f t="shared" si="9"/>
        <v>2372.3089784727276</v>
      </c>
      <c r="L36" t="s">
        <v>21</v>
      </c>
      <c r="M36" s="2">
        <f>+M34*(1-M35)</f>
        <v>-358.15736830647</v>
      </c>
      <c r="N36" s="2">
        <f>+N34*(1-N35)</f>
        <v>591.21312291396077</v>
      </c>
      <c r="O36" s="2">
        <f t="shared" ref="O36:R36" si="10">+O34*(1-O35)</f>
        <v>1741.9187481642862</v>
      </c>
      <c r="P36" s="2">
        <f t="shared" si="10"/>
        <v>3060.1833060130721</v>
      </c>
      <c r="Q36" s="2">
        <f t="shared" si="10"/>
        <v>3243.794304373856</v>
      </c>
      <c r="R36" s="2">
        <f t="shared" si="10"/>
        <v>3438.4219626362878</v>
      </c>
    </row>
    <row r="37" spans="3:18" x14ac:dyDescent="0.25">
      <c r="C37" s="10" t="s">
        <v>22</v>
      </c>
      <c r="D37" s="11">
        <f t="shared" ref="D37:G37" si="11">+(D36+E37)/(1+D29)</f>
        <v>44318.181818181802</v>
      </c>
      <c r="E37" s="11">
        <f t="shared" si="11"/>
        <v>46977.272727272713</v>
      </c>
      <c r="F37" s="11">
        <f t="shared" si="11"/>
        <v>49795.909090909081</v>
      </c>
      <c r="G37" s="11">
        <f t="shared" si="11"/>
        <v>52783.663636363628</v>
      </c>
      <c r="H37" s="11">
        <f>+(H36+I37)/(1+H29)</f>
        <v>55950.683454545448</v>
      </c>
      <c r="I37" s="11">
        <f>+I36/(J29-J30)</f>
        <v>59307.724461818179</v>
      </c>
      <c r="L37" s="10" t="s">
        <v>22</v>
      </c>
      <c r="M37" s="11">
        <f t="shared" ref="M37:P37" si="12">+(M36+N37)/(1+M29)</f>
        <v>58950.76289860675</v>
      </c>
      <c r="N37" s="11">
        <f t="shared" si="12"/>
        <v>65203.996556773898</v>
      </c>
      <c r="O37" s="11">
        <f t="shared" si="12"/>
        <v>71133.183089537328</v>
      </c>
      <c r="P37" s="11">
        <f t="shared" si="12"/>
        <v>76504.582650326774</v>
      </c>
      <c r="Q37" s="11">
        <f>+(Q36+R37)/(1+Q29)</f>
        <v>81094.857609346393</v>
      </c>
      <c r="R37" s="11">
        <f>+R36/(S29-S30)</f>
        <v>85960.54906590718</v>
      </c>
    </row>
    <row r="38" spans="3:18" x14ac:dyDescent="0.25">
      <c r="C38" t="s">
        <v>26</v>
      </c>
      <c r="D38" s="2">
        <f>+D26</f>
        <v>15000</v>
      </c>
      <c r="L38" t="s">
        <v>26</v>
      </c>
      <c r="M38" s="2">
        <f>+M26</f>
        <v>18500</v>
      </c>
    </row>
    <row r="39" spans="3:18" x14ac:dyDescent="0.25">
      <c r="C39" s="12" t="s">
        <v>23</v>
      </c>
      <c r="D39" s="13">
        <f>+D37-D38</f>
        <v>29318.181818181802</v>
      </c>
      <c r="L39" s="12" t="s">
        <v>23</v>
      </c>
      <c r="M39" s="13">
        <f>+M37-M38</f>
        <v>40450.76289860675</v>
      </c>
    </row>
    <row r="41" spans="3:18" x14ac:dyDescent="0.25">
      <c r="F41" t="s">
        <v>27</v>
      </c>
      <c r="G41" s="2">
        <f>+M39-D39</f>
        <v>11132.581080424949</v>
      </c>
      <c r="K41" s="2"/>
    </row>
    <row r="42" spans="3:18" x14ac:dyDescent="0.25">
      <c r="F42" s="21" t="s">
        <v>32</v>
      </c>
      <c r="G42" s="22">
        <f>+M37-D37-D15-M24</f>
        <v>3132.5810804249486</v>
      </c>
      <c r="N42" t="s">
        <v>51</v>
      </c>
    </row>
    <row r="43" spans="3:18" x14ac:dyDescent="0.25">
      <c r="F43" s="15" t="s">
        <v>29</v>
      </c>
      <c r="G43" s="16">
        <f>+M38-D38-D5</f>
        <v>700</v>
      </c>
      <c r="L43" t="s">
        <v>48</v>
      </c>
      <c r="M43" s="2">
        <f>+M37-D37-D15</f>
        <v>4132.5810804249486</v>
      </c>
      <c r="N43" s="2">
        <f>+M24</f>
        <v>1000</v>
      </c>
      <c r="O43" s="2">
        <f>+M43-N43</f>
        <v>3132.5810804249486</v>
      </c>
    </row>
    <row r="44" spans="3:18" x14ac:dyDescent="0.25">
      <c r="F44" s="17" t="s">
        <v>27</v>
      </c>
      <c r="G44" s="18">
        <f>+M39-D39-D16</f>
        <v>3432.5810804249486</v>
      </c>
      <c r="L44" t="s">
        <v>49</v>
      </c>
      <c r="M44" s="2">
        <f>+M39-D39-D16</f>
        <v>3432.5810804249486</v>
      </c>
      <c r="N44" s="29">
        <v>300</v>
      </c>
      <c r="O44" s="2">
        <f t="shared" ref="O44:O45" si="13">+M44-N44</f>
        <v>3132.5810804249486</v>
      </c>
    </row>
    <row r="45" spans="3:18" x14ac:dyDescent="0.25">
      <c r="F45" s="17" t="s">
        <v>30</v>
      </c>
      <c r="G45" s="18">
        <f>+M24</f>
        <v>1000</v>
      </c>
      <c r="L45" t="s">
        <v>50</v>
      </c>
      <c r="M45" s="2">
        <f>+M38-D38-D5</f>
        <v>700</v>
      </c>
      <c r="N45" s="2">
        <v>700</v>
      </c>
      <c r="O45" s="2">
        <f t="shared" si="13"/>
        <v>0</v>
      </c>
    </row>
    <row r="46" spans="3:18" x14ac:dyDescent="0.25">
      <c r="F46" s="23" t="s">
        <v>28</v>
      </c>
      <c r="G46" s="24">
        <f>+G44+G43-G45</f>
        <v>3132.5810804249486</v>
      </c>
      <c r="M46" s="2"/>
    </row>
    <row r="50" spans="6:10" x14ac:dyDescent="0.25">
      <c r="F50" t="s">
        <v>44</v>
      </c>
      <c r="G50" s="2">
        <f>+G9+G46*30%</f>
        <v>8639.7743241274839</v>
      </c>
    </row>
    <row r="51" spans="6:10" x14ac:dyDescent="0.25">
      <c r="F51" t="s">
        <v>45</v>
      </c>
      <c r="G51" s="2">
        <f>+G50*40%</f>
        <v>3455.9097296509935</v>
      </c>
    </row>
    <row r="52" spans="6:10" x14ac:dyDescent="0.25">
      <c r="F52" t="s">
        <v>46</v>
      </c>
      <c r="G52" s="2">
        <f>+G50-G51</f>
        <v>5183.8645944764903</v>
      </c>
    </row>
    <row r="53" spans="6:10" x14ac:dyDescent="0.25">
      <c r="I53" t="s">
        <v>52</v>
      </c>
      <c r="J53" t="s">
        <v>53</v>
      </c>
    </row>
    <row r="54" spans="6:10" x14ac:dyDescent="0.25">
      <c r="F54" t="s">
        <v>47</v>
      </c>
      <c r="G54" s="5">
        <f>+G52/M39</f>
        <v>0.12815245555368843</v>
      </c>
      <c r="I54" s="5">
        <f>+G52/(D39+D16+G46)</f>
        <v>0.12910998995379919</v>
      </c>
      <c r="J54" s="2">
        <f>+I54*M39</f>
        <v>5222.5975914626306</v>
      </c>
    </row>
    <row r="56" spans="6:10" x14ac:dyDescent="0.25">
      <c r="F56" t="s">
        <v>54</v>
      </c>
      <c r="G56" s="2">
        <v>0</v>
      </c>
      <c r="I56" t="s">
        <v>54</v>
      </c>
      <c r="J56" s="2">
        <f>+J54-G52</f>
        <v>38.732996986140279</v>
      </c>
    </row>
    <row r="58" spans="6:10" x14ac:dyDescent="0.25">
      <c r="G58" s="2">
        <f>+G54*M39</f>
        <v>5183.8645944764903</v>
      </c>
      <c r="J58" s="2">
        <f>+J54-J56</f>
        <v>5183.8645944764903</v>
      </c>
    </row>
    <row r="62" spans="6:10" x14ac:dyDescent="0.25">
      <c r="F62" t="s">
        <v>55</v>
      </c>
      <c r="G62" s="2">
        <v>1000000</v>
      </c>
    </row>
    <row r="63" spans="6:10" x14ac:dyDescent="0.25">
      <c r="F63" t="s">
        <v>56</v>
      </c>
      <c r="G63" s="4">
        <f>1-I54</f>
        <v>0.87089001004620081</v>
      </c>
    </row>
    <row r="64" spans="6:10" x14ac:dyDescent="0.25">
      <c r="F64" t="s">
        <v>57</v>
      </c>
      <c r="G64" s="2">
        <f>+G62/G63</f>
        <v>1148250.6269040219</v>
      </c>
    </row>
    <row r="65" spans="6:7" x14ac:dyDescent="0.25">
      <c r="F65" t="s">
        <v>58</v>
      </c>
      <c r="G65" s="2">
        <f>+G64-G62</f>
        <v>148250.62690402195</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3FE72-D465-44AF-B53B-64F9FF69412D}">
  <dimension ref="C1:S65"/>
  <sheetViews>
    <sheetView tabSelected="1" zoomScale="120" zoomScaleNormal="120" workbookViewId="0">
      <selection activeCell="F13" sqref="F13"/>
    </sheetView>
  </sheetViews>
  <sheetFormatPr defaultRowHeight="15.75" x14ac:dyDescent="0.25"/>
  <cols>
    <col min="3" max="3" width="15.5" bestFit="1" customWidth="1"/>
    <col min="4" max="4" width="11.875" bestFit="1" customWidth="1"/>
    <col min="5" max="5" width="9.25" bestFit="1" customWidth="1"/>
    <col min="6" max="6" width="33.25" customWidth="1"/>
    <col min="7" max="7" width="11.75" bestFit="1" customWidth="1"/>
    <col min="8" max="8" width="9.25" bestFit="1" customWidth="1"/>
    <col min="9" max="9" width="23" bestFit="1" customWidth="1"/>
    <col min="10" max="10" width="8.125" bestFit="1" customWidth="1"/>
    <col min="12" max="12" width="14.125" bestFit="1" customWidth="1"/>
    <col min="13" max="18" width="11.25" bestFit="1" customWidth="1"/>
    <col min="19" max="19" width="7.125" bestFit="1" customWidth="1"/>
  </cols>
  <sheetData>
    <row r="1" spans="3:8" x14ac:dyDescent="0.25">
      <c r="E1" s="4"/>
    </row>
    <row r="2" spans="3:8" x14ac:dyDescent="0.25">
      <c r="E2" s="4"/>
    </row>
    <row r="3" spans="3:8" x14ac:dyDescent="0.25">
      <c r="C3" s="3" t="s">
        <v>2</v>
      </c>
      <c r="D3" s="3">
        <f>+D23</f>
        <v>2025</v>
      </c>
      <c r="F3" t="s">
        <v>15</v>
      </c>
    </row>
    <row r="4" spans="3:8" x14ac:dyDescent="0.25">
      <c r="C4" t="s">
        <v>8</v>
      </c>
      <c r="D4" s="2">
        <v>6000</v>
      </c>
      <c r="F4" t="s">
        <v>16</v>
      </c>
      <c r="G4" s="2">
        <v>300</v>
      </c>
    </row>
    <row r="5" spans="3:8" x14ac:dyDescent="0.25">
      <c r="C5" t="s">
        <v>13</v>
      </c>
      <c r="D5" s="2">
        <v>2800</v>
      </c>
      <c r="F5" t="s">
        <v>17</v>
      </c>
      <c r="G5" s="2">
        <v>600</v>
      </c>
    </row>
    <row r="6" spans="3:8" x14ac:dyDescent="0.25">
      <c r="C6" t="s">
        <v>5</v>
      </c>
      <c r="D6" s="4">
        <v>0.14000000000000001</v>
      </c>
    </row>
    <row r="7" spans="3:8" x14ac:dyDescent="0.25">
      <c r="C7" t="s">
        <v>10</v>
      </c>
      <c r="D7" s="5">
        <v>0.12</v>
      </c>
    </row>
    <row r="8" spans="3:8" x14ac:dyDescent="0.25">
      <c r="C8" t="s">
        <v>0</v>
      </c>
      <c r="D8" s="4">
        <v>0.1</v>
      </c>
    </row>
    <row r="9" spans="3:8" x14ac:dyDescent="0.25">
      <c r="C9" t="s">
        <v>11</v>
      </c>
      <c r="D9" s="4">
        <v>0.06</v>
      </c>
      <c r="F9" t="s">
        <v>24</v>
      </c>
      <c r="G9" s="2">
        <f>+D16</f>
        <v>7700</v>
      </c>
    </row>
    <row r="10" spans="3:8" x14ac:dyDescent="0.25">
      <c r="C10" t="s">
        <v>6</v>
      </c>
      <c r="D10" s="4">
        <v>0.12</v>
      </c>
      <c r="F10" t="s">
        <v>25</v>
      </c>
      <c r="G10" s="2">
        <f>+G9+G4</f>
        <v>8000</v>
      </c>
    </row>
    <row r="12" spans="3:8" x14ac:dyDescent="0.25">
      <c r="C12" t="s">
        <v>19</v>
      </c>
      <c r="D12" s="9">
        <f>+D4*D6</f>
        <v>840.00000000000011</v>
      </c>
      <c r="F12" t="s">
        <v>31</v>
      </c>
      <c r="G12" s="2">
        <f>+D16+G42</f>
        <v>9092.7140576482452</v>
      </c>
      <c r="H12">
        <f>+G12/G9</f>
        <v>1.1808719555387333</v>
      </c>
    </row>
    <row r="13" spans="3:8" ht="31.5" x14ac:dyDescent="0.25">
      <c r="C13" t="s">
        <v>20</v>
      </c>
      <c r="D13" s="5">
        <f>+D9/D7</f>
        <v>0.5</v>
      </c>
      <c r="F13" s="19" t="s">
        <v>33</v>
      </c>
      <c r="G13" s="2">
        <f>+M37-D37-M24-D5</f>
        <v>9092.7140576482452</v>
      </c>
    </row>
    <row r="14" spans="3:8" x14ac:dyDescent="0.25">
      <c r="C14" t="s">
        <v>21</v>
      </c>
      <c r="D14" s="2">
        <f>+D12*(1-D13)</f>
        <v>420.00000000000006</v>
      </c>
    </row>
    <row r="15" spans="3:8" x14ac:dyDescent="0.25">
      <c r="C15" s="10" t="s">
        <v>22</v>
      </c>
      <c r="D15" s="11">
        <f>+D14/(D8-D9)</f>
        <v>10500</v>
      </c>
      <c r="F15" t="s">
        <v>34</v>
      </c>
      <c r="G15" s="2">
        <f>+G13-G5</f>
        <v>8492.7140576482452</v>
      </c>
    </row>
    <row r="16" spans="3:8" x14ac:dyDescent="0.25">
      <c r="C16" s="12" t="s">
        <v>23</v>
      </c>
      <c r="D16" s="13">
        <f>+D15-D5</f>
        <v>7700</v>
      </c>
    </row>
    <row r="23" spans="3:19" x14ac:dyDescent="0.25">
      <c r="C23" t="s">
        <v>7</v>
      </c>
      <c r="D23" s="3">
        <v>2025</v>
      </c>
      <c r="E23" s="3">
        <f>+D23+1</f>
        <v>2026</v>
      </c>
      <c r="F23" s="3">
        <v>2025</v>
      </c>
      <c r="G23" s="3">
        <f t="shared" ref="G23" si="0">+F23+1</f>
        <v>2026</v>
      </c>
      <c r="H23" s="3">
        <v>2026</v>
      </c>
      <c r="I23" s="3" t="s">
        <v>3</v>
      </c>
      <c r="L23" t="s">
        <v>9</v>
      </c>
      <c r="M23" s="3">
        <f>+D23</f>
        <v>2025</v>
      </c>
      <c r="N23" s="3">
        <f>+M23+1</f>
        <v>2026</v>
      </c>
      <c r="O23" s="3">
        <v>2025</v>
      </c>
      <c r="P23" s="3">
        <f t="shared" ref="P23" si="1">+O23+1</f>
        <v>2026</v>
      </c>
      <c r="Q23" s="3">
        <v>2026</v>
      </c>
      <c r="R23" s="3" t="s">
        <v>3</v>
      </c>
    </row>
    <row r="24" spans="3:19" x14ac:dyDescent="0.25">
      <c r="E24" s="3"/>
      <c r="F24" s="3"/>
      <c r="G24" s="3"/>
      <c r="H24" s="3"/>
      <c r="I24" s="3"/>
      <c r="L24" t="s">
        <v>12</v>
      </c>
      <c r="M24" s="8">
        <v>1000</v>
      </c>
      <c r="N24" s="3"/>
      <c r="O24" s="3"/>
      <c r="P24" s="3"/>
      <c r="Q24" s="3"/>
      <c r="R24" s="3"/>
    </row>
    <row r="25" spans="3:19" x14ac:dyDescent="0.25">
      <c r="C25" t="s">
        <v>8</v>
      </c>
      <c r="D25" s="30">
        <v>15000</v>
      </c>
      <c r="E25" s="1"/>
      <c r="L25" t="s">
        <v>8</v>
      </c>
      <c r="M25" s="2">
        <f>+D25+D4+M24</f>
        <v>22000</v>
      </c>
      <c r="N25" s="1"/>
    </row>
    <row r="26" spans="3:19" x14ac:dyDescent="0.25">
      <c r="C26" t="s">
        <v>14</v>
      </c>
      <c r="D26" s="2">
        <f>+D25*50%</f>
        <v>7500</v>
      </c>
      <c r="E26" s="1"/>
      <c r="L26" t="s">
        <v>14</v>
      </c>
      <c r="M26" s="2">
        <f>+M25*50%</f>
        <v>11000</v>
      </c>
      <c r="N26" s="1"/>
    </row>
    <row r="27" spans="3:19" x14ac:dyDescent="0.25">
      <c r="C27" t="s">
        <v>5</v>
      </c>
      <c r="D27" s="4">
        <v>0.13</v>
      </c>
      <c r="L27" t="s">
        <v>5</v>
      </c>
      <c r="M27" s="7">
        <v>0.13400000000000001</v>
      </c>
    </row>
    <row r="28" spans="3:19" x14ac:dyDescent="0.25">
      <c r="C28" t="s">
        <v>4</v>
      </c>
      <c r="D28" s="4"/>
      <c r="E28" s="4">
        <v>0.11</v>
      </c>
      <c r="F28" s="4">
        <v>0.11</v>
      </c>
      <c r="G28" s="4">
        <v>0.11</v>
      </c>
      <c r="H28" s="4">
        <v>0.11</v>
      </c>
      <c r="I28" s="4">
        <v>0.11</v>
      </c>
      <c r="J28" s="4">
        <v>0.11</v>
      </c>
      <c r="L28" t="s">
        <v>4</v>
      </c>
      <c r="M28" s="4"/>
      <c r="N28" s="7">
        <v>0.11191542288552156</v>
      </c>
      <c r="O28" s="7">
        <f>+N28</f>
        <v>0.11191542288552156</v>
      </c>
      <c r="P28" s="7">
        <f t="shared" ref="P28:S28" si="2">+O28</f>
        <v>0.11191542288552156</v>
      </c>
      <c r="Q28" s="7">
        <f t="shared" si="2"/>
        <v>0.11191542288552156</v>
      </c>
      <c r="R28" s="7">
        <f t="shared" si="2"/>
        <v>0.11191542288552156</v>
      </c>
      <c r="S28" s="7">
        <f t="shared" si="2"/>
        <v>0.11191542288552156</v>
      </c>
    </row>
    <row r="29" spans="3:19" x14ac:dyDescent="0.25">
      <c r="C29" t="s">
        <v>0</v>
      </c>
      <c r="D29" s="4">
        <v>0.1</v>
      </c>
      <c r="E29" s="4">
        <v>0.1</v>
      </c>
      <c r="F29" s="4">
        <v>0.1</v>
      </c>
      <c r="G29" s="4">
        <v>0.1</v>
      </c>
      <c r="H29" s="4">
        <v>0.1</v>
      </c>
      <c r="I29" s="4">
        <v>0.1</v>
      </c>
      <c r="J29" s="4">
        <v>0.1</v>
      </c>
      <c r="L29" t="s">
        <v>0</v>
      </c>
      <c r="M29" s="6">
        <f>+D29</f>
        <v>0.1</v>
      </c>
      <c r="N29" s="6">
        <f t="shared" ref="N29:S30" si="3">+E29</f>
        <v>0.1</v>
      </c>
      <c r="O29" s="6">
        <f t="shared" si="3"/>
        <v>0.1</v>
      </c>
      <c r="P29" s="6">
        <f t="shared" si="3"/>
        <v>0.1</v>
      </c>
      <c r="Q29" s="6">
        <f t="shared" si="3"/>
        <v>0.1</v>
      </c>
      <c r="R29" s="6">
        <f t="shared" si="3"/>
        <v>0.1</v>
      </c>
      <c r="S29" s="6">
        <f t="shared" si="3"/>
        <v>0.1</v>
      </c>
    </row>
    <row r="30" spans="3:19" x14ac:dyDescent="0.25">
      <c r="C30" t="s">
        <v>1</v>
      </c>
      <c r="D30" s="4"/>
      <c r="E30" s="4">
        <v>0.06</v>
      </c>
      <c r="F30" s="4">
        <v>0.06</v>
      </c>
      <c r="G30" s="4">
        <v>0.06</v>
      </c>
      <c r="H30" s="4">
        <v>0.06</v>
      </c>
      <c r="I30" s="4">
        <v>0.06</v>
      </c>
      <c r="J30" s="4">
        <v>0.06</v>
      </c>
      <c r="L30" t="s">
        <v>1</v>
      </c>
      <c r="M30" s="4"/>
      <c r="N30" s="7">
        <v>0.12</v>
      </c>
      <c r="O30" s="7">
        <v>0.1</v>
      </c>
      <c r="P30" s="7">
        <v>0.08</v>
      </c>
      <c r="Q30" s="6">
        <f>+H30</f>
        <v>0.06</v>
      </c>
      <c r="R30" s="6">
        <f t="shared" si="3"/>
        <v>0.06</v>
      </c>
      <c r="S30" s="6">
        <f t="shared" si="3"/>
        <v>0.06</v>
      </c>
    </row>
    <row r="31" spans="3:19" x14ac:dyDescent="0.25">
      <c r="C31" t="s">
        <v>6</v>
      </c>
      <c r="D31" s="4">
        <v>0.12</v>
      </c>
      <c r="E31" s="4">
        <v>0.12</v>
      </c>
      <c r="F31" s="4">
        <v>0.12</v>
      </c>
      <c r="G31" s="4">
        <v>0.12</v>
      </c>
      <c r="H31" s="4">
        <v>0.12</v>
      </c>
      <c r="I31" s="4">
        <v>0.12</v>
      </c>
      <c r="J31" s="4">
        <v>0.12</v>
      </c>
      <c r="L31" t="s">
        <v>6</v>
      </c>
      <c r="M31" s="6">
        <f>+D31</f>
        <v>0.12</v>
      </c>
      <c r="N31" s="6">
        <f t="shared" ref="N31:S31" si="4">+E31</f>
        <v>0.12</v>
      </c>
      <c r="O31" s="6">
        <f t="shared" si="4"/>
        <v>0.12</v>
      </c>
      <c r="P31" s="6">
        <f t="shared" si="4"/>
        <v>0.12</v>
      </c>
      <c r="Q31" s="6">
        <f t="shared" si="4"/>
        <v>0.12</v>
      </c>
      <c r="R31" s="6">
        <f t="shared" si="4"/>
        <v>0.12</v>
      </c>
      <c r="S31" s="6">
        <f t="shared" si="4"/>
        <v>0.12</v>
      </c>
    </row>
    <row r="32" spans="3:19" x14ac:dyDescent="0.25">
      <c r="C32" t="s">
        <v>18</v>
      </c>
      <c r="D32" s="2">
        <v>1000000</v>
      </c>
    </row>
    <row r="34" spans="3:18" x14ac:dyDescent="0.25">
      <c r="C34" t="s">
        <v>19</v>
      </c>
      <c r="D34" s="2">
        <f>+D25*D27</f>
        <v>1950</v>
      </c>
      <c r="E34" s="2">
        <f>+D34+D34*D35*E28</f>
        <v>2067</v>
      </c>
      <c r="F34" s="2">
        <f t="shared" ref="F34:I34" si="5">+E34+E34*E35*F28</f>
        <v>2191.02</v>
      </c>
      <c r="G34" s="2">
        <f t="shared" si="5"/>
        <v>2322.4812000000002</v>
      </c>
      <c r="H34" s="2">
        <f t="shared" si="5"/>
        <v>2461.8300720000002</v>
      </c>
      <c r="I34" s="2">
        <f t="shared" si="5"/>
        <v>2609.5398763200001</v>
      </c>
      <c r="L34" t="s">
        <v>19</v>
      </c>
      <c r="M34" s="2">
        <f>+M25*M27</f>
        <v>2948</v>
      </c>
      <c r="N34" s="2">
        <f>+M34+M34*M35*N28</f>
        <v>3301.76</v>
      </c>
      <c r="O34" s="2">
        <f t="shared" ref="O34:R34" si="6">+N34+N34*N35*O28</f>
        <v>3631.9360000000001</v>
      </c>
      <c r="P34" s="2">
        <f t="shared" si="6"/>
        <v>3922.4908800000003</v>
      </c>
      <c r="Q34" s="2">
        <f t="shared" si="6"/>
        <v>4157.8403328000004</v>
      </c>
      <c r="R34" s="2">
        <f t="shared" si="6"/>
        <v>4407.3107527680004</v>
      </c>
    </row>
    <row r="35" spans="3:18" x14ac:dyDescent="0.25">
      <c r="C35" t="s">
        <v>20</v>
      </c>
      <c r="D35" s="5">
        <f>+E30/E28</f>
        <v>0.54545454545454541</v>
      </c>
      <c r="E35" s="5">
        <f>+F30/F28</f>
        <v>0.54545454545454541</v>
      </c>
      <c r="F35" s="5">
        <f t="shared" ref="F35:I35" si="7">+G30/G28</f>
        <v>0.54545454545454541</v>
      </c>
      <c r="G35" s="5">
        <f t="shared" si="7"/>
        <v>0.54545454545454541</v>
      </c>
      <c r="H35" s="5">
        <f t="shared" si="7"/>
        <v>0.54545454545454541</v>
      </c>
      <c r="I35" s="5">
        <f t="shared" si="7"/>
        <v>0.54545454545454541</v>
      </c>
      <c r="L35" t="s">
        <v>20</v>
      </c>
      <c r="M35" s="5">
        <f>+N30/N28</f>
        <v>1.0722382751727451</v>
      </c>
      <c r="N35" s="5">
        <f>+O30/O28</f>
        <v>0.89353189597728766</v>
      </c>
      <c r="O35" s="5">
        <f t="shared" ref="O35:R35" si="8">+P30/P28</f>
        <v>0.71482551678183004</v>
      </c>
      <c r="P35" s="5">
        <f t="shared" si="8"/>
        <v>0.53611913758637253</v>
      </c>
      <c r="Q35" s="5">
        <f t="shared" si="8"/>
        <v>0.53611913758637253</v>
      </c>
      <c r="R35" s="5">
        <f t="shared" si="8"/>
        <v>0.53611913758637253</v>
      </c>
    </row>
    <row r="36" spans="3:18" x14ac:dyDescent="0.25">
      <c r="C36" t="s">
        <v>21</v>
      </c>
      <c r="D36" s="2">
        <f>+D34*(1-D35)</f>
        <v>886.36363636363649</v>
      </c>
      <c r="E36" s="2">
        <f>+E34*(1-E35)</f>
        <v>939.54545454545462</v>
      </c>
      <c r="F36" s="2">
        <f t="shared" ref="F36:I36" si="9">+F34*(1-F35)</f>
        <v>995.91818181818189</v>
      </c>
      <c r="G36" s="2">
        <f t="shared" si="9"/>
        <v>1055.6732727272729</v>
      </c>
      <c r="H36" s="2">
        <f t="shared" si="9"/>
        <v>1119.0136690909094</v>
      </c>
      <c r="I36" s="2">
        <f t="shared" si="9"/>
        <v>1186.1544892363638</v>
      </c>
      <c r="L36" t="s">
        <v>21</v>
      </c>
      <c r="M36" s="2">
        <f>+M34*(1-M35)</f>
        <v>-212.95843520925243</v>
      </c>
      <c r="N36" s="2">
        <f>+N34*(1-N35)</f>
        <v>351.53212713803072</v>
      </c>
      <c r="O36" s="2">
        <f t="shared" ref="O36:R36" si="10">+O34*(1-O35)</f>
        <v>1035.7354718814674</v>
      </c>
      <c r="P36" s="2">
        <f t="shared" si="10"/>
        <v>1819.5684522239887</v>
      </c>
      <c r="Q36" s="2">
        <f t="shared" si="10"/>
        <v>1928.742559357428</v>
      </c>
      <c r="R36" s="2">
        <f t="shared" si="10"/>
        <v>2044.4671129188737</v>
      </c>
    </row>
    <row r="37" spans="3:18" x14ac:dyDescent="0.25">
      <c r="C37" s="10" t="s">
        <v>22</v>
      </c>
      <c r="D37" s="11">
        <f t="shared" ref="D37:G37" si="11">+(D36+E37)/(1+D29)</f>
        <v>22159.090909090901</v>
      </c>
      <c r="E37" s="11">
        <f t="shared" si="11"/>
        <v>23488.636363636357</v>
      </c>
      <c r="F37" s="11">
        <f t="shared" si="11"/>
        <v>24897.95454545454</v>
      </c>
      <c r="G37" s="11">
        <f t="shared" si="11"/>
        <v>26391.831818181814</v>
      </c>
      <c r="H37" s="11">
        <f>+(H36+I37)/(1+H29)</f>
        <v>27975.341727272724</v>
      </c>
      <c r="I37" s="11">
        <f>+I36/(J29-J30)</f>
        <v>29653.86223090909</v>
      </c>
      <c r="L37" s="10" t="s">
        <v>22</v>
      </c>
      <c r="M37" s="11">
        <f t="shared" ref="M37:P37" si="12">+(M36+N37)/(1+M29)</f>
        <v>35051.804966739146</v>
      </c>
      <c r="N37" s="11">
        <f t="shared" si="12"/>
        <v>38769.94389862231</v>
      </c>
      <c r="O37" s="11">
        <f t="shared" si="12"/>
        <v>42295.406161346516</v>
      </c>
      <c r="P37" s="11">
        <f t="shared" si="12"/>
        <v>45489.211305599703</v>
      </c>
      <c r="Q37" s="11">
        <f>+(Q36+R37)/(1+Q29)</f>
        <v>48218.563983935688</v>
      </c>
      <c r="R37" s="11">
        <f>+R36/(S29-S30)</f>
        <v>51111.677822971833</v>
      </c>
    </row>
    <row r="38" spans="3:18" x14ac:dyDescent="0.25">
      <c r="C38" t="s">
        <v>26</v>
      </c>
      <c r="D38" s="2">
        <f>+D26</f>
        <v>7500</v>
      </c>
      <c r="L38" t="s">
        <v>26</v>
      </c>
      <c r="M38" s="2">
        <f>+M26</f>
        <v>11000</v>
      </c>
    </row>
    <row r="39" spans="3:18" x14ac:dyDescent="0.25">
      <c r="C39" s="12" t="s">
        <v>23</v>
      </c>
      <c r="D39" s="13">
        <f>+D37-D38</f>
        <v>14659.090909090901</v>
      </c>
      <c r="L39" s="12" t="s">
        <v>23</v>
      </c>
      <c r="M39" s="13">
        <f>+M37-M38</f>
        <v>24051.804966739146</v>
      </c>
    </row>
    <row r="41" spans="3:18" x14ac:dyDescent="0.25">
      <c r="F41" t="s">
        <v>27</v>
      </c>
      <c r="G41" s="2">
        <f>+M39-D39</f>
        <v>9392.7140576482452</v>
      </c>
      <c r="K41" s="2"/>
    </row>
    <row r="42" spans="3:18" x14ac:dyDescent="0.25">
      <c r="F42" s="21" t="s">
        <v>32</v>
      </c>
      <c r="G42" s="22">
        <f>+M37-D37-D15-M24</f>
        <v>1392.7140576482452</v>
      </c>
      <c r="N42" t="s">
        <v>51</v>
      </c>
    </row>
    <row r="43" spans="3:18" x14ac:dyDescent="0.25">
      <c r="F43" s="15" t="s">
        <v>29</v>
      </c>
      <c r="G43" s="16">
        <f>+M38-D38-D5</f>
        <v>700</v>
      </c>
      <c r="L43" t="s">
        <v>48</v>
      </c>
      <c r="M43" s="2">
        <f>+M37-D37-D15</f>
        <v>2392.7140576482452</v>
      </c>
      <c r="N43" s="2">
        <f>+M24</f>
        <v>1000</v>
      </c>
      <c r="O43" s="2">
        <f>+M43-N43</f>
        <v>1392.7140576482452</v>
      </c>
    </row>
    <row r="44" spans="3:18" x14ac:dyDescent="0.25">
      <c r="F44" s="17" t="s">
        <v>27</v>
      </c>
      <c r="G44" s="18">
        <f>+M39-D39-D16</f>
        <v>1692.7140576482452</v>
      </c>
      <c r="L44" t="s">
        <v>49</v>
      </c>
      <c r="M44" s="2">
        <f>+M39-D39-D16</f>
        <v>1692.7140576482452</v>
      </c>
      <c r="N44" s="29">
        <v>300</v>
      </c>
      <c r="O44" s="2">
        <f t="shared" ref="O44:O45" si="13">+M44-N44</f>
        <v>1392.7140576482452</v>
      </c>
    </row>
    <row r="45" spans="3:18" x14ac:dyDescent="0.25">
      <c r="F45" s="17" t="s">
        <v>30</v>
      </c>
      <c r="G45" s="18">
        <f>+M24</f>
        <v>1000</v>
      </c>
      <c r="L45" t="s">
        <v>50</v>
      </c>
      <c r="M45" s="2">
        <f>+M38-D38-D5</f>
        <v>700</v>
      </c>
      <c r="N45" s="2">
        <v>700</v>
      </c>
      <c r="O45" s="2">
        <f t="shared" si="13"/>
        <v>0</v>
      </c>
    </row>
    <row r="46" spans="3:18" x14ac:dyDescent="0.25">
      <c r="F46" s="23" t="s">
        <v>28</v>
      </c>
      <c r="G46" s="24">
        <f>+G44+G43-G45</f>
        <v>1392.7140576482452</v>
      </c>
      <c r="M46" s="2"/>
    </row>
    <row r="50" spans="6:10" x14ac:dyDescent="0.25">
      <c r="F50" t="s">
        <v>44</v>
      </c>
      <c r="G50" s="2">
        <f>+G9+G46*30%</f>
        <v>8117.8142172944736</v>
      </c>
    </row>
    <row r="51" spans="6:10" x14ac:dyDescent="0.25">
      <c r="F51" t="s">
        <v>45</v>
      </c>
      <c r="G51" s="2">
        <f>+G50*40%</f>
        <v>3247.1256869177896</v>
      </c>
    </row>
    <row r="52" spans="6:10" x14ac:dyDescent="0.25">
      <c r="F52" t="s">
        <v>46</v>
      </c>
      <c r="G52" s="2">
        <f>+G50-G51</f>
        <v>4870.688530376684</v>
      </c>
    </row>
    <row r="53" spans="6:10" x14ac:dyDescent="0.25">
      <c r="I53" t="s">
        <v>52</v>
      </c>
      <c r="J53" t="s">
        <v>53</v>
      </c>
    </row>
    <row r="54" spans="6:10" x14ac:dyDescent="0.25">
      <c r="F54" t="s">
        <v>47</v>
      </c>
      <c r="G54" s="5">
        <f>+G52/M39</f>
        <v>0.20250823325369055</v>
      </c>
      <c r="I54" s="5">
        <f>+G52/(D39+D16+G46)</f>
        <v>0.20506603759997843</v>
      </c>
      <c r="J54" s="2">
        <f>+I54*M39</f>
        <v>4932.2083416566775</v>
      </c>
    </row>
    <row r="56" spans="6:10" x14ac:dyDescent="0.25">
      <c r="F56" t="s">
        <v>54</v>
      </c>
      <c r="G56" s="2">
        <v>0</v>
      </c>
      <c r="I56" t="s">
        <v>54</v>
      </c>
      <c r="J56" s="2">
        <f>+J54-G52</f>
        <v>61.519811279993519</v>
      </c>
    </row>
    <row r="58" spans="6:10" x14ac:dyDescent="0.25">
      <c r="G58" s="2">
        <f>+G54*M39</f>
        <v>4870.688530376684</v>
      </c>
      <c r="J58" s="2">
        <f>+J54-J56</f>
        <v>4870.688530376684</v>
      </c>
    </row>
    <row r="62" spans="6:10" x14ac:dyDescent="0.25">
      <c r="F62" t="s">
        <v>55</v>
      </c>
      <c r="G62" s="2">
        <v>1000000</v>
      </c>
    </row>
    <row r="63" spans="6:10" x14ac:dyDescent="0.25">
      <c r="F63" t="s">
        <v>56</v>
      </c>
      <c r="G63" s="4">
        <f>1-I54</f>
        <v>0.79493396240002157</v>
      </c>
    </row>
    <row r="64" spans="6:10" x14ac:dyDescent="0.25">
      <c r="F64" t="s">
        <v>57</v>
      </c>
      <c r="G64" s="2">
        <f>+G62/G63</f>
        <v>1257966.1296403215</v>
      </c>
    </row>
    <row r="65" spans="6:7" x14ac:dyDescent="0.25">
      <c r="F65" t="s">
        <v>58</v>
      </c>
      <c r="G65" s="2">
        <f>+G64-G62</f>
        <v>257966.12964032148</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 case</vt:lpstr>
      <vt:lpstr>Base case (2)</vt:lpstr>
      <vt:lpstr>Half size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Juhász Péter</dc:creator>
  <cp:lastModifiedBy>Juhász Péter</cp:lastModifiedBy>
  <dcterms:created xsi:type="dcterms:W3CDTF">2022-11-15T19:56:26Z</dcterms:created>
  <dcterms:modified xsi:type="dcterms:W3CDTF">2024-12-03T16:06:36Z</dcterms:modified>
</cp:coreProperties>
</file>