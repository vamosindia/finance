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S:\!Aktualis\2024ősz\Applied Business Valuation\Week3\"/>
    </mc:Choice>
  </mc:AlternateContent>
  <xr:revisionPtr revIDLastSave="0" documentId="13_ncr:1_{2B8D2376-5C48-449C-832D-F70C2053157B}" xr6:coauthVersionLast="47" xr6:coauthVersionMax="47" xr10:uidLastSave="{00000000-0000-0000-0000-000000000000}"/>
  <bookViews>
    <workbookView xWindow="-98" yWindow="-98" windowWidth="28996" windowHeight="15675" xr2:uid="{EE2224F1-1A86-480D-9DF9-DD5525925017}"/>
  </bookViews>
  <sheets>
    <sheet name="WhichIsBetter" sheetId="12" r:id="rId1"/>
    <sheet name="ModelAStandard" sheetId="6" r:id="rId2"/>
    <sheet name="ModelAFairValue" sheetId="7" r:id="rId3"/>
    <sheet name="ModelBStandard" sheetId="8" r:id="rId4"/>
    <sheet name="ModelBFair" sheetId="9" r:id="rId5"/>
    <sheet name="ModelBFair (80%)" sheetId="11" r:id="rId6"/>
  </sheets>
  <calcPr calcId="191029" iterateCount="10000" iterateDelta="1.0000000000000001E-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12" l="1"/>
  <c r="D8" i="12"/>
  <c r="D7" i="12"/>
  <c r="D6" i="12"/>
  <c r="F9" i="12"/>
  <c r="F8" i="12"/>
  <c r="F7" i="12"/>
  <c r="E9" i="12"/>
  <c r="G9" i="12" s="1"/>
  <c r="H9" i="12" s="1"/>
  <c r="E8" i="12"/>
  <c r="G8" i="12" s="1"/>
  <c r="H8" i="12" s="1"/>
  <c r="E7" i="12"/>
  <c r="G7" i="12" s="1"/>
  <c r="H7" i="12" s="1"/>
  <c r="F6" i="12"/>
  <c r="E6" i="12"/>
  <c r="G6" i="12" s="1"/>
  <c r="H6" i="12" s="1"/>
  <c r="C38" i="11"/>
  <c r="H62" i="11"/>
  <c r="I62" i="11"/>
  <c r="J62" i="11"/>
  <c r="H61" i="11"/>
  <c r="I61" i="11"/>
  <c r="J61" i="11"/>
  <c r="B99" i="11"/>
  <c r="B96" i="11"/>
  <c r="I90" i="11"/>
  <c r="H90" i="11"/>
  <c r="G90" i="11"/>
  <c r="F90" i="11"/>
  <c r="E90" i="11"/>
  <c r="D90" i="11"/>
  <c r="C90" i="11"/>
  <c r="B90" i="11"/>
  <c r="B84" i="11"/>
  <c r="B83" i="11"/>
  <c r="B78" i="11"/>
  <c r="I76" i="11"/>
  <c r="H76" i="11"/>
  <c r="B73" i="11"/>
  <c r="C52" i="11"/>
  <c r="B52" i="11"/>
  <c r="K46" i="11"/>
  <c r="J46" i="11"/>
  <c r="I46" i="11"/>
  <c r="I97" i="11" s="1"/>
  <c r="H46" i="11"/>
  <c r="H97" i="11" s="1"/>
  <c r="E44" i="11"/>
  <c r="D44" i="11"/>
  <c r="C44" i="11"/>
  <c r="F43" i="11"/>
  <c r="F58" i="11" s="1"/>
  <c r="F73" i="11" s="1"/>
  <c r="F74" i="11" s="1"/>
  <c r="E43" i="11"/>
  <c r="E45" i="11" s="1"/>
  <c r="D43" i="11"/>
  <c r="D45" i="11" s="1"/>
  <c r="C43" i="11"/>
  <c r="G41" i="11"/>
  <c r="G44" i="11" s="1"/>
  <c r="K38" i="11"/>
  <c r="K29" i="11" s="1"/>
  <c r="J30" i="11" s="1"/>
  <c r="J38" i="11"/>
  <c r="J84" i="11" s="1"/>
  <c r="I38" i="11"/>
  <c r="I84" i="11" s="1"/>
  <c r="H38" i="11"/>
  <c r="H84" i="11" s="1"/>
  <c r="K37" i="11"/>
  <c r="I29" i="11"/>
  <c r="D26" i="11"/>
  <c r="E26" i="11" s="1"/>
  <c r="F26" i="11" s="1"/>
  <c r="G26" i="11" s="1"/>
  <c r="H26" i="11" s="1"/>
  <c r="C72" i="8"/>
  <c r="H46" i="8"/>
  <c r="C94" i="9"/>
  <c r="D38" i="9"/>
  <c r="E38" i="9"/>
  <c r="F38" i="9"/>
  <c r="G38" i="9"/>
  <c r="C38" i="9"/>
  <c r="D35" i="9"/>
  <c r="E35" i="9"/>
  <c r="F35" i="9"/>
  <c r="G35" i="9"/>
  <c r="G94" i="9" s="1"/>
  <c r="C35" i="9"/>
  <c r="D94" i="9"/>
  <c r="E94" i="9"/>
  <c r="F94" i="9"/>
  <c r="C34" i="9"/>
  <c r="H94" i="8"/>
  <c r="I94" i="8"/>
  <c r="D92" i="7"/>
  <c r="E92" i="7"/>
  <c r="F92" i="7"/>
  <c r="G92" i="7"/>
  <c r="C92" i="7"/>
  <c r="I71" i="7"/>
  <c r="C35" i="7"/>
  <c r="F59" i="11" l="1"/>
  <c r="C45" i="11"/>
  <c r="D51" i="11"/>
  <c r="C51" i="11"/>
  <c r="E51" i="11"/>
  <c r="J29" i="11"/>
  <c r="I30" i="11" s="1"/>
  <c r="G43" i="11"/>
  <c r="C70" i="11"/>
  <c r="F44" i="11"/>
  <c r="F45" i="11" s="1"/>
  <c r="C58" i="11"/>
  <c r="D58" i="11"/>
  <c r="E58" i="11"/>
  <c r="D73" i="11" l="1"/>
  <c r="D74" i="11" s="1"/>
  <c r="D59" i="11"/>
  <c r="E73" i="11"/>
  <c r="E74" i="11" s="1"/>
  <c r="E59" i="11"/>
  <c r="C73" i="11"/>
  <c r="C74" i="11" s="1"/>
  <c r="C59" i="11"/>
  <c r="D76" i="11"/>
  <c r="F51" i="11"/>
  <c r="C71" i="11"/>
  <c r="D52" i="11" s="1"/>
  <c r="C72" i="11"/>
  <c r="C57" i="11"/>
  <c r="C61" i="11" s="1"/>
  <c r="C62" i="11" s="1"/>
  <c r="G58" i="11"/>
  <c r="G45" i="11"/>
  <c r="C76" i="11"/>
  <c r="C60" i="11" l="1"/>
  <c r="G73" i="11"/>
  <c r="G74" i="11" s="1"/>
  <c r="G59" i="11"/>
  <c r="G47" i="11"/>
  <c r="G51" i="11"/>
  <c r="C83" i="11"/>
  <c r="C89" i="11"/>
  <c r="D70" i="11"/>
  <c r="E76" i="11"/>
  <c r="C37" i="11" l="1"/>
  <c r="C63" i="11"/>
  <c r="D57" i="11"/>
  <c r="D71" i="11"/>
  <c r="E52" i="11" s="1"/>
  <c r="G76" i="11"/>
  <c r="F76" i="11"/>
  <c r="G48" i="11"/>
  <c r="G53" i="11"/>
  <c r="F47" i="11"/>
  <c r="D60" i="11" l="1"/>
  <c r="D61" i="11"/>
  <c r="D62" i="11" s="1"/>
  <c r="D37" i="11" s="1"/>
  <c r="G99" i="11"/>
  <c r="G35" i="11"/>
  <c r="F48" i="11"/>
  <c r="F53" i="11"/>
  <c r="E47" i="11"/>
  <c r="D72" i="11"/>
  <c r="E70" i="11"/>
  <c r="D83" i="11" l="1"/>
  <c r="D89" i="11"/>
  <c r="D63" i="11"/>
  <c r="F99" i="11"/>
  <c r="F35" i="11"/>
  <c r="E57" i="11"/>
  <c r="E71" i="11"/>
  <c r="F52" i="11" s="1"/>
  <c r="E48" i="11"/>
  <c r="E53" i="11"/>
  <c r="D47" i="11"/>
  <c r="F75" i="11"/>
  <c r="E60" i="11" l="1"/>
  <c r="E61" i="11"/>
  <c r="E62" i="11" s="1"/>
  <c r="D48" i="11"/>
  <c r="D53" i="11"/>
  <c r="C47" i="11"/>
  <c r="E99" i="11"/>
  <c r="E35" i="11"/>
  <c r="E72" i="11"/>
  <c r="E37" i="11"/>
  <c r="D75" i="11"/>
  <c r="D77" i="11" s="1"/>
  <c r="E54" i="11"/>
  <c r="F54" i="11"/>
  <c r="F70" i="11"/>
  <c r="E75" i="11"/>
  <c r="D96" i="11" l="1"/>
  <c r="E63" i="11"/>
  <c r="E83" i="11"/>
  <c r="E89" i="11"/>
  <c r="E77" i="11"/>
  <c r="D54" i="11"/>
  <c r="F57" i="11"/>
  <c r="F71" i="11"/>
  <c r="G52" i="11" s="1"/>
  <c r="C48" i="11"/>
  <c r="C53" i="11"/>
  <c r="C54" i="11" s="1"/>
  <c r="E67" i="11"/>
  <c r="D99" i="11"/>
  <c r="D35" i="11"/>
  <c r="F60" i="11" l="1"/>
  <c r="F61" i="11"/>
  <c r="F62" i="11" s="1"/>
  <c r="F37" i="11" s="1"/>
  <c r="C75" i="11"/>
  <c r="C77" i="11" s="1"/>
  <c r="C96" i="11" s="1"/>
  <c r="G54" i="11"/>
  <c r="C67" i="11"/>
  <c r="F72" i="11"/>
  <c r="E65" i="11"/>
  <c r="E79" i="11" s="1"/>
  <c r="D67" i="11"/>
  <c r="C99" i="11"/>
  <c r="C35" i="11"/>
  <c r="G70" i="11"/>
  <c r="E96" i="11"/>
  <c r="F63" i="11" l="1"/>
  <c r="D65" i="11"/>
  <c r="E68" i="11"/>
  <c r="F67" i="11"/>
  <c r="F65" i="11" s="1"/>
  <c r="E64" i="11"/>
  <c r="E78" i="11" s="1"/>
  <c r="E80" i="11" s="1"/>
  <c r="F83" i="11"/>
  <c r="F77" i="11"/>
  <c r="F89" i="11"/>
  <c r="C65" i="11"/>
  <c r="C68" i="11" s="1"/>
  <c r="G57" i="11"/>
  <c r="G71" i="11"/>
  <c r="H52" i="11" s="1"/>
  <c r="G60" i="11" l="1"/>
  <c r="G61" i="11"/>
  <c r="G62" i="11" s="1"/>
  <c r="F64" i="11"/>
  <c r="F78" i="11" s="1"/>
  <c r="F79" i="11"/>
  <c r="D64" i="11"/>
  <c r="D78" i="11" s="1"/>
  <c r="D79" i="11"/>
  <c r="F96" i="11"/>
  <c r="F80" i="11"/>
  <c r="G72" i="11"/>
  <c r="D68" i="11"/>
  <c r="C64" i="11"/>
  <c r="C78" i="11" s="1"/>
  <c r="C79" i="11"/>
  <c r="F68" i="11"/>
  <c r="G37" i="11"/>
  <c r="H70" i="11"/>
  <c r="C80" i="11" l="1"/>
  <c r="G89" i="11"/>
  <c r="G83" i="11"/>
  <c r="H57" i="11"/>
  <c r="H71" i="11"/>
  <c r="I52" i="11" s="1"/>
  <c r="D80" i="11"/>
  <c r="G63" i="11"/>
  <c r="I70" i="11" l="1"/>
  <c r="H72" i="11"/>
  <c r="H83" i="11" l="1"/>
  <c r="I57" i="11"/>
  <c r="I71" i="11"/>
  <c r="J52" i="11" s="1"/>
  <c r="I72" i="11" l="1"/>
  <c r="J70" i="11"/>
  <c r="J57" i="11" l="1"/>
  <c r="J71" i="11"/>
  <c r="J72" i="11" s="1"/>
  <c r="J83" i="11" s="1"/>
  <c r="J85" i="11" s="1"/>
  <c r="J53" i="11" s="1"/>
  <c r="I83" i="11"/>
  <c r="J58" i="11" l="1"/>
  <c r="J59" i="11" s="1"/>
  <c r="J54" i="11"/>
  <c r="I85" i="11"/>
  <c r="J60" i="11"/>
  <c r="I53" i="11" l="1"/>
  <c r="H85" i="11"/>
  <c r="J37" i="11"/>
  <c r="H53" i="11" l="1"/>
  <c r="J63" i="11"/>
  <c r="I99" i="11"/>
  <c r="H75" i="11"/>
  <c r="I58" i="11"/>
  <c r="I59" i="11" s="1"/>
  <c r="I54" i="11"/>
  <c r="I75" i="11"/>
  <c r="J65" i="11" l="1"/>
  <c r="J64" i="11" s="1"/>
  <c r="I67" i="11"/>
  <c r="I73" i="11"/>
  <c r="I60" i="11"/>
  <c r="H99" i="11"/>
  <c r="G75" i="11"/>
  <c r="G77" i="11" s="1"/>
  <c r="H58" i="11"/>
  <c r="H59" i="11" s="1"/>
  <c r="H54" i="11"/>
  <c r="G67" i="11" l="1"/>
  <c r="I37" i="11"/>
  <c r="H73" i="11"/>
  <c r="H60" i="11"/>
  <c r="H67" i="11"/>
  <c r="G96" i="11"/>
  <c r="I74" i="11"/>
  <c r="I89" i="11" s="1"/>
  <c r="I91" i="11" s="1"/>
  <c r="I77" i="11"/>
  <c r="I96" i="11" l="1"/>
  <c r="I98" i="11" s="1"/>
  <c r="I100" i="11" s="1"/>
  <c r="I63" i="11"/>
  <c r="H37" i="11"/>
  <c r="H63" i="11"/>
  <c r="H74" i="11"/>
  <c r="H89" i="11" s="1"/>
  <c r="H91" i="11" s="1"/>
  <c r="G91" i="11" s="1"/>
  <c r="G65" i="11"/>
  <c r="G68" i="11" s="1"/>
  <c r="H77" i="11" l="1"/>
  <c r="G64" i="11"/>
  <c r="G78" i="11" s="1"/>
  <c r="G79" i="11"/>
  <c r="H65" i="11"/>
  <c r="H64" i="11" s="1"/>
  <c r="H78" i="11" s="1"/>
  <c r="G34" i="11"/>
  <c r="G49" i="11"/>
  <c r="F91" i="11"/>
  <c r="I65" i="11"/>
  <c r="I64" i="11" s="1"/>
  <c r="I78" i="11" s="1"/>
  <c r="H96" i="11"/>
  <c r="H98" i="11" s="1"/>
  <c r="I79" i="11" l="1"/>
  <c r="I80" i="11" s="1"/>
  <c r="I68" i="11"/>
  <c r="G97" i="11"/>
  <c r="G38" i="11"/>
  <c r="G84" i="11" s="1"/>
  <c r="G85" i="11" s="1"/>
  <c r="H100" i="11"/>
  <c r="G98" i="11"/>
  <c r="F34" i="11"/>
  <c r="F49" i="11"/>
  <c r="E91" i="11"/>
  <c r="H79" i="11"/>
  <c r="H80" i="11" s="1"/>
  <c r="H68" i="11"/>
  <c r="G80" i="11"/>
  <c r="E34" i="11" l="1"/>
  <c r="E49" i="11"/>
  <c r="D91" i="11"/>
  <c r="F97" i="11"/>
  <c r="F38" i="11"/>
  <c r="F84" i="11" s="1"/>
  <c r="F85" i="11" s="1"/>
  <c r="G100" i="11"/>
  <c r="F98" i="11"/>
  <c r="D52" i="9"/>
  <c r="E52" i="9"/>
  <c r="D72" i="9" s="1"/>
  <c r="F52" i="9"/>
  <c r="E72" i="9" s="1"/>
  <c r="G52" i="9"/>
  <c r="F72" i="9" s="1"/>
  <c r="C52" i="9"/>
  <c r="B96" i="9"/>
  <c r="B93" i="9"/>
  <c r="I87" i="9"/>
  <c r="H87" i="9"/>
  <c r="G87" i="9"/>
  <c r="F87" i="9"/>
  <c r="E87" i="9"/>
  <c r="D87" i="9"/>
  <c r="C87" i="9"/>
  <c r="B87" i="9"/>
  <c r="J81" i="9"/>
  <c r="I81" i="9"/>
  <c r="H81" i="9"/>
  <c r="B81" i="9"/>
  <c r="B80" i="9"/>
  <c r="B75" i="9"/>
  <c r="I73" i="9"/>
  <c r="H73" i="9"/>
  <c r="B70" i="9"/>
  <c r="C68" i="9"/>
  <c r="C69" i="9" s="1"/>
  <c r="C67" i="9"/>
  <c r="D67" i="9" s="1"/>
  <c r="C57" i="9"/>
  <c r="C70" i="9" s="1"/>
  <c r="C71" i="9" s="1"/>
  <c r="C86" i="9" s="1"/>
  <c r="C56" i="9"/>
  <c r="C58" i="9" s="1"/>
  <c r="D51" i="9"/>
  <c r="C51" i="9"/>
  <c r="B51" i="9"/>
  <c r="K45" i="9"/>
  <c r="J45" i="9"/>
  <c r="I45" i="9"/>
  <c r="I94" i="9" s="1"/>
  <c r="H45" i="9"/>
  <c r="H94" i="9" s="1"/>
  <c r="G43" i="9"/>
  <c r="F43" i="9"/>
  <c r="E43" i="9"/>
  <c r="D43" i="9"/>
  <c r="C43" i="9"/>
  <c r="C44" i="9" s="1"/>
  <c r="G42" i="9"/>
  <c r="F42" i="9"/>
  <c r="E42" i="9"/>
  <c r="D42" i="9"/>
  <c r="C42" i="9"/>
  <c r="G40" i="9"/>
  <c r="K38" i="9"/>
  <c r="J38" i="9"/>
  <c r="I38" i="9"/>
  <c r="H38" i="9"/>
  <c r="K37" i="9"/>
  <c r="K29" i="9"/>
  <c r="J30" i="9" s="1"/>
  <c r="J29" i="9"/>
  <c r="I30" i="9" s="1"/>
  <c r="I29" i="9"/>
  <c r="D26" i="9"/>
  <c r="E26" i="9" s="1"/>
  <c r="F26" i="9" s="1"/>
  <c r="G26" i="9" s="1"/>
  <c r="H26" i="9" s="1"/>
  <c r="B96" i="8"/>
  <c r="H73" i="8"/>
  <c r="I73" i="8"/>
  <c r="G40" i="8"/>
  <c r="G43" i="8" s="1"/>
  <c r="B93" i="8"/>
  <c r="I87" i="8"/>
  <c r="H87" i="8"/>
  <c r="G87" i="8"/>
  <c r="F87" i="8"/>
  <c r="E87" i="8"/>
  <c r="D87" i="8"/>
  <c r="C87" i="8"/>
  <c r="B87" i="8"/>
  <c r="B81" i="8"/>
  <c r="B80" i="8"/>
  <c r="B75" i="8"/>
  <c r="B70" i="8"/>
  <c r="F52" i="8"/>
  <c r="E52" i="8"/>
  <c r="D52" i="8"/>
  <c r="C52" i="8"/>
  <c r="C51" i="8"/>
  <c r="C67" i="8" s="1"/>
  <c r="B51" i="8"/>
  <c r="K45" i="8"/>
  <c r="J45" i="8"/>
  <c r="I45" i="8"/>
  <c r="H45" i="8"/>
  <c r="E43" i="8"/>
  <c r="D43" i="8"/>
  <c r="C43" i="8"/>
  <c r="F42" i="8"/>
  <c r="E42" i="8"/>
  <c r="E44" i="8" s="1"/>
  <c r="E50" i="8" s="1"/>
  <c r="D42" i="8"/>
  <c r="D57" i="8" s="1"/>
  <c r="D70" i="8" s="1"/>
  <c r="D71" i="8" s="1"/>
  <c r="C42" i="8"/>
  <c r="K38" i="8"/>
  <c r="K29" i="8" s="1"/>
  <c r="J30" i="8" s="1"/>
  <c r="J38" i="8"/>
  <c r="J81" i="8" s="1"/>
  <c r="I38" i="8"/>
  <c r="I29" i="8" s="1"/>
  <c r="H38" i="8"/>
  <c r="H81" i="8" s="1"/>
  <c r="K37" i="8"/>
  <c r="J29" i="8"/>
  <c r="I30" i="8" s="1"/>
  <c r="D26" i="8"/>
  <c r="E26" i="8" s="1"/>
  <c r="F26" i="8" s="1"/>
  <c r="G26" i="8" s="1"/>
  <c r="H26" i="8" s="1"/>
  <c r="D71" i="7"/>
  <c r="E71" i="7"/>
  <c r="F71" i="7"/>
  <c r="C71" i="7"/>
  <c r="B94" i="7"/>
  <c r="B91" i="7"/>
  <c r="I85" i="7"/>
  <c r="H85" i="7"/>
  <c r="G85" i="7"/>
  <c r="F85" i="7"/>
  <c r="E85" i="7"/>
  <c r="D85" i="7"/>
  <c r="C85" i="7"/>
  <c r="B85" i="7"/>
  <c r="B79" i="7"/>
  <c r="B78" i="7"/>
  <c r="B73" i="7"/>
  <c r="B69" i="7"/>
  <c r="C50" i="7"/>
  <c r="C66" i="7" s="1"/>
  <c r="C55" i="7" s="1"/>
  <c r="B50" i="7"/>
  <c r="K45" i="7"/>
  <c r="J45" i="7"/>
  <c r="I45" i="7"/>
  <c r="I92" i="7" s="1"/>
  <c r="H45" i="7"/>
  <c r="H92" i="7" s="1"/>
  <c r="G43" i="7"/>
  <c r="F43" i="7"/>
  <c r="E43" i="7"/>
  <c r="D43" i="7"/>
  <c r="C43" i="7"/>
  <c r="G42" i="7"/>
  <c r="G44" i="7" s="1"/>
  <c r="G46" i="7" s="1"/>
  <c r="G51" i="7" s="1"/>
  <c r="F42" i="7"/>
  <c r="F44" i="7" s="1"/>
  <c r="E42" i="7"/>
  <c r="E44" i="7" s="1"/>
  <c r="D42" i="7"/>
  <c r="D44" i="7" s="1"/>
  <c r="C42" i="7"/>
  <c r="K38" i="7"/>
  <c r="K29" i="7" s="1"/>
  <c r="J30" i="7" s="1"/>
  <c r="J38" i="7"/>
  <c r="J79" i="7" s="1"/>
  <c r="I38" i="7"/>
  <c r="I29" i="7" s="1"/>
  <c r="H38" i="7"/>
  <c r="H79" i="7" s="1"/>
  <c r="K37" i="7"/>
  <c r="D26" i="7"/>
  <c r="E26" i="7" s="1"/>
  <c r="F26" i="7" s="1"/>
  <c r="G26" i="7" s="1"/>
  <c r="H26" i="7" s="1"/>
  <c r="G93" i="6"/>
  <c r="F93" i="6" s="1"/>
  <c r="H93" i="6"/>
  <c r="H95" i="6" s="1"/>
  <c r="I45" i="6"/>
  <c r="I92" i="6" s="1"/>
  <c r="I93" i="6" s="1"/>
  <c r="I95" i="6" s="1"/>
  <c r="J45" i="6"/>
  <c r="K45" i="6"/>
  <c r="H45" i="6"/>
  <c r="H92" i="6"/>
  <c r="I94" i="6"/>
  <c r="H94" i="6"/>
  <c r="G95" i="6"/>
  <c r="C94" i="6"/>
  <c r="D94" i="6"/>
  <c r="E94" i="6"/>
  <c r="F94" i="6"/>
  <c r="G94" i="6"/>
  <c r="B94" i="6"/>
  <c r="D92" i="6"/>
  <c r="E92" i="6"/>
  <c r="F92" i="6"/>
  <c r="G92" i="6"/>
  <c r="C92" i="6"/>
  <c r="C91" i="6"/>
  <c r="D91" i="6"/>
  <c r="E91" i="6"/>
  <c r="F91" i="6"/>
  <c r="G91" i="6"/>
  <c r="H91" i="6"/>
  <c r="I91" i="6"/>
  <c r="B91" i="6"/>
  <c r="D35" i="6"/>
  <c r="E35" i="6"/>
  <c r="F35" i="6"/>
  <c r="F38" i="6" s="1"/>
  <c r="F79" i="6" s="1"/>
  <c r="G35" i="6"/>
  <c r="C35" i="6"/>
  <c r="C38" i="6" s="1"/>
  <c r="C79" i="6" s="1"/>
  <c r="C34" i="6"/>
  <c r="G80" i="6"/>
  <c r="D38" i="6"/>
  <c r="D79" i="6" s="1"/>
  <c r="E38" i="6"/>
  <c r="E79" i="6" s="1"/>
  <c r="G38" i="6"/>
  <c r="G79" i="6" s="1"/>
  <c r="D34" i="6"/>
  <c r="E34" i="6"/>
  <c r="F34" i="6"/>
  <c r="G34" i="6"/>
  <c r="I86" i="6"/>
  <c r="G86" i="6"/>
  <c r="F86" i="6" s="1"/>
  <c r="E86" i="6" s="1"/>
  <c r="D86" i="6" s="1"/>
  <c r="C86" i="6" s="1"/>
  <c r="H86" i="6"/>
  <c r="D84" i="6"/>
  <c r="E84" i="6"/>
  <c r="F84" i="6"/>
  <c r="G84" i="6"/>
  <c r="H84" i="6"/>
  <c r="I84" i="6"/>
  <c r="C84" i="6"/>
  <c r="C85" i="6"/>
  <c r="D85" i="6"/>
  <c r="E85" i="6"/>
  <c r="F85" i="6"/>
  <c r="G85" i="6"/>
  <c r="H85" i="6"/>
  <c r="I85" i="6"/>
  <c r="B85" i="6"/>
  <c r="C75" i="6"/>
  <c r="D73" i="6"/>
  <c r="D75" i="6" s="1"/>
  <c r="E73" i="6"/>
  <c r="E75" i="6" s="1"/>
  <c r="F73" i="6"/>
  <c r="G73" i="6"/>
  <c r="H73" i="6"/>
  <c r="I73" i="6"/>
  <c r="D74" i="6"/>
  <c r="E74" i="6"/>
  <c r="F74" i="6"/>
  <c r="G74" i="6"/>
  <c r="H74" i="6"/>
  <c r="I74" i="6"/>
  <c r="F75" i="6"/>
  <c r="G75" i="6"/>
  <c r="H75" i="6"/>
  <c r="I75" i="6"/>
  <c r="C73" i="6"/>
  <c r="C74" i="6"/>
  <c r="B73" i="6"/>
  <c r="J67" i="6"/>
  <c r="J68" i="6"/>
  <c r="J66" i="6"/>
  <c r="D72" i="6"/>
  <c r="E72" i="6"/>
  <c r="F72" i="6"/>
  <c r="C72" i="6"/>
  <c r="D70" i="6"/>
  <c r="E70" i="6"/>
  <c r="F70" i="6"/>
  <c r="G70" i="6"/>
  <c r="D71" i="6"/>
  <c r="E71" i="6"/>
  <c r="F71" i="6"/>
  <c r="C71" i="6"/>
  <c r="C70" i="6"/>
  <c r="C69" i="6"/>
  <c r="D69" i="6"/>
  <c r="E69" i="6"/>
  <c r="F69" i="6"/>
  <c r="G69" i="6"/>
  <c r="B69" i="6"/>
  <c r="D64" i="6"/>
  <c r="E64" i="6"/>
  <c r="F64" i="6"/>
  <c r="C64" i="6"/>
  <c r="D61" i="6"/>
  <c r="D60" i="6" s="1"/>
  <c r="E61" i="6"/>
  <c r="E60" i="6" s="1"/>
  <c r="F61" i="6"/>
  <c r="F60" i="6" s="1"/>
  <c r="C60" i="6"/>
  <c r="C61" i="6"/>
  <c r="D63" i="6"/>
  <c r="E63" i="6"/>
  <c r="F63" i="6"/>
  <c r="C63" i="6"/>
  <c r="K37" i="6"/>
  <c r="H79" i="6"/>
  <c r="B79" i="6"/>
  <c r="B78" i="6"/>
  <c r="D51" i="6"/>
  <c r="E51" i="6"/>
  <c r="F51" i="6"/>
  <c r="G51" i="6"/>
  <c r="C51" i="6"/>
  <c r="C52" i="6" s="1"/>
  <c r="D43" i="6"/>
  <c r="E43" i="6"/>
  <c r="F43" i="6"/>
  <c r="G43" i="6"/>
  <c r="C43" i="6"/>
  <c r="D42" i="6"/>
  <c r="D56" i="6" s="1"/>
  <c r="E42" i="6"/>
  <c r="E56" i="6" s="1"/>
  <c r="F42" i="6"/>
  <c r="F56" i="6" s="1"/>
  <c r="G42" i="6"/>
  <c r="G56" i="6" s="1"/>
  <c r="C42" i="6"/>
  <c r="C56" i="6" s="1"/>
  <c r="I38" i="6"/>
  <c r="I29" i="6" s="1"/>
  <c r="J38" i="6"/>
  <c r="J29" i="6" s="1"/>
  <c r="I30" i="6" s="1"/>
  <c r="K38" i="6"/>
  <c r="K29" i="6" s="1"/>
  <c r="J30" i="6" s="1"/>
  <c r="H38" i="6"/>
  <c r="C50" i="6"/>
  <c r="C66" i="6" s="1"/>
  <c r="B50" i="6"/>
  <c r="D26" i="6"/>
  <c r="E26" i="6" s="1"/>
  <c r="F26" i="6" s="1"/>
  <c r="G26" i="6" s="1"/>
  <c r="H26" i="6" s="1"/>
  <c r="F100" i="11" l="1"/>
  <c r="C91" i="11"/>
  <c r="D34" i="11"/>
  <c r="D49" i="11"/>
  <c r="E97" i="11"/>
  <c r="E98" i="11" s="1"/>
  <c r="E38" i="11"/>
  <c r="E84" i="11" s="1"/>
  <c r="E85" i="11" s="1"/>
  <c r="C72" i="9"/>
  <c r="C59" i="9"/>
  <c r="C37" i="9" s="1"/>
  <c r="D57" i="9"/>
  <c r="D70" i="9" s="1"/>
  <c r="D71" i="9" s="1"/>
  <c r="D44" i="9"/>
  <c r="E44" i="9"/>
  <c r="E57" i="9"/>
  <c r="E70" i="9" s="1"/>
  <c r="E71" i="9" s="1"/>
  <c r="F57" i="9"/>
  <c r="F70" i="9" s="1"/>
  <c r="F71" i="9" s="1"/>
  <c r="F44" i="9"/>
  <c r="G44" i="9"/>
  <c r="G57" i="9"/>
  <c r="G70" i="9" s="1"/>
  <c r="G71" i="9" s="1"/>
  <c r="C50" i="9"/>
  <c r="C53" i="9" s="1"/>
  <c r="D69" i="9"/>
  <c r="E67" i="9"/>
  <c r="D56" i="9"/>
  <c r="C80" i="9"/>
  <c r="D68" i="9"/>
  <c r="E51" i="9" s="1"/>
  <c r="G52" i="8"/>
  <c r="I81" i="8"/>
  <c r="G42" i="8"/>
  <c r="G44" i="8" s="1"/>
  <c r="F43" i="8"/>
  <c r="F44" i="8" s="1"/>
  <c r="F50" i="8" s="1"/>
  <c r="E73" i="8" s="1"/>
  <c r="E57" i="8"/>
  <c r="E70" i="8" s="1"/>
  <c r="E71" i="8" s="1"/>
  <c r="F57" i="8"/>
  <c r="F70" i="8" s="1"/>
  <c r="F71" i="8" s="1"/>
  <c r="C57" i="8"/>
  <c r="C70" i="8" s="1"/>
  <c r="C71" i="8" s="1"/>
  <c r="C44" i="8"/>
  <c r="C50" i="8" s="1"/>
  <c r="C53" i="8" s="1"/>
  <c r="C56" i="8"/>
  <c r="C58" i="8" s="1"/>
  <c r="C68" i="8"/>
  <c r="C69" i="8" s="1"/>
  <c r="D51" i="8"/>
  <c r="D44" i="8"/>
  <c r="D50" i="8" s="1"/>
  <c r="I79" i="7"/>
  <c r="J29" i="7"/>
  <c r="I30" i="7" s="1"/>
  <c r="G94" i="7"/>
  <c r="F46" i="7"/>
  <c r="F51" i="7" s="1"/>
  <c r="C56" i="7"/>
  <c r="C69" i="7" s="1"/>
  <c r="C70" i="7" s="1"/>
  <c r="F56" i="7"/>
  <c r="F69" i="7" s="1"/>
  <c r="F70" i="7" s="1"/>
  <c r="G35" i="7"/>
  <c r="C44" i="7"/>
  <c r="E56" i="7"/>
  <c r="E69" i="7" s="1"/>
  <c r="E70" i="7" s="1"/>
  <c r="G56" i="7"/>
  <c r="G69" i="7" s="1"/>
  <c r="G70" i="7" s="1"/>
  <c r="C67" i="7"/>
  <c r="D66" i="7" s="1"/>
  <c r="D56" i="7"/>
  <c r="D69" i="7" s="1"/>
  <c r="D70" i="7" s="1"/>
  <c r="E93" i="6"/>
  <c r="F95" i="6"/>
  <c r="F80" i="6"/>
  <c r="E80" i="6" s="1"/>
  <c r="D80" i="6" s="1"/>
  <c r="C80" i="6"/>
  <c r="J79" i="6"/>
  <c r="I79" i="6"/>
  <c r="C44" i="6"/>
  <c r="G44" i="6"/>
  <c r="G46" i="6" s="1"/>
  <c r="F44" i="6"/>
  <c r="F46" i="6" s="1"/>
  <c r="E44" i="6"/>
  <c r="D44" i="6"/>
  <c r="C55" i="6"/>
  <c r="C57" i="6" s="1"/>
  <c r="C67" i="6"/>
  <c r="D50" i="6" s="1"/>
  <c r="D52" i="6" s="1"/>
  <c r="C68" i="6"/>
  <c r="C78" i="6" s="1"/>
  <c r="E100" i="11" l="1"/>
  <c r="C34" i="11"/>
  <c r="C49" i="11"/>
  <c r="D97" i="11"/>
  <c r="D98" i="11" s="1"/>
  <c r="D38" i="11"/>
  <c r="D84" i="11" s="1"/>
  <c r="D85" i="11" s="1"/>
  <c r="D80" i="9"/>
  <c r="D86" i="9"/>
  <c r="E50" i="9"/>
  <c r="D50" i="9"/>
  <c r="G50" i="9"/>
  <c r="G46" i="9"/>
  <c r="E56" i="9"/>
  <c r="E58" i="9" s="1"/>
  <c r="E68" i="9"/>
  <c r="F51" i="9" s="1"/>
  <c r="F50" i="9"/>
  <c r="F46" i="9"/>
  <c r="C60" i="9"/>
  <c r="D58" i="9"/>
  <c r="D53" i="8"/>
  <c r="D73" i="8"/>
  <c r="C73" i="8"/>
  <c r="G46" i="8"/>
  <c r="F46" i="8" s="1"/>
  <c r="G50" i="8"/>
  <c r="G57" i="8"/>
  <c r="G70" i="8" s="1"/>
  <c r="G71" i="8" s="1"/>
  <c r="C80" i="8"/>
  <c r="C86" i="8"/>
  <c r="D67" i="8"/>
  <c r="C59" i="8"/>
  <c r="C37" i="8" s="1"/>
  <c r="C60" i="8"/>
  <c r="F35" i="7"/>
  <c r="D67" i="7"/>
  <c r="D68" i="7" s="1"/>
  <c r="D55" i="7"/>
  <c r="D57" i="7" s="1"/>
  <c r="E66" i="7"/>
  <c r="D50" i="7"/>
  <c r="C68" i="7"/>
  <c r="C57" i="7"/>
  <c r="F94" i="7"/>
  <c r="E46" i="7"/>
  <c r="E51" i="7" s="1"/>
  <c r="D93" i="6"/>
  <c r="E95" i="6"/>
  <c r="C58" i="6"/>
  <c r="C37" i="6" s="1"/>
  <c r="C59" i="6"/>
  <c r="E46" i="6"/>
  <c r="D46" i="6" s="1"/>
  <c r="C46" i="6" s="1"/>
  <c r="D66" i="6"/>
  <c r="D67" i="6" s="1"/>
  <c r="E50" i="6" s="1"/>
  <c r="E52" i="6" s="1"/>
  <c r="D100" i="11" l="1"/>
  <c r="C97" i="11"/>
  <c r="C98" i="11" s="1"/>
  <c r="C100" i="11" s="1"/>
  <c r="C84" i="11"/>
  <c r="C85" i="11" s="1"/>
  <c r="F47" i="8"/>
  <c r="F72" i="8"/>
  <c r="G72" i="8"/>
  <c r="F47" i="9"/>
  <c r="E59" i="9"/>
  <c r="E37" i="9" s="1"/>
  <c r="E60" i="9"/>
  <c r="F73" i="9"/>
  <c r="G73" i="9"/>
  <c r="E53" i="9"/>
  <c r="D73" i="9"/>
  <c r="D74" i="9" s="1"/>
  <c r="D59" i="9"/>
  <c r="D37" i="9" s="1"/>
  <c r="F53" i="9"/>
  <c r="E73" i="9"/>
  <c r="E69" i="9"/>
  <c r="F67" i="9"/>
  <c r="G47" i="9"/>
  <c r="C73" i="9"/>
  <c r="C74" i="9" s="1"/>
  <c r="D53" i="9"/>
  <c r="E46" i="9"/>
  <c r="F73" i="8"/>
  <c r="G73" i="8"/>
  <c r="G47" i="8"/>
  <c r="E46" i="8"/>
  <c r="C64" i="8"/>
  <c r="C62" i="8" s="1"/>
  <c r="C61" i="8" s="1"/>
  <c r="C75" i="8" s="1"/>
  <c r="D56" i="8"/>
  <c r="D58" i="8" s="1"/>
  <c r="D68" i="8"/>
  <c r="E51" i="8" s="1"/>
  <c r="E53" i="8" s="1"/>
  <c r="D78" i="7"/>
  <c r="D84" i="7"/>
  <c r="E50" i="7"/>
  <c r="E94" i="7"/>
  <c r="D46" i="7"/>
  <c r="D51" i="7" s="1"/>
  <c r="E35" i="7"/>
  <c r="C58" i="7"/>
  <c r="C37" i="7" s="1"/>
  <c r="C78" i="7"/>
  <c r="C84" i="7"/>
  <c r="E55" i="7"/>
  <c r="E57" i="7" s="1"/>
  <c r="E67" i="7"/>
  <c r="F66" i="7" s="1"/>
  <c r="D58" i="7"/>
  <c r="D37" i="7" s="1"/>
  <c r="C93" i="6"/>
  <c r="C95" i="6" s="1"/>
  <c r="D95" i="6"/>
  <c r="D55" i="6"/>
  <c r="D57" i="6" s="1"/>
  <c r="E66" i="6"/>
  <c r="D68" i="6"/>
  <c r="D78" i="6" s="1"/>
  <c r="E47" i="8" l="1"/>
  <c r="E72" i="8"/>
  <c r="G96" i="8"/>
  <c r="G35" i="8"/>
  <c r="G48" i="8"/>
  <c r="G94" i="8" s="1"/>
  <c r="F96" i="8"/>
  <c r="F35" i="8"/>
  <c r="F48" i="8"/>
  <c r="F94" i="8" s="1"/>
  <c r="C93" i="9"/>
  <c r="E64" i="9"/>
  <c r="D60" i="9"/>
  <c r="E62" i="9"/>
  <c r="E76" i="9" s="1"/>
  <c r="F68" i="9"/>
  <c r="G51" i="9" s="1"/>
  <c r="G67" i="9"/>
  <c r="F69" i="9"/>
  <c r="F56" i="9"/>
  <c r="F58" i="9" s="1"/>
  <c r="D64" i="9"/>
  <c r="C64" i="9"/>
  <c r="E80" i="9"/>
  <c r="E86" i="9"/>
  <c r="E74" i="9"/>
  <c r="D93" i="9"/>
  <c r="E47" i="9"/>
  <c r="D46" i="9"/>
  <c r="F96" i="9"/>
  <c r="G96" i="9"/>
  <c r="D46" i="8"/>
  <c r="D72" i="8" s="1"/>
  <c r="E67" i="8"/>
  <c r="D69" i="8"/>
  <c r="C76" i="8"/>
  <c r="D59" i="8"/>
  <c r="D37" i="8" s="1"/>
  <c r="C65" i="8"/>
  <c r="C72" i="7"/>
  <c r="C91" i="7" s="1"/>
  <c r="D52" i="7"/>
  <c r="C63" i="7" s="1"/>
  <c r="D72" i="7"/>
  <c r="D91" i="7" s="1"/>
  <c r="F55" i="7"/>
  <c r="F57" i="7" s="1"/>
  <c r="F67" i="7"/>
  <c r="G66" i="7" s="1"/>
  <c r="E58" i="7"/>
  <c r="E37" i="7" s="1"/>
  <c r="E68" i="7"/>
  <c r="C59" i="7"/>
  <c r="D59" i="7"/>
  <c r="D94" i="7"/>
  <c r="D35" i="7"/>
  <c r="C46" i="7"/>
  <c r="C51" i="7" s="1"/>
  <c r="C52" i="7" s="1"/>
  <c r="E52" i="7"/>
  <c r="F50" i="7"/>
  <c r="D58" i="6"/>
  <c r="D37" i="6" s="1"/>
  <c r="E55" i="6"/>
  <c r="E57" i="6" s="1"/>
  <c r="E67" i="6"/>
  <c r="E68" i="6" s="1"/>
  <c r="E78" i="6" s="1"/>
  <c r="D74" i="8" l="1"/>
  <c r="F38" i="8"/>
  <c r="D47" i="8"/>
  <c r="G38" i="8"/>
  <c r="E96" i="8"/>
  <c r="E35" i="8"/>
  <c r="E48" i="8"/>
  <c r="E94" i="8" s="1"/>
  <c r="C62" i="9"/>
  <c r="F59" i="9"/>
  <c r="F37" i="9" s="1"/>
  <c r="F60" i="9"/>
  <c r="G68" i="9"/>
  <c r="H67" i="9"/>
  <c r="G69" i="9"/>
  <c r="G56" i="9"/>
  <c r="G58" i="9" s="1"/>
  <c r="E61" i="9"/>
  <c r="E75" i="9" s="1"/>
  <c r="E77" i="9" s="1"/>
  <c r="F80" i="9"/>
  <c r="F74" i="9"/>
  <c r="F86" i="9"/>
  <c r="H51" i="9"/>
  <c r="G53" i="9"/>
  <c r="D62" i="9"/>
  <c r="D76" i="9" s="1"/>
  <c r="E93" i="9"/>
  <c r="D47" i="9"/>
  <c r="C46" i="9"/>
  <c r="E65" i="9"/>
  <c r="E96" i="9"/>
  <c r="C46" i="8"/>
  <c r="C47" i="8" s="1"/>
  <c r="D80" i="8"/>
  <c r="D86" i="8"/>
  <c r="D60" i="8"/>
  <c r="E56" i="8"/>
  <c r="E58" i="8" s="1"/>
  <c r="E68" i="8"/>
  <c r="F51" i="8" s="1"/>
  <c r="F53" i="8" s="1"/>
  <c r="D64" i="8"/>
  <c r="G55" i="7"/>
  <c r="G57" i="7" s="1"/>
  <c r="G67" i="7"/>
  <c r="H66" i="7"/>
  <c r="G68" i="7"/>
  <c r="C94" i="7"/>
  <c r="C61" i="7"/>
  <c r="C74" i="7" s="1"/>
  <c r="E78" i="7"/>
  <c r="E72" i="7"/>
  <c r="E84" i="7"/>
  <c r="E59" i="7"/>
  <c r="F68" i="7"/>
  <c r="F52" i="7"/>
  <c r="G50" i="7"/>
  <c r="D63" i="7"/>
  <c r="D61" i="7" s="1"/>
  <c r="D74" i="7" s="1"/>
  <c r="F58" i="7"/>
  <c r="F37" i="7" s="1"/>
  <c r="F59" i="7"/>
  <c r="E58" i="6"/>
  <c r="E37" i="6" s="1"/>
  <c r="E59" i="6"/>
  <c r="D59" i="6"/>
  <c r="F66" i="6"/>
  <c r="F50" i="6"/>
  <c r="F52" i="6" s="1"/>
  <c r="C96" i="8" l="1"/>
  <c r="C35" i="8"/>
  <c r="C48" i="8"/>
  <c r="C94" i="8" s="1"/>
  <c r="E38" i="8"/>
  <c r="C74" i="8"/>
  <c r="D96" i="8"/>
  <c r="D35" i="8"/>
  <c r="D48" i="8"/>
  <c r="D94" i="8" s="1"/>
  <c r="D61" i="9"/>
  <c r="D75" i="9" s="1"/>
  <c r="D77" i="9" s="1"/>
  <c r="C47" i="9"/>
  <c r="F64" i="9"/>
  <c r="H68" i="9"/>
  <c r="I67" i="9" s="1"/>
  <c r="H56" i="9"/>
  <c r="I51" i="9"/>
  <c r="F62" i="9"/>
  <c r="F76" i="9" s="1"/>
  <c r="D96" i="9"/>
  <c r="D65" i="9"/>
  <c r="F93" i="9"/>
  <c r="G59" i="9"/>
  <c r="G37" i="9" s="1"/>
  <c r="G86" i="9"/>
  <c r="G80" i="9"/>
  <c r="C61" i="9"/>
  <c r="C75" i="9" s="1"/>
  <c r="C76" i="9"/>
  <c r="C65" i="9"/>
  <c r="F67" i="8"/>
  <c r="F68" i="8" s="1"/>
  <c r="G51" i="8" s="1"/>
  <c r="G53" i="8" s="1"/>
  <c r="D93" i="8"/>
  <c r="E59" i="8"/>
  <c r="E37" i="8" s="1"/>
  <c r="E60" i="8"/>
  <c r="E69" i="8"/>
  <c r="E74" i="8" s="1"/>
  <c r="D62" i="8"/>
  <c r="D76" i="8" s="1"/>
  <c r="C60" i="7"/>
  <c r="C73" i="7" s="1"/>
  <c r="C75" i="7" s="1"/>
  <c r="F84" i="7"/>
  <c r="F78" i="7"/>
  <c r="F72" i="7"/>
  <c r="E91" i="7"/>
  <c r="C64" i="7"/>
  <c r="G52" i="7"/>
  <c r="H50" i="7"/>
  <c r="D60" i="7"/>
  <c r="D73" i="7" s="1"/>
  <c r="D75" i="7" s="1"/>
  <c r="D64" i="7"/>
  <c r="G78" i="7"/>
  <c r="G84" i="7"/>
  <c r="H55" i="7"/>
  <c r="H67" i="7"/>
  <c r="I66" i="7"/>
  <c r="H68" i="7"/>
  <c r="E63" i="7"/>
  <c r="E61" i="7" s="1"/>
  <c r="E74" i="7" s="1"/>
  <c r="G58" i="7"/>
  <c r="G37" i="7" s="1"/>
  <c r="F55" i="6"/>
  <c r="F57" i="6" s="1"/>
  <c r="F67" i="6"/>
  <c r="G50" i="6" s="1"/>
  <c r="G52" i="6" s="1"/>
  <c r="D38" i="8" l="1"/>
  <c r="C93" i="8"/>
  <c r="C77" i="8"/>
  <c r="C38" i="8"/>
  <c r="C81" i="8" s="1"/>
  <c r="I56" i="9"/>
  <c r="I68" i="9"/>
  <c r="I69" i="9" s="1"/>
  <c r="F61" i="9"/>
  <c r="F75" i="9" s="1"/>
  <c r="F77" i="9" s="1"/>
  <c r="C77" i="9"/>
  <c r="F65" i="9"/>
  <c r="H69" i="9"/>
  <c r="G60" i="9"/>
  <c r="J51" i="9"/>
  <c r="C96" i="9"/>
  <c r="F56" i="8"/>
  <c r="F58" i="8" s="1"/>
  <c r="F59" i="8" s="1"/>
  <c r="F37" i="8" s="1"/>
  <c r="G67" i="8"/>
  <c r="D61" i="8"/>
  <c r="D75" i="8" s="1"/>
  <c r="D77" i="8" s="1"/>
  <c r="E86" i="8"/>
  <c r="E80" i="8"/>
  <c r="G56" i="8"/>
  <c r="G58" i="8" s="1"/>
  <c r="G68" i="8"/>
  <c r="H51" i="8" s="1"/>
  <c r="G69" i="8"/>
  <c r="F69" i="8"/>
  <c r="F74" i="8" s="1"/>
  <c r="E64" i="8"/>
  <c r="D65" i="8"/>
  <c r="G59" i="7"/>
  <c r="F63" i="7"/>
  <c r="E60" i="7"/>
  <c r="E73" i="7" s="1"/>
  <c r="E75" i="7" s="1"/>
  <c r="E64" i="7"/>
  <c r="I55" i="7"/>
  <c r="I67" i="7"/>
  <c r="J66" i="7" s="1"/>
  <c r="I68" i="7"/>
  <c r="I50" i="7"/>
  <c r="F91" i="7"/>
  <c r="H78" i="7"/>
  <c r="F58" i="6"/>
  <c r="F37" i="6" s="1"/>
  <c r="F59" i="6"/>
  <c r="G66" i="6"/>
  <c r="G67" i="6" s="1"/>
  <c r="F68" i="6"/>
  <c r="F78" i="6" s="1"/>
  <c r="I80" i="9" l="1"/>
  <c r="H80" i="9"/>
  <c r="J67" i="9"/>
  <c r="F60" i="8"/>
  <c r="E93" i="8"/>
  <c r="F80" i="8"/>
  <c r="F86" i="8"/>
  <c r="G86" i="8"/>
  <c r="G80" i="8"/>
  <c r="G59" i="8"/>
  <c r="G37" i="8" s="1"/>
  <c r="H67" i="8"/>
  <c r="E62" i="8"/>
  <c r="E65" i="8" s="1"/>
  <c r="F64" i="8"/>
  <c r="J55" i="7"/>
  <c r="J67" i="7"/>
  <c r="J68" i="7"/>
  <c r="J78" i="7" s="1"/>
  <c r="J80" i="7" s="1"/>
  <c r="J51" i="7" s="1"/>
  <c r="I78" i="7"/>
  <c r="I80" i="7" s="1"/>
  <c r="I51" i="7" s="1"/>
  <c r="J50" i="7"/>
  <c r="J52" i="7" s="1"/>
  <c r="I52" i="7"/>
  <c r="F61" i="7"/>
  <c r="G55" i="6"/>
  <c r="G57" i="6" s="1"/>
  <c r="H66" i="6"/>
  <c r="H55" i="6" s="1"/>
  <c r="H50" i="6"/>
  <c r="G68" i="6"/>
  <c r="G78" i="6" s="1"/>
  <c r="J56" i="9" l="1"/>
  <c r="J68" i="9"/>
  <c r="J69" i="9"/>
  <c r="J80" i="9" s="1"/>
  <c r="J82" i="9" s="1"/>
  <c r="J52" i="9" s="1"/>
  <c r="I82" i="9"/>
  <c r="I52" i="9" s="1"/>
  <c r="H56" i="8"/>
  <c r="H68" i="8"/>
  <c r="I51" i="8" s="1"/>
  <c r="F93" i="8"/>
  <c r="E61" i="8"/>
  <c r="E75" i="8" s="1"/>
  <c r="E76" i="8"/>
  <c r="G60" i="8"/>
  <c r="F62" i="8"/>
  <c r="F76" i="8" s="1"/>
  <c r="F60" i="7"/>
  <c r="F73" i="7" s="1"/>
  <c r="F74" i="7"/>
  <c r="F64" i="7"/>
  <c r="I63" i="7"/>
  <c r="I94" i="7"/>
  <c r="I56" i="7"/>
  <c r="H80" i="7"/>
  <c r="J56" i="7"/>
  <c r="J57" i="7" s="1"/>
  <c r="G58" i="6"/>
  <c r="G37" i="6" s="1"/>
  <c r="G59" i="6"/>
  <c r="H67" i="6"/>
  <c r="I50" i="6" s="1"/>
  <c r="H82" i="9" l="1"/>
  <c r="I57" i="9"/>
  <c r="I96" i="9"/>
  <c r="I53" i="9"/>
  <c r="I72" i="9"/>
  <c r="J57" i="9"/>
  <c r="J53" i="9"/>
  <c r="J58" i="9"/>
  <c r="H69" i="8"/>
  <c r="I67" i="8"/>
  <c r="F61" i="8"/>
  <c r="F75" i="8" s="1"/>
  <c r="F77" i="8" s="1"/>
  <c r="E77" i="8"/>
  <c r="I56" i="8"/>
  <c r="I68" i="8"/>
  <c r="I69" i="8" s="1"/>
  <c r="J67" i="8"/>
  <c r="F65" i="8"/>
  <c r="H80" i="8"/>
  <c r="J51" i="8"/>
  <c r="J58" i="7"/>
  <c r="J37" i="7" s="1"/>
  <c r="H51" i="7"/>
  <c r="I69" i="7"/>
  <c r="I57" i="7"/>
  <c r="F75" i="7"/>
  <c r="I66" i="6"/>
  <c r="I67" i="6" s="1"/>
  <c r="J50" i="6" s="1"/>
  <c r="H68" i="6"/>
  <c r="H78" i="6" s="1"/>
  <c r="J59" i="9" l="1"/>
  <c r="J37" i="9" s="1"/>
  <c r="J60" i="9"/>
  <c r="I64" i="9"/>
  <c r="I70" i="9"/>
  <c r="I58" i="9"/>
  <c r="H52" i="9"/>
  <c r="I80" i="8"/>
  <c r="J56" i="8"/>
  <c r="J68" i="8"/>
  <c r="J69" i="8" s="1"/>
  <c r="J80" i="8" s="1"/>
  <c r="J82" i="8" s="1"/>
  <c r="J52" i="8" s="1"/>
  <c r="J53" i="8" s="1"/>
  <c r="I58" i="7"/>
  <c r="I37" i="7" s="1"/>
  <c r="I70" i="7"/>
  <c r="I84" i="7" s="1"/>
  <c r="I86" i="7" s="1"/>
  <c r="I72" i="7"/>
  <c r="H94" i="7"/>
  <c r="H56" i="7"/>
  <c r="G71" i="7"/>
  <c r="G72" i="7" s="1"/>
  <c r="H52" i="7"/>
  <c r="H71" i="7"/>
  <c r="J59" i="7"/>
  <c r="I68" i="6"/>
  <c r="I78" i="6" s="1"/>
  <c r="I55" i="6"/>
  <c r="G72" i="9" l="1"/>
  <c r="G74" i="9" s="1"/>
  <c r="H57" i="9"/>
  <c r="H96" i="9"/>
  <c r="H53" i="9"/>
  <c r="H72" i="9"/>
  <c r="I59" i="9"/>
  <c r="I37" i="9" s="1"/>
  <c r="I71" i="9"/>
  <c r="I86" i="9" s="1"/>
  <c r="I88" i="9" s="1"/>
  <c r="I74" i="9"/>
  <c r="J62" i="9"/>
  <c r="J61" i="9" s="1"/>
  <c r="J57" i="8"/>
  <c r="J58" i="8"/>
  <c r="I82" i="8"/>
  <c r="G63" i="7"/>
  <c r="H63" i="7"/>
  <c r="I91" i="7"/>
  <c r="I93" i="7" s="1"/>
  <c r="I95" i="7" s="1"/>
  <c r="J61" i="7"/>
  <c r="J60" i="7" s="1"/>
  <c r="G91" i="7"/>
  <c r="H69" i="7"/>
  <c r="H57" i="7"/>
  <c r="I59" i="7"/>
  <c r="J78" i="6"/>
  <c r="J80" i="6" s="1"/>
  <c r="J51" i="6" s="1"/>
  <c r="J55" i="6"/>
  <c r="I93" i="9" l="1"/>
  <c r="I95" i="9" s="1"/>
  <c r="I97" i="9" s="1"/>
  <c r="I60" i="9"/>
  <c r="G64" i="9"/>
  <c r="H64" i="9"/>
  <c r="H70" i="9"/>
  <c r="H58" i="9"/>
  <c r="G93" i="9"/>
  <c r="I52" i="8"/>
  <c r="I53" i="8" s="1"/>
  <c r="H82" i="8"/>
  <c r="J59" i="8"/>
  <c r="J37" i="8" s="1"/>
  <c r="I61" i="7"/>
  <c r="H58" i="7"/>
  <c r="H37" i="7" s="1"/>
  <c r="H59" i="7"/>
  <c r="H70" i="7"/>
  <c r="H84" i="7" s="1"/>
  <c r="H86" i="7" s="1"/>
  <c r="G86" i="7" s="1"/>
  <c r="H72" i="7"/>
  <c r="G61" i="7"/>
  <c r="G64" i="7" s="1"/>
  <c r="J56" i="6"/>
  <c r="J52" i="6"/>
  <c r="J57" i="6"/>
  <c r="I80" i="6"/>
  <c r="H59" i="9" l="1"/>
  <c r="H37" i="9" s="1"/>
  <c r="H71" i="9"/>
  <c r="H86" i="9" s="1"/>
  <c r="H88" i="9" s="1"/>
  <c r="G88" i="9" s="1"/>
  <c r="H74" i="9"/>
  <c r="G62" i="9"/>
  <c r="I62" i="9"/>
  <c r="J60" i="8"/>
  <c r="H52" i="8"/>
  <c r="H53" i="8" s="1"/>
  <c r="I57" i="8"/>
  <c r="I96" i="8"/>
  <c r="H72" i="8"/>
  <c r="I72" i="8"/>
  <c r="H91" i="7"/>
  <c r="H93" i="7" s="1"/>
  <c r="G60" i="7"/>
  <c r="G73" i="7" s="1"/>
  <c r="G74" i="7"/>
  <c r="G34" i="7"/>
  <c r="F86" i="7"/>
  <c r="H61" i="7"/>
  <c r="I74" i="7"/>
  <c r="I64" i="7"/>
  <c r="I60" i="7"/>
  <c r="I73" i="7" s="1"/>
  <c r="I51" i="6"/>
  <c r="H80" i="6"/>
  <c r="H51" i="6" s="1"/>
  <c r="G71" i="6" s="1"/>
  <c r="G72" i="6" s="1"/>
  <c r="J58" i="6"/>
  <c r="J37" i="6" s="1"/>
  <c r="I76" i="9" l="1"/>
  <c r="I65" i="9"/>
  <c r="G61" i="9"/>
  <c r="G75" i="9" s="1"/>
  <c r="G76" i="9"/>
  <c r="G65" i="9"/>
  <c r="H93" i="9"/>
  <c r="H95" i="9" s="1"/>
  <c r="I61" i="9"/>
  <c r="I75" i="9" s="1"/>
  <c r="I77" i="9" s="1"/>
  <c r="G34" i="9"/>
  <c r="G81" i="9" s="1"/>
  <c r="G82" i="9" s="1"/>
  <c r="G48" i="9"/>
  <c r="F88" i="9"/>
  <c r="H60" i="9"/>
  <c r="I64" i="8"/>
  <c r="I70" i="8"/>
  <c r="I58" i="8"/>
  <c r="H96" i="8"/>
  <c r="G74" i="8"/>
  <c r="H57" i="8"/>
  <c r="J62" i="8"/>
  <c r="J61" i="8" s="1"/>
  <c r="I75" i="7"/>
  <c r="G75" i="7"/>
  <c r="H74" i="7"/>
  <c r="H64" i="7"/>
  <c r="H60" i="7"/>
  <c r="H73" i="7" s="1"/>
  <c r="H75" i="7" s="1"/>
  <c r="F34" i="7"/>
  <c r="E86" i="7"/>
  <c r="G38" i="7"/>
  <c r="G79" i="7" s="1"/>
  <c r="G80" i="7" s="1"/>
  <c r="H95" i="7"/>
  <c r="G93" i="7"/>
  <c r="H71" i="6"/>
  <c r="I71" i="6"/>
  <c r="J59" i="6"/>
  <c r="J61" i="6" s="1"/>
  <c r="J60" i="6" s="1"/>
  <c r="H56" i="6"/>
  <c r="H52" i="6"/>
  <c r="G63" i="6" s="1"/>
  <c r="I56" i="6"/>
  <c r="I52" i="6"/>
  <c r="F34" i="9" l="1"/>
  <c r="F81" i="9" s="1"/>
  <c r="F48" i="9"/>
  <c r="E88" i="9"/>
  <c r="H62" i="9"/>
  <c r="F82" i="9"/>
  <c r="H97" i="9"/>
  <c r="G95" i="9"/>
  <c r="G77" i="9"/>
  <c r="H70" i="8"/>
  <c r="H58" i="8"/>
  <c r="I59" i="8"/>
  <c r="I37" i="8" s="1"/>
  <c r="G64" i="8"/>
  <c r="G93" i="8"/>
  <c r="I71" i="8"/>
  <c r="I86" i="8" s="1"/>
  <c r="I88" i="8" s="1"/>
  <c r="H64" i="8"/>
  <c r="G95" i="7"/>
  <c r="E34" i="7"/>
  <c r="D86" i="7"/>
  <c r="F93" i="7"/>
  <c r="F38" i="7"/>
  <c r="F79" i="7" s="1"/>
  <c r="F80" i="7" s="1"/>
  <c r="H63" i="6"/>
  <c r="I63" i="6"/>
  <c r="I57" i="6"/>
  <c r="I69" i="6"/>
  <c r="G61" i="6"/>
  <c r="G60" i="6" s="1"/>
  <c r="H57" i="6"/>
  <c r="H69" i="6"/>
  <c r="I58" i="6"/>
  <c r="I37" i="6" s="1"/>
  <c r="H58" i="6"/>
  <c r="H37" i="6" s="1"/>
  <c r="G97" i="9" l="1"/>
  <c r="F95" i="9"/>
  <c r="H76" i="9"/>
  <c r="H65" i="9"/>
  <c r="D88" i="9"/>
  <c r="E34" i="9"/>
  <c r="E81" i="9" s="1"/>
  <c r="E82" i="9" s="1"/>
  <c r="E48" i="9"/>
  <c r="H61" i="9"/>
  <c r="H75" i="9" s="1"/>
  <c r="H77" i="9" s="1"/>
  <c r="I74" i="8"/>
  <c r="I93" i="8"/>
  <c r="I95" i="8" s="1"/>
  <c r="I97" i="8" s="1"/>
  <c r="G62" i="8"/>
  <c r="I60" i="8"/>
  <c r="H59" i="8"/>
  <c r="H37" i="8" s="1"/>
  <c r="H71" i="8"/>
  <c r="H86" i="8" s="1"/>
  <c r="H88" i="8" s="1"/>
  <c r="G88" i="8" s="1"/>
  <c r="F95" i="7"/>
  <c r="C86" i="7"/>
  <c r="C34" i="7" s="1"/>
  <c r="D34" i="7"/>
  <c r="E93" i="7"/>
  <c r="E38" i="7"/>
  <c r="E79" i="7" s="1"/>
  <c r="E80" i="7" s="1"/>
  <c r="H59" i="6"/>
  <c r="H61" i="6" s="1"/>
  <c r="H60" i="6" s="1"/>
  <c r="I59" i="6"/>
  <c r="I61" i="6" s="1"/>
  <c r="I60" i="6" s="1"/>
  <c r="G64" i="6"/>
  <c r="I70" i="6"/>
  <c r="I72" i="6" s="1"/>
  <c r="I64" i="6"/>
  <c r="H70" i="6"/>
  <c r="H72" i="6" s="1"/>
  <c r="H64" i="6"/>
  <c r="F97" i="9" l="1"/>
  <c r="E95" i="9"/>
  <c r="C88" i="9"/>
  <c r="D34" i="9"/>
  <c r="D81" i="9" s="1"/>
  <c r="D82" i="9" s="1"/>
  <c r="D48" i="9"/>
  <c r="H74" i="8"/>
  <c r="H93" i="8"/>
  <c r="H95" i="8" s="1"/>
  <c r="I62" i="8"/>
  <c r="G34" i="8"/>
  <c r="F88" i="8"/>
  <c r="H60" i="8"/>
  <c r="G61" i="8"/>
  <c r="G75" i="8" s="1"/>
  <c r="G76" i="8"/>
  <c r="G65" i="8"/>
  <c r="E95" i="7"/>
  <c r="D93" i="7"/>
  <c r="D38" i="7"/>
  <c r="D79" i="7" s="1"/>
  <c r="D80" i="7" s="1"/>
  <c r="C38" i="7"/>
  <c r="C79" i="7" s="1"/>
  <c r="C81" i="9" l="1"/>
  <c r="C82" i="9" s="1"/>
  <c r="C48" i="9"/>
  <c r="E97" i="9"/>
  <c r="D95" i="9"/>
  <c r="G77" i="8"/>
  <c r="G81" i="8"/>
  <c r="G82" i="8" s="1"/>
  <c r="H62" i="8"/>
  <c r="H61" i="8" s="1"/>
  <c r="H75" i="8" s="1"/>
  <c r="F34" i="8"/>
  <c r="E88" i="8"/>
  <c r="I76" i="8"/>
  <c r="I65" i="8"/>
  <c r="I61" i="8"/>
  <c r="I75" i="8" s="1"/>
  <c r="I77" i="8" s="1"/>
  <c r="H97" i="8"/>
  <c r="G95" i="8"/>
  <c r="C80" i="7"/>
  <c r="D95" i="7"/>
  <c r="C93" i="7"/>
  <c r="C95" i="7" s="1"/>
  <c r="D97" i="9" l="1"/>
  <c r="C95" i="9"/>
  <c r="C97" i="9" s="1"/>
  <c r="G97" i="8"/>
  <c r="F95" i="8"/>
  <c r="F81" i="8"/>
  <c r="E34" i="8"/>
  <c r="D88" i="8"/>
  <c r="H76" i="8"/>
  <c r="H77" i="8" s="1"/>
  <c r="H65" i="8"/>
  <c r="F82" i="8"/>
  <c r="F97" i="8" l="1"/>
  <c r="E95" i="8"/>
  <c r="E81" i="8"/>
  <c r="E82" i="8" s="1"/>
  <c r="D34" i="8"/>
  <c r="C88" i="8"/>
  <c r="C34" i="8" s="1"/>
  <c r="E97" i="8" l="1"/>
  <c r="D95" i="8"/>
  <c r="D81" i="8"/>
  <c r="D82" i="8"/>
  <c r="D97" i="8" l="1"/>
  <c r="C95" i="8"/>
  <c r="C97" i="8" s="1"/>
  <c r="C82" i="8"/>
</calcChain>
</file>

<file path=xl/sharedStrings.xml><?xml version="1.0" encoding="utf-8"?>
<sst xmlns="http://schemas.openxmlformats.org/spreadsheetml/2006/main" count="281" uniqueCount="68">
  <si>
    <t>rD</t>
  </si>
  <si>
    <t>IC boy</t>
  </si>
  <si>
    <t>ROIC</t>
  </si>
  <si>
    <t>RONIC</t>
  </si>
  <si>
    <t>K</t>
  </si>
  <si>
    <t>rA</t>
  </si>
  <si>
    <t>g</t>
  </si>
  <si>
    <t>Debt/V boy</t>
  </si>
  <si>
    <t>TV1</t>
  </si>
  <si>
    <t>TV2</t>
  </si>
  <si>
    <t>D boy</t>
  </si>
  <si>
    <t>E boy</t>
  </si>
  <si>
    <t>EBIT</t>
  </si>
  <si>
    <t>Interest payment</t>
  </si>
  <si>
    <t>PBT</t>
  </si>
  <si>
    <t>Tax</t>
  </si>
  <si>
    <t>PAT</t>
  </si>
  <si>
    <t>Dividend</t>
  </si>
  <si>
    <t>Retained Earnings</t>
  </si>
  <si>
    <t>Noplat</t>
  </si>
  <si>
    <t>dIC</t>
  </si>
  <si>
    <t>FCFF</t>
  </si>
  <si>
    <t>t nominal</t>
  </si>
  <si>
    <t>t effective assumed</t>
  </si>
  <si>
    <t>t effective calculated</t>
  </si>
  <si>
    <t>RONIC=WACC</t>
  </si>
  <si>
    <t>WACC</t>
  </si>
  <si>
    <t>BV D boy</t>
  </si>
  <si>
    <t>BV E boy</t>
  </si>
  <si>
    <t>Principal boy</t>
  </si>
  <si>
    <t xml:space="preserve">interest </t>
  </si>
  <si>
    <t>Principal payment</t>
  </si>
  <si>
    <t>Total CF</t>
  </si>
  <si>
    <t>FCFF // WACC</t>
  </si>
  <si>
    <t>Vboy</t>
  </si>
  <si>
    <t>V boy</t>
  </si>
  <si>
    <t>dBVEquity needed</t>
  </si>
  <si>
    <t>Share issue/buyback</t>
  </si>
  <si>
    <t>TS</t>
  </si>
  <si>
    <t>dD</t>
  </si>
  <si>
    <t>FCFE</t>
  </si>
  <si>
    <t>dBV Equity w/oRetained Earnings</t>
  </si>
  <si>
    <t>dNOn-op assets</t>
  </si>
  <si>
    <t>APV // rA</t>
  </si>
  <si>
    <t>FCFF+TS</t>
  </si>
  <si>
    <t>rD* for WACC</t>
  </si>
  <si>
    <t>FCFE // rE</t>
  </si>
  <si>
    <t>rE</t>
  </si>
  <si>
    <t xml:space="preserve"> D = BVD</t>
  </si>
  <si>
    <t>DSRA</t>
  </si>
  <si>
    <t>Total CF = Debt Service</t>
  </si>
  <si>
    <t>net D boy</t>
  </si>
  <si>
    <t>dDSRA</t>
  </si>
  <si>
    <t>Net D/V</t>
  </si>
  <si>
    <t>Tax base</t>
  </si>
  <si>
    <t>Tax deductible interest</t>
  </si>
  <si>
    <t>Tax deductible interest %</t>
  </si>
  <si>
    <t>ModelAStandard</t>
  </si>
  <si>
    <t>ModelAFairValue</t>
  </si>
  <si>
    <t>ModelBStandard</t>
  </si>
  <si>
    <t>ModelBFair</t>
  </si>
  <si>
    <t>E</t>
  </si>
  <si>
    <t>BV E</t>
  </si>
  <si>
    <t>SVA</t>
  </si>
  <si>
    <t>SVA/BV E</t>
  </si>
  <si>
    <t>NPV</t>
  </si>
  <si>
    <t>PI</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</si>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</sst>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sz val="12"/>
      <color rgb="FFFF0000"/>
      <name val="Calibri"/>
      <family val="2"/>
      <charset val="238"/>
      <scheme val="minor"/>
    </font>
    <font>
      <sz val="12"/>
      <name val="Calibri"/>
      <family val="2"/>
      <charset val="238"/>
      <scheme val="minor"/>
    </font>
    <font>
      <b/>
      <sz val="12"/>
      <color rgb="FFFF0000"/>
      <name val="Calibri"/>
      <family val="2"/>
      <charset val="238"/>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59999389629810485"/>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10" fontId="0" fillId="0" borderId="0" xfId="1" applyNumberFormat="1" applyFont="1" applyFill="1"/>
    <xf numFmtId="10" fontId="0" fillId="4" borderId="0" xfId="0" applyNumberFormat="1" applyFill="1"/>
    <xf numFmtId="10" fontId="0" fillId="4" borderId="0" xfId="1" applyNumberFormat="1" applyFont="1" applyFill="1"/>
    <xf numFmtId="0" fontId="2" fillId="0" borderId="0" xfId="0" applyFont="1"/>
    <xf numFmtId="4" fontId="2" fillId="0" borderId="0" xfId="0" applyNumberFormat="1" applyFont="1"/>
    <xf numFmtId="4" fontId="0" fillId="5" borderId="0" xfId="0" applyNumberFormat="1" applyFill="1"/>
    <xf numFmtId="0" fontId="0" fillId="6" borderId="0" xfId="0" applyFill="1"/>
    <xf numFmtId="4" fontId="0" fillId="6" borderId="0" xfId="0" applyNumberFormat="1" applyFill="1"/>
    <xf numFmtId="0" fontId="2" fillId="2" borderId="0" xfId="0" applyFont="1" applyFill="1"/>
    <xf numFmtId="4" fontId="2" fillId="2" borderId="0" xfId="0" applyNumberFormat="1" applyFont="1" applyFill="1"/>
    <xf numFmtId="10" fontId="0" fillId="7" borderId="0" xfId="1" applyNumberFormat="1" applyFont="1" applyFill="1"/>
    <xf numFmtId="4" fontId="0" fillId="8" borderId="0" xfId="0" applyNumberFormat="1" applyFill="1"/>
    <xf numFmtId="0" fontId="0" fillId="9" borderId="0" xfId="0" applyFill="1"/>
    <xf numFmtId="4" fontId="0" fillId="9" borderId="0" xfId="0" applyNumberFormat="1" applyFill="1"/>
    <xf numFmtId="10" fontId="0" fillId="9" borderId="0" xfId="0" applyNumberFormat="1" applyFill="1"/>
    <xf numFmtId="2" fontId="0" fillId="0" borderId="0" xfId="0" applyNumberFormat="1"/>
    <xf numFmtId="10" fontId="0" fillId="6" borderId="0" xfId="1" applyNumberFormat="1" applyFont="1" applyFill="1"/>
    <xf numFmtId="10" fontId="3" fillId="0" borderId="0" xfId="0" applyNumberFormat="1" applyFont="1"/>
    <xf numFmtId="10" fontId="3" fillId="0" borderId="1" xfId="0" applyNumberFormat="1" applyFont="1" applyBorder="1"/>
    <xf numFmtId="10" fontId="3" fillId="0" borderId="2" xfId="0" applyNumberFormat="1" applyFont="1" applyBorder="1"/>
    <xf numFmtId="10" fontId="3" fillId="0" borderId="3" xfId="0" applyNumberFormat="1" applyFont="1" applyBorder="1"/>
    <xf numFmtId="10" fontId="3" fillId="0" borderId="0" xfId="1" applyNumberFormat="1" applyFont="1"/>
    <xf numFmtId="4" fontId="3" fillId="0" borderId="0" xfId="0" applyNumberFormat="1" applyFont="1"/>
    <xf numFmtId="10" fontId="4" fillId="0" borderId="0" xfId="0" applyNumberFormat="1" applyFont="1"/>
    <xf numFmtId="4" fontId="5" fillId="2" borderId="0" xfId="0" applyNumberFormat="1" applyFont="1" applyFill="1"/>
    <xf numFmtId="10" fontId="5" fillId="2" borderId="0" xfId="1" applyNumberFormat="1" applyFon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28574</xdr:colOff>
      <xdr:row>7</xdr:row>
      <xdr:rowOff>76200</xdr:rowOff>
    </xdr:from>
    <xdr:to>
      <xdr:col>10</xdr:col>
      <xdr:colOff>152400</xdr:colOff>
      <xdr:row>7</xdr:row>
      <xdr:rowOff>119062</xdr:rowOff>
    </xdr:to>
    <xdr:cxnSp macro="">
      <xdr:nvCxnSpPr>
        <xdr:cNvPr id="2" name="Egyenes összekötő nyíllal 1">
          <a:extLst>
            <a:ext uri="{FF2B5EF4-FFF2-40B4-BE49-F238E27FC236}">
              <a16:creationId xmlns:a16="http://schemas.microsoft.com/office/drawing/2014/main" id="{61559735-638F-4C5A-84B7-A5E6D559FB7C}"/>
            </a:ext>
          </a:extLst>
        </xdr:cNvPr>
        <xdr:cNvCxnSpPr/>
      </xdr:nvCxnSpPr>
      <xdr:spPr>
        <a:xfrm flipH="1">
          <a:off x="5253037" y="1476375"/>
          <a:ext cx="1495426" cy="42862"/>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152400</xdr:colOff>
      <xdr:row>6</xdr:row>
      <xdr:rowOff>6494</xdr:rowOff>
    </xdr:from>
    <xdr:to>
      <xdr:col>12</xdr:col>
      <xdr:colOff>464993</xdr:colOff>
      <xdr:row>9</xdr:row>
      <xdr:rowOff>25544</xdr:rowOff>
    </xdr:to>
    <xdr:sp macro="" textlink="">
      <xdr:nvSpPr>
        <xdr:cNvPr id="3" name="Szövegdoboz 2">
          <a:extLst>
            <a:ext uri="{FF2B5EF4-FFF2-40B4-BE49-F238E27FC236}">
              <a16:creationId xmlns:a16="http://schemas.microsoft.com/office/drawing/2014/main" id="{CE97F737-009B-49E0-AB74-968005A0D6A9}"/>
            </a:ext>
          </a:extLst>
        </xdr:cNvPr>
        <xdr:cNvSpPr txBox="1"/>
      </xdr:nvSpPr>
      <xdr:spPr>
        <a:xfrm>
          <a:off x="6748463" y="1206644"/>
          <a:ext cx="1684193" cy="6191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We decide based on SVA</a:t>
          </a:r>
          <a:r>
            <a:rPr lang="hu-HU" sz="1100" kern="1200" baseline="0">
              <a:solidFill>
                <a:srgbClr val="FF0000"/>
              </a:solidFill>
            </a:rPr>
            <a:t> or SVA/BV E and NOT based on E or V!</a:t>
          </a:r>
          <a:endParaRPr lang="hu-HU" sz="1100" kern="12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E780D898-A982-4A49-A19B-CE837499D440}"/>
            </a:ext>
          </a:extLst>
        </xdr:cNvPr>
        <xdr:cNvSpPr txBox="1"/>
      </xdr:nvSpPr>
      <xdr:spPr>
        <a:xfrm>
          <a:off x="428625" y="87085"/>
          <a:ext cx="7331527"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t>
          </a:r>
          <a:r>
            <a:rPr lang="hu-HU" sz="1100">
              <a:solidFill>
                <a:srgbClr val="FF0000"/>
              </a:solidFill>
              <a:effectLst/>
              <a:latin typeface="+mn-lt"/>
              <a:ea typeface="+mn-ea"/>
              <a:cs typeface="+mn-cs"/>
            </a:rPr>
            <a:t>Assume new</a:t>
          </a:r>
          <a:r>
            <a:rPr lang="hu-HU" sz="1100" baseline="0">
              <a:solidFill>
                <a:srgbClr val="FF0000"/>
              </a:solidFill>
              <a:effectLst/>
              <a:latin typeface="+mn-lt"/>
              <a:ea typeface="+mn-ea"/>
              <a:cs typeface="+mn-cs"/>
            </a:rPr>
            <a:t> projects generate no added value during the TV period.</a:t>
          </a:r>
          <a:endParaRPr lang="hu-HU" sz="1100">
            <a:solidFill>
              <a:srgbClr val="FF0000"/>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D9C20999-2971-4E1E-B9B2-10E716B2F8EB}"/>
            </a:ext>
          </a:extLst>
        </xdr:cNvPr>
        <xdr:cNvSpPr txBox="1"/>
      </xdr:nvSpPr>
      <xdr:spPr>
        <a:xfrm>
          <a:off x="190500" y="87085"/>
          <a:ext cx="7341052"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t>
          </a:r>
          <a:r>
            <a:rPr lang="hu-HU" sz="1100">
              <a:solidFill>
                <a:srgbClr val="FF0000"/>
              </a:solidFill>
              <a:effectLst/>
              <a:latin typeface="+mn-lt"/>
              <a:ea typeface="+mn-ea"/>
              <a:cs typeface="+mn-cs"/>
            </a:rPr>
            <a:t>Assume new</a:t>
          </a:r>
          <a:r>
            <a:rPr lang="hu-HU" sz="1100" baseline="0">
              <a:solidFill>
                <a:srgbClr val="FF0000"/>
              </a:solidFill>
              <a:effectLst/>
              <a:latin typeface="+mn-lt"/>
              <a:ea typeface="+mn-ea"/>
              <a:cs typeface="+mn-cs"/>
            </a:rPr>
            <a:t> projects generate no added value during the TV period.</a:t>
          </a:r>
          <a:endParaRPr lang="hu-HU" sz="1100">
            <a:solidFill>
              <a:srgbClr val="FF0000"/>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twoCellAnchor>
    <xdr:from>
      <xdr:col>1</xdr:col>
      <xdr:colOff>1091045</xdr:colOff>
      <xdr:row>91</xdr:row>
      <xdr:rowOff>129887</xdr:rowOff>
    </xdr:from>
    <xdr:to>
      <xdr:col>2</xdr:col>
      <xdr:colOff>432954</xdr:colOff>
      <xdr:row>98</xdr:row>
      <xdr:rowOff>82261</xdr:rowOff>
    </xdr:to>
    <xdr:cxnSp macro="">
      <xdr:nvCxnSpPr>
        <xdr:cNvPr id="4" name="Egyenes összekötő nyíllal 3">
          <a:extLst>
            <a:ext uri="{FF2B5EF4-FFF2-40B4-BE49-F238E27FC236}">
              <a16:creationId xmlns:a16="http://schemas.microsoft.com/office/drawing/2014/main" id="{8BF42989-4E49-64CF-79D5-DD54D8B7E2AD}"/>
            </a:ext>
          </a:extLst>
        </xdr:cNvPr>
        <xdr:cNvCxnSpPr/>
      </xdr:nvCxnSpPr>
      <xdr:spPr>
        <a:xfrm flipV="1">
          <a:off x="1281545" y="18253364"/>
          <a:ext cx="731694" cy="1346488"/>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43296</xdr:colOff>
      <xdr:row>98</xdr:row>
      <xdr:rowOff>51955</xdr:rowOff>
    </xdr:from>
    <xdr:to>
      <xdr:col>2</xdr:col>
      <xdr:colOff>337704</xdr:colOff>
      <xdr:row>101</xdr:row>
      <xdr:rowOff>73603</xdr:rowOff>
    </xdr:to>
    <xdr:sp macro="" textlink="">
      <xdr:nvSpPr>
        <xdr:cNvPr id="5" name="Szövegdoboz 4">
          <a:extLst>
            <a:ext uri="{FF2B5EF4-FFF2-40B4-BE49-F238E27FC236}">
              <a16:creationId xmlns:a16="http://schemas.microsoft.com/office/drawing/2014/main" id="{A50E5C31-D445-FF96-9245-ADA9446AEA46}"/>
            </a:ext>
          </a:extLst>
        </xdr:cNvPr>
        <xdr:cNvSpPr txBox="1"/>
      </xdr:nvSpPr>
      <xdr:spPr>
        <a:xfrm>
          <a:off x="233796" y="19569546"/>
          <a:ext cx="1684193" cy="61912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The</a:t>
          </a:r>
          <a:r>
            <a:rPr lang="hu-HU" sz="1100" kern="1200" baseline="0">
              <a:solidFill>
                <a:srgbClr val="FF0000"/>
              </a:solidFill>
            </a:rPr>
            <a:t> rE formula referred to the wrong rD. We need to use the one in WACC.</a:t>
          </a:r>
          <a:endParaRPr lang="hu-HU" sz="1100" kern="12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6987A63D-904E-44DD-9B0C-8D576A17692C}"/>
            </a:ext>
          </a:extLst>
        </xdr:cNvPr>
        <xdr:cNvSpPr txBox="1"/>
      </xdr:nvSpPr>
      <xdr:spPr>
        <a:xfrm>
          <a:off x="190500" y="87085"/>
          <a:ext cx="7341052"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t>
          </a:r>
          <a:r>
            <a:rPr lang="hu-HU" sz="1100">
              <a:solidFill>
                <a:srgbClr val="FF0000"/>
              </a:solidFill>
              <a:effectLst/>
              <a:latin typeface="+mn-lt"/>
              <a:ea typeface="+mn-ea"/>
              <a:cs typeface="+mn-cs"/>
            </a:rPr>
            <a:t>Assume new</a:t>
          </a:r>
          <a:r>
            <a:rPr lang="hu-HU" sz="1100" baseline="0">
              <a:solidFill>
                <a:srgbClr val="FF0000"/>
              </a:solidFill>
              <a:effectLst/>
              <a:latin typeface="+mn-lt"/>
              <a:ea typeface="+mn-ea"/>
              <a:cs typeface="+mn-cs"/>
            </a:rPr>
            <a:t> projects generate no added value during the TV period.</a:t>
          </a:r>
          <a:endParaRPr lang="hu-HU" sz="1100">
            <a:solidFill>
              <a:srgbClr val="FF0000"/>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twoCellAnchor>
    <xdr:from>
      <xdr:col>3</xdr:col>
      <xdr:colOff>87458</xdr:colOff>
      <xdr:row>99</xdr:row>
      <xdr:rowOff>115164</xdr:rowOff>
    </xdr:from>
    <xdr:to>
      <xdr:col>5</xdr:col>
      <xdr:colOff>438151</xdr:colOff>
      <xdr:row>101</xdr:row>
      <xdr:rowOff>156729</xdr:rowOff>
    </xdr:to>
    <xdr:sp macro="" textlink="">
      <xdr:nvSpPr>
        <xdr:cNvPr id="3" name="Szövegdoboz 2">
          <a:extLst>
            <a:ext uri="{FF2B5EF4-FFF2-40B4-BE49-F238E27FC236}">
              <a16:creationId xmlns:a16="http://schemas.microsoft.com/office/drawing/2014/main" id="{E90B3C55-DA2B-4B5D-8CDD-4DC9532A26A0}"/>
            </a:ext>
          </a:extLst>
        </xdr:cNvPr>
        <xdr:cNvSpPr txBox="1"/>
      </xdr:nvSpPr>
      <xdr:spPr>
        <a:xfrm>
          <a:off x="3278333" y="19917639"/>
          <a:ext cx="168419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Use net Debt</a:t>
          </a:r>
          <a:r>
            <a:rPr lang="hu-HU" sz="1100" kern="1200" baseline="0">
              <a:solidFill>
                <a:srgbClr val="FF0000"/>
              </a:solidFill>
            </a:rPr>
            <a:t> in the MM formulas.</a:t>
          </a:r>
          <a:endParaRPr lang="hu-HU" sz="1100" kern="1200">
            <a:solidFill>
              <a:srgbClr val="FF0000"/>
            </a:solidFill>
          </a:endParaRPr>
        </a:p>
      </xdr:txBody>
    </xdr:sp>
    <xdr:clientData/>
  </xdr:twoCellAnchor>
  <xdr:twoCellAnchor>
    <xdr:from>
      <xdr:col>2</xdr:col>
      <xdr:colOff>733425</xdr:colOff>
      <xdr:row>93</xdr:row>
      <xdr:rowOff>180975</xdr:rowOff>
    </xdr:from>
    <xdr:to>
      <xdr:col>3</xdr:col>
      <xdr:colOff>585355</xdr:colOff>
      <xdr:row>99</xdr:row>
      <xdr:rowOff>80529</xdr:rowOff>
    </xdr:to>
    <xdr:cxnSp macro="">
      <xdr:nvCxnSpPr>
        <xdr:cNvPr id="4" name="Egyenes összekötő nyíllal 3">
          <a:extLst>
            <a:ext uri="{FF2B5EF4-FFF2-40B4-BE49-F238E27FC236}">
              <a16:creationId xmlns:a16="http://schemas.microsoft.com/office/drawing/2014/main" id="{4E7422E9-9E0C-4676-8221-90AAB92FB439}"/>
            </a:ext>
          </a:extLst>
        </xdr:cNvPr>
        <xdr:cNvCxnSpPr/>
      </xdr:nvCxnSpPr>
      <xdr:spPr>
        <a:xfrm flipH="1" flipV="1">
          <a:off x="3105150" y="18783300"/>
          <a:ext cx="671080" cy="1099704"/>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16453</xdr:colOff>
      <xdr:row>38</xdr:row>
      <xdr:rowOff>9958</xdr:rowOff>
    </xdr:from>
    <xdr:to>
      <xdr:col>7</xdr:col>
      <xdr:colOff>639907</xdr:colOff>
      <xdr:row>40</xdr:row>
      <xdr:rowOff>38533</xdr:rowOff>
    </xdr:to>
    <xdr:cxnSp macro="">
      <xdr:nvCxnSpPr>
        <xdr:cNvPr id="5" name="Egyenes összekötő nyíllal 4">
          <a:extLst>
            <a:ext uri="{FF2B5EF4-FFF2-40B4-BE49-F238E27FC236}">
              <a16:creationId xmlns:a16="http://schemas.microsoft.com/office/drawing/2014/main" id="{090C56F3-86F8-4C15-880E-F74A5C2C412A}"/>
            </a:ext>
          </a:extLst>
        </xdr:cNvPr>
        <xdr:cNvCxnSpPr/>
      </xdr:nvCxnSpPr>
      <xdr:spPr>
        <a:xfrm flipH="1" flipV="1">
          <a:off x="6026728" y="7610908"/>
          <a:ext cx="623454" cy="42862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163658</xdr:colOff>
      <xdr:row>40</xdr:row>
      <xdr:rowOff>81827</xdr:rowOff>
    </xdr:from>
    <xdr:to>
      <xdr:col>9</xdr:col>
      <xdr:colOff>329046</xdr:colOff>
      <xdr:row>42</xdr:row>
      <xdr:rowOff>123392</xdr:rowOff>
    </xdr:to>
    <xdr:sp macro="" textlink="">
      <xdr:nvSpPr>
        <xdr:cNvPr id="6" name="Szövegdoboz 5">
          <a:extLst>
            <a:ext uri="{FF2B5EF4-FFF2-40B4-BE49-F238E27FC236}">
              <a16:creationId xmlns:a16="http://schemas.microsoft.com/office/drawing/2014/main" id="{6049BCB5-336B-45C2-AD59-634EE210486B}"/>
            </a:ext>
          </a:extLst>
        </xdr:cNvPr>
        <xdr:cNvSpPr txBox="1"/>
      </xdr:nvSpPr>
      <xdr:spPr>
        <a:xfrm>
          <a:off x="6173933" y="8082827"/>
          <a:ext cx="177511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Both WACC and rD for WACC should use net Debt.</a:t>
          </a:r>
        </a:p>
      </xdr:txBody>
    </xdr:sp>
    <xdr:clientData/>
  </xdr:twoCellAnchor>
  <xdr:twoCellAnchor>
    <xdr:from>
      <xdr:col>6</xdr:col>
      <xdr:colOff>809625</xdr:colOff>
      <xdr:row>34</xdr:row>
      <xdr:rowOff>147638</xdr:rowOff>
    </xdr:from>
    <xdr:to>
      <xdr:col>7</xdr:col>
      <xdr:colOff>661555</xdr:colOff>
      <xdr:row>40</xdr:row>
      <xdr:rowOff>47192</xdr:rowOff>
    </xdr:to>
    <xdr:cxnSp macro="">
      <xdr:nvCxnSpPr>
        <xdr:cNvPr id="7" name="Egyenes összekötő nyíllal 6">
          <a:extLst>
            <a:ext uri="{FF2B5EF4-FFF2-40B4-BE49-F238E27FC236}">
              <a16:creationId xmlns:a16="http://schemas.microsoft.com/office/drawing/2014/main" id="{1EDB6E92-2BFE-496E-9E01-EEBD23B2E0E7}"/>
            </a:ext>
          </a:extLst>
        </xdr:cNvPr>
        <xdr:cNvCxnSpPr/>
      </xdr:nvCxnSpPr>
      <xdr:spPr>
        <a:xfrm flipH="1" flipV="1">
          <a:off x="6000750" y="6948488"/>
          <a:ext cx="671080" cy="1099704"/>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130320</xdr:colOff>
      <xdr:row>76</xdr:row>
      <xdr:rowOff>172314</xdr:rowOff>
    </xdr:from>
    <xdr:to>
      <xdr:col>9</xdr:col>
      <xdr:colOff>204788</xdr:colOff>
      <xdr:row>79</xdr:row>
      <xdr:rowOff>13854</xdr:rowOff>
    </xdr:to>
    <xdr:sp macro="" textlink="">
      <xdr:nvSpPr>
        <xdr:cNvPr id="8" name="Szövegdoboz 7">
          <a:extLst>
            <a:ext uri="{FF2B5EF4-FFF2-40B4-BE49-F238E27FC236}">
              <a16:creationId xmlns:a16="http://schemas.microsoft.com/office/drawing/2014/main" id="{6FB1EFBE-3ACD-D3AA-BE6B-8F747598E7BE}"/>
            </a:ext>
          </a:extLst>
        </xdr:cNvPr>
        <xdr:cNvSpPr txBox="1"/>
      </xdr:nvSpPr>
      <xdr:spPr>
        <a:xfrm>
          <a:off x="6140595" y="15374214"/>
          <a:ext cx="168419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We use here the</a:t>
          </a:r>
          <a:r>
            <a:rPr lang="hu-HU" sz="1100" kern="1200" baseline="0">
              <a:solidFill>
                <a:srgbClr val="FF0000"/>
              </a:solidFill>
            </a:rPr>
            <a:t> change in market value!</a:t>
          </a:r>
          <a:endParaRPr lang="hu-HU" sz="1100" kern="1200">
            <a:solidFill>
              <a:srgbClr val="FF0000"/>
            </a:solidFill>
          </a:endParaRPr>
        </a:p>
      </xdr:txBody>
    </xdr:sp>
    <xdr:clientData/>
  </xdr:twoCellAnchor>
  <xdr:twoCellAnchor>
    <xdr:from>
      <xdr:col>6</xdr:col>
      <xdr:colOff>676275</xdr:colOff>
      <xdr:row>71</xdr:row>
      <xdr:rowOff>161925</xdr:rowOff>
    </xdr:from>
    <xdr:to>
      <xdr:col>7</xdr:col>
      <xdr:colOff>628217</xdr:colOff>
      <xdr:row>76</xdr:row>
      <xdr:rowOff>137679</xdr:rowOff>
    </xdr:to>
    <xdr:cxnSp macro="">
      <xdr:nvCxnSpPr>
        <xdr:cNvPr id="9" name="Egyenes összekötő nyíllal 8">
          <a:extLst>
            <a:ext uri="{FF2B5EF4-FFF2-40B4-BE49-F238E27FC236}">
              <a16:creationId xmlns:a16="http://schemas.microsoft.com/office/drawing/2014/main" id="{A0C5E151-F018-6C05-56E6-AE838B2B86EA}"/>
            </a:ext>
          </a:extLst>
        </xdr:cNvPr>
        <xdr:cNvCxnSpPr/>
      </xdr:nvCxnSpPr>
      <xdr:spPr>
        <a:xfrm flipH="1" flipV="1">
          <a:off x="5867400" y="14363700"/>
          <a:ext cx="771092" cy="975879"/>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7B87CA63-051D-4FF8-BDFD-B808EBBCC910}"/>
            </a:ext>
          </a:extLst>
        </xdr:cNvPr>
        <xdr:cNvSpPr txBox="1"/>
      </xdr:nvSpPr>
      <xdr:spPr>
        <a:xfrm>
          <a:off x="190500" y="87085"/>
          <a:ext cx="8207827"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t>
          </a:r>
          <a:r>
            <a:rPr lang="hu-HU" sz="1100">
              <a:solidFill>
                <a:srgbClr val="FF0000"/>
              </a:solidFill>
              <a:effectLst/>
              <a:latin typeface="+mn-lt"/>
              <a:ea typeface="+mn-ea"/>
              <a:cs typeface="+mn-cs"/>
            </a:rPr>
            <a:t>Assume new</a:t>
          </a:r>
          <a:r>
            <a:rPr lang="hu-HU" sz="1100" baseline="0">
              <a:solidFill>
                <a:srgbClr val="FF0000"/>
              </a:solidFill>
              <a:effectLst/>
              <a:latin typeface="+mn-lt"/>
              <a:ea typeface="+mn-ea"/>
              <a:cs typeface="+mn-cs"/>
            </a:rPr>
            <a:t> projects generate no added value during the TV period.</a:t>
          </a:r>
          <a:endParaRPr lang="hu-HU" sz="1100">
            <a:solidFill>
              <a:srgbClr val="FF0000"/>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twoCellAnchor>
    <xdr:from>
      <xdr:col>6</xdr:col>
      <xdr:colOff>766330</xdr:colOff>
      <xdr:row>38</xdr:row>
      <xdr:rowOff>0</xdr:rowOff>
    </xdr:from>
    <xdr:to>
      <xdr:col>7</xdr:col>
      <xdr:colOff>571500</xdr:colOff>
      <xdr:row>40</xdr:row>
      <xdr:rowOff>30307</xdr:rowOff>
    </xdr:to>
    <xdr:cxnSp macro="">
      <xdr:nvCxnSpPr>
        <xdr:cNvPr id="3" name="Egyenes összekötő nyíllal 2">
          <a:extLst>
            <a:ext uri="{FF2B5EF4-FFF2-40B4-BE49-F238E27FC236}">
              <a16:creationId xmlns:a16="http://schemas.microsoft.com/office/drawing/2014/main" id="{8EA928FB-7825-45F6-9036-C5B303DF6682}"/>
            </a:ext>
          </a:extLst>
        </xdr:cNvPr>
        <xdr:cNvCxnSpPr/>
      </xdr:nvCxnSpPr>
      <xdr:spPr>
        <a:xfrm flipH="1" flipV="1">
          <a:off x="5957455" y="7576705"/>
          <a:ext cx="623454" cy="42862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95251</xdr:colOff>
      <xdr:row>40</xdr:row>
      <xdr:rowOff>73601</xdr:rowOff>
    </xdr:from>
    <xdr:to>
      <xdr:col>9</xdr:col>
      <xdr:colOff>259773</xdr:colOff>
      <xdr:row>42</xdr:row>
      <xdr:rowOff>116898</xdr:rowOff>
    </xdr:to>
    <xdr:sp macro="" textlink="">
      <xdr:nvSpPr>
        <xdr:cNvPr id="4" name="Szövegdoboz 3">
          <a:extLst>
            <a:ext uri="{FF2B5EF4-FFF2-40B4-BE49-F238E27FC236}">
              <a16:creationId xmlns:a16="http://schemas.microsoft.com/office/drawing/2014/main" id="{E4DFF65D-0652-403A-A1F2-51E51CACEF79}"/>
            </a:ext>
          </a:extLst>
        </xdr:cNvPr>
        <xdr:cNvSpPr txBox="1"/>
      </xdr:nvSpPr>
      <xdr:spPr>
        <a:xfrm>
          <a:off x="6104660" y="8048624"/>
          <a:ext cx="177511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Both WACC and rD for WACC should use net Debt.</a:t>
          </a:r>
        </a:p>
      </xdr:txBody>
    </xdr:sp>
    <xdr:clientData/>
  </xdr:twoCellAnchor>
  <xdr:twoCellAnchor>
    <xdr:from>
      <xdr:col>6</xdr:col>
      <xdr:colOff>740352</xdr:colOff>
      <xdr:row>34</xdr:row>
      <xdr:rowOff>138546</xdr:rowOff>
    </xdr:from>
    <xdr:to>
      <xdr:col>7</xdr:col>
      <xdr:colOff>593148</xdr:colOff>
      <xdr:row>40</xdr:row>
      <xdr:rowOff>38966</xdr:rowOff>
    </xdr:to>
    <xdr:cxnSp macro="">
      <xdr:nvCxnSpPr>
        <xdr:cNvPr id="8" name="Egyenes összekötő nyíllal 7">
          <a:extLst>
            <a:ext uri="{FF2B5EF4-FFF2-40B4-BE49-F238E27FC236}">
              <a16:creationId xmlns:a16="http://schemas.microsoft.com/office/drawing/2014/main" id="{2DEC3964-22B0-E47D-691B-05270D9EE44A}"/>
            </a:ext>
          </a:extLst>
        </xdr:cNvPr>
        <xdr:cNvCxnSpPr/>
      </xdr:nvCxnSpPr>
      <xdr:spPr>
        <a:xfrm flipH="1" flipV="1">
          <a:off x="5931477" y="6914285"/>
          <a:ext cx="671080" cy="1099704"/>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147205</xdr:colOff>
      <xdr:row>99</xdr:row>
      <xdr:rowOff>116897</xdr:rowOff>
    </xdr:from>
    <xdr:to>
      <xdr:col>5</xdr:col>
      <xdr:colOff>497898</xdr:colOff>
      <xdr:row>101</xdr:row>
      <xdr:rowOff>160194</xdr:rowOff>
    </xdr:to>
    <xdr:sp macro="" textlink="">
      <xdr:nvSpPr>
        <xdr:cNvPr id="12" name="Szövegdoboz 11">
          <a:extLst>
            <a:ext uri="{FF2B5EF4-FFF2-40B4-BE49-F238E27FC236}">
              <a16:creationId xmlns:a16="http://schemas.microsoft.com/office/drawing/2014/main" id="{4B0098B3-4C84-B32C-7969-552B10EA3238}"/>
            </a:ext>
          </a:extLst>
        </xdr:cNvPr>
        <xdr:cNvSpPr txBox="1"/>
      </xdr:nvSpPr>
      <xdr:spPr>
        <a:xfrm>
          <a:off x="3338080" y="19842306"/>
          <a:ext cx="168419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Use net Debt</a:t>
          </a:r>
          <a:r>
            <a:rPr lang="hu-HU" sz="1100" kern="1200" baseline="0">
              <a:solidFill>
                <a:srgbClr val="FF0000"/>
              </a:solidFill>
            </a:rPr>
            <a:t> in the MM formulas.</a:t>
          </a:r>
          <a:endParaRPr lang="hu-HU" sz="1100" kern="1200">
            <a:solidFill>
              <a:srgbClr val="FF0000"/>
            </a:solidFill>
          </a:endParaRPr>
        </a:p>
      </xdr:txBody>
    </xdr:sp>
    <xdr:clientData/>
  </xdr:twoCellAnchor>
  <xdr:twoCellAnchor>
    <xdr:from>
      <xdr:col>2</xdr:col>
      <xdr:colOff>792306</xdr:colOff>
      <xdr:row>93</xdr:row>
      <xdr:rowOff>177512</xdr:rowOff>
    </xdr:from>
    <xdr:to>
      <xdr:col>3</xdr:col>
      <xdr:colOff>645102</xdr:colOff>
      <xdr:row>99</xdr:row>
      <xdr:rowOff>82262</xdr:rowOff>
    </xdr:to>
    <xdr:cxnSp macro="">
      <xdr:nvCxnSpPr>
        <xdr:cNvPr id="13" name="Egyenes összekötő nyíllal 12">
          <a:extLst>
            <a:ext uri="{FF2B5EF4-FFF2-40B4-BE49-F238E27FC236}">
              <a16:creationId xmlns:a16="http://schemas.microsoft.com/office/drawing/2014/main" id="{7D6239A0-7D74-797B-2FA6-16C100136068}"/>
            </a:ext>
          </a:extLst>
        </xdr:cNvPr>
        <xdr:cNvCxnSpPr/>
      </xdr:nvCxnSpPr>
      <xdr:spPr>
        <a:xfrm flipH="1" flipV="1">
          <a:off x="3164897" y="18707967"/>
          <a:ext cx="671080" cy="1099704"/>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6D22809A-4F70-4007-ABBD-92A7B7E64DE6}"/>
            </a:ext>
          </a:extLst>
        </xdr:cNvPr>
        <xdr:cNvSpPr txBox="1"/>
      </xdr:nvSpPr>
      <xdr:spPr>
        <a:xfrm>
          <a:off x="190500" y="87085"/>
          <a:ext cx="8207827"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t>
          </a:r>
          <a:r>
            <a:rPr lang="hu-HU" sz="1100">
              <a:solidFill>
                <a:srgbClr val="FF0000"/>
              </a:solidFill>
              <a:effectLst/>
              <a:latin typeface="+mn-lt"/>
              <a:ea typeface="+mn-ea"/>
              <a:cs typeface="+mn-cs"/>
            </a:rPr>
            <a:t>Assume new</a:t>
          </a:r>
          <a:r>
            <a:rPr lang="hu-HU" sz="1100" baseline="0">
              <a:solidFill>
                <a:srgbClr val="FF0000"/>
              </a:solidFill>
              <a:effectLst/>
              <a:latin typeface="+mn-lt"/>
              <a:ea typeface="+mn-ea"/>
              <a:cs typeface="+mn-cs"/>
            </a:rPr>
            <a:t> projects generate no added value during the TV period.</a:t>
          </a:r>
          <a:endParaRPr lang="hu-HU" sz="1100">
            <a:solidFill>
              <a:srgbClr val="FF0000"/>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twoCellAnchor>
    <xdr:from>
      <xdr:col>7</xdr:col>
      <xdr:colOff>0</xdr:colOff>
      <xdr:row>38</xdr:row>
      <xdr:rowOff>64943</xdr:rowOff>
    </xdr:from>
    <xdr:to>
      <xdr:col>7</xdr:col>
      <xdr:colOff>623454</xdr:colOff>
      <xdr:row>40</xdr:row>
      <xdr:rowOff>95250</xdr:rowOff>
    </xdr:to>
    <xdr:cxnSp macro="">
      <xdr:nvCxnSpPr>
        <xdr:cNvPr id="3" name="Egyenes összekötő nyíllal 2">
          <a:extLst>
            <a:ext uri="{FF2B5EF4-FFF2-40B4-BE49-F238E27FC236}">
              <a16:creationId xmlns:a16="http://schemas.microsoft.com/office/drawing/2014/main" id="{9AA85D19-1516-46D0-92E6-774D483DD7E6}"/>
            </a:ext>
          </a:extLst>
        </xdr:cNvPr>
        <xdr:cNvCxnSpPr/>
      </xdr:nvCxnSpPr>
      <xdr:spPr>
        <a:xfrm flipH="1" flipV="1">
          <a:off x="6009409" y="7641648"/>
          <a:ext cx="623454" cy="428625"/>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147205</xdr:colOff>
      <xdr:row>40</xdr:row>
      <xdr:rowOff>138544</xdr:rowOff>
    </xdr:from>
    <xdr:to>
      <xdr:col>9</xdr:col>
      <xdr:colOff>311727</xdr:colOff>
      <xdr:row>42</xdr:row>
      <xdr:rowOff>181841</xdr:rowOff>
    </xdr:to>
    <xdr:sp macro="" textlink="">
      <xdr:nvSpPr>
        <xdr:cNvPr id="4" name="Szövegdoboz 3">
          <a:extLst>
            <a:ext uri="{FF2B5EF4-FFF2-40B4-BE49-F238E27FC236}">
              <a16:creationId xmlns:a16="http://schemas.microsoft.com/office/drawing/2014/main" id="{51EC96ED-D543-4D8B-AB1B-6BA2D98E38CC}"/>
            </a:ext>
          </a:extLst>
        </xdr:cNvPr>
        <xdr:cNvSpPr txBox="1"/>
      </xdr:nvSpPr>
      <xdr:spPr>
        <a:xfrm>
          <a:off x="6156614" y="8113567"/>
          <a:ext cx="1775113" cy="441615"/>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Both WACC and rD for WACC should use net Debt.</a:t>
          </a:r>
        </a:p>
      </xdr:txBody>
    </xdr:sp>
    <xdr:clientData/>
  </xdr:twoCellAnchor>
  <xdr:twoCellAnchor>
    <xdr:from>
      <xdr:col>6</xdr:col>
      <xdr:colOff>792306</xdr:colOff>
      <xdr:row>34</xdr:row>
      <xdr:rowOff>4330</xdr:rowOff>
    </xdr:from>
    <xdr:to>
      <xdr:col>7</xdr:col>
      <xdr:colOff>645102</xdr:colOff>
      <xdr:row>40</xdr:row>
      <xdr:rowOff>103909</xdr:rowOff>
    </xdr:to>
    <xdr:cxnSp macro="">
      <xdr:nvCxnSpPr>
        <xdr:cNvPr id="5" name="Egyenes összekötő nyíllal 4">
          <a:extLst>
            <a:ext uri="{FF2B5EF4-FFF2-40B4-BE49-F238E27FC236}">
              <a16:creationId xmlns:a16="http://schemas.microsoft.com/office/drawing/2014/main" id="{E62AB431-D356-46A3-A727-3238857ACF92}"/>
            </a:ext>
          </a:extLst>
        </xdr:cNvPr>
        <xdr:cNvCxnSpPr/>
      </xdr:nvCxnSpPr>
      <xdr:spPr>
        <a:xfrm flipH="1" flipV="1">
          <a:off x="5983431" y="6780069"/>
          <a:ext cx="671080" cy="1298863"/>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147205</xdr:colOff>
      <xdr:row>102</xdr:row>
      <xdr:rowOff>116897</xdr:rowOff>
    </xdr:from>
    <xdr:to>
      <xdr:col>5</xdr:col>
      <xdr:colOff>497898</xdr:colOff>
      <xdr:row>104</xdr:row>
      <xdr:rowOff>160194</xdr:rowOff>
    </xdr:to>
    <xdr:sp macro="" textlink="">
      <xdr:nvSpPr>
        <xdr:cNvPr id="6" name="Szövegdoboz 5">
          <a:extLst>
            <a:ext uri="{FF2B5EF4-FFF2-40B4-BE49-F238E27FC236}">
              <a16:creationId xmlns:a16="http://schemas.microsoft.com/office/drawing/2014/main" id="{A4783496-0203-4F05-A25B-CAAB5449F537}"/>
            </a:ext>
          </a:extLst>
        </xdr:cNvPr>
        <xdr:cNvSpPr txBox="1"/>
      </xdr:nvSpPr>
      <xdr:spPr>
        <a:xfrm>
          <a:off x="3338080" y="19928897"/>
          <a:ext cx="1684193" cy="443347"/>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100" kern="1200">
              <a:solidFill>
                <a:srgbClr val="FF0000"/>
              </a:solidFill>
            </a:rPr>
            <a:t>Use net Debt</a:t>
          </a:r>
          <a:r>
            <a:rPr lang="hu-HU" sz="1100" kern="1200" baseline="0">
              <a:solidFill>
                <a:srgbClr val="FF0000"/>
              </a:solidFill>
            </a:rPr>
            <a:t> in the MM formulas.</a:t>
          </a:r>
          <a:endParaRPr lang="hu-HU" sz="1100" kern="1200">
            <a:solidFill>
              <a:srgbClr val="FF0000"/>
            </a:solidFill>
          </a:endParaRPr>
        </a:p>
      </xdr:txBody>
    </xdr:sp>
    <xdr:clientData/>
  </xdr:twoCellAnchor>
  <xdr:twoCellAnchor>
    <xdr:from>
      <xdr:col>2</xdr:col>
      <xdr:colOff>792306</xdr:colOff>
      <xdr:row>96</xdr:row>
      <xdr:rowOff>177512</xdr:rowOff>
    </xdr:from>
    <xdr:to>
      <xdr:col>3</xdr:col>
      <xdr:colOff>645102</xdr:colOff>
      <xdr:row>102</xdr:row>
      <xdr:rowOff>82262</xdr:rowOff>
    </xdr:to>
    <xdr:cxnSp macro="">
      <xdr:nvCxnSpPr>
        <xdr:cNvPr id="7" name="Egyenes összekötő nyíllal 6">
          <a:extLst>
            <a:ext uri="{FF2B5EF4-FFF2-40B4-BE49-F238E27FC236}">
              <a16:creationId xmlns:a16="http://schemas.microsoft.com/office/drawing/2014/main" id="{D0D23257-A5B3-41C8-92DC-5F8E66E081EC}"/>
            </a:ext>
          </a:extLst>
        </xdr:cNvPr>
        <xdr:cNvCxnSpPr/>
      </xdr:nvCxnSpPr>
      <xdr:spPr>
        <a:xfrm flipH="1" flipV="1">
          <a:off x="3164031" y="18789362"/>
          <a:ext cx="671946" cy="1104900"/>
        </a:xfrm>
        <a:prstGeom prst="straightConnector1">
          <a:avLst/>
        </a:prstGeom>
        <a:ln w="1905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0ACA-E782-45E3-BB4D-48C09E2D6F96}">
  <sheetPr codeName="Munka6"/>
  <dimension ref="C4:H9"/>
  <sheetViews>
    <sheetView tabSelected="1" workbookViewId="0">
      <selection activeCell="E13" sqref="E13"/>
    </sheetView>
  </sheetViews>
  <sheetFormatPr defaultRowHeight="15.75" x14ac:dyDescent="0.5"/>
  <cols>
    <col min="3" max="3" width="14.75" bestFit="1" customWidth="1"/>
    <col min="4" max="7" width="8.625" bestFit="1" customWidth="1"/>
    <col min="8" max="8" width="8.3125" bestFit="1" customWidth="1"/>
  </cols>
  <sheetData>
    <row r="4" spans="3:8" x14ac:dyDescent="0.5">
      <c r="G4" t="s">
        <v>65</v>
      </c>
      <c r="H4" t="s">
        <v>66</v>
      </c>
    </row>
    <row r="5" spans="3:8" x14ac:dyDescent="0.5">
      <c r="D5" t="s">
        <v>67</v>
      </c>
      <c r="E5" t="s">
        <v>61</v>
      </c>
      <c r="F5" t="s">
        <v>62</v>
      </c>
      <c r="G5" t="s">
        <v>63</v>
      </c>
      <c r="H5" t="s">
        <v>64</v>
      </c>
    </row>
    <row r="6" spans="3:8" x14ac:dyDescent="0.5">
      <c r="C6" t="s">
        <v>57</v>
      </c>
      <c r="D6" s="4">
        <f>+ModelAStandard!C95</f>
        <v>33295.679767887967</v>
      </c>
      <c r="E6" s="4">
        <f>+ModelAStandard!C93</f>
        <v>25057.284909800899</v>
      </c>
      <c r="F6" s="4">
        <f>+ModelAStandard!C52</f>
        <v>12000</v>
      </c>
      <c r="G6" s="4">
        <f>+E6-F6</f>
        <v>13057.284909800899</v>
      </c>
      <c r="H6" s="3">
        <f>+G6/F6</f>
        <v>1.0881070758167417</v>
      </c>
    </row>
    <row r="7" spans="3:8" x14ac:dyDescent="0.5">
      <c r="C7" t="s">
        <v>58</v>
      </c>
      <c r="D7" s="4">
        <f>+ModelAFairValue!C95</f>
        <v>33295.679767887967</v>
      </c>
      <c r="E7" s="4">
        <f>+ModelAFairValue!$C$93</f>
        <v>25057.284909800903</v>
      </c>
      <c r="F7" s="4">
        <f>+ModelAFairValue!$C$52</f>
        <v>11761.605141912933</v>
      </c>
      <c r="G7" s="4">
        <f t="shared" ref="G7:G9" si="0">+E7-F7</f>
        <v>13295.67976788797</v>
      </c>
      <c r="H7" s="3">
        <f t="shared" ref="H7:H9" si="1">+G7/F7</f>
        <v>1.1304307199115453</v>
      </c>
    </row>
    <row r="8" spans="3:8" x14ac:dyDescent="0.5">
      <c r="C8" t="s">
        <v>59</v>
      </c>
      <c r="D8" s="4">
        <f>+ModelBStandard!C97</f>
        <v>33258.012445114437</v>
      </c>
      <c r="E8" s="4">
        <f>+ModelBFair!C95</f>
        <v>24976.854044816297</v>
      </c>
      <c r="F8" s="4">
        <f>+ModelBStandard!C53</f>
        <v>11030</v>
      </c>
      <c r="G8" s="33">
        <f t="shared" si="0"/>
        <v>13946.854044816297</v>
      </c>
      <c r="H8" s="34">
        <f t="shared" si="1"/>
        <v>1.2644473295391021</v>
      </c>
    </row>
    <row r="9" spans="3:8" x14ac:dyDescent="0.5">
      <c r="C9" t="s">
        <v>60</v>
      </c>
      <c r="D9" s="4">
        <f>+ModelBFair!C97</f>
        <v>33258.012445114437</v>
      </c>
      <c r="E9" s="4">
        <f>+ModelBFair!C95</f>
        <v>24976.854044816297</v>
      </c>
      <c r="F9" s="4">
        <f>+ModelBFair!C53</f>
        <v>11718.841599701862</v>
      </c>
      <c r="G9" s="4">
        <f t="shared" si="0"/>
        <v>13258.012445114435</v>
      </c>
      <c r="H9" s="3">
        <f t="shared" si="1"/>
        <v>1.1313415521762604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2D25-4671-4428-B8B6-A287673909B6}">
  <sheetPr codeName="Munka1"/>
  <dimension ref="B26:L95"/>
  <sheetViews>
    <sheetView topLeftCell="A81" zoomScale="150" zoomScaleNormal="150" workbookViewId="0">
      <selection activeCell="C95" sqref="C95"/>
    </sheetView>
  </sheetViews>
  <sheetFormatPr defaultRowHeight="15.75" x14ac:dyDescent="0.5"/>
  <cols>
    <col min="1" max="1" width="2.5" customWidth="1"/>
    <col min="2" max="2" width="18.25" bestFit="1" customWidth="1"/>
    <col min="3" max="3" width="9.75" bestFit="1" customWidth="1"/>
    <col min="4" max="6" width="8.75" bestFit="1" customWidth="1"/>
    <col min="7" max="7" width="10.75" bestFit="1" customWidth="1"/>
    <col min="8" max="8" width="12.375" bestFit="1" customWidth="1"/>
    <col min="9" max="9" width="8.75" bestFit="1" customWidth="1"/>
  </cols>
  <sheetData>
    <row r="26" spans="2:12" x14ac:dyDescent="0.5">
      <c r="C26" s="1">
        <v>2025</v>
      </c>
      <c r="D26" s="2">
        <f>+C26+1</f>
        <v>2026</v>
      </c>
      <c r="E26" s="2">
        <f t="shared" ref="E26:H26" si="0">+D26+1</f>
        <v>2027</v>
      </c>
      <c r="F26" s="2">
        <f t="shared" si="0"/>
        <v>2028</v>
      </c>
      <c r="G26" s="2">
        <f t="shared" si="0"/>
        <v>2029</v>
      </c>
      <c r="H26" s="2">
        <f t="shared" si="0"/>
        <v>2030</v>
      </c>
      <c r="I26" s="2" t="s">
        <v>8</v>
      </c>
      <c r="J26" s="2" t="s">
        <v>9</v>
      </c>
    </row>
    <row r="27" spans="2:12" x14ac:dyDescent="0.5">
      <c r="B27" t="s">
        <v>1</v>
      </c>
      <c r="C27" s="6">
        <v>20000</v>
      </c>
      <c r="D27" s="4"/>
      <c r="E27" s="4"/>
      <c r="F27" s="4"/>
      <c r="G27" s="4"/>
      <c r="H27" s="4"/>
      <c r="I27" s="4" t="s">
        <v>25</v>
      </c>
      <c r="J27" s="4"/>
      <c r="K27" s="4"/>
    </row>
    <row r="28" spans="2:12" x14ac:dyDescent="0.5">
      <c r="B28" t="s">
        <v>2</v>
      </c>
      <c r="C28" s="7">
        <v>0.15</v>
      </c>
      <c r="D28" s="3"/>
      <c r="E28" s="3"/>
      <c r="F28" s="3"/>
      <c r="G28" s="3"/>
      <c r="H28" s="3"/>
    </row>
    <row r="29" spans="2:12" x14ac:dyDescent="0.5">
      <c r="B29" t="s">
        <v>3</v>
      </c>
      <c r="C29" s="3"/>
      <c r="D29" s="7">
        <v>0.14000000000000001</v>
      </c>
      <c r="E29" s="7">
        <v>0.13</v>
      </c>
      <c r="F29" s="7">
        <v>0.12</v>
      </c>
      <c r="G29" s="7">
        <v>0.11</v>
      </c>
      <c r="H29" s="7">
        <v>0.1</v>
      </c>
      <c r="I29" s="11">
        <f>+I38</f>
        <v>9.5200000000000007E-2</v>
      </c>
      <c r="J29" s="11">
        <f t="shared" ref="J29:K29" si="1">+J38</f>
        <v>9.5200000000000007E-2</v>
      </c>
      <c r="K29" s="11">
        <f t="shared" si="1"/>
        <v>9.5200000000000007E-2</v>
      </c>
      <c r="L29" s="3"/>
    </row>
    <row r="30" spans="2:12" x14ac:dyDescent="0.5">
      <c r="B30" t="s">
        <v>4</v>
      </c>
      <c r="C30" s="7">
        <v>0.6</v>
      </c>
      <c r="D30" s="7">
        <v>0.6</v>
      </c>
      <c r="E30" s="7">
        <v>0.6</v>
      </c>
      <c r="F30" s="7">
        <v>0.6</v>
      </c>
      <c r="G30" s="7">
        <v>0.6</v>
      </c>
      <c r="H30" s="7">
        <v>0.6</v>
      </c>
      <c r="I30" s="3">
        <f>+J31/J29</f>
        <v>0.63025210084033612</v>
      </c>
      <c r="J30" s="3">
        <f>+K31/K29</f>
        <v>0.63025210084033612</v>
      </c>
      <c r="K30" s="3"/>
      <c r="L30" s="3"/>
    </row>
    <row r="31" spans="2:12" x14ac:dyDescent="0.5">
      <c r="B31" t="s">
        <v>6</v>
      </c>
      <c r="C31" s="3"/>
      <c r="D31" s="9"/>
      <c r="E31" s="9"/>
      <c r="F31" s="9"/>
      <c r="G31" s="9"/>
      <c r="H31" s="9"/>
      <c r="I31" s="9"/>
      <c r="J31" s="7">
        <v>0.06</v>
      </c>
      <c r="K31" s="7">
        <v>0.06</v>
      </c>
    </row>
    <row r="32" spans="2:12" x14ac:dyDescent="0.5">
      <c r="B32" t="s">
        <v>5</v>
      </c>
      <c r="C32" s="5">
        <v>0.1</v>
      </c>
      <c r="D32" s="5">
        <v>0.1</v>
      </c>
      <c r="E32" s="5">
        <v>0.1</v>
      </c>
      <c r="F32" s="5">
        <v>0.1</v>
      </c>
      <c r="G32" s="5">
        <v>0.1</v>
      </c>
      <c r="H32" s="5">
        <v>0.1</v>
      </c>
      <c r="I32" s="5">
        <v>0.1</v>
      </c>
      <c r="J32" s="5">
        <v>0.1</v>
      </c>
      <c r="K32" s="5">
        <v>0.1</v>
      </c>
    </row>
    <row r="33" spans="2:11" x14ac:dyDescent="0.5">
      <c r="B33" t="s">
        <v>22</v>
      </c>
      <c r="C33" s="5">
        <v>0.2</v>
      </c>
      <c r="D33" s="5">
        <v>0.2</v>
      </c>
      <c r="E33" s="5">
        <v>0.2</v>
      </c>
      <c r="F33" s="5">
        <v>0.2</v>
      </c>
      <c r="G33" s="5">
        <v>0.2</v>
      </c>
      <c r="H33" s="5">
        <v>0.2</v>
      </c>
      <c r="I33" s="5">
        <v>0.2</v>
      </c>
      <c r="J33" s="5">
        <v>0.2</v>
      </c>
      <c r="K33" s="5">
        <v>0.2</v>
      </c>
    </row>
    <row r="34" spans="2:11" x14ac:dyDescent="0.5">
      <c r="B34" t="s">
        <v>7</v>
      </c>
      <c r="C34" s="19">
        <f>+C46/C86</f>
        <v>0.24743134591391017</v>
      </c>
      <c r="D34" s="19">
        <f t="shared" ref="D34:G34" si="2">+D46/D86</f>
        <v>0.23160679714429178</v>
      </c>
      <c r="E34" s="19">
        <f t="shared" si="2"/>
        <v>0.1633057944180959</v>
      </c>
      <c r="F34" s="19">
        <f t="shared" si="2"/>
        <v>0.10229262966868988</v>
      </c>
      <c r="G34" s="19">
        <f t="shared" si="2"/>
        <v>4.8022380507682184E-2</v>
      </c>
      <c r="H34" s="7">
        <v>0.4</v>
      </c>
      <c r="I34" s="7">
        <v>0.4</v>
      </c>
      <c r="J34" s="7">
        <v>0.4</v>
      </c>
      <c r="K34" s="7">
        <v>0.4</v>
      </c>
    </row>
    <row r="35" spans="2:11" x14ac:dyDescent="0.5">
      <c r="B35" t="s">
        <v>45</v>
      </c>
      <c r="C35" s="8">
        <f>+C42/C46</f>
        <v>7.7685035862508564E-2</v>
      </c>
      <c r="D35" s="8">
        <f t="shared" ref="D35:G35" si="3">+D42/D46</f>
        <v>7.8286671742405389E-2</v>
      </c>
      <c r="E35" s="8">
        <f t="shared" si="3"/>
        <v>7.8593976384141048E-2</v>
      </c>
      <c r="F35" s="8">
        <f t="shared" si="3"/>
        <v>7.8917801137342772E-2</v>
      </c>
      <c r="G35" s="8">
        <f t="shared" si="3"/>
        <v>7.9259259259259265E-2</v>
      </c>
      <c r="H35" s="5">
        <v>0.06</v>
      </c>
      <c r="I35" s="5">
        <v>0.06</v>
      </c>
      <c r="J35" s="5">
        <v>0.06</v>
      </c>
      <c r="K35" s="5">
        <v>0.06</v>
      </c>
    </row>
    <row r="36" spans="2:11" x14ac:dyDescent="0.5">
      <c r="B36" t="s">
        <v>23</v>
      </c>
      <c r="C36" s="10">
        <v>0.2</v>
      </c>
      <c r="D36" s="10">
        <v>0.2</v>
      </c>
      <c r="E36" s="10">
        <v>0.2</v>
      </c>
      <c r="F36" s="10">
        <v>0.2</v>
      </c>
      <c r="G36" s="10">
        <v>0.2</v>
      </c>
      <c r="H36" s="10">
        <v>0.2</v>
      </c>
      <c r="I36" s="10">
        <v>0.2</v>
      </c>
      <c r="J36" s="10">
        <v>0.2</v>
      </c>
      <c r="K36" s="10">
        <v>0.2</v>
      </c>
    </row>
    <row r="37" spans="2:11" x14ac:dyDescent="0.5">
      <c r="B37" t="s">
        <v>24</v>
      </c>
      <c r="C37" s="3">
        <f>+C58/C57</f>
        <v>0.2</v>
      </c>
      <c r="D37" s="3">
        <f t="shared" ref="D37:K37" si="4">+D58/D57</f>
        <v>0.2</v>
      </c>
      <c r="E37" s="3">
        <f t="shared" si="4"/>
        <v>0.2</v>
      </c>
      <c r="F37" s="3">
        <f t="shared" si="4"/>
        <v>0.2</v>
      </c>
      <c r="G37" s="3">
        <f t="shared" si="4"/>
        <v>0.2</v>
      </c>
      <c r="H37" s="3">
        <f t="shared" si="4"/>
        <v>0.2</v>
      </c>
      <c r="I37" s="3">
        <f t="shared" si="4"/>
        <v>0.2</v>
      </c>
      <c r="J37" s="3">
        <f t="shared" si="4"/>
        <v>0.2</v>
      </c>
      <c r="K37" s="3" t="e">
        <f t="shared" si="4"/>
        <v>#DIV/0!</v>
      </c>
    </row>
    <row r="38" spans="2:11" x14ac:dyDescent="0.5">
      <c r="B38" t="s">
        <v>26</v>
      </c>
      <c r="C38" s="8">
        <f t="shared" ref="C38:G38" si="5">+C32-C35*C34*C36</f>
        <v>9.6155657403833833E-2</v>
      </c>
      <c r="D38" s="8">
        <f t="shared" si="5"/>
        <v>9.6373654939730991E-2</v>
      </c>
      <c r="E38" s="8">
        <f t="shared" si="5"/>
        <v>9.7433029650022165E-2</v>
      </c>
      <c r="F38" s="8">
        <f t="shared" si="5"/>
        <v>9.8385458118798105E-2</v>
      </c>
      <c r="G38" s="8">
        <f t="shared" si="5"/>
        <v>9.9238756338618964E-2</v>
      </c>
      <c r="H38" s="8">
        <f>+H32-H35*H34*H36</f>
        <v>9.5200000000000007E-2</v>
      </c>
      <c r="I38" s="8">
        <f t="shared" ref="I38:K38" si="6">+I32-I35*I34*I36</f>
        <v>9.5200000000000007E-2</v>
      </c>
      <c r="J38" s="8">
        <f t="shared" si="6"/>
        <v>9.5200000000000007E-2</v>
      </c>
      <c r="K38" s="8">
        <f t="shared" si="6"/>
        <v>9.5200000000000007E-2</v>
      </c>
    </row>
    <row r="39" spans="2:11" x14ac:dyDescent="0.5">
      <c r="H39" s="8"/>
      <c r="I39" s="8"/>
      <c r="J39" s="8"/>
      <c r="K39" s="8"/>
    </row>
    <row r="40" spans="2:11" x14ac:dyDescent="0.5">
      <c r="B40" t="s">
        <v>29</v>
      </c>
      <c r="C40" s="4">
        <v>8000</v>
      </c>
      <c r="D40" s="4">
        <v>8000</v>
      </c>
      <c r="E40" s="4">
        <v>6000</v>
      </c>
      <c r="F40" s="4">
        <v>4000</v>
      </c>
      <c r="G40" s="4">
        <v>2000</v>
      </c>
      <c r="H40" s="4">
        <v>0</v>
      </c>
      <c r="I40" s="8"/>
      <c r="J40" s="8"/>
      <c r="K40" s="8"/>
    </row>
    <row r="41" spans="2:11" x14ac:dyDescent="0.5">
      <c r="B41" t="s">
        <v>30</v>
      </c>
      <c r="C41" s="8">
        <v>0.08</v>
      </c>
      <c r="D41" s="8">
        <v>0.08</v>
      </c>
      <c r="E41" s="8">
        <v>0.08</v>
      </c>
      <c r="F41" s="8">
        <v>0.08</v>
      </c>
      <c r="G41" s="8">
        <v>0.08</v>
      </c>
      <c r="H41" s="8">
        <v>0.08</v>
      </c>
      <c r="I41" s="8"/>
      <c r="J41" s="8"/>
      <c r="K41" s="8"/>
    </row>
    <row r="42" spans="2:11" x14ac:dyDescent="0.5">
      <c r="B42" t="s">
        <v>13</v>
      </c>
      <c r="C42" s="4">
        <f>+C40*C41</f>
        <v>640</v>
      </c>
      <c r="D42" s="4">
        <f t="shared" ref="D42:G42" si="7">+D40*D41</f>
        <v>640</v>
      </c>
      <c r="E42" s="4">
        <f t="shared" si="7"/>
        <v>480</v>
      </c>
      <c r="F42" s="4">
        <f t="shared" si="7"/>
        <v>320</v>
      </c>
      <c r="G42" s="4">
        <f t="shared" si="7"/>
        <v>160</v>
      </c>
      <c r="H42" s="8"/>
      <c r="I42" s="8"/>
      <c r="J42" s="8"/>
      <c r="K42" s="8"/>
    </row>
    <row r="43" spans="2:11" x14ac:dyDescent="0.5">
      <c r="B43" t="s">
        <v>31</v>
      </c>
      <c r="C43" s="4">
        <f>+C40-D40</f>
        <v>0</v>
      </c>
      <c r="D43" s="4">
        <f t="shared" ref="D43:G43" si="8">+D40-E40</f>
        <v>2000</v>
      </c>
      <c r="E43" s="4">
        <f t="shared" si="8"/>
        <v>2000</v>
      </c>
      <c r="F43" s="4">
        <f t="shared" si="8"/>
        <v>2000</v>
      </c>
      <c r="G43" s="4">
        <f t="shared" si="8"/>
        <v>2000</v>
      </c>
      <c r="H43" s="8"/>
      <c r="I43" s="8"/>
      <c r="J43" s="8"/>
      <c r="K43" s="8"/>
    </row>
    <row r="44" spans="2:11" x14ac:dyDescent="0.5">
      <c r="B44" s="12" t="s">
        <v>32</v>
      </c>
      <c r="C44" s="13">
        <f>+C42+C43</f>
        <v>640</v>
      </c>
      <c r="D44" s="13">
        <f t="shared" ref="D44:G44" si="9">+D42+D43</f>
        <v>2640</v>
      </c>
      <c r="E44" s="13">
        <f t="shared" si="9"/>
        <v>2480</v>
      </c>
      <c r="F44" s="13">
        <f t="shared" si="9"/>
        <v>2320</v>
      </c>
      <c r="G44" s="13">
        <f t="shared" si="9"/>
        <v>2160</v>
      </c>
      <c r="H44" s="8"/>
      <c r="I44" s="8"/>
      <c r="J44" s="8"/>
      <c r="K44" s="8"/>
    </row>
    <row r="45" spans="2:11" x14ac:dyDescent="0.5">
      <c r="B45" t="s">
        <v>0</v>
      </c>
      <c r="C45" s="8">
        <v>7.0000000000000007E-2</v>
      </c>
      <c r="D45" s="8">
        <v>7.0000000000000007E-2</v>
      </c>
      <c r="E45" s="8">
        <v>7.0000000000000007E-2</v>
      </c>
      <c r="F45" s="8">
        <v>7.0000000000000007E-2</v>
      </c>
      <c r="G45" s="8">
        <v>7.0000000000000007E-2</v>
      </c>
      <c r="H45" s="8">
        <f>+H35</f>
        <v>0.06</v>
      </c>
      <c r="I45" s="8">
        <f t="shared" ref="I45:K45" si="10">+I35</f>
        <v>0.06</v>
      </c>
      <c r="J45" s="8">
        <f t="shared" si="10"/>
        <v>0.06</v>
      </c>
      <c r="K45" s="8">
        <f t="shared" si="10"/>
        <v>0.06</v>
      </c>
    </row>
    <row r="46" spans="2:11" x14ac:dyDescent="0.5">
      <c r="B46" t="s">
        <v>10</v>
      </c>
      <c r="C46" s="4">
        <f t="shared" ref="C46:F46" si="11">+(C44+D46)/(1+C45)</f>
        <v>8238.3948580870674</v>
      </c>
      <c r="D46" s="4">
        <f t="shared" si="11"/>
        <v>8175.0824981531623</v>
      </c>
      <c r="E46" s="4">
        <f t="shared" si="11"/>
        <v>6107.3382730238854</v>
      </c>
      <c r="F46" s="4">
        <f t="shared" si="11"/>
        <v>4054.851952135557</v>
      </c>
      <c r="G46" s="4">
        <f>+(G44+H46)/(1+G45)</f>
        <v>2018.6915887850466</v>
      </c>
      <c r="H46" s="14">
        <v>0</v>
      </c>
      <c r="I46" s="8"/>
      <c r="J46" s="8"/>
      <c r="K46" s="8"/>
    </row>
    <row r="47" spans="2:11" x14ac:dyDescent="0.5">
      <c r="C47" s="8"/>
      <c r="D47" s="8"/>
      <c r="E47" s="8"/>
      <c r="F47" s="8"/>
      <c r="G47" s="8"/>
      <c r="H47" s="8"/>
      <c r="I47" s="8"/>
      <c r="J47" s="8"/>
      <c r="K47" s="8"/>
    </row>
    <row r="48" spans="2:11" x14ac:dyDescent="0.5">
      <c r="C48" s="4"/>
      <c r="D48" s="4"/>
      <c r="E48" s="4"/>
      <c r="F48" s="4"/>
      <c r="G48" s="4"/>
      <c r="H48" s="8"/>
      <c r="I48" s="8"/>
      <c r="J48" s="8"/>
      <c r="K48" s="8"/>
    </row>
    <row r="50" spans="2:10" x14ac:dyDescent="0.5">
      <c r="B50" t="str">
        <f>+B27</f>
        <v>IC boy</v>
      </c>
      <c r="C50" s="4">
        <f>+C27</f>
        <v>20000</v>
      </c>
      <c r="D50" s="4">
        <f>+C50+C67</f>
        <v>21800</v>
      </c>
      <c r="E50" s="4">
        <f t="shared" ref="E50:J50" si="12">+D50+D67</f>
        <v>23751.200000000001</v>
      </c>
      <c r="F50" s="4">
        <f t="shared" si="12"/>
        <v>25854.5936</v>
      </c>
      <c r="G50" s="4">
        <f t="shared" si="12"/>
        <v>28109.431539199999</v>
      </c>
      <c r="H50" s="4">
        <f t="shared" si="12"/>
        <v>30513.0887823872</v>
      </c>
      <c r="I50" s="4">
        <f t="shared" si="12"/>
        <v>33060.965460165629</v>
      </c>
      <c r="J50" s="4">
        <f t="shared" si="12"/>
        <v>35890.179108918921</v>
      </c>
    </row>
    <row r="51" spans="2:10" x14ac:dyDescent="0.5">
      <c r="B51" s="15" t="s">
        <v>27</v>
      </c>
      <c r="C51" s="16">
        <f>+C40</f>
        <v>8000</v>
      </c>
      <c r="D51" s="16">
        <f t="shared" ref="D51:G51" si="13">+D40</f>
        <v>8000</v>
      </c>
      <c r="E51" s="16">
        <f t="shared" si="13"/>
        <v>6000</v>
      </c>
      <c r="F51" s="16">
        <f t="shared" si="13"/>
        <v>4000</v>
      </c>
      <c r="G51" s="16">
        <f t="shared" si="13"/>
        <v>2000</v>
      </c>
      <c r="H51" s="4">
        <f>+H34*H80</f>
        <v>17842.273653910586</v>
      </c>
      <c r="I51" s="4">
        <f t="shared" ref="I51:J51" si="14">+I34*I80</f>
        <v>18861.424325021959</v>
      </c>
      <c r="J51" s="4">
        <f t="shared" si="14"/>
        <v>19993.109784523276</v>
      </c>
    </row>
    <row r="52" spans="2:10" x14ac:dyDescent="0.5">
      <c r="B52" t="s">
        <v>28</v>
      </c>
      <c r="C52" s="4">
        <f>+C50-C51</f>
        <v>12000</v>
      </c>
      <c r="D52" s="4">
        <f t="shared" ref="D52:G52" si="15">+D50-D51</f>
        <v>13800</v>
      </c>
      <c r="E52" s="4">
        <f t="shared" si="15"/>
        <v>17751.2</v>
      </c>
      <c r="F52" s="4">
        <f t="shared" si="15"/>
        <v>21854.5936</v>
      </c>
      <c r="G52" s="4">
        <f t="shared" si="15"/>
        <v>26109.431539199999</v>
      </c>
      <c r="H52" s="4">
        <f t="shared" ref="H52" si="16">+H50-H51</f>
        <v>12670.815128476614</v>
      </c>
      <c r="I52" s="4">
        <f t="shared" ref="I52" si="17">+I50-I51</f>
        <v>14199.541135143671</v>
      </c>
      <c r="J52" s="4">
        <f t="shared" ref="J52" si="18">+J50-J51</f>
        <v>15897.069324395645</v>
      </c>
    </row>
    <row r="55" spans="2:10" x14ac:dyDescent="0.5">
      <c r="B55" t="s">
        <v>12</v>
      </c>
      <c r="C55" s="4">
        <f>+C66/(1-C36)</f>
        <v>3750</v>
      </c>
      <c r="D55" s="4">
        <f t="shared" ref="D55:J55" si="19">+D66/(1-D36)</f>
        <v>4065</v>
      </c>
      <c r="E55" s="4">
        <f t="shared" si="19"/>
        <v>4382.07</v>
      </c>
      <c r="F55" s="4">
        <f t="shared" si="19"/>
        <v>4697.5790399999996</v>
      </c>
      <c r="G55" s="4">
        <f t="shared" si="19"/>
        <v>5007.6192566399995</v>
      </c>
      <c r="H55" s="4">
        <f t="shared" si="19"/>
        <v>5308.0764120384001</v>
      </c>
      <c r="I55" s="4">
        <f t="shared" si="19"/>
        <v>5611.2737366940337</v>
      </c>
      <c r="J55" s="4">
        <f t="shared" si="19"/>
        <v>5947.9501608956753</v>
      </c>
    </row>
    <row r="56" spans="2:10" x14ac:dyDescent="0.5">
      <c r="B56" t="s">
        <v>13</v>
      </c>
      <c r="C56" s="4">
        <f>+C42</f>
        <v>640</v>
      </c>
      <c r="D56" s="4">
        <f t="shared" ref="D56:G56" si="20">+D42</f>
        <v>640</v>
      </c>
      <c r="E56" s="4">
        <f t="shared" si="20"/>
        <v>480</v>
      </c>
      <c r="F56" s="4">
        <f t="shared" si="20"/>
        <v>320</v>
      </c>
      <c r="G56" s="4">
        <f t="shared" si="20"/>
        <v>160</v>
      </c>
      <c r="H56" s="4">
        <f>+H51*H35</f>
        <v>1070.5364192346351</v>
      </c>
      <c r="I56" s="4">
        <f t="shared" ref="I56:J56" si="21">+I51*I35</f>
        <v>1131.6854595013174</v>
      </c>
      <c r="J56" s="4">
        <f t="shared" si="21"/>
        <v>1199.5865870713965</v>
      </c>
    </row>
    <row r="57" spans="2:10" x14ac:dyDescent="0.5">
      <c r="B57" t="s">
        <v>14</v>
      </c>
      <c r="C57" s="4">
        <f>+C55-C56</f>
        <v>3110</v>
      </c>
      <c r="D57" s="4">
        <f t="shared" ref="D57:J57" si="22">+D55-D56</f>
        <v>3425</v>
      </c>
      <c r="E57" s="4">
        <f t="shared" si="22"/>
        <v>3902.0699999999997</v>
      </c>
      <c r="F57" s="4">
        <f t="shared" si="22"/>
        <v>4377.5790399999996</v>
      </c>
      <c r="G57" s="4">
        <f t="shared" si="22"/>
        <v>4847.6192566399995</v>
      </c>
      <c r="H57" s="4">
        <f t="shared" si="22"/>
        <v>4237.539992803765</v>
      </c>
      <c r="I57" s="4">
        <f t="shared" si="22"/>
        <v>4479.5882771927163</v>
      </c>
      <c r="J57" s="4">
        <f t="shared" si="22"/>
        <v>4748.3635738242792</v>
      </c>
    </row>
    <row r="58" spans="2:10" x14ac:dyDescent="0.5">
      <c r="B58" t="s">
        <v>15</v>
      </c>
      <c r="C58" s="4">
        <f>+IF(C57&lt;0,0,C57*C33)</f>
        <v>622</v>
      </c>
      <c r="D58" s="4">
        <f t="shared" ref="D58:J58" si="23">+IF(D57&lt;0,0,D57*D33)</f>
        <v>685</v>
      </c>
      <c r="E58" s="4">
        <f t="shared" si="23"/>
        <v>780.41399999999999</v>
      </c>
      <c r="F58" s="4">
        <f t="shared" si="23"/>
        <v>875.51580799999999</v>
      </c>
      <c r="G58" s="4">
        <f t="shared" si="23"/>
        <v>969.52385132799998</v>
      </c>
      <c r="H58" s="4">
        <f t="shared" si="23"/>
        <v>847.50799856075309</v>
      </c>
      <c r="I58" s="4">
        <f t="shared" si="23"/>
        <v>895.91765543854331</v>
      </c>
      <c r="J58" s="4">
        <f t="shared" si="23"/>
        <v>949.67271476485587</v>
      </c>
    </row>
    <row r="59" spans="2:10" x14ac:dyDescent="0.5">
      <c r="B59" t="s">
        <v>16</v>
      </c>
      <c r="C59" s="4">
        <f>+C57-C58</f>
        <v>2488</v>
      </c>
      <c r="D59" s="4">
        <f t="shared" ref="D59:J59" si="24">+D57-D58</f>
        <v>2740</v>
      </c>
      <c r="E59" s="4">
        <f t="shared" si="24"/>
        <v>3121.6559999999999</v>
      </c>
      <c r="F59" s="4">
        <f t="shared" si="24"/>
        <v>3502.0632319999995</v>
      </c>
      <c r="G59" s="4">
        <f t="shared" si="24"/>
        <v>3878.0954053119995</v>
      </c>
      <c r="H59" s="4">
        <f t="shared" si="24"/>
        <v>3390.0319942430119</v>
      </c>
      <c r="I59" s="4">
        <f t="shared" si="24"/>
        <v>3583.6706217541732</v>
      </c>
      <c r="J59" s="4">
        <f t="shared" si="24"/>
        <v>3798.6908590594235</v>
      </c>
    </row>
    <row r="60" spans="2:10" x14ac:dyDescent="0.5">
      <c r="B60" t="s">
        <v>17</v>
      </c>
      <c r="C60" s="4">
        <f>+C59-C61</f>
        <v>688</v>
      </c>
      <c r="D60" s="4">
        <f t="shared" ref="D60:J60" si="25">+D59-D61</f>
        <v>0</v>
      </c>
      <c r="E60" s="4">
        <f t="shared" si="25"/>
        <v>0</v>
      </c>
      <c r="F60" s="4">
        <f t="shared" si="25"/>
        <v>0</v>
      </c>
      <c r="G60" s="4">
        <f t="shared" si="25"/>
        <v>3878.0954053119995</v>
      </c>
      <c r="H60" s="4">
        <f t="shared" si="25"/>
        <v>1861.305987575955</v>
      </c>
      <c r="I60" s="4">
        <f t="shared" si="25"/>
        <v>1886.142432502199</v>
      </c>
      <c r="J60" s="4">
        <f t="shared" si="25"/>
        <v>0</v>
      </c>
    </row>
    <row r="61" spans="2:10" x14ac:dyDescent="0.5">
      <c r="B61" t="s">
        <v>18</v>
      </c>
      <c r="C61" s="4">
        <f>+IF(C59&lt;0,C59,MAX(0,MIN(C59,C63)))</f>
        <v>1800</v>
      </c>
      <c r="D61" s="4">
        <f t="shared" ref="D61:J61" si="26">+IF(D59&lt;0,D59,MAX(0,MIN(D59,D63)))</f>
        <v>2740</v>
      </c>
      <c r="E61" s="4">
        <f t="shared" si="26"/>
        <v>3121.6559999999999</v>
      </c>
      <c r="F61" s="4">
        <f t="shared" si="26"/>
        <v>3502.0632319999995</v>
      </c>
      <c r="G61" s="4">
        <f t="shared" si="26"/>
        <v>0</v>
      </c>
      <c r="H61" s="4">
        <f t="shared" si="26"/>
        <v>1528.7260066670569</v>
      </c>
      <c r="I61" s="4">
        <f t="shared" si="26"/>
        <v>1697.5281892519743</v>
      </c>
      <c r="J61" s="4">
        <f t="shared" si="26"/>
        <v>3798.6908590594235</v>
      </c>
    </row>
    <row r="63" spans="2:10" x14ac:dyDescent="0.5">
      <c r="B63" t="s">
        <v>36</v>
      </c>
      <c r="C63" s="4">
        <f>+D52-C52</f>
        <v>1800</v>
      </c>
      <c r="D63" s="4">
        <f t="shared" ref="D63:I63" si="27">+E52-D52</f>
        <v>3951.2000000000007</v>
      </c>
      <c r="E63" s="4">
        <f t="shared" si="27"/>
        <v>4103.3935999999994</v>
      </c>
      <c r="F63" s="4">
        <f t="shared" si="27"/>
        <v>4254.8379391999988</v>
      </c>
      <c r="G63" s="4">
        <f t="shared" si="27"/>
        <v>-13438.616410723385</v>
      </c>
      <c r="H63" s="4">
        <f t="shared" si="27"/>
        <v>1528.7260066670569</v>
      </c>
      <c r="I63" s="4">
        <f t="shared" si="27"/>
        <v>1697.5281892519743</v>
      </c>
    </row>
    <row r="64" spans="2:10" x14ac:dyDescent="0.5">
      <c r="B64" t="s">
        <v>37</v>
      </c>
      <c r="C64" s="4">
        <f>+C63-C61</f>
        <v>0</v>
      </c>
      <c r="D64" s="4">
        <f t="shared" ref="D64:I64" si="28">+D63-D61</f>
        <v>1211.2000000000007</v>
      </c>
      <c r="E64" s="4">
        <f t="shared" si="28"/>
        <v>981.73759999999947</v>
      </c>
      <c r="F64" s="4">
        <f t="shared" si="28"/>
        <v>752.77470719999928</v>
      </c>
      <c r="G64" s="4">
        <f t="shared" si="28"/>
        <v>-13438.616410723385</v>
      </c>
      <c r="H64" s="4">
        <f t="shared" si="28"/>
        <v>0</v>
      </c>
      <c r="I64" s="4">
        <f t="shared" si="28"/>
        <v>0</v>
      </c>
    </row>
    <row r="66" spans="2:10" x14ac:dyDescent="0.5">
      <c r="B66" t="s">
        <v>19</v>
      </c>
      <c r="C66" s="4">
        <f>+C50*C28</f>
        <v>3000</v>
      </c>
      <c r="D66" s="4">
        <f>+C66+C67*D29</f>
        <v>3252</v>
      </c>
      <c r="E66" s="4">
        <f t="shared" ref="E66:J66" si="29">+D66+D67*E29</f>
        <v>3505.6559999999999</v>
      </c>
      <c r="F66" s="4">
        <f t="shared" si="29"/>
        <v>3758.063232</v>
      </c>
      <c r="G66" s="4">
        <f t="shared" si="29"/>
        <v>4006.0954053119999</v>
      </c>
      <c r="H66" s="4">
        <f t="shared" si="29"/>
        <v>4246.4611296307203</v>
      </c>
      <c r="I66" s="4">
        <f t="shared" si="29"/>
        <v>4489.0189893552269</v>
      </c>
      <c r="J66" s="4">
        <f t="shared" si="29"/>
        <v>4758.3601287165402</v>
      </c>
    </row>
    <row r="67" spans="2:10" x14ac:dyDescent="0.5">
      <c r="B67" t="s">
        <v>20</v>
      </c>
      <c r="C67" s="4">
        <f>+C66*C30</f>
        <v>1800</v>
      </c>
      <c r="D67" s="4">
        <f t="shared" ref="D67:J67" si="30">+D66*D30</f>
        <v>1951.1999999999998</v>
      </c>
      <c r="E67" s="4">
        <f t="shared" si="30"/>
        <v>2103.3935999999999</v>
      </c>
      <c r="F67" s="4">
        <f t="shared" si="30"/>
        <v>2254.8379391999997</v>
      </c>
      <c r="G67" s="4">
        <f t="shared" si="30"/>
        <v>2403.6572431872</v>
      </c>
      <c r="H67" s="4">
        <f t="shared" si="30"/>
        <v>2547.8766777784322</v>
      </c>
      <c r="I67" s="4">
        <f t="shared" si="30"/>
        <v>2829.2136487532944</v>
      </c>
      <c r="J67" s="4">
        <f t="shared" si="30"/>
        <v>2998.9664676784914</v>
      </c>
    </row>
    <row r="68" spans="2:10" x14ac:dyDescent="0.5">
      <c r="B68" t="s">
        <v>21</v>
      </c>
      <c r="C68" s="4">
        <f>+C66-C67</f>
        <v>1200</v>
      </c>
      <c r="D68" s="4">
        <f t="shared" ref="D68:J68" si="31">+D66-D67</f>
        <v>1300.8000000000002</v>
      </c>
      <c r="E68" s="4">
        <f t="shared" si="31"/>
        <v>1402.2624000000001</v>
      </c>
      <c r="F68" s="4">
        <f t="shared" si="31"/>
        <v>1503.2252928000003</v>
      </c>
      <c r="G68" s="4">
        <f t="shared" si="31"/>
        <v>1602.4381621247999</v>
      </c>
      <c r="H68" s="4">
        <f t="shared" si="31"/>
        <v>1698.5844518522881</v>
      </c>
      <c r="I68" s="4">
        <f t="shared" si="31"/>
        <v>1659.8053406019326</v>
      </c>
      <c r="J68" s="4">
        <f t="shared" si="31"/>
        <v>1759.3936610380488</v>
      </c>
    </row>
    <row r="69" spans="2:10" x14ac:dyDescent="0.5">
      <c r="B69" s="4" t="str">
        <f>+B56</f>
        <v>Interest payment</v>
      </c>
      <c r="C69" s="4">
        <f t="shared" ref="C69:I69" si="32">+C56</f>
        <v>640</v>
      </c>
      <c r="D69" s="4">
        <f t="shared" si="32"/>
        <v>640</v>
      </c>
      <c r="E69" s="4">
        <f t="shared" si="32"/>
        <v>480</v>
      </c>
      <c r="F69" s="4">
        <f t="shared" si="32"/>
        <v>320</v>
      </c>
      <c r="G69" s="4">
        <f t="shared" si="32"/>
        <v>160</v>
      </c>
      <c r="H69" s="4">
        <f t="shared" si="32"/>
        <v>1070.5364192346351</v>
      </c>
      <c r="I69" s="4">
        <f t="shared" si="32"/>
        <v>1131.6854595013174</v>
      </c>
      <c r="J69" s="4"/>
    </row>
    <row r="70" spans="2:10" x14ac:dyDescent="0.5">
      <c r="B70" t="s">
        <v>38</v>
      </c>
      <c r="C70" s="4">
        <f>+C69*C36</f>
        <v>128</v>
      </c>
      <c r="D70" s="4">
        <f t="shared" ref="D70:I70" si="33">+D69*D36</f>
        <v>128</v>
      </c>
      <c r="E70" s="4">
        <f t="shared" si="33"/>
        <v>96</v>
      </c>
      <c r="F70" s="4">
        <f t="shared" si="33"/>
        <v>64</v>
      </c>
      <c r="G70" s="4">
        <f t="shared" si="33"/>
        <v>32</v>
      </c>
      <c r="H70" s="4">
        <f t="shared" si="33"/>
        <v>214.10728384692703</v>
      </c>
      <c r="I70" s="4">
        <f t="shared" si="33"/>
        <v>226.33709190026349</v>
      </c>
      <c r="J70" s="4"/>
    </row>
    <row r="71" spans="2:10" x14ac:dyDescent="0.5">
      <c r="B71" t="s">
        <v>39</v>
      </c>
      <c r="C71" s="4">
        <f>+D51-C51</f>
        <v>0</v>
      </c>
      <c r="D71" s="4">
        <f t="shared" ref="D71:I71" si="34">+E51-D51</f>
        <v>-2000</v>
      </c>
      <c r="E71" s="4">
        <f t="shared" si="34"/>
        <v>-2000</v>
      </c>
      <c r="F71" s="4">
        <f t="shared" si="34"/>
        <v>-2000</v>
      </c>
      <c r="G71" s="4">
        <f t="shared" si="34"/>
        <v>15842.273653910586</v>
      </c>
      <c r="H71" s="4">
        <f t="shared" si="34"/>
        <v>1019.1506711113725</v>
      </c>
      <c r="I71" s="4">
        <f t="shared" si="34"/>
        <v>1131.6854595013174</v>
      </c>
      <c r="J71" s="4"/>
    </row>
    <row r="72" spans="2:10" x14ac:dyDescent="0.5">
      <c r="B72" t="s">
        <v>40</v>
      </c>
      <c r="C72" s="4">
        <f>+C68-C69+C70+C71</f>
        <v>688</v>
      </c>
      <c r="D72" s="4">
        <f t="shared" ref="D72:I72" si="35">+D68-D69+D70+D71</f>
        <v>-1211.1999999999998</v>
      </c>
      <c r="E72" s="4">
        <f t="shared" si="35"/>
        <v>-981.73759999999993</v>
      </c>
      <c r="F72" s="4">
        <f t="shared" si="35"/>
        <v>-752.77470719999974</v>
      </c>
      <c r="G72" s="4">
        <f t="shared" si="35"/>
        <v>17316.711816035386</v>
      </c>
      <c r="H72" s="4">
        <f t="shared" si="35"/>
        <v>1861.3059875759525</v>
      </c>
      <c r="I72" s="4">
        <f t="shared" si="35"/>
        <v>1886.142432502196</v>
      </c>
      <c r="J72" s="4"/>
    </row>
    <row r="73" spans="2:10" x14ac:dyDescent="0.5">
      <c r="B73" t="str">
        <f>+B60</f>
        <v>Dividend</v>
      </c>
      <c r="C73" s="4">
        <f>+C60</f>
        <v>688</v>
      </c>
      <c r="D73" s="4">
        <f t="shared" ref="D73:I73" si="36">+D60</f>
        <v>0</v>
      </c>
      <c r="E73" s="4">
        <f t="shared" si="36"/>
        <v>0</v>
      </c>
      <c r="F73" s="4">
        <f t="shared" si="36"/>
        <v>0</v>
      </c>
      <c r="G73" s="4">
        <f t="shared" si="36"/>
        <v>3878.0954053119995</v>
      </c>
      <c r="H73" s="4">
        <f t="shared" si="36"/>
        <v>1861.305987575955</v>
      </c>
      <c r="I73" s="4">
        <f t="shared" si="36"/>
        <v>1886.142432502199</v>
      </c>
    </row>
    <row r="74" spans="2:10" x14ac:dyDescent="0.5">
      <c r="B74" t="s">
        <v>41</v>
      </c>
      <c r="C74" s="4">
        <f>+D52-C52-C61</f>
        <v>0</v>
      </c>
      <c r="D74" s="4">
        <f t="shared" ref="D74:I74" si="37">+E52-D52-D61</f>
        <v>1211.2000000000007</v>
      </c>
      <c r="E74" s="4">
        <f t="shared" si="37"/>
        <v>981.73759999999947</v>
      </c>
      <c r="F74" s="4">
        <f t="shared" si="37"/>
        <v>752.77470719999928</v>
      </c>
      <c r="G74" s="4">
        <f t="shared" si="37"/>
        <v>-13438.616410723385</v>
      </c>
      <c r="H74" s="4">
        <f t="shared" si="37"/>
        <v>0</v>
      </c>
      <c r="I74" s="4">
        <f t="shared" si="37"/>
        <v>0</v>
      </c>
    </row>
    <row r="75" spans="2:10" x14ac:dyDescent="0.5">
      <c r="B75" t="s">
        <v>42</v>
      </c>
      <c r="C75" s="4">
        <f>+C72-C73+C74</f>
        <v>0</v>
      </c>
      <c r="D75" s="4">
        <f t="shared" ref="D75:I75" si="38">+D72-D73+D74</f>
        <v>0</v>
      </c>
      <c r="E75" s="4">
        <f t="shared" si="38"/>
        <v>0</v>
      </c>
      <c r="F75" s="4">
        <f t="shared" si="38"/>
        <v>0</v>
      </c>
      <c r="G75" s="4">
        <f t="shared" si="38"/>
        <v>0</v>
      </c>
      <c r="H75" s="4">
        <f t="shared" si="38"/>
        <v>-2.5011104298755527E-12</v>
      </c>
      <c r="I75" s="4">
        <f t="shared" si="38"/>
        <v>-2.9558577807620168E-12</v>
      </c>
    </row>
    <row r="77" spans="2:10" x14ac:dyDescent="0.5">
      <c r="B77" t="s">
        <v>33</v>
      </c>
    </row>
    <row r="78" spans="2:10" x14ac:dyDescent="0.5">
      <c r="B78" s="4" t="str">
        <f>+B68</f>
        <v>FCFF</v>
      </c>
      <c r="C78" s="4">
        <f t="shared" ref="C78:J78" si="39">+C68</f>
        <v>1200</v>
      </c>
      <c r="D78" s="4">
        <f t="shared" si="39"/>
        <v>1300.8000000000002</v>
      </c>
      <c r="E78" s="4">
        <f t="shared" si="39"/>
        <v>1402.2624000000001</v>
      </c>
      <c r="F78" s="4">
        <f t="shared" si="39"/>
        <v>1503.2252928000003</v>
      </c>
      <c r="G78" s="4">
        <f t="shared" si="39"/>
        <v>1602.4381621247999</v>
      </c>
      <c r="H78" s="4">
        <f t="shared" si="39"/>
        <v>1698.5844518522881</v>
      </c>
      <c r="I78" s="4">
        <f t="shared" si="39"/>
        <v>1659.8053406019326</v>
      </c>
      <c r="J78" s="4">
        <f t="shared" si="39"/>
        <v>1759.3936610380488</v>
      </c>
    </row>
    <row r="79" spans="2:10" x14ac:dyDescent="0.5">
      <c r="B79" s="3" t="str">
        <f>+B38</f>
        <v>WACC</v>
      </c>
      <c r="C79" s="3">
        <f t="shared" ref="C79:J79" si="40">+C38</f>
        <v>9.6155657403833833E-2</v>
      </c>
      <c r="D79" s="3">
        <f t="shared" si="40"/>
        <v>9.6373654939730991E-2</v>
      </c>
      <c r="E79" s="3">
        <f t="shared" si="40"/>
        <v>9.7433029650022165E-2</v>
      </c>
      <c r="F79" s="3">
        <f t="shared" si="40"/>
        <v>9.8385458118798105E-2</v>
      </c>
      <c r="G79" s="3">
        <f t="shared" si="40"/>
        <v>9.9238756338618964E-2</v>
      </c>
      <c r="H79" s="3">
        <f t="shared" si="40"/>
        <v>9.5200000000000007E-2</v>
      </c>
      <c r="I79" s="3">
        <f t="shared" si="40"/>
        <v>9.5200000000000007E-2</v>
      </c>
      <c r="J79" s="3">
        <f t="shared" si="40"/>
        <v>9.5200000000000007E-2</v>
      </c>
    </row>
    <row r="80" spans="2:10" x14ac:dyDescent="0.5">
      <c r="B80" s="17" t="s">
        <v>35</v>
      </c>
      <c r="C80" s="18">
        <f t="shared" ref="C80:G80" si="41">+(C78+D80)/(1+C79)</f>
        <v>33295.679767887981</v>
      </c>
      <c r="D80" s="18">
        <f t="shared" si="41"/>
        <v>35297.247744676781</v>
      </c>
      <c r="E80" s="18">
        <f t="shared" si="41"/>
        <v>37398.172519144457</v>
      </c>
      <c r="F80" s="18">
        <f t="shared" si="41"/>
        <v>39639.7273710589</v>
      </c>
      <c r="G80" s="18">
        <f t="shared" si="41"/>
        <v>42036.474815364789</v>
      </c>
      <c r="H80" s="18">
        <f>+(H78+I80)/(1+H79)</f>
        <v>44605.684134776464</v>
      </c>
      <c r="I80" s="18">
        <f>+(I78+J80)/(1+I79)</f>
        <v>47153.560812554897</v>
      </c>
      <c r="J80" s="4">
        <f>+J78/(J79-K31)</f>
        <v>49982.774461308189</v>
      </c>
    </row>
    <row r="83" spans="2:10" x14ac:dyDescent="0.5">
      <c r="B83" t="s">
        <v>43</v>
      </c>
    </row>
    <row r="84" spans="2:10" x14ac:dyDescent="0.5">
      <c r="B84" t="s">
        <v>44</v>
      </c>
      <c r="C84" s="4">
        <f>+C68+C70</f>
        <v>1328</v>
      </c>
      <c r="D84" s="4">
        <f t="shared" ref="D84:I84" si="42">+D68+D70</f>
        <v>1428.8000000000002</v>
      </c>
      <c r="E84" s="4">
        <f t="shared" si="42"/>
        <v>1498.2624000000001</v>
      </c>
      <c r="F84" s="4">
        <f t="shared" si="42"/>
        <v>1567.2252928000003</v>
      </c>
      <c r="G84" s="4">
        <f t="shared" si="42"/>
        <v>1634.4381621247999</v>
      </c>
      <c r="H84" s="4">
        <f t="shared" si="42"/>
        <v>1912.6917356992151</v>
      </c>
      <c r="I84" s="4">
        <f t="shared" si="42"/>
        <v>1886.142432502196</v>
      </c>
      <c r="J84" s="4"/>
    </row>
    <row r="85" spans="2:10" x14ac:dyDescent="0.5">
      <c r="B85" s="3" t="str">
        <f>+B32</f>
        <v>rA</v>
      </c>
      <c r="C85" s="3">
        <f t="shared" ref="C85:I85" si="43">+C32</f>
        <v>0.1</v>
      </c>
      <c r="D85" s="3">
        <f t="shared" si="43"/>
        <v>0.1</v>
      </c>
      <c r="E85" s="3">
        <f t="shared" si="43"/>
        <v>0.1</v>
      </c>
      <c r="F85" s="3">
        <f t="shared" si="43"/>
        <v>0.1</v>
      </c>
      <c r="G85" s="3">
        <f t="shared" si="43"/>
        <v>0.1</v>
      </c>
      <c r="H85" s="3">
        <f t="shared" si="43"/>
        <v>0.1</v>
      </c>
      <c r="I85" s="3">
        <f t="shared" si="43"/>
        <v>0.1</v>
      </c>
      <c r="J85" s="3"/>
    </row>
    <row r="86" spans="2:10" x14ac:dyDescent="0.5">
      <c r="B86" s="17" t="s">
        <v>34</v>
      </c>
      <c r="C86" s="18">
        <f t="shared" ref="C86:G86" si="44">+(C84+D86)/(1+C85)</f>
        <v>33295.679767887967</v>
      </c>
      <c r="D86" s="18">
        <f t="shared" si="44"/>
        <v>35297.247744676766</v>
      </c>
      <c r="E86" s="18">
        <f t="shared" si="44"/>
        <v>37398.172519144442</v>
      </c>
      <c r="F86" s="18">
        <f t="shared" si="44"/>
        <v>39639.727371058892</v>
      </c>
      <c r="G86" s="18">
        <f t="shared" si="44"/>
        <v>42036.474815364782</v>
      </c>
      <c r="H86" s="18">
        <f>+(H84+I86)/(1+H85)</f>
        <v>44605.684134776457</v>
      </c>
      <c r="I86" s="18">
        <f>+I84/(I85-J31)</f>
        <v>47153.56081255489</v>
      </c>
    </row>
    <row r="90" spans="2:10" x14ac:dyDescent="0.5">
      <c r="B90" t="s">
        <v>46</v>
      </c>
    </row>
    <row r="91" spans="2:10" x14ac:dyDescent="0.5">
      <c r="B91" s="4" t="str">
        <f>+B72</f>
        <v>FCFE</v>
      </c>
      <c r="C91" s="4">
        <f t="shared" ref="C91:I91" si="45">+C72</f>
        <v>688</v>
      </c>
      <c r="D91" s="4">
        <f t="shared" si="45"/>
        <v>-1211.1999999999998</v>
      </c>
      <c r="E91" s="4">
        <f t="shared" si="45"/>
        <v>-981.73759999999993</v>
      </c>
      <c r="F91" s="4">
        <f t="shared" si="45"/>
        <v>-752.77470719999974</v>
      </c>
      <c r="G91" s="4">
        <f t="shared" si="45"/>
        <v>17316.711816035386</v>
      </c>
      <c r="H91" s="4">
        <f t="shared" si="45"/>
        <v>1861.3059875759525</v>
      </c>
      <c r="I91" s="4">
        <f t="shared" si="45"/>
        <v>1886.142432502196</v>
      </c>
    </row>
    <row r="92" spans="2:10" x14ac:dyDescent="0.5">
      <c r="B92" t="s">
        <v>47</v>
      </c>
      <c r="C92" s="3">
        <f>+(C32-C34*C45)/(1-C34)</f>
        <v>0.10986347270393773</v>
      </c>
      <c r="D92" s="3">
        <f t="shared" ref="D92:I92" si="46">+(D32-D34*D45)/(1-D34)</f>
        <v>0.10904251090262898</v>
      </c>
      <c r="E92" s="3">
        <f t="shared" si="46"/>
        <v>0.10585539352353421</v>
      </c>
      <c r="F92" s="3">
        <f t="shared" si="46"/>
        <v>0.10341846239819567</v>
      </c>
      <c r="G92" s="3">
        <f t="shared" si="46"/>
        <v>0.10151334588726861</v>
      </c>
      <c r="H92" s="3">
        <f>+(H32-H34*H45)/(1-H34)</f>
        <v>0.12666666666666671</v>
      </c>
      <c r="I92" s="3">
        <f t="shared" si="46"/>
        <v>0.12666666666666671</v>
      </c>
    </row>
    <row r="93" spans="2:10" x14ac:dyDescent="0.5">
      <c r="B93" t="s">
        <v>11</v>
      </c>
      <c r="C93" s="4">
        <f t="shared" ref="C93:G93" si="47">+(C91+D93)/(1+C92)</f>
        <v>25057.284909800899</v>
      </c>
      <c r="D93" s="4">
        <f t="shared" si="47"/>
        <v>27122.165246523604</v>
      </c>
      <c r="E93" s="4">
        <f t="shared" si="47"/>
        <v>31290.834246120558</v>
      </c>
      <c r="F93" s="4">
        <f t="shared" si="47"/>
        <v>35584.87541892333</v>
      </c>
      <c r="G93" s="4">
        <f t="shared" si="47"/>
        <v>40017.783226579733</v>
      </c>
      <c r="H93" s="4">
        <f>+(H91+I93)/(1+H92)</f>
        <v>26763.410480865867</v>
      </c>
      <c r="I93" s="4">
        <f>+I91/(I92-J31)</f>
        <v>28292.136487532924</v>
      </c>
    </row>
    <row r="94" spans="2:10" x14ac:dyDescent="0.5">
      <c r="B94" s="4" t="str">
        <f>+B46</f>
        <v>D boy</v>
      </c>
      <c r="C94" s="4">
        <f t="shared" ref="C94:G94" si="48">+C46</f>
        <v>8238.3948580870674</v>
      </c>
      <c r="D94" s="4">
        <f t="shared" si="48"/>
        <v>8175.0824981531623</v>
      </c>
      <c r="E94" s="4">
        <f t="shared" si="48"/>
        <v>6107.3382730238854</v>
      </c>
      <c r="F94" s="4">
        <f t="shared" si="48"/>
        <v>4054.851952135557</v>
      </c>
      <c r="G94" s="4">
        <f t="shared" si="48"/>
        <v>2018.6915887850466</v>
      </c>
      <c r="H94" s="20">
        <f>+H51</f>
        <v>17842.273653910586</v>
      </c>
      <c r="I94" s="20">
        <f>+I51</f>
        <v>18861.424325021959</v>
      </c>
      <c r="J94" t="s">
        <v>48</v>
      </c>
    </row>
    <row r="95" spans="2:10" x14ac:dyDescent="0.5">
      <c r="B95" s="17" t="s">
        <v>35</v>
      </c>
      <c r="C95" s="18">
        <f>+C93+C94</f>
        <v>33295.679767887967</v>
      </c>
      <c r="D95" s="18">
        <f t="shared" ref="D95:I95" si="49">+D93+D94</f>
        <v>35297.247744676766</v>
      </c>
      <c r="E95" s="18">
        <f t="shared" si="49"/>
        <v>37398.172519144442</v>
      </c>
      <c r="F95" s="18">
        <f t="shared" si="49"/>
        <v>39639.727371058885</v>
      </c>
      <c r="G95" s="18">
        <f t="shared" si="49"/>
        <v>42036.474815364782</v>
      </c>
      <c r="H95" s="18">
        <f t="shared" si="49"/>
        <v>44605.684134776457</v>
      </c>
      <c r="I95" s="18">
        <f t="shared" si="49"/>
        <v>47153.560812554882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B6C9-CAE1-4E03-8066-80594841A6D8}">
  <sheetPr codeName="Munka2"/>
  <dimension ref="B26:L95"/>
  <sheetViews>
    <sheetView topLeftCell="A82" zoomScale="110" zoomScaleNormal="110" workbookViewId="0">
      <selection activeCell="E103" sqref="E103"/>
    </sheetView>
  </sheetViews>
  <sheetFormatPr defaultRowHeight="15.75" x14ac:dyDescent="0.5"/>
  <cols>
    <col min="1" max="1" width="2.5" customWidth="1"/>
    <col min="2" max="2" width="18.25" bestFit="1" customWidth="1"/>
    <col min="3" max="3" width="9.75" bestFit="1" customWidth="1"/>
    <col min="4" max="6" width="8.75" bestFit="1" customWidth="1"/>
    <col min="7" max="7" width="10.75" bestFit="1" customWidth="1"/>
    <col min="8" max="8" width="12.375" bestFit="1" customWidth="1"/>
    <col min="9" max="9" width="8.75" bestFit="1" customWidth="1"/>
  </cols>
  <sheetData>
    <row r="26" spans="2:12" x14ac:dyDescent="0.5">
      <c r="C26" s="1">
        <v>2025</v>
      </c>
      <c r="D26" s="2">
        <f>+C26+1</f>
        <v>2026</v>
      </c>
      <c r="E26" s="2">
        <f t="shared" ref="E26:H26" si="0">+D26+1</f>
        <v>2027</v>
      </c>
      <c r="F26" s="2">
        <f t="shared" si="0"/>
        <v>2028</v>
      </c>
      <c r="G26" s="2">
        <f t="shared" si="0"/>
        <v>2029</v>
      </c>
      <c r="H26" s="2">
        <f t="shared" si="0"/>
        <v>2030</v>
      </c>
      <c r="I26" s="2" t="s">
        <v>8</v>
      </c>
      <c r="J26" s="2" t="s">
        <v>9</v>
      </c>
    </row>
    <row r="27" spans="2:12" x14ac:dyDescent="0.5">
      <c r="B27" t="s">
        <v>1</v>
      </c>
      <c r="C27" s="6">
        <v>20000</v>
      </c>
      <c r="D27" s="4"/>
      <c r="E27" s="4"/>
      <c r="F27" s="4"/>
      <c r="G27" s="4"/>
      <c r="H27" s="4"/>
      <c r="I27" s="4" t="s">
        <v>25</v>
      </c>
      <c r="J27" s="4"/>
      <c r="K27" s="4"/>
    </row>
    <row r="28" spans="2:12" x14ac:dyDescent="0.5">
      <c r="B28" t="s">
        <v>2</v>
      </c>
      <c r="C28" s="7">
        <v>0.15</v>
      </c>
      <c r="D28" s="3"/>
      <c r="E28" s="3"/>
      <c r="F28" s="3"/>
      <c r="G28" s="3"/>
      <c r="H28" s="3"/>
    </row>
    <row r="29" spans="2:12" x14ac:dyDescent="0.5">
      <c r="B29" t="s">
        <v>3</v>
      </c>
      <c r="C29" s="3"/>
      <c r="D29" s="7">
        <v>0.14000000000000001</v>
      </c>
      <c r="E29" s="7">
        <v>0.13</v>
      </c>
      <c r="F29" s="7">
        <v>0.12</v>
      </c>
      <c r="G29" s="7">
        <v>0.11</v>
      </c>
      <c r="H29" s="7">
        <v>0.1</v>
      </c>
      <c r="I29" s="11">
        <f>+I38</f>
        <v>9.5200000000000007E-2</v>
      </c>
      <c r="J29" s="11">
        <f t="shared" ref="J29:K29" si="1">+J38</f>
        <v>9.5200000000000007E-2</v>
      </c>
      <c r="K29" s="11">
        <f t="shared" si="1"/>
        <v>9.5200000000000007E-2</v>
      </c>
      <c r="L29" s="3"/>
    </row>
    <row r="30" spans="2:12" x14ac:dyDescent="0.5">
      <c r="B30" t="s">
        <v>4</v>
      </c>
      <c r="C30" s="7">
        <v>0.6</v>
      </c>
      <c r="D30" s="7">
        <v>0.6</v>
      </c>
      <c r="E30" s="7">
        <v>0.6</v>
      </c>
      <c r="F30" s="7">
        <v>0.6</v>
      </c>
      <c r="G30" s="7">
        <v>0.6</v>
      </c>
      <c r="H30" s="7">
        <v>0.6</v>
      </c>
      <c r="I30" s="3">
        <f>+J31/J29</f>
        <v>0.63025210084033612</v>
      </c>
      <c r="J30" s="3">
        <f>+K31/K29</f>
        <v>0.63025210084033612</v>
      </c>
      <c r="K30" s="3"/>
      <c r="L30" s="3"/>
    </row>
    <row r="31" spans="2:12" x14ac:dyDescent="0.5">
      <c r="B31" t="s">
        <v>6</v>
      </c>
      <c r="C31" s="3"/>
      <c r="D31" s="9"/>
      <c r="E31" s="9"/>
      <c r="F31" s="9"/>
      <c r="G31" s="9"/>
      <c r="H31" s="9"/>
      <c r="I31" s="9"/>
      <c r="J31" s="7">
        <v>0.06</v>
      </c>
      <c r="K31" s="7">
        <v>0.06</v>
      </c>
    </row>
    <row r="32" spans="2:12" x14ac:dyDescent="0.5">
      <c r="B32" t="s">
        <v>5</v>
      </c>
      <c r="C32" s="5">
        <v>0.1</v>
      </c>
      <c r="D32" s="5">
        <v>0.1</v>
      </c>
      <c r="E32" s="5">
        <v>0.1</v>
      </c>
      <c r="F32" s="5">
        <v>0.1</v>
      </c>
      <c r="G32" s="5">
        <v>0.1</v>
      </c>
      <c r="H32" s="5">
        <v>0.1</v>
      </c>
      <c r="I32" s="5">
        <v>0.1</v>
      </c>
      <c r="J32" s="5">
        <v>0.1</v>
      </c>
      <c r="K32" s="5">
        <v>0.1</v>
      </c>
    </row>
    <row r="33" spans="2:11" x14ac:dyDescent="0.5">
      <c r="B33" t="s">
        <v>22</v>
      </c>
      <c r="C33" s="5">
        <v>0.2</v>
      </c>
      <c r="D33" s="5">
        <v>0.2</v>
      </c>
      <c r="E33" s="5">
        <v>0.2</v>
      </c>
      <c r="F33" s="5">
        <v>0.2</v>
      </c>
      <c r="G33" s="5">
        <v>0.2</v>
      </c>
      <c r="H33" s="5">
        <v>0.2</v>
      </c>
      <c r="I33" s="5">
        <v>0.2</v>
      </c>
      <c r="J33" s="5">
        <v>0.2</v>
      </c>
      <c r="K33" s="5">
        <v>0.2</v>
      </c>
    </row>
    <row r="34" spans="2:11" x14ac:dyDescent="0.5">
      <c r="B34" t="s">
        <v>7</v>
      </c>
      <c r="C34" s="19">
        <f>+C46/C86</f>
        <v>0.24743134591391017</v>
      </c>
      <c r="D34" s="19">
        <f>+D46/D86</f>
        <v>0.23160679714429178</v>
      </c>
      <c r="E34" s="19">
        <f>+E46/E86</f>
        <v>0.1633057944180959</v>
      </c>
      <c r="F34" s="19">
        <f>+F46/F86</f>
        <v>0.10229262966868988</v>
      </c>
      <c r="G34" s="19">
        <f>+G46/G86</f>
        <v>4.8022380507682184E-2</v>
      </c>
      <c r="H34" s="7">
        <v>0.4</v>
      </c>
      <c r="I34" s="7">
        <v>0.4</v>
      </c>
      <c r="J34" s="7">
        <v>0.4</v>
      </c>
      <c r="K34" s="7">
        <v>0.4</v>
      </c>
    </row>
    <row r="35" spans="2:11" x14ac:dyDescent="0.5">
      <c r="B35" t="s">
        <v>45</v>
      </c>
      <c r="C35" s="8">
        <f>+C42/C46</f>
        <v>7.7685035862508564E-2</v>
      </c>
      <c r="D35" s="8">
        <f t="shared" ref="D35:G35" si="2">+D42/D46</f>
        <v>7.8286671742405389E-2</v>
      </c>
      <c r="E35" s="8">
        <f t="shared" si="2"/>
        <v>7.8593976384141048E-2</v>
      </c>
      <c r="F35" s="8">
        <f t="shared" si="2"/>
        <v>7.8917801137342772E-2</v>
      </c>
      <c r="G35" s="8">
        <f t="shared" si="2"/>
        <v>7.9259259259259265E-2</v>
      </c>
      <c r="H35" s="5">
        <v>0.06</v>
      </c>
      <c r="I35" s="5">
        <v>0.06</v>
      </c>
      <c r="J35" s="5">
        <v>0.06</v>
      </c>
      <c r="K35" s="5">
        <v>0.06</v>
      </c>
    </row>
    <row r="36" spans="2:11" x14ac:dyDescent="0.5">
      <c r="B36" t="s">
        <v>23</v>
      </c>
      <c r="C36" s="10">
        <v>0.2</v>
      </c>
      <c r="D36" s="10">
        <v>0.2</v>
      </c>
      <c r="E36" s="10">
        <v>0.2</v>
      </c>
      <c r="F36" s="10">
        <v>0.2</v>
      </c>
      <c r="G36" s="10">
        <v>0.2</v>
      </c>
      <c r="H36" s="10">
        <v>0.2</v>
      </c>
      <c r="I36" s="10">
        <v>0.2</v>
      </c>
      <c r="J36" s="10">
        <v>0.2</v>
      </c>
      <c r="K36" s="10">
        <v>0.2</v>
      </c>
    </row>
    <row r="37" spans="2:11" x14ac:dyDescent="0.5">
      <c r="B37" t="s">
        <v>24</v>
      </c>
      <c r="C37" s="3">
        <f>+C58/C57</f>
        <v>0.2</v>
      </c>
      <c r="D37" s="3">
        <f t="shared" ref="D37:K37" si="3">+D58/D57</f>
        <v>0.2</v>
      </c>
      <c r="E37" s="3">
        <f t="shared" si="3"/>
        <v>0.2</v>
      </c>
      <c r="F37" s="3">
        <f t="shared" si="3"/>
        <v>0.2</v>
      </c>
      <c r="G37" s="3">
        <f t="shared" si="3"/>
        <v>0.2</v>
      </c>
      <c r="H37" s="3">
        <f t="shared" si="3"/>
        <v>0.2</v>
      </c>
      <c r="I37" s="3">
        <f t="shared" si="3"/>
        <v>0.2</v>
      </c>
      <c r="J37" s="3">
        <f t="shared" si="3"/>
        <v>0.2</v>
      </c>
      <c r="K37" s="3" t="e">
        <f t="shared" si="3"/>
        <v>#DIV/0!</v>
      </c>
    </row>
    <row r="38" spans="2:11" x14ac:dyDescent="0.5">
      <c r="B38" t="s">
        <v>26</v>
      </c>
      <c r="C38" s="8">
        <f t="shared" ref="C38:G38" si="4">+C32-C35*C34*C36</f>
        <v>9.6155657403833833E-2</v>
      </c>
      <c r="D38" s="8">
        <f t="shared" si="4"/>
        <v>9.6373654939730991E-2</v>
      </c>
      <c r="E38" s="8">
        <f t="shared" si="4"/>
        <v>9.7433029650022165E-2</v>
      </c>
      <c r="F38" s="8">
        <f t="shared" si="4"/>
        <v>9.8385458118798105E-2</v>
      </c>
      <c r="G38" s="8">
        <f t="shared" si="4"/>
        <v>9.9238756338618964E-2</v>
      </c>
      <c r="H38" s="8">
        <f>+H32-H35*H34*H36</f>
        <v>9.5200000000000007E-2</v>
      </c>
      <c r="I38" s="8">
        <f t="shared" ref="I38:K38" si="5">+I32-I35*I34*I36</f>
        <v>9.5200000000000007E-2</v>
      </c>
      <c r="J38" s="8">
        <f t="shared" si="5"/>
        <v>9.5200000000000007E-2</v>
      </c>
      <c r="K38" s="8">
        <f t="shared" si="5"/>
        <v>9.5200000000000007E-2</v>
      </c>
    </row>
    <row r="39" spans="2:11" x14ac:dyDescent="0.5">
      <c r="H39" s="8"/>
      <c r="I39" s="8"/>
      <c r="J39" s="8"/>
      <c r="K39" s="8"/>
    </row>
    <row r="40" spans="2:11" x14ac:dyDescent="0.5">
      <c r="B40" t="s">
        <v>29</v>
      </c>
      <c r="C40" s="4">
        <v>8000</v>
      </c>
      <c r="D40" s="4">
        <v>8000</v>
      </c>
      <c r="E40" s="4">
        <v>6000</v>
      </c>
      <c r="F40" s="4">
        <v>4000</v>
      </c>
      <c r="G40" s="4">
        <v>2000</v>
      </c>
      <c r="H40" s="4">
        <v>0</v>
      </c>
      <c r="I40" s="8"/>
      <c r="J40" s="8"/>
      <c r="K40" s="8"/>
    </row>
    <row r="41" spans="2:11" x14ac:dyDescent="0.5">
      <c r="B41" t="s">
        <v>30</v>
      </c>
      <c r="C41" s="8">
        <v>0.08</v>
      </c>
      <c r="D41" s="8">
        <v>0.08</v>
      </c>
      <c r="E41" s="8">
        <v>0.08</v>
      </c>
      <c r="F41" s="8">
        <v>0.08</v>
      </c>
      <c r="G41" s="8">
        <v>0.08</v>
      </c>
      <c r="H41" s="8">
        <v>0.08</v>
      </c>
      <c r="I41" s="8"/>
      <c r="J41" s="8"/>
      <c r="K41" s="8"/>
    </row>
    <row r="42" spans="2:11" x14ac:dyDescent="0.5">
      <c r="B42" t="s">
        <v>13</v>
      </c>
      <c r="C42" s="4">
        <f>+C40*C41</f>
        <v>640</v>
      </c>
      <c r="D42" s="4">
        <f t="shared" ref="D42:G42" si="6">+D40*D41</f>
        <v>640</v>
      </c>
      <c r="E42" s="4">
        <f t="shared" si="6"/>
        <v>480</v>
      </c>
      <c r="F42" s="4">
        <f t="shared" si="6"/>
        <v>320</v>
      </c>
      <c r="G42" s="4">
        <f t="shared" si="6"/>
        <v>160</v>
      </c>
      <c r="H42" s="8"/>
      <c r="I42" s="8"/>
      <c r="J42" s="8"/>
      <c r="K42" s="8"/>
    </row>
    <row r="43" spans="2:11" x14ac:dyDescent="0.5">
      <c r="B43" t="s">
        <v>31</v>
      </c>
      <c r="C43" s="4">
        <f>+C40-D40</f>
        <v>0</v>
      </c>
      <c r="D43" s="4">
        <f t="shared" ref="D43:G43" si="7">+D40-E40</f>
        <v>2000</v>
      </c>
      <c r="E43" s="4">
        <f t="shared" si="7"/>
        <v>2000</v>
      </c>
      <c r="F43" s="4">
        <f t="shared" si="7"/>
        <v>2000</v>
      </c>
      <c r="G43" s="4">
        <f t="shared" si="7"/>
        <v>2000</v>
      </c>
      <c r="H43" s="8"/>
      <c r="I43" s="8"/>
      <c r="J43" s="8"/>
      <c r="K43" s="8"/>
    </row>
    <row r="44" spans="2:11" x14ac:dyDescent="0.5">
      <c r="B44" s="12" t="s">
        <v>32</v>
      </c>
      <c r="C44" s="13">
        <f>+C42+C43</f>
        <v>640</v>
      </c>
      <c r="D44" s="13">
        <f t="shared" ref="D44:G44" si="8">+D42+D43</f>
        <v>2640</v>
      </c>
      <c r="E44" s="13">
        <f t="shared" si="8"/>
        <v>2480</v>
      </c>
      <c r="F44" s="13">
        <f t="shared" si="8"/>
        <v>2320</v>
      </c>
      <c r="G44" s="13">
        <f t="shared" si="8"/>
        <v>2160</v>
      </c>
      <c r="H44" s="8"/>
      <c r="I44" s="8"/>
      <c r="J44" s="8"/>
      <c r="K44" s="8"/>
    </row>
    <row r="45" spans="2:11" x14ac:dyDescent="0.5">
      <c r="B45" t="s">
        <v>0</v>
      </c>
      <c r="C45" s="8">
        <v>7.0000000000000007E-2</v>
      </c>
      <c r="D45" s="8">
        <v>7.0000000000000007E-2</v>
      </c>
      <c r="E45" s="8">
        <v>7.0000000000000007E-2</v>
      </c>
      <c r="F45" s="8">
        <v>7.0000000000000007E-2</v>
      </c>
      <c r="G45" s="8">
        <v>7.0000000000000007E-2</v>
      </c>
      <c r="H45" s="8">
        <f>+H35</f>
        <v>0.06</v>
      </c>
      <c r="I45" s="8">
        <f t="shared" ref="I45:K45" si="9">+I35</f>
        <v>0.06</v>
      </c>
      <c r="J45" s="8">
        <f t="shared" si="9"/>
        <v>0.06</v>
      </c>
      <c r="K45" s="8">
        <f t="shared" si="9"/>
        <v>0.06</v>
      </c>
    </row>
    <row r="46" spans="2:11" x14ac:dyDescent="0.5">
      <c r="B46" t="s">
        <v>10</v>
      </c>
      <c r="C46" s="4">
        <f t="shared" ref="C46:F46" si="10">+(C44+D46)/(1+C45)</f>
        <v>8238.3948580870674</v>
      </c>
      <c r="D46" s="4">
        <f t="shared" si="10"/>
        <v>8175.0824981531623</v>
      </c>
      <c r="E46" s="4">
        <f t="shared" si="10"/>
        <v>6107.3382730238854</v>
      </c>
      <c r="F46" s="4">
        <f t="shared" si="10"/>
        <v>4054.851952135557</v>
      </c>
      <c r="G46" s="4">
        <f>+(G44+H46)/(1+G45)</f>
        <v>2018.6915887850466</v>
      </c>
      <c r="H46" s="14">
        <v>0</v>
      </c>
      <c r="I46" s="8"/>
      <c r="J46" s="8"/>
      <c r="K46" s="8"/>
    </row>
    <row r="47" spans="2:11" x14ac:dyDescent="0.5">
      <c r="C47" s="8"/>
      <c r="D47" s="8"/>
      <c r="E47" s="8"/>
      <c r="F47" s="8"/>
      <c r="G47" s="8"/>
      <c r="H47" s="8"/>
      <c r="I47" s="8"/>
      <c r="J47" s="8"/>
      <c r="K47" s="8"/>
    </row>
    <row r="48" spans="2:11" x14ac:dyDescent="0.5">
      <c r="C48" s="4"/>
      <c r="D48" s="4"/>
      <c r="E48" s="4"/>
      <c r="F48" s="4"/>
      <c r="G48" s="4"/>
      <c r="H48" s="8"/>
      <c r="I48" s="8"/>
      <c r="J48" s="8"/>
      <c r="K48" s="8"/>
    </row>
    <row r="50" spans="2:10" x14ac:dyDescent="0.5">
      <c r="B50" t="str">
        <f>+B27</f>
        <v>IC boy</v>
      </c>
      <c r="C50" s="4">
        <f>+C27</f>
        <v>20000</v>
      </c>
      <c r="D50" s="4">
        <f>+C50+C67</f>
        <v>21800</v>
      </c>
      <c r="E50" s="4">
        <f t="shared" ref="E50:J50" si="11">+D50+D67</f>
        <v>23751.200000000001</v>
      </c>
      <c r="F50" s="4">
        <f t="shared" si="11"/>
        <v>25854.5936</v>
      </c>
      <c r="G50" s="4">
        <f t="shared" si="11"/>
        <v>28109.431539199999</v>
      </c>
      <c r="H50" s="4">
        <f t="shared" si="11"/>
        <v>30513.0887823872</v>
      </c>
      <c r="I50" s="4">
        <f t="shared" si="11"/>
        <v>33060.965460165629</v>
      </c>
      <c r="J50" s="4">
        <f t="shared" si="11"/>
        <v>35890.179108918921</v>
      </c>
    </row>
    <row r="51" spans="2:10" x14ac:dyDescent="0.5">
      <c r="B51" s="21" t="s">
        <v>27</v>
      </c>
      <c r="C51" s="16">
        <f>+C46</f>
        <v>8238.3948580870674</v>
      </c>
      <c r="D51" s="16">
        <f t="shared" ref="D51:G51" si="12">+D46</f>
        <v>8175.0824981531623</v>
      </c>
      <c r="E51" s="16">
        <f t="shared" si="12"/>
        <v>6107.3382730238854</v>
      </c>
      <c r="F51" s="16">
        <f t="shared" si="12"/>
        <v>4054.851952135557</v>
      </c>
      <c r="G51" s="16">
        <f t="shared" si="12"/>
        <v>2018.6915887850466</v>
      </c>
      <c r="H51" s="4">
        <f>+H34*H80</f>
        <v>17842.273653910586</v>
      </c>
      <c r="I51" s="4">
        <f>+I34*I80</f>
        <v>18861.424325021959</v>
      </c>
      <c r="J51" s="4">
        <f>+J34*J80</f>
        <v>19993.109784523276</v>
      </c>
    </row>
    <row r="52" spans="2:10" x14ac:dyDescent="0.5">
      <c r="B52" t="s">
        <v>28</v>
      </c>
      <c r="C52" s="4">
        <f>+C50-C51</f>
        <v>11761.605141912933</v>
      </c>
      <c r="D52" s="4">
        <f t="shared" ref="D52:J52" si="13">+D50-D51</f>
        <v>13624.917501846838</v>
      </c>
      <c r="E52" s="4">
        <f t="shared" si="13"/>
        <v>17643.861726976116</v>
      </c>
      <c r="F52" s="4">
        <f t="shared" si="13"/>
        <v>21799.741647864445</v>
      </c>
      <c r="G52" s="4">
        <f t="shared" si="13"/>
        <v>26090.739950414951</v>
      </c>
      <c r="H52" s="4">
        <f t="shared" si="13"/>
        <v>12670.815128476614</v>
      </c>
      <c r="I52" s="4">
        <f t="shared" si="13"/>
        <v>14199.541135143671</v>
      </c>
      <c r="J52" s="4">
        <f t="shared" si="13"/>
        <v>15897.069324395645</v>
      </c>
    </row>
    <row r="55" spans="2:10" x14ac:dyDescent="0.5">
      <c r="B55" t="s">
        <v>12</v>
      </c>
      <c r="C55" s="4">
        <f>+C66/(1-C36)</f>
        <v>3750</v>
      </c>
      <c r="D55" s="4">
        <f t="shared" ref="D55:J55" si="14">+D66/(1-D36)</f>
        <v>4065</v>
      </c>
      <c r="E55" s="4">
        <f t="shared" si="14"/>
        <v>4382.07</v>
      </c>
      <c r="F55" s="4">
        <f t="shared" si="14"/>
        <v>4697.5790399999996</v>
      </c>
      <c r="G55" s="4">
        <f t="shared" si="14"/>
        <v>5007.6192566399995</v>
      </c>
      <c r="H55" s="4">
        <f t="shared" si="14"/>
        <v>5308.0764120384001</v>
      </c>
      <c r="I55" s="4">
        <f t="shared" si="14"/>
        <v>5611.2737366940337</v>
      </c>
      <c r="J55" s="4">
        <f t="shared" si="14"/>
        <v>5947.9501608956753</v>
      </c>
    </row>
    <row r="56" spans="2:10" x14ac:dyDescent="0.5">
      <c r="B56" t="s">
        <v>13</v>
      </c>
      <c r="C56" s="4">
        <f>+C42</f>
        <v>640</v>
      </c>
      <c r="D56" s="4">
        <f t="shared" ref="D56:G56" si="15">+D42</f>
        <v>640</v>
      </c>
      <c r="E56" s="4">
        <f t="shared" si="15"/>
        <v>480</v>
      </c>
      <c r="F56" s="4">
        <f t="shared" si="15"/>
        <v>320</v>
      </c>
      <c r="G56" s="4">
        <f t="shared" si="15"/>
        <v>160</v>
      </c>
      <c r="H56" s="4">
        <f>+H51*H35</f>
        <v>1070.5364192346351</v>
      </c>
      <c r="I56" s="4">
        <f t="shared" ref="I56:J56" si="16">+I51*I35</f>
        <v>1131.6854595013174</v>
      </c>
      <c r="J56" s="4">
        <f t="shared" si="16"/>
        <v>1199.5865870713965</v>
      </c>
    </row>
    <row r="57" spans="2:10" x14ac:dyDescent="0.5">
      <c r="B57" t="s">
        <v>14</v>
      </c>
      <c r="C57" s="4">
        <f>+C55-C56</f>
        <v>3110</v>
      </c>
      <c r="D57" s="4">
        <f t="shared" ref="D57:J57" si="17">+D55-D56</f>
        <v>3425</v>
      </c>
      <c r="E57" s="4">
        <f t="shared" si="17"/>
        <v>3902.0699999999997</v>
      </c>
      <c r="F57" s="4">
        <f t="shared" si="17"/>
        <v>4377.5790399999996</v>
      </c>
      <c r="G57" s="4">
        <f t="shared" si="17"/>
        <v>4847.6192566399995</v>
      </c>
      <c r="H57" s="4">
        <f t="shared" si="17"/>
        <v>4237.539992803765</v>
      </c>
      <c r="I57" s="4">
        <f t="shared" si="17"/>
        <v>4479.5882771927163</v>
      </c>
      <c r="J57" s="4">
        <f t="shared" si="17"/>
        <v>4748.3635738242792</v>
      </c>
    </row>
    <row r="58" spans="2:10" x14ac:dyDescent="0.5">
      <c r="B58" t="s">
        <v>15</v>
      </c>
      <c r="C58" s="4">
        <f>+IF(C57&lt;0,0,C57*C33)</f>
        <v>622</v>
      </c>
      <c r="D58" s="4">
        <f t="shared" ref="D58:J58" si="18">+IF(D57&lt;0,0,D57*D33)</f>
        <v>685</v>
      </c>
      <c r="E58" s="4">
        <f t="shared" si="18"/>
        <v>780.41399999999999</v>
      </c>
      <c r="F58" s="4">
        <f t="shared" si="18"/>
        <v>875.51580799999999</v>
      </c>
      <c r="G58" s="4">
        <f t="shared" si="18"/>
        <v>969.52385132799998</v>
      </c>
      <c r="H58" s="4">
        <f t="shared" si="18"/>
        <v>847.50799856075309</v>
      </c>
      <c r="I58" s="4">
        <f t="shared" si="18"/>
        <v>895.91765543854331</v>
      </c>
      <c r="J58" s="4">
        <f t="shared" si="18"/>
        <v>949.67271476485587</v>
      </c>
    </row>
    <row r="59" spans="2:10" x14ac:dyDescent="0.5">
      <c r="B59" t="s">
        <v>16</v>
      </c>
      <c r="C59" s="4">
        <f>+C57-C58</f>
        <v>2488</v>
      </c>
      <c r="D59" s="4">
        <f t="shared" ref="D59:J59" si="19">+D57-D58</f>
        <v>2740</v>
      </c>
      <c r="E59" s="4">
        <f t="shared" si="19"/>
        <v>3121.6559999999999</v>
      </c>
      <c r="F59" s="4">
        <f t="shared" si="19"/>
        <v>3502.0632319999995</v>
      </c>
      <c r="G59" s="4">
        <f t="shared" si="19"/>
        <v>3878.0954053119995</v>
      </c>
      <c r="H59" s="4">
        <f t="shared" si="19"/>
        <v>3390.0319942430119</v>
      </c>
      <c r="I59" s="4">
        <f t="shared" si="19"/>
        <v>3583.6706217541732</v>
      </c>
      <c r="J59" s="4">
        <f t="shared" si="19"/>
        <v>3798.6908590594235</v>
      </c>
    </row>
    <row r="60" spans="2:10" x14ac:dyDescent="0.5">
      <c r="B60" t="s">
        <v>17</v>
      </c>
      <c r="C60" s="4">
        <f>+C59-C61</f>
        <v>624.6876400660949</v>
      </c>
      <c r="D60" s="4">
        <f t="shared" ref="D60:J60" si="20">+D59-D61</f>
        <v>0</v>
      </c>
      <c r="E60" s="4">
        <f t="shared" si="20"/>
        <v>0</v>
      </c>
      <c r="F60" s="4">
        <f t="shared" si="20"/>
        <v>0</v>
      </c>
      <c r="G60" s="4">
        <f t="shared" si="20"/>
        <v>3878.0954053119995</v>
      </c>
      <c r="H60" s="4">
        <f t="shared" si="20"/>
        <v>1861.305987575955</v>
      </c>
      <c r="I60" s="4">
        <f t="shared" si="20"/>
        <v>1886.142432502199</v>
      </c>
      <c r="J60" s="4">
        <f t="shared" si="20"/>
        <v>0</v>
      </c>
    </row>
    <row r="61" spans="2:10" x14ac:dyDescent="0.5">
      <c r="B61" t="s">
        <v>18</v>
      </c>
      <c r="C61" s="4">
        <f>+IF(C59&lt;0,C59,MAX(0,MIN(C59,C63)))</f>
        <v>1863.3123599339051</v>
      </c>
      <c r="D61" s="4">
        <f t="shared" ref="D61:J61" si="21">+IF(D59&lt;0,D59,MAX(0,MIN(D59,D63)))</f>
        <v>2740</v>
      </c>
      <c r="E61" s="4">
        <f t="shared" si="21"/>
        <v>3121.6559999999999</v>
      </c>
      <c r="F61" s="4">
        <f t="shared" si="21"/>
        <v>3502.0632319999995</v>
      </c>
      <c r="G61" s="4">
        <f t="shared" si="21"/>
        <v>0</v>
      </c>
      <c r="H61" s="4">
        <f t="shared" si="21"/>
        <v>1528.7260066670569</v>
      </c>
      <c r="I61" s="4">
        <f t="shared" si="21"/>
        <v>1697.5281892519743</v>
      </c>
      <c r="J61" s="4">
        <f t="shared" si="21"/>
        <v>3798.6908590594235</v>
      </c>
    </row>
    <row r="63" spans="2:10" x14ac:dyDescent="0.5">
      <c r="B63" t="s">
        <v>36</v>
      </c>
      <c r="C63" s="4">
        <f>+D52-C52</f>
        <v>1863.3123599339051</v>
      </c>
      <c r="D63" s="4">
        <f t="shared" ref="D63:I63" si="22">+E52-D52</f>
        <v>4018.9442251292785</v>
      </c>
      <c r="E63" s="4">
        <f t="shared" si="22"/>
        <v>4155.8799208883283</v>
      </c>
      <c r="F63" s="4">
        <f t="shared" si="22"/>
        <v>4290.9983025505062</v>
      </c>
      <c r="G63" s="4">
        <f t="shared" si="22"/>
        <v>-13419.924821938337</v>
      </c>
      <c r="H63" s="4">
        <f t="shared" si="22"/>
        <v>1528.7260066670569</v>
      </c>
      <c r="I63" s="4">
        <f t="shared" si="22"/>
        <v>1697.5281892519743</v>
      </c>
    </row>
    <row r="64" spans="2:10" x14ac:dyDescent="0.5">
      <c r="B64" t="s">
        <v>37</v>
      </c>
      <c r="C64" s="4">
        <f>+C63-C61</f>
        <v>0</v>
      </c>
      <c r="D64" s="4">
        <f t="shared" ref="D64:I64" si="23">+D63-D61</f>
        <v>1278.9442251292785</v>
      </c>
      <c r="E64" s="4">
        <f t="shared" si="23"/>
        <v>1034.2239208883284</v>
      </c>
      <c r="F64" s="4">
        <f t="shared" si="23"/>
        <v>788.93507055050668</v>
      </c>
      <c r="G64" s="4">
        <f t="shared" si="23"/>
        <v>-13419.924821938337</v>
      </c>
      <c r="H64" s="4">
        <f t="shared" si="23"/>
        <v>0</v>
      </c>
      <c r="I64" s="4">
        <f t="shared" si="23"/>
        <v>0</v>
      </c>
    </row>
    <row r="66" spans="2:10" x14ac:dyDescent="0.5">
      <c r="B66" t="s">
        <v>19</v>
      </c>
      <c r="C66" s="4">
        <f>+C50*C28</f>
        <v>3000</v>
      </c>
      <c r="D66" s="4">
        <f>+C66+C67*D29</f>
        <v>3252</v>
      </c>
      <c r="E66" s="4">
        <f t="shared" ref="E66:J66" si="24">+D66+D67*E29</f>
        <v>3505.6559999999999</v>
      </c>
      <c r="F66" s="4">
        <f t="shared" si="24"/>
        <v>3758.063232</v>
      </c>
      <c r="G66" s="4">
        <f t="shared" si="24"/>
        <v>4006.0954053119999</v>
      </c>
      <c r="H66" s="4">
        <f t="shared" si="24"/>
        <v>4246.4611296307203</v>
      </c>
      <c r="I66" s="4">
        <f t="shared" si="24"/>
        <v>4489.0189893552269</v>
      </c>
      <c r="J66" s="4">
        <f t="shared" si="24"/>
        <v>4758.3601287165402</v>
      </c>
    </row>
    <row r="67" spans="2:10" x14ac:dyDescent="0.5">
      <c r="B67" t="s">
        <v>20</v>
      </c>
      <c r="C67" s="4">
        <f>+C66*C30</f>
        <v>1800</v>
      </c>
      <c r="D67" s="4">
        <f t="shared" ref="D67:J67" si="25">+D66*D30</f>
        <v>1951.1999999999998</v>
      </c>
      <c r="E67" s="4">
        <f t="shared" si="25"/>
        <v>2103.3935999999999</v>
      </c>
      <c r="F67" s="4">
        <f t="shared" si="25"/>
        <v>2254.8379391999997</v>
      </c>
      <c r="G67" s="4">
        <f t="shared" si="25"/>
        <v>2403.6572431872</v>
      </c>
      <c r="H67" s="4">
        <f t="shared" si="25"/>
        <v>2547.8766777784322</v>
      </c>
      <c r="I67" s="4">
        <f t="shared" si="25"/>
        <v>2829.2136487532944</v>
      </c>
      <c r="J67" s="4">
        <f t="shared" si="25"/>
        <v>2998.9664676784914</v>
      </c>
    </row>
    <row r="68" spans="2:10" x14ac:dyDescent="0.5">
      <c r="B68" t="s">
        <v>21</v>
      </c>
      <c r="C68" s="4">
        <f>+C66-C67</f>
        <v>1200</v>
      </c>
      <c r="D68" s="4">
        <f t="shared" ref="D68:J68" si="26">+D66-D67</f>
        <v>1300.8000000000002</v>
      </c>
      <c r="E68" s="4">
        <f t="shared" si="26"/>
        <v>1402.2624000000001</v>
      </c>
      <c r="F68" s="4">
        <f t="shared" si="26"/>
        <v>1503.2252928000003</v>
      </c>
      <c r="G68" s="4">
        <f t="shared" si="26"/>
        <v>1602.4381621247999</v>
      </c>
      <c r="H68" s="4">
        <f t="shared" si="26"/>
        <v>1698.5844518522881</v>
      </c>
      <c r="I68" s="4">
        <f t="shared" si="26"/>
        <v>1659.8053406019326</v>
      </c>
      <c r="J68" s="4">
        <f t="shared" si="26"/>
        <v>1759.3936610380488</v>
      </c>
    </row>
    <row r="69" spans="2:10" x14ac:dyDescent="0.5">
      <c r="B69" s="4" t="str">
        <f>+B56</f>
        <v>Interest payment</v>
      </c>
      <c r="C69" s="4">
        <f t="shared" ref="C69:I69" si="27">+C56</f>
        <v>640</v>
      </c>
      <c r="D69" s="4">
        <f t="shared" si="27"/>
        <v>640</v>
      </c>
      <c r="E69" s="4">
        <f t="shared" si="27"/>
        <v>480</v>
      </c>
      <c r="F69" s="4">
        <f t="shared" si="27"/>
        <v>320</v>
      </c>
      <c r="G69" s="4">
        <f t="shared" si="27"/>
        <v>160</v>
      </c>
      <c r="H69" s="4">
        <f t="shared" si="27"/>
        <v>1070.5364192346351</v>
      </c>
      <c r="I69" s="4">
        <f t="shared" si="27"/>
        <v>1131.6854595013174</v>
      </c>
      <c r="J69" s="4"/>
    </row>
    <row r="70" spans="2:10" x14ac:dyDescent="0.5">
      <c r="B70" t="s">
        <v>38</v>
      </c>
      <c r="C70" s="4">
        <f>+C69*C36</f>
        <v>128</v>
      </c>
      <c r="D70" s="4">
        <f t="shared" ref="D70:I70" si="28">+D69*D36</f>
        <v>128</v>
      </c>
      <c r="E70" s="4">
        <f t="shared" si="28"/>
        <v>96</v>
      </c>
      <c r="F70" s="4">
        <f t="shared" si="28"/>
        <v>64</v>
      </c>
      <c r="G70" s="4">
        <f t="shared" si="28"/>
        <v>32</v>
      </c>
      <c r="H70" s="4">
        <f t="shared" si="28"/>
        <v>214.10728384692703</v>
      </c>
      <c r="I70" s="4">
        <f t="shared" si="28"/>
        <v>226.33709190026349</v>
      </c>
      <c r="J70" s="4"/>
    </row>
    <row r="71" spans="2:10" x14ac:dyDescent="0.5">
      <c r="B71" s="21" t="s">
        <v>39</v>
      </c>
      <c r="C71" s="22">
        <f>+D51-C51</f>
        <v>-63.3123599339051</v>
      </c>
      <c r="D71" s="22">
        <f t="shared" ref="D71:F71" si="29">+E51-D51</f>
        <v>-2067.7442251292769</v>
      </c>
      <c r="E71" s="22">
        <f t="shared" si="29"/>
        <v>-2052.4863208883285</v>
      </c>
      <c r="F71" s="22">
        <f t="shared" si="29"/>
        <v>-2036.1603633505104</v>
      </c>
      <c r="G71" s="4">
        <f t="shared" ref="G71:I71" si="30">+H51-G51</f>
        <v>15823.58206512554</v>
      </c>
      <c r="H71" s="4">
        <f t="shared" si="30"/>
        <v>1019.1506711113725</v>
      </c>
      <c r="I71" s="4">
        <f>+J51-I51</f>
        <v>1131.6854595013174</v>
      </c>
      <c r="J71" s="4"/>
    </row>
    <row r="72" spans="2:10" x14ac:dyDescent="0.5">
      <c r="B72" t="s">
        <v>40</v>
      </c>
      <c r="C72" s="4">
        <f t="shared" ref="C72:I72" si="31">+C68-C69+C70+C71</f>
        <v>624.6876400660949</v>
      </c>
      <c r="D72" s="4">
        <f t="shared" si="31"/>
        <v>-1278.9442251292767</v>
      </c>
      <c r="E72" s="4">
        <f t="shared" si="31"/>
        <v>-1034.2239208883284</v>
      </c>
      <c r="F72" s="4">
        <f t="shared" si="31"/>
        <v>-788.93507055051009</v>
      </c>
      <c r="G72" s="4">
        <f t="shared" si="31"/>
        <v>17298.020227250341</v>
      </c>
      <c r="H72" s="4">
        <f t="shared" si="31"/>
        <v>1861.3059875759525</v>
      </c>
      <c r="I72" s="4">
        <f t="shared" si="31"/>
        <v>1886.142432502196</v>
      </c>
      <c r="J72" s="4"/>
    </row>
    <row r="73" spans="2:10" x14ac:dyDescent="0.5">
      <c r="B73" t="str">
        <f t="shared" ref="B73:I73" si="32">+B60</f>
        <v>Dividend</v>
      </c>
      <c r="C73" s="4">
        <f t="shared" si="32"/>
        <v>624.6876400660949</v>
      </c>
      <c r="D73" s="4">
        <f t="shared" si="32"/>
        <v>0</v>
      </c>
      <c r="E73" s="4">
        <f t="shared" si="32"/>
        <v>0</v>
      </c>
      <c r="F73" s="4">
        <f t="shared" si="32"/>
        <v>0</v>
      </c>
      <c r="G73" s="4">
        <f t="shared" si="32"/>
        <v>3878.0954053119995</v>
      </c>
      <c r="H73" s="4">
        <f t="shared" si="32"/>
        <v>1861.305987575955</v>
      </c>
      <c r="I73" s="4">
        <f t="shared" si="32"/>
        <v>1886.142432502199</v>
      </c>
    </row>
    <row r="74" spans="2:10" x14ac:dyDescent="0.5">
      <c r="B74" t="s">
        <v>41</v>
      </c>
      <c r="C74" s="4">
        <f t="shared" ref="C74:I74" si="33">+D52-C52-C61</f>
        <v>0</v>
      </c>
      <c r="D74" s="4">
        <f t="shared" si="33"/>
        <v>1278.9442251292785</v>
      </c>
      <c r="E74" s="4">
        <f t="shared" si="33"/>
        <v>1034.2239208883284</v>
      </c>
      <c r="F74" s="4">
        <f t="shared" si="33"/>
        <v>788.93507055050668</v>
      </c>
      <c r="G74" s="4">
        <f t="shared" si="33"/>
        <v>-13419.924821938337</v>
      </c>
      <c r="H74" s="4">
        <f t="shared" si="33"/>
        <v>0</v>
      </c>
      <c r="I74" s="4">
        <f t="shared" si="33"/>
        <v>0</v>
      </c>
    </row>
    <row r="75" spans="2:10" x14ac:dyDescent="0.5">
      <c r="B75" t="s">
        <v>42</v>
      </c>
      <c r="C75" s="4">
        <f>+C72-C73+C74</f>
        <v>0</v>
      </c>
      <c r="D75" s="4">
        <f t="shared" ref="D75:I75" si="34">+D72-D73+D74</f>
        <v>1.8189894035458565E-12</v>
      </c>
      <c r="E75" s="4">
        <f t="shared" si="34"/>
        <v>0</v>
      </c>
      <c r="F75" s="4">
        <f t="shared" si="34"/>
        <v>-3.4106051316484809E-12</v>
      </c>
      <c r="G75" s="4">
        <f t="shared" si="34"/>
        <v>0</v>
      </c>
      <c r="H75" s="4">
        <f t="shared" si="34"/>
        <v>-2.5011104298755527E-12</v>
      </c>
      <c r="I75" s="4">
        <f t="shared" si="34"/>
        <v>-2.9558577807620168E-12</v>
      </c>
    </row>
    <row r="77" spans="2:10" x14ac:dyDescent="0.5">
      <c r="B77" t="s">
        <v>33</v>
      </c>
    </row>
    <row r="78" spans="2:10" x14ac:dyDescent="0.5">
      <c r="B78" s="4" t="str">
        <f t="shared" ref="B78:J78" si="35">+B68</f>
        <v>FCFF</v>
      </c>
      <c r="C78" s="4">
        <f t="shared" si="35"/>
        <v>1200</v>
      </c>
      <c r="D78" s="4">
        <f t="shared" si="35"/>
        <v>1300.8000000000002</v>
      </c>
      <c r="E78" s="4">
        <f t="shared" si="35"/>
        <v>1402.2624000000001</v>
      </c>
      <c r="F78" s="4">
        <f t="shared" si="35"/>
        <v>1503.2252928000003</v>
      </c>
      <c r="G78" s="4">
        <f t="shared" si="35"/>
        <v>1602.4381621247999</v>
      </c>
      <c r="H78" s="4">
        <f t="shared" si="35"/>
        <v>1698.5844518522881</v>
      </c>
      <c r="I78" s="4">
        <f t="shared" si="35"/>
        <v>1659.8053406019326</v>
      </c>
      <c r="J78" s="4">
        <f t="shared" si="35"/>
        <v>1759.3936610380488</v>
      </c>
    </row>
    <row r="79" spans="2:10" x14ac:dyDescent="0.5">
      <c r="B79" s="3" t="str">
        <f t="shared" ref="B79:J79" si="36">+B38</f>
        <v>WACC</v>
      </c>
      <c r="C79" s="3">
        <f t="shared" si="36"/>
        <v>9.6155657403833833E-2</v>
      </c>
      <c r="D79" s="3">
        <f t="shared" si="36"/>
        <v>9.6373654939730991E-2</v>
      </c>
      <c r="E79" s="3">
        <f t="shared" si="36"/>
        <v>9.7433029650022165E-2</v>
      </c>
      <c r="F79" s="3">
        <f t="shared" si="36"/>
        <v>9.8385458118798105E-2</v>
      </c>
      <c r="G79" s="3">
        <f t="shared" si="36"/>
        <v>9.9238756338618964E-2</v>
      </c>
      <c r="H79" s="3">
        <f t="shared" si="36"/>
        <v>9.5200000000000007E-2</v>
      </c>
      <c r="I79" s="3">
        <f t="shared" si="36"/>
        <v>9.5200000000000007E-2</v>
      </c>
      <c r="J79" s="3">
        <f t="shared" si="36"/>
        <v>9.5200000000000007E-2</v>
      </c>
    </row>
    <row r="80" spans="2:10" x14ac:dyDescent="0.5">
      <c r="B80" s="17" t="s">
        <v>35</v>
      </c>
      <c r="C80" s="18">
        <f t="shared" ref="C80:G80" si="37">+(C78+D80)/(1+C79)</f>
        <v>33295.679767887981</v>
      </c>
      <c r="D80" s="18">
        <f t="shared" si="37"/>
        <v>35297.247744676781</v>
      </c>
      <c r="E80" s="18">
        <f t="shared" si="37"/>
        <v>37398.172519144457</v>
      </c>
      <c r="F80" s="18">
        <f t="shared" si="37"/>
        <v>39639.7273710589</v>
      </c>
      <c r="G80" s="18">
        <f t="shared" si="37"/>
        <v>42036.474815364789</v>
      </c>
      <c r="H80" s="18">
        <f>+(H78+I80)/(1+H79)</f>
        <v>44605.684134776464</v>
      </c>
      <c r="I80" s="18">
        <f>+(I78+J80)/(1+I79)</f>
        <v>47153.560812554897</v>
      </c>
      <c r="J80" s="4">
        <f>+J78/(J79-K31)</f>
        <v>49982.774461308189</v>
      </c>
    </row>
    <row r="83" spans="2:10" x14ac:dyDescent="0.5">
      <c r="B83" t="s">
        <v>43</v>
      </c>
    </row>
    <row r="84" spans="2:10" x14ac:dyDescent="0.5">
      <c r="B84" t="s">
        <v>44</v>
      </c>
      <c r="C84" s="4">
        <f t="shared" ref="C84:I84" si="38">+C68+C70</f>
        <v>1328</v>
      </c>
      <c r="D84" s="4">
        <f t="shared" si="38"/>
        <v>1428.8000000000002</v>
      </c>
      <c r="E84" s="4">
        <f t="shared" si="38"/>
        <v>1498.2624000000001</v>
      </c>
      <c r="F84" s="4">
        <f t="shared" si="38"/>
        <v>1567.2252928000003</v>
      </c>
      <c r="G84" s="4">
        <f t="shared" si="38"/>
        <v>1634.4381621247999</v>
      </c>
      <c r="H84" s="4">
        <f t="shared" si="38"/>
        <v>1912.6917356992151</v>
      </c>
      <c r="I84" s="4">
        <f t="shared" si="38"/>
        <v>1886.142432502196</v>
      </c>
      <c r="J84" s="4"/>
    </row>
    <row r="85" spans="2:10" x14ac:dyDescent="0.5">
      <c r="B85" s="3" t="str">
        <f t="shared" ref="B85:I85" si="39">+B32</f>
        <v>rA</v>
      </c>
      <c r="C85" s="3">
        <f t="shared" si="39"/>
        <v>0.1</v>
      </c>
      <c r="D85" s="3">
        <f t="shared" si="39"/>
        <v>0.1</v>
      </c>
      <c r="E85" s="3">
        <f t="shared" si="39"/>
        <v>0.1</v>
      </c>
      <c r="F85" s="3">
        <f t="shared" si="39"/>
        <v>0.1</v>
      </c>
      <c r="G85" s="3">
        <f t="shared" si="39"/>
        <v>0.1</v>
      </c>
      <c r="H85" s="3">
        <f t="shared" si="39"/>
        <v>0.1</v>
      </c>
      <c r="I85" s="3">
        <f t="shared" si="39"/>
        <v>0.1</v>
      </c>
      <c r="J85" s="3"/>
    </row>
    <row r="86" spans="2:10" x14ac:dyDescent="0.5">
      <c r="B86" s="17" t="s">
        <v>34</v>
      </c>
      <c r="C86" s="18">
        <f t="shared" ref="C86:G86" si="40">+(C84+D86)/(1+C85)</f>
        <v>33295.679767887967</v>
      </c>
      <c r="D86" s="18">
        <f t="shared" si="40"/>
        <v>35297.247744676766</v>
      </c>
      <c r="E86" s="18">
        <f t="shared" si="40"/>
        <v>37398.172519144442</v>
      </c>
      <c r="F86" s="18">
        <f t="shared" si="40"/>
        <v>39639.727371058892</v>
      </c>
      <c r="G86" s="18">
        <f t="shared" si="40"/>
        <v>42036.474815364782</v>
      </c>
      <c r="H86" s="18">
        <f>+(H84+I86)/(1+H85)</f>
        <v>44605.684134776457</v>
      </c>
      <c r="I86" s="18">
        <f>+I84/(I85-J31)</f>
        <v>47153.56081255489</v>
      </c>
    </row>
    <row r="90" spans="2:10" x14ac:dyDescent="0.5">
      <c r="B90" t="s">
        <v>46</v>
      </c>
    </row>
    <row r="91" spans="2:10" x14ac:dyDescent="0.5">
      <c r="B91" s="4" t="str">
        <f>+B72</f>
        <v>FCFE</v>
      </c>
      <c r="C91" s="4">
        <f t="shared" ref="C91:I91" si="41">+C72</f>
        <v>624.6876400660949</v>
      </c>
      <c r="D91" s="4">
        <f t="shared" si="41"/>
        <v>-1278.9442251292767</v>
      </c>
      <c r="E91" s="4">
        <f t="shared" si="41"/>
        <v>-1034.2239208883284</v>
      </c>
      <c r="F91" s="4">
        <f t="shared" si="41"/>
        <v>-788.93507055051009</v>
      </c>
      <c r="G91" s="4">
        <f t="shared" si="41"/>
        <v>17298.020227250341</v>
      </c>
      <c r="H91" s="4">
        <f t="shared" si="41"/>
        <v>1861.3059875759525</v>
      </c>
      <c r="I91" s="4">
        <f t="shared" si="41"/>
        <v>1886.142432502196</v>
      </c>
    </row>
    <row r="92" spans="2:10" x14ac:dyDescent="0.5">
      <c r="B92" t="s">
        <v>47</v>
      </c>
      <c r="C92" s="25">
        <f>+(C32-C34*C35)/(1-C34)</f>
        <v>0.10733676798864987</v>
      </c>
      <c r="D92" s="25">
        <f t="shared" ref="D92:G92" si="42">+(D32-D34*D35)/(1-D34)</f>
        <v>0.10654476691672206</v>
      </c>
      <c r="E92" s="25">
        <f t="shared" si="42"/>
        <v>0.10417802306816404</v>
      </c>
      <c r="F92" s="25">
        <f t="shared" si="42"/>
        <v>0.10240229013610926</v>
      </c>
      <c r="G92" s="25">
        <f t="shared" si="42"/>
        <v>0.10104626382329682</v>
      </c>
      <c r="H92" s="3">
        <f t="shared" ref="C92:I92" si="43">+(H32-H34*H45)/(1-H34)</f>
        <v>0.12666666666666671</v>
      </c>
      <c r="I92" s="3">
        <f t="shared" si="43"/>
        <v>0.12666666666666671</v>
      </c>
    </row>
    <row r="93" spans="2:10" x14ac:dyDescent="0.5">
      <c r="B93" t="s">
        <v>11</v>
      </c>
      <c r="C93" s="4">
        <f t="shared" ref="C93:G93" si="44">+(C91+D93)/(1+C92)</f>
        <v>25057.284909800903</v>
      </c>
      <c r="D93" s="4">
        <f t="shared" si="44"/>
        <v>27122.165246523604</v>
      </c>
      <c r="E93" s="4">
        <f t="shared" si="44"/>
        <v>31290.834246120561</v>
      </c>
      <c r="F93" s="4">
        <f t="shared" si="44"/>
        <v>35584.87541892333</v>
      </c>
      <c r="G93" s="4">
        <f t="shared" si="44"/>
        <v>40017.783226579733</v>
      </c>
      <c r="H93" s="4">
        <f>+(H91+I93)/(1+H92)</f>
        <v>26763.410480865867</v>
      </c>
      <c r="I93" s="4">
        <f>+I91/(I92-J31)</f>
        <v>28292.136487532924</v>
      </c>
    </row>
    <row r="94" spans="2:10" x14ac:dyDescent="0.5">
      <c r="B94" s="4" t="str">
        <f t="shared" ref="B94:G94" si="45">+B46</f>
        <v>D boy</v>
      </c>
      <c r="C94" s="4">
        <f t="shared" si="45"/>
        <v>8238.3948580870674</v>
      </c>
      <c r="D94" s="4">
        <f t="shared" si="45"/>
        <v>8175.0824981531623</v>
      </c>
      <c r="E94" s="4">
        <f t="shared" si="45"/>
        <v>6107.3382730238854</v>
      </c>
      <c r="F94" s="4">
        <f t="shared" si="45"/>
        <v>4054.851952135557</v>
      </c>
      <c r="G94" s="4">
        <f t="shared" si="45"/>
        <v>2018.6915887850466</v>
      </c>
      <c r="H94" s="20">
        <f>+H51</f>
        <v>17842.273653910586</v>
      </c>
      <c r="I94" s="20">
        <f>+I51</f>
        <v>18861.424325021959</v>
      </c>
      <c r="J94" t="s">
        <v>48</v>
      </c>
    </row>
    <row r="95" spans="2:10" x14ac:dyDescent="0.5">
      <c r="B95" s="17" t="s">
        <v>35</v>
      </c>
      <c r="C95" s="18">
        <f>+C93+C94</f>
        <v>33295.679767887967</v>
      </c>
      <c r="D95" s="18">
        <f t="shared" ref="D95:I95" si="46">+D93+D94</f>
        <v>35297.247744676766</v>
      </c>
      <c r="E95" s="18">
        <f t="shared" si="46"/>
        <v>37398.172519144449</v>
      </c>
      <c r="F95" s="18">
        <f t="shared" si="46"/>
        <v>39639.727371058885</v>
      </c>
      <c r="G95" s="18">
        <f t="shared" si="46"/>
        <v>42036.474815364782</v>
      </c>
      <c r="H95" s="18">
        <f t="shared" si="46"/>
        <v>44605.684134776457</v>
      </c>
      <c r="I95" s="18">
        <f t="shared" si="46"/>
        <v>47153.560812554882</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F6C0-1BAC-42CA-9FFB-FCE4A1DEEF7E}">
  <sheetPr codeName="Munka3"/>
  <dimension ref="B26:L97"/>
  <sheetViews>
    <sheetView topLeftCell="A69" zoomScaleNormal="100" workbookViewId="0">
      <selection activeCell="D77" sqref="D77"/>
    </sheetView>
  </sheetViews>
  <sheetFormatPr defaultRowHeight="15.75" x14ac:dyDescent="0.5"/>
  <cols>
    <col min="1" max="1" width="2.5" customWidth="1"/>
    <col min="2" max="2" width="28.625" bestFit="1" customWidth="1"/>
    <col min="3" max="3" width="10.75" bestFit="1" customWidth="1"/>
    <col min="4" max="6" width="8.75" bestFit="1" customWidth="1"/>
    <col min="7" max="7" width="10.75" bestFit="1" customWidth="1"/>
    <col min="8" max="8" width="12.375" bestFit="1" customWidth="1"/>
    <col min="9" max="9" width="8.75" bestFit="1" customWidth="1"/>
  </cols>
  <sheetData>
    <row r="26" spans="2:12" x14ac:dyDescent="0.5">
      <c r="C26" s="1">
        <v>2025</v>
      </c>
      <c r="D26" s="2">
        <f>+C26+1</f>
        <v>2026</v>
      </c>
      <c r="E26" s="2">
        <f t="shared" ref="E26:H26" si="0">+D26+1</f>
        <v>2027</v>
      </c>
      <c r="F26" s="2">
        <f t="shared" si="0"/>
        <v>2028</v>
      </c>
      <c r="G26" s="2">
        <f t="shared" si="0"/>
        <v>2029</v>
      </c>
      <c r="H26" s="2">
        <f t="shared" si="0"/>
        <v>2030</v>
      </c>
      <c r="I26" s="2" t="s">
        <v>8</v>
      </c>
      <c r="J26" s="2" t="s">
        <v>9</v>
      </c>
    </row>
    <row r="27" spans="2:12" x14ac:dyDescent="0.5">
      <c r="B27" t="s">
        <v>1</v>
      </c>
      <c r="C27" s="6">
        <v>20000</v>
      </c>
      <c r="D27" s="4"/>
      <c r="E27" s="4"/>
      <c r="F27" s="4"/>
      <c r="G27" s="4"/>
      <c r="H27" s="4"/>
      <c r="I27" s="4" t="s">
        <v>25</v>
      </c>
      <c r="J27" s="4"/>
      <c r="K27" s="4"/>
    </row>
    <row r="28" spans="2:12" x14ac:dyDescent="0.5">
      <c r="B28" t="s">
        <v>2</v>
      </c>
      <c r="C28" s="7">
        <v>0.15</v>
      </c>
      <c r="D28" s="3"/>
      <c r="E28" s="3"/>
      <c r="F28" s="3"/>
      <c r="G28" s="3"/>
      <c r="H28" s="3"/>
    </row>
    <row r="29" spans="2:12" x14ac:dyDescent="0.5">
      <c r="B29" t="s">
        <v>3</v>
      </c>
      <c r="C29" s="3"/>
      <c r="D29" s="7">
        <v>0.14000000000000001</v>
      </c>
      <c r="E29" s="7">
        <v>0.13</v>
      </c>
      <c r="F29" s="7">
        <v>0.12</v>
      </c>
      <c r="G29" s="7">
        <v>0.11</v>
      </c>
      <c r="H29" s="7">
        <v>0.1</v>
      </c>
      <c r="I29" s="11">
        <f>+I38</f>
        <v>9.5200000000000007E-2</v>
      </c>
      <c r="J29" s="11">
        <f t="shared" ref="J29:K29" si="1">+J38</f>
        <v>9.5200000000000007E-2</v>
      </c>
      <c r="K29" s="11">
        <f t="shared" si="1"/>
        <v>9.5200000000000007E-2</v>
      </c>
      <c r="L29" s="3"/>
    </row>
    <row r="30" spans="2:12" x14ac:dyDescent="0.5">
      <c r="B30" t="s">
        <v>4</v>
      </c>
      <c r="C30" s="7">
        <v>0.6</v>
      </c>
      <c r="D30" s="7">
        <v>0.6</v>
      </c>
      <c r="E30" s="7">
        <v>0.6</v>
      </c>
      <c r="F30" s="7">
        <v>0.6</v>
      </c>
      <c r="G30" s="7">
        <v>0.6</v>
      </c>
      <c r="H30" s="7">
        <v>0.6</v>
      </c>
      <c r="I30" s="3">
        <f>+J31/J29</f>
        <v>0.63025210084033612</v>
      </c>
      <c r="J30" s="3">
        <f>+K31/K29</f>
        <v>0.63025210084033612</v>
      </c>
      <c r="K30" s="3"/>
      <c r="L30" s="3"/>
    </row>
    <row r="31" spans="2:12" x14ac:dyDescent="0.5">
      <c r="B31" t="s">
        <v>6</v>
      </c>
      <c r="C31" s="3"/>
      <c r="D31" s="9"/>
      <c r="E31" s="9"/>
      <c r="F31" s="9"/>
      <c r="G31" s="9"/>
      <c r="H31" s="9"/>
      <c r="I31" s="9"/>
      <c r="J31" s="7">
        <v>0.06</v>
      </c>
      <c r="K31" s="7">
        <v>0.06</v>
      </c>
    </row>
    <row r="32" spans="2:12" x14ac:dyDescent="0.5">
      <c r="B32" t="s">
        <v>5</v>
      </c>
      <c r="C32" s="5">
        <v>0.1</v>
      </c>
      <c r="D32" s="5">
        <v>0.1</v>
      </c>
      <c r="E32" s="5">
        <v>0.1</v>
      </c>
      <c r="F32" s="5">
        <v>0.1</v>
      </c>
      <c r="G32" s="5">
        <v>0.1</v>
      </c>
      <c r="H32" s="5">
        <v>0.1</v>
      </c>
      <c r="I32" s="5">
        <v>0.1</v>
      </c>
      <c r="J32" s="5">
        <v>0.1</v>
      </c>
      <c r="K32" s="5">
        <v>0.1</v>
      </c>
    </row>
    <row r="33" spans="2:11" x14ac:dyDescent="0.5">
      <c r="B33" t="s">
        <v>22</v>
      </c>
      <c r="C33" s="5">
        <v>0.2</v>
      </c>
      <c r="D33" s="5">
        <v>0.2</v>
      </c>
      <c r="E33" s="5">
        <v>0.2</v>
      </c>
      <c r="F33" s="5">
        <v>0.2</v>
      </c>
      <c r="G33" s="5">
        <v>0.2</v>
      </c>
      <c r="H33" s="5">
        <v>0.2</v>
      </c>
      <c r="I33" s="5">
        <v>0.2</v>
      </c>
      <c r="J33" s="5">
        <v>0.2</v>
      </c>
      <c r="K33" s="5">
        <v>0.2</v>
      </c>
    </row>
    <row r="34" spans="2:11" x14ac:dyDescent="0.5">
      <c r="B34" t="s">
        <v>7</v>
      </c>
      <c r="C34" s="19">
        <f>+C46/C88</f>
        <v>0.63841616997232764</v>
      </c>
      <c r="D34" s="19">
        <f t="shared" ref="D34:G34" si="2">+D46/D88</f>
        <v>0.63070503620708251</v>
      </c>
      <c r="E34" s="19">
        <f t="shared" si="2"/>
        <v>0.62404386101259668</v>
      </c>
      <c r="F34" s="19">
        <f t="shared" si="2"/>
        <v>0.61829188357641485</v>
      </c>
      <c r="G34" s="19">
        <f t="shared" si="2"/>
        <v>0.50391065099539234</v>
      </c>
      <c r="H34" s="7">
        <v>0.4</v>
      </c>
      <c r="I34" s="7">
        <v>0.4</v>
      </c>
      <c r="J34" s="7">
        <v>0.4</v>
      </c>
      <c r="K34" s="7">
        <v>0.4</v>
      </c>
    </row>
    <row r="35" spans="2:11" x14ac:dyDescent="0.5">
      <c r="B35" t="s">
        <v>45</v>
      </c>
      <c r="C35" s="26">
        <f>+C42/C47</f>
        <v>2.1902203595862348E-2</v>
      </c>
      <c r="D35" s="26">
        <f t="shared" ref="D35:G35" si="3">+D42/D47</f>
        <v>2.0881826238553274E-2</v>
      </c>
      <c r="E35" s="26">
        <f t="shared" si="3"/>
        <v>1.9890313263231499E-2</v>
      </c>
      <c r="F35" s="26">
        <f t="shared" si="3"/>
        <v>2.0907367163238568E-2</v>
      </c>
      <c r="G35" s="26">
        <f t="shared" si="3"/>
        <v>1.2250958782614488E-2</v>
      </c>
      <c r="H35" s="5">
        <v>0.06</v>
      </c>
      <c r="I35" s="5">
        <v>0.06</v>
      </c>
      <c r="J35" s="5">
        <v>0.06</v>
      </c>
      <c r="K35" s="5">
        <v>0.06</v>
      </c>
    </row>
    <row r="36" spans="2:11" x14ac:dyDescent="0.5">
      <c r="B36" t="s">
        <v>23</v>
      </c>
      <c r="C36" s="10">
        <v>0.2</v>
      </c>
      <c r="D36" s="10">
        <v>0.2</v>
      </c>
      <c r="E36" s="10">
        <v>0.2</v>
      </c>
      <c r="F36" s="10">
        <v>0.2</v>
      </c>
      <c r="G36" s="10">
        <v>0.2</v>
      </c>
      <c r="H36" s="10">
        <v>0.2</v>
      </c>
      <c r="I36" s="10">
        <v>0.2</v>
      </c>
      <c r="J36" s="10">
        <v>0.2</v>
      </c>
      <c r="K36" s="10">
        <v>0.2</v>
      </c>
    </row>
    <row r="37" spans="2:11" x14ac:dyDescent="0.5">
      <c r="B37" t="s">
        <v>24</v>
      </c>
      <c r="C37" s="3">
        <f>+C59/C58</f>
        <v>0.2</v>
      </c>
      <c r="D37" s="3">
        <f t="shared" ref="D37:K37" si="4">+D59/D58</f>
        <v>0.2</v>
      </c>
      <c r="E37" s="3">
        <f t="shared" si="4"/>
        <v>0.2</v>
      </c>
      <c r="F37" s="3">
        <f t="shared" si="4"/>
        <v>0.2</v>
      </c>
      <c r="G37" s="3">
        <f t="shared" si="4"/>
        <v>0.2</v>
      </c>
      <c r="H37" s="3">
        <f t="shared" si="4"/>
        <v>0.2</v>
      </c>
      <c r="I37" s="3">
        <f t="shared" si="4"/>
        <v>0.2</v>
      </c>
      <c r="J37" s="3">
        <f t="shared" si="4"/>
        <v>0.2</v>
      </c>
      <c r="K37" s="3" t="e">
        <f t="shared" si="4"/>
        <v>#DIV/0!</v>
      </c>
    </row>
    <row r="38" spans="2:11" x14ac:dyDescent="0.5">
      <c r="B38" t="s">
        <v>26</v>
      </c>
      <c r="C38" s="26">
        <f>+C32-C35*C48*C36</f>
        <v>9.7233749306221251E-2</v>
      </c>
      <c r="D38" s="26">
        <f t="shared" ref="D38:G38" si="5">+D32-D35*D48*D36</f>
        <v>9.7393163162168589E-2</v>
      </c>
      <c r="E38" s="26">
        <f t="shared" si="5"/>
        <v>9.7541960015544771E-2</v>
      </c>
      <c r="F38" s="26">
        <f t="shared" si="5"/>
        <v>9.7681261822573348E-2</v>
      </c>
      <c r="G38" s="26">
        <f t="shared" si="5"/>
        <v>9.8906043451106845E-2</v>
      </c>
      <c r="H38" s="8">
        <f>+H32-H35*H34*H36</f>
        <v>9.5200000000000007E-2</v>
      </c>
      <c r="I38" s="8">
        <f t="shared" ref="I38:K38" si="6">+I32-I35*I34*I36</f>
        <v>9.5200000000000007E-2</v>
      </c>
      <c r="J38" s="8">
        <f t="shared" si="6"/>
        <v>9.5200000000000007E-2</v>
      </c>
      <c r="K38" s="8">
        <f t="shared" si="6"/>
        <v>9.5200000000000007E-2</v>
      </c>
    </row>
    <row r="39" spans="2:11" x14ac:dyDescent="0.5">
      <c r="H39" s="8"/>
      <c r="I39" s="8"/>
      <c r="J39" s="8"/>
      <c r="K39" s="8"/>
    </row>
    <row r="40" spans="2:11" x14ac:dyDescent="0.5">
      <c r="B40" s="21" t="s">
        <v>29</v>
      </c>
      <c r="C40" s="22">
        <v>9200</v>
      </c>
      <c r="D40" s="22">
        <v>9200</v>
      </c>
      <c r="E40" s="22">
        <v>9200</v>
      </c>
      <c r="F40" s="22">
        <v>9200</v>
      </c>
      <c r="G40" s="22">
        <f>+F40/2</f>
        <v>4600</v>
      </c>
      <c r="H40" s="4">
        <v>0</v>
      </c>
      <c r="I40" s="8"/>
      <c r="J40" s="8"/>
      <c r="K40" s="8"/>
    </row>
    <row r="41" spans="2:11" x14ac:dyDescent="0.5">
      <c r="B41" s="21" t="s">
        <v>30</v>
      </c>
      <c r="C41" s="23">
        <v>0.05</v>
      </c>
      <c r="D41" s="23">
        <v>0.05</v>
      </c>
      <c r="E41" s="23">
        <v>0.05</v>
      </c>
      <c r="F41" s="23">
        <v>0.05</v>
      </c>
      <c r="G41" s="23">
        <v>0.05</v>
      </c>
      <c r="H41" s="8"/>
      <c r="I41" s="8"/>
      <c r="J41" s="8"/>
      <c r="K41" s="8"/>
    </row>
    <row r="42" spans="2:11" x14ac:dyDescent="0.5">
      <c r="B42" t="s">
        <v>13</v>
      </c>
      <c r="C42" s="4">
        <f>+C40*C41</f>
        <v>460</v>
      </c>
      <c r="D42" s="4">
        <f t="shared" ref="D42:G42" si="7">+D40*D41</f>
        <v>460</v>
      </c>
      <c r="E42" s="4">
        <f t="shared" si="7"/>
        <v>460</v>
      </c>
      <c r="F42" s="4">
        <f t="shared" si="7"/>
        <v>460</v>
      </c>
      <c r="G42" s="4">
        <f t="shared" si="7"/>
        <v>230</v>
      </c>
      <c r="H42" s="8"/>
      <c r="I42" s="8"/>
      <c r="J42" s="8"/>
      <c r="K42" s="8"/>
    </row>
    <row r="43" spans="2:11" x14ac:dyDescent="0.5">
      <c r="B43" t="s">
        <v>31</v>
      </c>
      <c r="C43" s="4">
        <f>+C40-D40</f>
        <v>0</v>
      </c>
      <c r="D43" s="4">
        <f t="shared" ref="D43:G43" si="8">+D40-E40</f>
        <v>0</v>
      </c>
      <c r="E43" s="4">
        <f t="shared" si="8"/>
        <v>0</v>
      </c>
      <c r="F43" s="4">
        <f t="shared" si="8"/>
        <v>4600</v>
      </c>
      <c r="G43" s="4">
        <f t="shared" si="8"/>
        <v>4600</v>
      </c>
      <c r="H43" s="8"/>
      <c r="I43" s="8"/>
      <c r="J43" s="8"/>
      <c r="K43" s="8"/>
    </row>
    <row r="44" spans="2:11" x14ac:dyDescent="0.5">
      <c r="B44" s="12" t="s">
        <v>50</v>
      </c>
      <c r="C44" s="13">
        <f>+C42+C43</f>
        <v>460</v>
      </c>
      <c r="D44" s="13">
        <f t="shared" ref="D44:G44" si="9">+D42+D43</f>
        <v>460</v>
      </c>
      <c r="E44" s="13">
        <f t="shared" si="9"/>
        <v>460</v>
      </c>
      <c r="F44" s="13">
        <f t="shared" si="9"/>
        <v>5060</v>
      </c>
      <c r="G44" s="13">
        <f t="shared" si="9"/>
        <v>4830</v>
      </c>
      <c r="H44" s="8"/>
      <c r="I44" s="8"/>
      <c r="J44" s="8"/>
      <c r="K44" s="8"/>
    </row>
    <row r="45" spans="2:11" x14ac:dyDescent="0.5">
      <c r="B45" t="s">
        <v>0</v>
      </c>
      <c r="C45" s="8">
        <v>7.0000000000000007E-2</v>
      </c>
      <c r="D45" s="8">
        <v>7.0000000000000007E-2</v>
      </c>
      <c r="E45" s="8">
        <v>7.0000000000000007E-2</v>
      </c>
      <c r="F45" s="8">
        <v>7.0000000000000007E-2</v>
      </c>
      <c r="G45" s="8">
        <v>7.0000000000000007E-2</v>
      </c>
      <c r="H45" s="8">
        <f>+H35</f>
        <v>0.06</v>
      </c>
      <c r="I45" s="8">
        <f t="shared" ref="I45:K45" si="10">+I35</f>
        <v>0.06</v>
      </c>
      <c r="J45" s="8">
        <f t="shared" si="10"/>
        <v>0.06</v>
      </c>
      <c r="K45" s="8">
        <f t="shared" si="10"/>
        <v>0.06</v>
      </c>
    </row>
    <row r="46" spans="2:11" x14ac:dyDescent="0.5">
      <c r="B46" t="s">
        <v>10</v>
      </c>
      <c r="C46" s="4">
        <f t="shared" ref="C46:F46" si="11">+(C44+D46)/(1+C45)</f>
        <v>21232.45292610196</v>
      </c>
      <c r="D46" s="4">
        <f t="shared" si="11"/>
        <v>22258.724630929097</v>
      </c>
      <c r="E46" s="4">
        <f t="shared" si="11"/>
        <v>23356.835355094136</v>
      </c>
      <c r="F46" s="4">
        <f t="shared" si="11"/>
        <v>24531.813829950726</v>
      </c>
      <c r="G46" s="4">
        <f>+(G44+H46)/(1+G45)</f>
        <v>21189.040798047277</v>
      </c>
      <c r="H46" s="14">
        <f>+H52</f>
        <v>17842.273653910586</v>
      </c>
      <c r="I46" s="8"/>
      <c r="J46" s="8"/>
      <c r="K46" s="8"/>
    </row>
    <row r="47" spans="2:11" x14ac:dyDescent="0.5">
      <c r="B47" t="s">
        <v>51</v>
      </c>
      <c r="C47" s="4">
        <f>+C46-C50</f>
        <v>21002.45292610196</v>
      </c>
      <c r="D47" s="4">
        <f t="shared" ref="D47:G47" si="12">+D46-D50</f>
        <v>22028.724630929097</v>
      </c>
      <c r="E47" s="4">
        <f t="shared" si="12"/>
        <v>23126.835355094136</v>
      </c>
      <c r="F47" s="4">
        <f t="shared" si="12"/>
        <v>22001.813829950726</v>
      </c>
      <c r="G47" s="4">
        <f t="shared" si="12"/>
        <v>18774.040798047277</v>
      </c>
      <c r="H47" s="8"/>
      <c r="I47" s="8"/>
      <c r="J47" s="8"/>
      <c r="K47" s="8"/>
    </row>
    <row r="48" spans="2:11" x14ac:dyDescent="0.5">
      <c r="B48" t="s">
        <v>53</v>
      </c>
      <c r="C48" s="3">
        <f>+C47/C88</f>
        <v>0.63150054323788074</v>
      </c>
      <c r="D48" s="3">
        <f t="shared" ref="D48:G48" si="13">+D47/D88</f>
        <v>0.624187944112504</v>
      </c>
      <c r="E48" s="3">
        <f t="shared" si="13"/>
        <v>0.61789876105145858</v>
      </c>
      <c r="F48" s="3">
        <f t="shared" si="13"/>
        <v>0.55452658369718166</v>
      </c>
      <c r="G48" s="3">
        <f t="shared" si="13"/>
        <v>0.44647793217850174</v>
      </c>
      <c r="H48" s="8"/>
      <c r="I48" s="8"/>
      <c r="J48" s="8"/>
      <c r="K48" s="8"/>
    </row>
    <row r="49" spans="2:11" x14ac:dyDescent="0.5">
      <c r="C49" s="4"/>
      <c r="D49" s="4"/>
      <c r="E49" s="4"/>
      <c r="F49" s="4"/>
      <c r="G49" s="4"/>
      <c r="H49" s="8"/>
      <c r="I49" s="8"/>
      <c r="J49" s="8"/>
      <c r="K49" s="8"/>
    </row>
    <row r="50" spans="2:11" x14ac:dyDescent="0.5">
      <c r="B50" s="21" t="s">
        <v>49</v>
      </c>
      <c r="C50" s="4">
        <f>+C44/2</f>
        <v>230</v>
      </c>
      <c r="D50" s="4">
        <f t="shared" ref="D50:G50" si="14">+D44/2</f>
        <v>230</v>
      </c>
      <c r="E50" s="4">
        <f t="shared" si="14"/>
        <v>230</v>
      </c>
      <c r="F50" s="4">
        <f t="shared" si="14"/>
        <v>2530</v>
      </c>
      <c r="G50" s="4">
        <f t="shared" si="14"/>
        <v>2415</v>
      </c>
      <c r="H50" s="24">
        <v>0</v>
      </c>
      <c r="I50" s="24">
        <v>0</v>
      </c>
      <c r="J50" s="24">
        <v>0</v>
      </c>
    </row>
    <row r="51" spans="2:11" x14ac:dyDescent="0.5">
      <c r="B51" t="str">
        <f>+B27</f>
        <v>IC boy</v>
      </c>
      <c r="C51" s="4">
        <f>+C27</f>
        <v>20000</v>
      </c>
      <c r="D51" s="4">
        <f>+C51+C68</f>
        <v>21800</v>
      </c>
      <c r="E51" s="4">
        <f t="shared" ref="E51:J51" si="15">+D51+D68</f>
        <v>23751.200000000001</v>
      </c>
      <c r="F51" s="4">
        <f t="shared" si="15"/>
        <v>25854.5936</v>
      </c>
      <c r="G51" s="4">
        <f t="shared" si="15"/>
        <v>28109.431539199999</v>
      </c>
      <c r="H51" s="4">
        <f t="shared" si="15"/>
        <v>30513.0887823872</v>
      </c>
      <c r="I51" s="4">
        <f t="shared" si="15"/>
        <v>33060.965460165629</v>
      </c>
      <c r="J51" s="4">
        <f t="shared" si="15"/>
        <v>35890.179108918921</v>
      </c>
    </row>
    <row r="52" spans="2:11" x14ac:dyDescent="0.5">
      <c r="B52" s="15" t="s">
        <v>27</v>
      </c>
      <c r="C52" s="16">
        <f>+C40</f>
        <v>9200</v>
      </c>
      <c r="D52" s="16">
        <f t="shared" ref="D52:G52" si="16">+D40</f>
        <v>9200</v>
      </c>
      <c r="E52" s="16">
        <f t="shared" si="16"/>
        <v>9200</v>
      </c>
      <c r="F52" s="16">
        <f t="shared" si="16"/>
        <v>9200</v>
      </c>
      <c r="G52" s="16">
        <f t="shared" si="16"/>
        <v>4600</v>
      </c>
      <c r="H52" s="4">
        <f>+H34*H82</f>
        <v>17842.273653910586</v>
      </c>
      <c r="I52" s="4">
        <f t="shared" ref="I52:J52" si="17">+I34*I82</f>
        <v>18861.424325021959</v>
      </c>
      <c r="J52" s="4">
        <f t="shared" si="17"/>
        <v>19993.109784523276</v>
      </c>
    </row>
    <row r="53" spans="2:11" x14ac:dyDescent="0.5">
      <c r="B53" s="21" t="s">
        <v>28</v>
      </c>
      <c r="C53" s="4">
        <f>+C50+C51-C52</f>
        <v>11030</v>
      </c>
      <c r="D53" s="4">
        <f t="shared" ref="D53:J53" si="18">+D50+D51-D52</f>
        <v>12830</v>
      </c>
      <c r="E53" s="4">
        <f t="shared" si="18"/>
        <v>14781.2</v>
      </c>
      <c r="F53" s="4">
        <f t="shared" si="18"/>
        <v>19184.5936</v>
      </c>
      <c r="G53" s="4">
        <f t="shared" si="18"/>
        <v>25924.431539199999</v>
      </c>
      <c r="H53" s="4">
        <f t="shared" si="18"/>
        <v>12670.815128476614</v>
      </c>
      <c r="I53" s="4">
        <f t="shared" si="18"/>
        <v>14199.541135143671</v>
      </c>
      <c r="J53" s="4">
        <f t="shared" si="18"/>
        <v>15897.069324395645</v>
      </c>
    </row>
    <row r="56" spans="2:11" x14ac:dyDescent="0.5">
      <c r="B56" t="s">
        <v>12</v>
      </c>
      <c r="C56" s="4">
        <f>+C67/(1-C36)</f>
        <v>3750</v>
      </c>
      <c r="D56" s="4">
        <f t="shared" ref="D56:J56" si="19">+D67/(1-D36)</f>
        <v>4065</v>
      </c>
      <c r="E56" s="4">
        <f t="shared" si="19"/>
        <v>4382.07</v>
      </c>
      <c r="F56" s="4">
        <f t="shared" si="19"/>
        <v>4697.5790399999996</v>
      </c>
      <c r="G56" s="4">
        <f t="shared" si="19"/>
        <v>5007.6192566399995</v>
      </c>
      <c r="H56" s="4">
        <f t="shared" si="19"/>
        <v>5308.0764120384001</v>
      </c>
      <c r="I56" s="4">
        <f t="shared" si="19"/>
        <v>5611.2737366940337</v>
      </c>
      <c r="J56" s="4">
        <f t="shared" si="19"/>
        <v>5947.9501608956753</v>
      </c>
    </row>
    <row r="57" spans="2:11" x14ac:dyDescent="0.5">
      <c r="B57" t="s">
        <v>13</v>
      </c>
      <c r="C57" s="4">
        <f>+C42</f>
        <v>460</v>
      </c>
      <c r="D57" s="4">
        <f t="shared" ref="D57:G57" si="20">+D42</f>
        <v>460</v>
      </c>
      <c r="E57" s="4">
        <f t="shared" si="20"/>
        <v>460</v>
      </c>
      <c r="F57" s="4">
        <f t="shared" si="20"/>
        <v>460</v>
      </c>
      <c r="G57" s="4">
        <f t="shared" si="20"/>
        <v>230</v>
      </c>
      <c r="H57" s="4">
        <f>+H52*H35</f>
        <v>1070.5364192346351</v>
      </c>
      <c r="I57" s="4">
        <f t="shared" ref="I57:J57" si="21">+I52*I35</f>
        <v>1131.6854595013174</v>
      </c>
      <c r="J57" s="4">
        <f t="shared" si="21"/>
        <v>1199.5865870713965</v>
      </c>
    </row>
    <row r="58" spans="2:11" x14ac:dyDescent="0.5">
      <c r="B58" t="s">
        <v>14</v>
      </c>
      <c r="C58" s="4">
        <f>+C56-C57</f>
        <v>3290</v>
      </c>
      <c r="D58" s="4">
        <f t="shared" ref="D58:J58" si="22">+D56-D57</f>
        <v>3605</v>
      </c>
      <c r="E58" s="4">
        <f t="shared" si="22"/>
        <v>3922.0699999999997</v>
      </c>
      <c r="F58" s="4">
        <f t="shared" si="22"/>
        <v>4237.5790399999996</v>
      </c>
      <c r="G58" s="4">
        <f t="shared" si="22"/>
        <v>4777.6192566399995</v>
      </c>
      <c r="H58" s="4">
        <f t="shared" si="22"/>
        <v>4237.539992803765</v>
      </c>
      <c r="I58" s="4">
        <f t="shared" si="22"/>
        <v>4479.5882771927163</v>
      </c>
      <c r="J58" s="4">
        <f t="shared" si="22"/>
        <v>4748.3635738242792</v>
      </c>
    </row>
    <row r="59" spans="2:11" x14ac:dyDescent="0.5">
      <c r="B59" t="s">
        <v>15</v>
      </c>
      <c r="C59" s="4">
        <f>+IF(C58&lt;0,0,C58*C33)</f>
        <v>658</v>
      </c>
      <c r="D59" s="4">
        <f t="shared" ref="D59:J59" si="23">+IF(D58&lt;0,0,D58*D33)</f>
        <v>721</v>
      </c>
      <c r="E59" s="4">
        <f t="shared" si="23"/>
        <v>784.41399999999999</v>
      </c>
      <c r="F59" s="4">
        <f t="shared" si="23"/>
        <v>847.51580799999999</v>
      </c>
      <c r="G59" s="4">
        <f t="shared" si="23"/>
        <v>955.52385132799998</v>
      </c>
      <c r="H59" s="4">
        <f t="shared" si="23"/>
        <v>847.50799856075309</v>
      </c>
      <c r="I59" s="4">
        <f t="shared" si="23"/>
        <v>895.91765543854331</v>
      </c>
      <c r="J59" s="4">
        <f t="shared" si="23"/>
        <v>949.67271476485587</v>
      </c>
    </row>
    <row r="60" spans="2:11" x14ac:dyDescent="0.5">
      <c r="B60" t="s">
        <v>16</v>
      </c>
      <c r="C60" s="4">
        <f>+C58-C59</f>
        <v>2632</v>
      </c>
      <c r="D60" s="4">
        <f t="shared" ref="D60:J60" si="24">+D58-D59</f>
        <v>2884</v>
      </c>
      <c r="E60" s="4">
        <f t="shared" si="24"/>
        <v>3137.6559999999999</v>
      </c>
      <c r="F60" s="4">
        <f t="shared" si="24"/>
        <v>3390.0632319999995</v>
      </c>
      <c r="G60" s="4">
        <f t="shared" si="24"/>
        <v>3822.0954053119995</v>
      </c>
      <c r="H60" s="4">
        <f t="shared" si="24"/>
        <v>3390.0319942430119</v>
      </c>
      <c r="I60" s="4">
        <f t="shared" si="24"/>
        <v>3583.6706217541732</v>
      </c>
      <c r="J60" s="4">
        <f t="shared" si="24"/>
        <v>3798.6908590594235</v>
      </c>
    </row>
    <row r="61" spans="2:11" x14ac:dyDescent="0.5">
      <c r="B61" t="s">
        <v>17</v>
      </c>
      <c r="C61" s="4">
        <f>+C60-C62</f>
        <v>832</v>
      </c>
      <c r="D61" s="4">
        <f t="shared" ref="D61:J61" si="25">+D60-D62</f>
        <v>932.79999999999927</v>
      </c>
      <c r="E61" s="4">
        <f t="shared" si="25"/>
        <v>0</v>
      </c>
      <c r="F61" s="4">
        <f t="shared" si="25"/>
        <v>0</v>
      </c>
      <c r="G61" s="4">
        <f t="shared" si="25"/>
        <v>3822.0954053119995</v>
      </c>
      <c r="H61" s="4">
        <f t="shared" si="25"/>
        <v>1861.305987575955</v>
      </c>
      <c r="I61" s="4">
        <f t="shared" si="25"/>
        <v>1886.142432502199</v>
      </c>
      <c r="J61" s="4">
        <f t="shared" si="25"/>
        <v>0</v>
      </c>
    </row>
    <row r="62" spans="2:11" x14ac:dyDescent="0.5">
      <c r="B62" t="s">
        <v>18</v>
      </c>
      <c r="C62" s="4">
        <f>+IF(C60&lt;0,C60,MAX(0,MIN(C60,C64)))</f>
        <v>1800</v>
      </c>
      <c r="D62" s="4">
        <f t="shared" ref="D62:J62" si="26">+IF(D60&lt;0,D60,MAX(0,MIN(D60,D64)))</f>
        <v>1951.2000000000007</v>
      </c>
      <c r="E62" s="4">
        <f t="shared" si="26"/>
        <v>3137.6559999999999</v>
      </c>
      <c r="F62" s="4">
        <f t="shared" si="26"/>
        <v>3390.0632319999995</v>
      </c>
      <c r="G62" s="4">
        <f t="shared" si="26"/>
        <v>0</v>
      </c>
      <c r="H62" s="4">
        <f t="shared" si="26"/>
        <v>1528.7260066670569</v>
      </c>
      <c r="I62" s="4">
        <f t="shared" si="26"/>
        <v>1697.5281892519743</v>
      </c>
      <c r="J62" s="4">
        <f t="shared" si="26"/>
        <v>3798.6908590594235</v>
      </c>
    </row>
    <row r="64" spans="2:11" x14ac:dyDescent="0.5">
      <c r="B64" t="s">
        <v>36</v>
      </c>
      <c r="C64" s="4">
        <f>+D53-C53</f>
        <v>1800</v>
      </c>
      <c r="D64" s="4">
        <f t="shared" ref="D64:I64" si="27">+E53-D53</f>
        <v>1951.2000000000007</v>
      </c>
      <c r="E64" s="4">
        <f t="shared" si="27"/>
        <v>4403.3935999999994</v>
      </c>
      <c r="F64" s="4">
        <f t="shared" si="27"/>
        <v>6739.8379391999988</v>
      </c>
      <c r="G64" s="4">
        <f t="shared" si="27"/>
        <v>-13253.616410723385</v>
      </c>
      <c r="H64" s="4">
        <f t="shared" si="27"/>
        <v>1528.7260066670569</v>
      </c>
      <c r="I64" s="4">
        <f t="shared" si="27"/>
        <v>1697.5281892519743</v>
      </c>
    </row>
    <row r="65" spans="2:10" x14ac:dyDescent="0.5">
      <c r="B65" t="s">
        <v>37</v>
      </c>
      <c r="C65" s="4">
        <f>+C64-C62</f>
        <v>0</v>
      </c>
      <c r="D65" s="4">
        <f t="shared" ref="D65:I65" si="28">+D64-D62</f>
        <v>0</v>
      </c>
      <c r="E65" s="4">
        <f t="shared" si="28"/>
        <v>1265.7375999999995</v>
      </c>
      <c r="F65" s="4">
        <f t="shared" si="28"/>
        <v>3349.7747071999993</v>
      </c>
      <c r="G65" s="4">
        <f t="shared" si="28"/>
        <v>-13253.616410723385</v>
      </c>
      <c r="H65" s="4">
        <f t="shared" si="28"/>
        <v>0</v>
      </c>
      <c r="I65" s="4">
        <f t="shared" si="28"/>
        <v>0</v>
      </c>
    </row>
    <row r="67" spans="2:10" x14ac:dyDescent="0.5">
      <c r="B67" t="s">
        <v>19</v>
      </c>
      <c r="C67" s="4">
        <f>+C51*C28</f>
        <v>3000</v>
      </c>
      <c r="D67" s="4">
        <f>+C67+C68*D29</f>
        <v>3252</v>
      </c>
      <c r="E67" s="4">
        <f t="shared" ref="E67:J67" si="29">+D67+D68*E29</f>
        <v>3505.6559999999999</v>
      </c>
      <c r="F67" s="4">
        <f t="shared" si="29"/>
        <v>3758.063232</v>
      </c>
      <c r="G67" s="4">
        <f t="shared" si="29"/>
        <v>4006.0954053119999</v>
      </c>
      <c r="H67" s="4">
        <f t="shared" si="29"/>
        <v>4246.4611296307203</v>
      </c>
      <c r="I67" s="4">
        <f t="shared" si="29"/>
        <v>4489.0189893552269</v>
      </c>
      <c r="J67" s="4">
        <f t="shared" si="29"/>
        <v>4758.3601287165402</v>
      </c>
    </row>
    <row r="68" spans="2:10" x14ac:dyDescent="0.5">
      <c r="B68" t="s">
        <v>20</v>
      </c>
      <c r="C68" s="4">
        <f>+C67*C30</f>
        <v>1800</v>
      </c>
      <c r="D68" s="4">
        <f t="shared" ref="D68:J68" si="30">+D67*D30</f>
        <v>1951.1999999999998</v>
      </c>
      <c r="E68" s="4">
        <f t="shared" si="30"/>
        <v>2103.3935999999999</v>
      </c>
      <c r="F68" s="4">
        <f t="shared" si="30"/>
        <v>2254.8379391999997</v>
      </c>
      <c r="G68" s="4">
        <f t="shared" si="30"/>
        <v>2403.6572431872</v>
      </c>
      <c r="H68" s="4">
        <f t="shared" si="30"/>
        <v>2547.8766777784322</v>
      </c>
      <c r="I68" s="4">
        <f t="shared" si="30"/>
        <v>2829.2136487532944</v>
      </c>
      <c r="J68" s="4">
        <f t="shared" si="30"/>
        <v>2998.9664676784914</v>
      </c>
    </row>
    <row r="69" spans="2:10" x14ac:dyDescent="0.5">
      <c r="B69" t="s">
        <v>21</v>
      </c>
      <c r="C69" s="4">
        <f>+C67-C68</f>
        <v>1200</v>
      </c>
      <c r="D69" s="4">
        <f t="shared" ref="D69:J69" si="31">+D67-D68</f>
        <v>1300.8000000000002</v>
      </c>
      <c r="E69" s="4">
        <f t="shared" si="31"/>
        <v>1402.2624000000001</v>
      </c>
      <c r="F69" s="4">
        <f t="shared" si="31"/>
        <v>1503.2252928000003</v>
      </c>
      <c r="G69" s="4">
        <f t="shared" si="31"/>
        <v>1602.4381621247999</v>
      </c>
      <c r="H69" s="4">
        <f t="shared" si="31"/>
        <v>1698.5844518522881</v>
      </c>
      <c r="I69" s="4">
        <f t="shared" si="31"/>
        <v>1659.8053406019326</v>
      </c>
      <c r="J69" s="4">
        <f t="shared" si="31"/>
        <v>1759.3936610380488</v>
      </c>
    </row>
    <row r="70" spans="2:10" x14ac:dyDescent="0.5">
      <c r="B70" s="4" t="str">
        <f>+B57</f>
        <v>Interest payment</v>
      </c>
      <c r="C70" s="4">
        <f t="shared" ref="C70:I70" si="32">+C57</f>
        <v>460</v>
      </c>
      <c r="D70" s="4">
        <f t="shared" si="32"/>
        <v>460</v>
      </c>
      <c r="E70" s="4">
        <f t="shared" si="32"/>
        <v>460</v>
      </c>
      <c r="F70" s="4">
        <f t="shared" si="32"/>
        <v>460</v>
      </c>
      <c r="G70" s="4">
        <f t="shared" si="32"/>
        <v>230</v>
      </c>
      <c r="H70" s="4">
        <f t="shared" si="32"/>
        <v>1070.5364192346351</v>
      </c>
      <c r="I70" s="4">
        <f t="shared" si="32"/>
        <v>1131.6854595013174</v>
      </c>
      <c r="J70" s="4"/>
    </row>
    <row r="71" spans="2:10" x14ac:dyDescent="0.5">
      <c r="B71" t="s">
        <v>38</v>
      </c>
      <c r="C71" s="4">
        <f>+C70*C36</f>
        <v>92</v>
      </c>
      <c r="D71" s="4">
        <f t="shared" ref="D71:I71" si="33">+D70*D36</f>
        <v>92</v>
      </c>
      <c r="E71" s="4">
        <f t="shared" si="33"/>
        <v>92</v>
      </c>
      <c r="F71" s="4">
        <f t="shared" si="33"/>
        <v>92</v>
      </c>
      <c r="G71" s="4">
        <f t="shared" si="33"/>
        <v>46</v>
      </c>
      <c r="H71" s="4">
        <f t="shared" si="33"/>
        <v>214.10728384692703</v>
      </c>
      <c r="I71" s="4">
        <f t="shared" si="33"/>
        <v>226.33709190026349</v>
      </c>
      <c r="J71" s="4"/>
    </row>
    <row r="72" spans="2:10" x14ac:dyDescent="0.5">
      <c r="B72" t="s">
        <v>39</v>
      </c>
      <c r="C72" s="31">
        <f>+D46-C46</f>
        <v>1026.271704827137</v>
      </c>
      <c r="D72" s="31">
        <f t="shared" ref="D72:G72" si="34">+E46-D46</f>
        <v>1098.1107241650388</v>
      </c>
      <c r="E72" s="31">
        <f t="shared" si="34"/>
        <v>1174.9784748565908</v>
      </c>
      <c r="F72" s="31">
        <f t="shared" si="34"/>
        <v>-3342.773031903449</v>
      </c>
      <c r="G72" s="31">
        <f>+H46-G46</f>
        <v>-3346.7671441366911</v>
      </c>
      <c r="H72" s="4">
        <f t="shared" ref="D72:I72" si="35">+I52-H52</f>
        <v>1019.1506711113725</v>
      </c>
      <c r="I72" s="4">
        <f t="shared" si="35"/>
        <v>1131.6854595013174</v>
      </c>
      <c r="J72" s="4"/>
    </row>
    <row r="73" spans="2:10" x14ac:dyDescent="0.5">
      <c r="B73" s="21" t="s">
        <v>52</v>
      </c>
      <c r="C73" s="4">
        <f>+D50-C50</f>
        <v>0</v>
      </c>
      <c r="D73" s="4">
        <f t="shared" ref="D73:I73" si="36">+E50-D50</f>
        <v>0</v>
      </c>
      <c r="E73" s="4">
        <f t="shared" si="36"/>
        <v>2300</v>
      </c>
      <c r="F73" s="4">
        <f t="shared" si="36"/>
        <v>-115</v>
      </c>
      <c r="G73" s="4">
        <f t="shared" si="36"/>
        <v>-2415</v>
      </c>
      <c r="H73" s="4">
        <f t="shared" si="36"/>
        <v>0</v>
      </c>
      <c r="I73" s="4">
        <f t="shared" si="36"/>
        <v>0</v>
      </c>
      <c r="J73" s="4"/>
    </row>
    <row r="74" spans="2:10" x14ac:dyDescent="0.5">
      <c r="B74" s="21" t="s">
        <v>40</v>
      </c>
      <c r="C74" s="4">
        <f>+C69-C70+C71+C72-C73</f>
        <v>1858.271704827137</v>
      </c>
      <c r="D74" s="4">
        <f t="shared" ref="D74:I74" si="37">+D69-D70+D71+D72-D73</f>
        <v>2030.910724165039</v>
      </c>
      <c r="E74" s="4">
        <f t="shared" si="37"/>
        <v>-90.759125143409165</v>
      </c>
      <c r="F74" s="4">
        <f t="shared" si="37"/>
        <v>-2092.5477391034487</v>
      </c>
      <c r="G74" s="4">
        <f t="shared" si="37"/>
        <v>486.67101798810882</v>
      </c>
      <c r="H74" s="4">
        <f t="shared" si="37"/>
        <v>1861.3059875759525</v>
      </c>
      <c r="I74" s="4">
        <f t="shared" si="37"/>
        <v>1886.142432502196</v>
      </c>
      <c r="J74" s="4"/>
    </row>
    <row r="75" spans="2:10" x14ac:dyDescent="0.5">
      <c r="B75" t="str">
        <f>+B61</f>
        <v>Dividend</v>
      </c>
      <c r="C75" s="4">
        <f>+C61</f>
        <v>832</v>
      </c>
      <c r="D75" s="4">
        <f t="shared" ref="D75:I75" si="38">+D61</f>
        <v>932.79999999999927</v>
      </c>
      <c r="E75" s="4">
        <f t="shared" si="38"/>
        <v>0</v>
      </c>
      <c r="F75" s="4">
        <f t="shared" si="38"/>
        <v>0</v>
      </c>
      <c r="G75" s="4">
        <f t="shared" si="38"/>
        <v>3822.0954053119995</v>
      </c>
      <c r="H75" s="4">
        <f t="shared" si="38"/>
        <v>1861.305987575955</v>
      </c>
      <c r="I75" s="4">
        <f t="shared" si="38"/>
        <v>1886.142432502199</v>
      </c>
    </row>
    <row r="76" spans="2:10" x14ac:dyDescent="0.5">
      <c r="B76" t="s">
        <v>41</v>
      </c>
      <c r="C76" s="4">
        <f>+D53-C53-C62</f>
        <v>0</v>
      </c>
      <c r="D76" s="4">
        <f t="shared" ref="D76:I76" si="39">+E53-D53-D62</f>
        <v>0</v>
      </c>
      <c r="E76" s="4">
        <f t="shared" si="39"/>
        <v>1265.7375999999995</v>
      </c>
      <c r="F76" s="4">
        <f t="shared" si="39"/>
        <v>3349.7747071999993</v>
      </c>
      <c r="G76" s="4">
        <f t="shared" si="39"/>
        <v>-13253.616410723385</v>
      </c>
      <c r="H76" s="4">
        <f t="shared" si="39"/>
        <v>0</v>
      </c>
      <c r="I76" s="4">
        <f t="shared" si="39"/>
        <v>0</v>
      </c>
    </row>
    <row r="77" spans="2:10" x14ac:dyDescent="0.5">
      <c r="B77" t="s">
        <v>42</v>
      </c>
      <c r="C77" s="4">
        <f>+C74-C75+C76</f>
        <v>1026.271704827137</v>
      </c>
      <c r="D77" s="4">
        <f t="shared" ref="D77:I77" si="40">+D74-D75+D76</f>
        <v>1098.1107241650398</v>
      </c>
      <c r="E77" s="4">
        <f t="shared" si="40"/>
        <v>1174.9784748565903</v>
      </c>
      <c r="F77" s="4">
        <f t="shared" si="40"/>
        <v>1257.2269680965505</v>
      </c>
      <c r="G77" s="4">
        <f t="shared" si="40"/>
        <v>-16589.040798047277</v>
      </c>
      <c r="H77" s="4">
        <f t="shared" si="40"/>
        <v>-2.5011104298755527E-12</v>
      </c>
      <c r="I77" s="4">
        <f t="shared" si="40"/>
        <v>-2.9558577807620168E-12</v>
      </c>
    </row>
    <row r="79" spans="2:10" x14ac:dyDescent="0.5">
      <c r="B79" t="s">
        <v>33</v>
      </c>
    </row>
    <row r="80" spans="2:10" x14ac:dyDescent="0.5">
      <c r="B80" s="4" t="str">
        <f>+B69</f>
        <v>FCFF</v>
      </c>
      <c r="C80" s="4">
        <f t="shared" ref="C80:J80" si="41">+C69</f>
        <v>1200</v>
      </c>
      <c r="D80" s="4">
        <f t="shared" si="41"/>
        <v>1300.8000000000002</v>
      </c>
      <c r="E80" s="4">
        <f t="shared" si="41"/>
        <v>1402.2624000000001</v>
      </c>
      <c r="F80" s="4">
        <f t="shared" si="41"/>
        <v>1503.2252928000003</v>
      </c>
      <c r="G80" s="4">
        <f t="shared" si="41"/>
        <v>1602.4381621247999</v>
      </c>
      <c r="H80" s="4">
        <f t="shared" si="41"/>
        <v>1698.5844518522881</v>
      </c>
      <c r="I80" s="4">
        <f t="shared" si="41"/>
        <v>1659.8053406019326</v>
      </c>
      <c r="J80" s="4">
        <f t="shared" si="41"/>
        <v>1759.3936610380488</v>
      </c>
    </row>
    <row r="81" spans="2:10" x14ac:dyDescent="0.5">
      <c r="B81" s="3" t="str">
        <f>+B38</f>
        <v>WACC</v>
      </c>
      <c r="C81" s="3">
        <f>+C38</f>
        <v>9.7233749306221251E-2</v>
      </c>
      <c r="D81" s="3">
        <f t="shared" ref="C81:J81" si="42">+D38</f>
        <v>9.7393163162168589E-2</v>
      </c>
      <c r="E81" s="3">
        <f t="shared" si="42"/>
        <v>9.7541960015544771E-2</v>
      </c>
      <c r="F81" s="3">
        <f t="shared" si="42"/>
        <v>9.7681261822573348E-2</v>
      </c>
      <c r="G81" s="3">
        <f t="shared" si="42"/>
        <v>9.8906043451106845E-2</v>
      </c>
      <c r="H81" s="3">
        <f t="shared" si="42"/>
        <v>9.5200000000000007E-2</v>
      </c>
      <c r="I81" s="3">
        <f t="shared" si="42"/>
        <v>9.5200000000000007E-2</v>
      </c>
      <c r="J81" s="3">
        <f t="shared" si="42"/>
        <v>9.5200000000000007E-2</v>
      </c>
    </row>
    <row r="82" spans="2:10" x14ac:dyDescent="0.5">
      <c r="B82" s="17" t="s">
        <v>35</v>
      </c>
      <c r="C82" s="18">
        <f t="shared" ref="C82:G82" si="43">+(C80+D82)/(1+C81)</f>
        <v>33258.012445114458</v>
      </c>
      <c r="D82" s="18">
        <f t="shared" si="43"/>
        <v>35291.813689625902</v>
      </c>
      <c r="E82" s="18">
        <f t="shared" si="43"/>
        <v>37428.195058588484</v>
      </c>
      <c r="F82" s="18">
        <f t="shared" si="43"/>
        <v>39676.752164447331</v>
      </c>
      <c r="G82" s="18">
        <f t="shared" si="43"/>
        <v>42049.202088092061</v>
      </c>
      <c r="H82" s="18">
        <f>+(H80+I82)/(1+H81)</f>
        <v>44605.684134776464</v>
      </c>
      <c r="I82" s="18">
        <f>+(I80+J82)/(1+I81)</f>
        <v>47153.560812554897</v>
      </c>
      <c r="J82" s="4">
        <f>+J80/(J81-K31)</f>
        <v>49982.774461308189</v>
      </c>
    </row>
    <row r="85" spans="2:10" x14ac:dyDescent="0.5">
      <c r="B85" t="s">
        <v>43</v>
      </c>
    </row>
    <row r="86" spans="2:10" x14ac:dyDescent="0.5">
      <c r="B86" t="s">
        <v>44</v>
      </c>
      <c r="C86" s="4">
        <f>+C69+C71</f>
        <v>1292</v>
      </c>
      <c r="D86" s="4">
        <f t="shared" ref="D86:I86" si="44">+D69+D71</f>
        <v>1392.8000000000002</v>
      </c>
      <c r="E86" s="4">
        <f t="shared" si="44"/>
        <v>1494.2624000000001</v>
      </c>
      <c r="F86" s="4">
        <f t="shared" si="44"/>
        <v>1595.2252928000003</v>
      </c>
      <c r="G86" s="4">
        <f t="shared" si="44"/>
        <v>1648.4381621247999</v>
      </c>
      <c r="H86" s="4">
        <f t="shared" si="44"/>
        <v>1912.6917356992151</v>
      </c>
      <c r="I86" s="4">
        <f t="shared" si="44"/>
        <v>1886.142432502196</v>
      </c>
      <c r="J86" s="4"/>
    </row>
    <row r="87" spans="2:10" x14ac:dyDescent="0.5">
      <c r="B87" s="3" t="str">
        <f>+B32</f>
        <v>rA</v>
      </c>
      <c r="C87" s="3">
        <f t="shared" ref="C87:I87" si="45">+C32</f>
        <v>0.1</v>
      </c>
      <c r="D87" s="3">
        <f t="shared" si="45"/>
        <v>0.1</v>
      </c>
      <c r="E87" s="3">
        <f t="shared" si="45"/>
        <v>0.1</v>
      </c>
      <c r="F87" s="3">
        <f t="shared" si="45"/>
        <v>0.1</v>
      </c>
      <c r="G87" s="3">
        <f t="shared" si="45"/>
        <v>0.1</v>
      </c>
      <c r="H87" s="3">
        <f t="shared" si="45"/>
        <v>0.1</v>
      </c>
      <c r="I87" s="3">
        <f t="shared" si="45"/>
        <v>0.1</v>
      </c>
      <c r="J87" s="3"/>
    </row>
    <row r="88" spans="2:10" x14ac:dyDescent="0.5">
      <c r="B88" s="17" t="s">
        <v>34</v>
      </c>
      <c r="C88" s="18">
        <f t="shared" ref="C88:G88" si="46">+(C86+D88)/(1+C87)</f>
        <v>33258.012445114429</v>
      </c>
      <c r="D88" s="18">
        <f t="shared" si="46"/>
        <v>35291.813689625873</v>
      </c>
      <c r="E88" s="18">
        <f t="shared" si="46"/>
        <v>37428.195058588462</v>
      </c>
      <c r="F88" s="18">
        <f t="shared" si="46"/>
        <v>39676.752164447316</v>
      </c>
      <c r="G88" s="18">
        <f t="shared" si="46"/>
        <v>42049.202088092054</v>
      </c>
      <c r="H88" s="18">
        <f>+(H86+I88)/(1+H87)</f>
        <v>44605.684134776457</v>
      </c>
      <c r="I88" s="18">
        <f>+I86/(I87-J31)</f>
        <v>47153.56081255489</v>
      </c>
    </row>
    <row r="92" spans="2:10" x14ac:dyDescent="0.5">
      <c r="B92" t="s">
        <v>46</v>
      </c>
    </row>
    <row r="93" spans="2:10" x14ac:dyDescent="0.5">
      <c r="B93" s="4" t="str">
        <f>+B74</f>
        <v>FCFE</v>
      </c>
      <c r="C93" s="4">
        <f t="shared" ref="C93:I93" si="47">+C74</f>
        <v>1858.271704827137</v>
      </c>
      <c r="D93" s="4">
        <f t="shared" si="47"/>
        <v>2030.910724165039</v>
      </c>
      <c r="E93" s="4">
        <f t="shared" si="47"/>
        <v>-90.759125143409165</v>
      </c>
      <c r="F93" s="4">
        <f t="shared" si="47"/>
        <v>-2092.5477391034487</v>
      </c>
      <c r="G93" s="4">
        <f t="shared" si="47"/>
        <v>486.67101798810882</v>
      </c>
      <c r="H93" s="4">
        <f t="shared" si="47"/>
        <v>1861.3059875759525</v>
      </c>
      <c r="I93" s="4">
        <f t="shared" si="47"/>
        <v>1886.142432502196</v>
      </c>
    </row>
    <row r="94" spans="2:10" x14ac:dyDescent="0.5">
      <c r="B94" t="s">
        <v>47</v>
      </c>
      <c r="C94" s="3">
        <f>+(C32-C48*C35)/(1-C48)</f>
        <v>0.2338368346272259</v>
      </c>
      <c r="D94" s="3">
        <f t="shared" ref="D94:G94" si="48">+(D32-D48*D35)/(1-D48)</f>
        <v>0.23140773279736718</v>
      </c>
      <c r="E94" s="3">
        <f t="shared" si="48"/>
        <v>0.22954597142653071</v>
      </c>
      <c r="F94" s="3">
        <f t="shared" si="48"/>
        <v>0.19845473574290898</v>
      </c>
      <c r="G94" s="3">
        <f t="shared" si="48"/>
        <v>0.17077949146197124</v>
      </c>
      <c r="H94" s="3">
        <f>+(H32-H34*H45)/(1-H34)</f>
        <v>0.12666666666666671</v>
      </c>
      <c r="I94" s="3">
        <f t="shared" ref="I94" si="49">+(I32-I34*I45)/(1-I34)</f>
        <v>0.12666666666666671</v>
      </c>
    </row>
    <row r="95" spans="2:10" x14ac:dyDescent="0.5">
      <c r="B95" t="s">
        <v>11</v>
      </c>
      <c r="C95" s="4">
        <f t="shared" ref="C95:G95" si="50">+(C93+D95)/(1+C94)</f>
        <v>12255.559519012477</v>
      </c>
      <c r="D95" s="4">
        <f t="shared" si="50"/>
        <v>13263.089058696785</v>
      </c>
      <c r="E95" s="4">
        <f t="shared" si="50"/>
        <v>14301.359703494336</v>
      </c>
      <c r="F95" s="4">
        <f t="shared" si="50"/>
        <v>17674.938334496594</v>
      </c>
      <c r="G95" s="4">
        <f t="shared" si="50"/>
        <v>23275.161290044773</v>
      </c>
      <c r="H95" s="4">
        <f>+(H93+I95)/(1+H94)</f>
        <v>26763.410480865867</v>
      </c>
      <c r="I95" s="4">
        <f>+I93/(I94-J31)</f>
        <v>28292.136487532924</v>
      </c>
    </row>
    <row r="96" spans="2:10" x14ac:dyDescent="0.5">
      <c r="B96" s="4" t="str">
        <f>+B47</f>
        <v>net D boy</v>
      </c>
      <c r="C96" s="4">
        <f t="shared" ref="C96:G96" si="51">+C47</f>
        <v>21002.45292610196</v>
      </c>
      <c r="D96" s="4">
        <f t="shared" si="51"/>
        <v>22028.724630929097</v>
      </c>
      <c r="E96" s="4">
        <f t="shared" si="51"/>
        <v>23126.835355094136</v>
      </c>
      <c r="F96" s="4">
        <f t="shared" si="51"/>
        <v>22001.813829950726</v>
      </c>
      <c r="G96" s="4">
        <f t="shared" si="51"/>
        <v>18774.040798047277</v>
      </c>
      <c r="H96" s="20">
        <f>+H52</f>
        <v>17842.273653910586</v>
      </c>
      <c r="I96" s="20">
        <f>+I52</f>
        <v>18861.424325021959</v>
      </c>
      <c r="J96" t="s">
        <v>48</v>
      </c>
    </row>
    <row r="97" spans="2:9" x14ac:dyDescent="0.5">
      <c r="B97" s="17" t="s">
        <v>35</v>
      </c>
      <c r="C97" s="18">
        <f>+C95+C96</f>
        <v>33258.012445114437</v>
      </c>
      <c r="D97" s="18">
        <f t="shared" ref="D97:I97" si="52">+D95+D96</f>
        <v>35291.81368962588</v>
      </c>
      <c r="E97" s="18">
        <f t="shared" si="52"/>
        <v>37428.19505858847</v>
      </c>
      <c r="F97" s="18">
        <f t="shared" si="52"/>
        <v>39676.752164447316</v>
      </c>
      <c r="G97" s="18">
        <f t="shared" si="52"/>
        <v>42049.202088092046</v>
      </c>
      <c r="H97" s="18">
        <f t="shared" si="52"/>
        <v>44605.684134776457</v>
      </c>
      <c r="I97" s="18">
        <f t="shared" si="52"/>
        <v>47153.560812554882</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81281-E9B0-4F6C-B6FB-0516E1917533}">
  <sheetPr codeName="Munka4"/>
  <dimension ref="B26:L97"/>
  <sheetViews>
    <sheetView topLeftCell="A71" zoomScale="110" zoomScaleNormal="110" workbookViewId="0">
      <selection activeCell="I44" sqref="I44"/>
    </sheetView>
  </sheetViews>
  <sheetFormatPr defaultRowHeight="15.75" x14ac:dyDescent="0.5"/>
  <cols>
    <col min="1" max="1" width="2.5" customWidth="1"/>
    <col min="2" max="2" width="28.625" bestFit="1" customWidth="1"/>
    <col min="3" max="3" width="10.75" bestFit="1" customWidth="1"/>
    <col min="4" max="6" width="8.75" bestFit="1" customWidth="1"/>
    <col min="7" max="7" width="10.75" bestFit="1" customWidth="1"/>
    <col min="8" max="8" width="12.375" bestFit="1" customWidth="1"/>
    <col min="9" max="9" width="8.75" bestFit="1" customWidth="1"/>
    <col min="11" max="11" width="12.125" bestFit="1" customWidth="1"/>
  </cols>
  <sheetData>
    <row r="26" spans="2:12" x14ac:dyDescent="0.5">
      <c r="C26" s="1">
        <v>2025</v>
      </c>
      <c r="D26" s="2">
        <f>+C26+1</f>
        <v>2026</v>
      </c>
      <c r="E26" s="2">
        <f t="shared" ref="E26:H26" si="0">+D26+1</f>
        <v>2027</v>
      </c>
      <c r="F26" s="2">
        <f t="shared" si="0"/>
        <v>2028</v>
      </c>
      <c r="G26" s="2">
        <f t="shared" si="0"/>
        <v>2029</v>
      </c>
      <c r="H26" s="2">
        <f t="shared" si="0"/>
        <v>2030</v>
      </c>
      <c r="I26" s="2" t="s">
        <v>8</v>
      </c>
      <c r="J26" s="2" t="s">
        <v>9</v>
      </c>
    </row>
    <row r="27" spans="2:12" x14ac:dyDescent="0.5">
      <c r="B27" t="s">
        <v>1</v>
      </c>
      <c r="C27" s="6">
        <v>20000</v>
      </c>
      <c r="D27" s="4"/>
      <c r="E27" s="4"/>
      <c r="F27" s="4"/>
      <c r="G27" s="4"/>
      <c r="H27" s="4"/>
      <c r="I27" s="4" t="s">
        <v>25</v>
      </c>
      <c r="J27" s="4"/>
      <c r="K27" s="4"/>
    </row>
    <row r="28" spans="2:12" x14ac:dyDescent="0.5">
      <c r="B28" t="s">
        <v>2</v>
      </c>
      <c r="C28" s="7">
        <v>0.15</v>
      </c>
      <c r="D28" s="3"/>
      <c r="E28" s="3"/>
      <c r="F28" s="3"/>
      <c r="G28" s="3"/>
      <c r="H28" s="3"/>
    </row>
    <row r="29" spans="2:12" x14ac:dyDescent="0.5">
      <c r="B29" t="s">
        <v>3</v>
      </c>
      <c r="C29" s="3"/>
      <c r="D29" s="7">
        <v>0.14000000000000001</v>
      </c>
      <c r="E29" s="7">
        <v>0.13</v>
      </c>
      <c r="F29" s="7">
        <v>0.12</v>
      </c>
      <c r="G29" s="7">
        <v>0.11</v>
      </c>
      <c r="H29" s="7">
        <v>0.1</v>
      </c>
      <c r="I29" s="11">
        <f>+I38</f>
        <v>9.5200000000000007E-2</v>
      </c>
      <c r="J29" s="11">
        <f t="shared" ref="J29:K29" si="1">+J38</f>
        <v>9.5200000000000007E-2</v>
      </c>
      <c r="K29" s="11">
        <f t="shared" si="1"/>
        <v>9.5200000000000007E-2</v>
      </c>
      <c r="L29" s="3"/>
    </row>
    <row r="30" spans="2:12" x14ac:dyDescent="0.5">
      <c r="B30" t="s">
        <v>4</v>
      </c>
      <c r="C30" s="7">
        <v>0.6</v>
      </c>
      <c r="D30" s="7">
        <v>0.6</v>
      </c>
      <c r="E30" s="7">
        <v>0.6</v>
      </c>
      <c r="F30" s="7">
        <v>0.6</v>
      </c>
      <c r="G30" s="7">
        <v>0.6</v>
      </c>
      <c r="H30" s="7">
        <v>0.6</v>
      </c>
      <c r="I30" s="3">
        <f>+J31/J29</f>
        <v>0.63025210084033612</v>
      </c>
      <c r="J30" s="3">
        <f>+K31/K29</f>
        <v>0.63025210084033612</v>
      </c>
      <c r="K30" s="3"/>
      <c r="L30" s="3"/>
    </row>
    <row r="31" spans="2:12" x14ac:dyDescent="0.5">
      <c r="B31" t="s">
        <v>6</v>
      </c>
      <c r="C31" s="3"/>
      <c r="D31" s="9"/>
      <c r="E31" s="9"/>
      <c r="F31" s="9"/>
      <c r="G31" s="9"/>
      <c r="H31" s="9"/>
      <c r="I31" s="9"/>
      <c r="J31" s="7">
        <v>0.06</v>
      </c>
      <c r="K31" s="7">
        <v>0.06</v>
      </c>
    </row>
    <row r="32" spans="2:12" x14ac:dyDescent="0.5">
      <c r="B32" t="s">
        <v>5</v>
      </c>
      <c r="C32" s="5">
        <v>0.1</v>
      </c>
      <c r="D32" s="5">
        <v>0.1</v>
      </c>
      <c r="E32" s="5">
        <v>0.1</v>
      </c>
      <c r="F32" s="5">
        <v>0.1</v>
      </c>
      <c r="G32" s="5">
        <v>0.1</v>
      </c>
      <c r="H32" s="5">
        <v>0.1</v>
      </c>
      <c r="I32" s="5">
        <v>0.1</v>
      </c>
      <c r="J32" s="5">
        <v>0.1</v>
      </c>
      <c r="K32" s="5">
        <v>0.1</v>
      </c>
    </row>
    <row r="33" spans="2:11" x14ac:dyDescent="0.5">
      <c r="B33" t="s">
        <v>22</v>
      </c>
      <c r="C33" s="5">
        <v>0.2</v>
      </c>
      <c r="D33" s="5">
        <v>0.2</v>
      </c>
      <c r="E33" s="5">
        <v>0.2</v>
      </c>
      <c r="F33" s="5">
        <v>0.2</v>
      </c>
      <c r="G33" s="5">
        <v>0.2</v>
      </c>
      <c r="H33" s="5">
        <v>0.2</v>
      </c>
      <c r="I33" s="5">
        <v>0.2</v>
      </c>
      <c r="J33" s="5">
        <v>0.2</v>
      </c>
      <c r="K33" s="5">
        <v>0.2</v>
      </c>
    </row>
    <row r="34" spans="2:11" ht="16.149999999999999" thickBot="1" x14ac:dyDescent="0.55000000000000004">
      <c r="B34" t="s">
        <v>7</v>
      </c>
      <c r="C34" s="19">
        <f>+C46/C88</f>
        <v>0.25591301988788628</v>
      </c>
      <c r="D34" s="19">
        <f t="shared" ref="D34:G34" si="2">+D46/D88</f>
        <v>0.24501261296357804</v>
      </c>
      <c r="E34" s="19">
        <f t="shared" si="2"/>
        <v>0.23490914372810054</v>
      </c>
      <c r="F34" s="19">
        <f t="shared" si="2"/>
        <v>0.22551445196651143</v>
      </c>
      <c r="G34" s="19">
        <f t="shared" si="2"/>
        <v>0.10735087629325345</v>
      </c>
      <c r="H34" s="7">
        <v>0.4</v>
      </c>
      <c r="I34" s="7">
        <v>0.4</v>
      </c>
      <c r="J34" s="7">
        <v>0.4</v>
      </c>
      <c r="K34" s="7">
        <v>0.4</v>
      </c>
    </row>
    <row r="35" spans="2:11" ht="16.149999999999999" thickBot="1" x14ac:dyDescent="0.55000000000000004">
      <c r="B35" t="s">
        <v>45</v>
      </c>
      <c r="C35" s="27">
        <f>+C42/C47</f>
        <v>5.5547784230698824E-2</v>
      </c>
      <c r="D35" s="28">
        <f t="shared" ref="D35:G35" si="3">+D42/D47</f>
        <v>5.4651693841732608E-2</v>
      </c>
      <c r="E35" s="28">
        <f t="shared" si="3"/>
        <v>5.3724351606565968E-2</v>
      </c>
      <c r="F35" s="28">
        <f t="shared" si="3"/>
        <v>7.1676980914728267E-2</v>
      </c>
      <c r="G35" s="29">
        <f t="shared" si="3"/>
        <v>0.10957501280081929</v>
      </c>
      <c r="H35" s="5">
        <v>0.06</v>
      </c>
      <c r="I35" s="5">
        <v>0.06</v>
      </c>
      <c r="J35" s="5">
        <v>0.06</v>
      </c>
      <c r="K35" s="5">
        <v>0.06</v>
      </c>
    </row>
    <row r="36" spans="2:11" x14ac:dyDescent="0.5">
      <c r="B36" t="s">
        <v>23</v>
      </c>
      <c r="C36" s="10">
        <v>0.2</v>
      </c>
      <c r="D36" s="10">
        <v>0.2</v>
      </c>
      <c r="E36" s="10">
        <v>0.2</v>
      </c>
      <c r="F36" s="10">
        <v>0.2</v>
      </c>
      <c r="G36" s="10">
        <v>0.2</v>
      </c>
      <c r="H36" s="10">
        <v>0.2</v>
      </c>
      <c r="I36" s="10">
        <v>0.2</v>
      </c>
      <c r="J36" s="10">
        <v>0.2</v>
      </c>
      <c r="K36" s="10">
        <v>0.2</v>
      </c>
    </row>
    <row r="37" spans="2:11" x14ac:dyDescent="0.5">
      <c r="B37" t="s">
        <v>24</v>
      </c>
      <c r="C37" s="3">
        <f>+C59/C58</f>
        <v>0.2</v>
      </c>
      <c r="D37" s="3">
        <f t="shared" ref="D37:K37" si="4">+D59/D58</f>
        <v>0.2</v>
      </c>
      <c r="E37" s="3">
        <f t="shared" si="4"/>
        <v>0.2</v>
      </c>
      <c r="F37" s="3">
        <f t="shared" si="4"/>
        <v>0.2</v>
      </c>
      <c r="G37" s="3">
        <f t="shared" si="4"/>
        <v>0.2</v>
      </c>
      <c r="H37" s="3">
        <f t="shared" si="4"/>
        <v>0.2</v>
      </c>
      <c r="I37" s="3">
        <f t="shared" si="4"/>
        <v>0.2</v>
      </c>
      <c r="J37" s="3">
        <f t="shared" si="4"/>
        <v>0.2</v>
      </c>
      <c r="K37" s="3" t="e">
        <f t="shared" si="4"/>
        <v>#DIV/0!</v>
      </c>
    </row>
    <row r="38" spans="2:11" x14ac:dyDescent="0.5">
      <c r="B38" t="s">
        <v>26</v>
      </c>
      <c r="C38" s="26">
        <f>+C32-C35*C48*C36</f>
        <v>9.7233749306221251E-2</v>
      </c>
      <c r="D38" s="26">
        <f t="shared" ref="D38:G38" si="5">+D32-D35*D48*D36</f>
        <v>9.7393163162168589E-2</v>
      </c>
      <c r="E38" s="26">
        <f t="shared" si="5"/>
        <v>9.7541960015544771E-2</v>
      </c>
      <c r="F38" s="26">
        <f t="shared" si="5"/>
        <v>9.7681261822573348E-2</v>
      </c>
      <c r="G38" s="26">
        <f t="shared" si="5"/>
        <v>9.8906043451106845E-2</v>
      </c>
      <c r="H38" s="8">
        <f>+H32-H35*H34*H36</f>
        <v>9.5200000000000007E-2</v>
      </c>
      <c r="I38" s="8">
        <f t="shared" ref="I38:K38" si="6">+I32-I35*I34*I36</f>
        <v>9.5200000000000007E-2</v>
      </c>
      <c r="J38" s="8">
        <f t="shared" si="6"/>
        <v>9.5200000000000007E-2</v>
      </c>
      <c r="K38" s="8">
        <f t="shared" si="6"/>
        <v>9.5200000000000007E-2</v>
      </c>
    </row>
    <row r="39" spans="2:11" x14ac:dyDescent="0.5">
      <c r="H39" s="8"/>
      <c r="I39" s="8"/>
      <c r="J39" s="8"/>
      <c r="K39" s="8"/>
    </row>
    <row r="40" spans="2:11" x14ac:dyDescent="0.5">
      <c r="B40" s="21" t="s">
        <v>29</v>
      </c>
      <c r="C40" s="22">
        <v>9200</v>
      </c>
      <c r="D40" s="22">
        <v>9200</v>
      </c>
      <c r="E40" s="22">
        <v>9200</v>
      </c>
      <c r="F40" s="22">
        <v>9200</v>
      </c>
      <c r="G40" s="22">
        <f>+F40/2</f>
        <v>4600</v>
      </c>
      <c r="H40" s="4">
        <v>0</v>
      </c>
      <c r="I40" s="8"/>
      <c r="J40" s="8"/>
      <c r="K40" s="8"/>
    </row>
    <row r="41" spans="2:11" x14ac:dyDescent="0.5">
      <c r="B41" s="21" t="s">
        <v>30</v>
      </c>
      <c r="C41" s="23">
        <v>0.05</v>
      </c>
      <c r="D41" s="23">
        <v>0.05</v>
      </c>
      <c r="E41" s="23">
        <v>0.05</v>
      </c>
      <c r="F41" s="23">
        <v>0.05</v>
      </c>
      <c r="G41" s="23">
        <v>0.05</v>
      </c>
      <c r="H41" s="8"/>
      <c r="I41" s="8"/>
      <c r="J41" s="8"/>
      <c r="K41" s="8"/>
    </row>
    <row r="42" spans="2:11" x14ac:dyDescent="0.5">
      <c r="B42" t="s">
        <v>13</v>
      </c>
      <c r="C42" s="4">
        <f>+C40*C41</f>
        <v>460</v>
      </c>
      <c r="D42" s="4">
        <f t="shared" ref="D42:G42" si="7">+D40*D41</f>
        <v>460</v>
      </c>
      <c r="E42" s="4">
        <f t="shared" si="7"/>
        <v>460</v>
      </c>
      <c r="F42" s="4">
        <f t="shared" si="7"/>
        <v>460</v>
      </c>
      <c r="G42" s="4">
        <f t="shared" si="7"/>
        <v>230</v>
      </c>
      <c r="H42" s="8"/>
      <c r="I42" s="8"/>
      <c r="J42" s="8"/>
      <c r="K42" s="8"/>
    </row>
    <row r="43" spans="2:11" x14ac:dyDescent="0.5">
      <c r="B43" t="s">
        <v>31</v>
      </c>
      <c r="C43" s="4">
        <f>+C40-D40</f>
        <v>0</v>
      </c>
      <c r="D43" s="4">
        <f t="shared" ref="D43:G43" si="8">+D40-E40</f>
        <v>0</v>
      </c>
      <c r="E43" s="4">
        <f t="shared" si="8"/>
        <v>0</v>
      </c>
      <c r="F43" s="4">
        <f t="shared" si="8"/>
        <v>4600</v>
      </c>
      <c r="G43" s="4">
        <f t="shared" si="8"/>
        <v>4600</v>
      </c>
      <c r="H43" s="8"/>
      <c r="I43" s="8"/>
      <c r="J43" s="8"/>
      <c r="K43" s="8"/>
    </row>
    <row r="44" spans="2:11" x14ac:dyDescent="0.5">
      <c r="B44" s="12" t="s">
        <v>50</v>
      </c>
      <c r="C44" s="13">
        <f>+C42+C43</f>
        <v>460</v>
      </c>
      <c r="D44" s="13">
        <f t="shared" ref="D44:G44" si="9">+D42+D43</f>
        <v>460</v>
      </c>
      <c r="E44" s="13">
        <f t="shared" si="9"/>
        <v>460</v>
      </c>
      <c r="F44" s="13">
        <f t="shared" si="9"/>
        <v>5060</v>
      </c>
      <c r="G44" s="13">
        <f t="shared" si="9"/>
        <v>4830</v>
      </c>
      <c r="H44" s="8"/>
      <c r="I44" s="8"/>
      <c r="J44" s="8"/>
      <c r="K44" s="8"/>
    </row>
    <row r="45" spans="2:11" x14ac:dyDescent="0.5">
      <c r="B45" t="s">
        <v>0</v>
      </c>
      <c r="C45" s="8">
        <v>7.0000000000000007E-2</v>
      </c>
      <c r="D45" s="8">
        <v>7.0000000000000007E-2</v>
      </c>
      <c r="E45" s="8">
        <v>7.0000000000000007E-2</v>
      </c>
      <c r="F45" s="8">
        <v>7.0000000000000007E-2</v>
      </c>
      <c r="G45" s="8">
        <v>7.0000000000000007E-2</v>
      </c>
      <c r="H45" s="8">
        <f>+H35</f>
        <v>0.06</v>
      </c>
      <c r="I45" s="8">
        <f t="shared" ref="I45:K45" si="10">+I35</f>
        <v>0.06</v>
      </c>
      <c r="J45" s="8">
        <f t="shared" si="10"/>
        <v>0.06</v>
      </c>
      <c r="K45" s="8">
        <f t="shared" si="10"/>
        <v>0.06</v>
      </c>
    </row>
    <row r="46" spans="2:11" x14ac:dyDescent="0.5">
      <c r="B46" t="s">
        <v>10</v>
      </c>
      <c r="C46" s="4">
        <f t="shared" ref="C46:F46" si="11">+(C44+D46)/(1+C45)</f>
        <v>8511.1584002981381</v>
      </c>
      <c r="D46" s="4">
        <f t="shared" si="11"/>
        <v>8646.9394883190089</v>
      </c>
      <c r="E46" s="4">
        <f t="shared" si="11"/>
        <v>8792.2252525013391</v>
      </c>
      <c r="F46" s="4">
        <f t="shared" si="11"/>
        <v>8947.6810201764329</v>
      </c>
      <c r="G46" s="4">
        <f>+(G44+H46)/(1+G45)</f>
        <v>4514.0186915887843</v>
      </c>
      <c r="H46" s="14">
        <v>0</v>
      </c>
      <c r="I46" s="8"/>
      <c r="J46" s="8"/>
      <c r="K46" s="8"/>
    </row>
    <row r="47" spans="2:11" x14ac:dyDescent="0.5">
      <c r="B47" t="s">
        <v>51</v>
      </c>
      <c r="C47" s="4">
        <f>+C46-C50</f>
        <v>8281.1584002981381</v>
      </c>
      <c r="D47" s="4">
        <f t="shared" ref="D47:G47" si="12">+D46-D50</f>
        <v>8416.9394883190089</v>
      </c>
      <c r="E47" s="4">
        <f t="shared" si="12"/>
        <v>8562.2252525013391</v>
      </c>
      <c r="F47" s="4">
        <f t="shared" si="12"/>
        <v>6417.6810201764329</v>
      </c>
      <c r="G47" s="4">
        <f t="shared" si="12"/>
        <v>2099.0186915887843</v>
      </c>
      <c r="H47" s="8"/>
      <c r="I47" s="8"/>
      <c r="J47" s="8"/>
      <c r="K47" s="8"/>
    </row>
    <row r="48" spans="2:11" x14ac:dyDescent="0.5">
      <c r="B48" t="s">
        <v>53</v>
      </c>
      <c r="C48" s="3">
        <f>+C47/C88</f>
        <v>0.24899739315343941</v>
      </c>
      <c r="D48" s="3">
        <f t="shared" ref="D48:G48" si="13">+D47/D88</f>
        <v>0.23849552086899947</v>
      </c>
      <c r="E48" s="3">
        <f t="shared" si="13"/>
        <v>0.22876404376696247</v>
      </c>
      <c r="F48" s="3">
        <f t="shared" si="13"/>
        <v>0.16174915208727819</v>
      </c>
      <c r="G48" s="3">
        <f t="shared" si="13"/>
        <v>4.9918157476362843E-2</v>
      </c>
      <c r="H48" s="8"/>
      <c r="I48" s="8"/>
      <c r="J48" s="8"/>
      <c r="K48" s="8"/>
    </row>
    <row r="49" spans="2:11" x14ac:dyDescent="0.5">
      <c r="C49" s="4"/>
      <c r="D49" s="4"/>
      <c r="E49" s="4"/>
      <c r="F49" s="4"/>
      <c r="G49" s="4"/>
      <c r="H49" s="8"/>
      <c r="I49" s="8"/>
      <c r="J49" s="8"/>
      <c r="K49" s="8"/>
    </row>
    <row r="50" spans="2:11" x14ac:dyDescent="0.5">
      <c r="B50" s="21" t="s">
        <v>49</v>
      </c>
      <c r="C50" s="4">
        <f>+C44/2</f>
        <v>230</v>
      </c>
      <c r="D50" s="4">
        <f t="shared" ref="D50:G50" si="14">+D44/2</f>
        <v>230</v>
      </c>
      <c r="E50" s="4">
        <f t="shared" si="14"/>
        <v>230</v>
      </c>
      <c r="F50" s="4">
        <f t="shared" si="14"/>
        <v>2530</v>
      </c>
      <c r="G50" s="4">
        <f t="shared" si="14"/>
        <v>2415</v>
      </c>
      <c r="H50" s="24">
        <v>0</v>
      </c>
      <c r="I50" s="24">
        <v>0</v>
      </c>
      <c r="J50" s="24">
        <v>0</v>
      </c>
    </row>
    <row r="51" spans="2:11" x14ac:dyDescent="0.5">
      <c r="B51" t="str">
        <f>+B27</f>
        <v>IC boy</v>
      </c>
      <c r="C51" s="4">
        <f>+C27</f>
        <v>20000</v>
      </c>
      <c r="D51" s="4">
        <f>+C51+C68</f>
        <v>21800</v>
      </c>
      <c r="E51" s="4">
        <f t="shared" ref="E51:J51" si="15">+D51+D68</f>
        <v>23751.200000000001</v>
      </c>
      <c r="F51" s="4">
        <f t="shared" si="15"/>
        <v>25854.5936</v>
      </c>
      <c r="G51" s="4">
        <f t="shared" si="15"/>
        <v>28109.431539199999</v>
      </c>
      <c r="H51" s="4">
        <f t="shared" si="15"/>
        <v>30513.0887823872</v>
      </c>
      <c r="I51" s="4">
        <f t="shared" si="15"/>
        <v>33060.965460165629</v>
      </c>
      <c r="J51" s="4">
        <f t="shared" si="15"/>
        <v>35890.179108918921</v>
      </c>
    </row>
    <row r="52" spans="2:11" x14ac:dyDescent="0.5">
      <c r="B52" s="15" t="s">
        <v>27</v>
      </c>
      <c r="C52" s="16">
        <f>+C46</f>
        <v>8511.1584002981381</v>
      </c>
      <c r="D52" s="16">
        <f t="shared" ref="D52:G52" si="16">+D46</f>
        <v>8646.9394883190089</v>
      </c>
      <c r="E52" s="16">
        <f t="shared" si="16"/>
        <v>8792.2252525013391</v>
      </c>
      <c r="F52" s="16">
        <f t="shared" si="16"/>
        <v>8947.6810201764329</v>
      </c>
      <c r="G52" s="16">
        <f t="shared" si="16"/>
        <v>4514.0186915887843</v>
      </c>
      <c r="H52" s="4">
        <f>+H34*H82</f>
        <v>17842.273653910586</v>
      </c>
      <c r="I52" s="4">
        <f t="shared" ref="I52:J52" si="17">+I34*I82</f>
        <v>18861.424325021959</v>
      </c>
      <c r="J52" s="4">
        <f t="shared" si="17"/>
        <v>19993.109784523276</v>
      </c>
    </row>
    <row r="53" spans="2:11" x14ac:dyDescent="0.5">
      <c r="B53" s="21" t="s">
        <v>28</v>
      </c>
      <c r="C53" s="4">
        <f>+C50+C51-C52</f>
        <v>11718.841599701862</v>
      </c>
      <c r="D53" s="4">
        <f t="shared" ref="D53:J53" si="18">+D50+D51-D52</f>
        <v>13383.060511680991</v>
      </c>
      <c r="E53" s="4">
        <f t="shared" si="18"/>
        <v>15188.974747498662</v>
      </c>
      <c r="F53" s="4">
        <f t="shared" si="18"/>
        <v>19436.912579823569</v>
      </c>
      <c r="G53" s="4">
        <f t="shared" si="18"/>
        <v>26010.412847611216</v>
      </c>
      <c r="H53" s="4">
        <f t="shared" si="18"/>
        <v>12670.815128476614</v>
      </c>
      <c r="I53" s="4">
        <f t="shared" si="18"/>
        <v>14199.541135143671</v>
      </c>
      <c r="J53" s="4">
        <f t="shared" si="18"/>
        <v>15897.069324395645</v>
      </c>
    </row>
    <row r="56" spans="2:11" x14ac:dyDescent="0.5">
      <c r="B56" t="s">
        <v>12</v>
      </c>
      <c r="C56" s="4">
        <f>+C67/(1-C36)</f>
        <v>3750</v>
      </c>
      <c r="D56" s="4">
        <f t="shared" ref="D56:J56" si="19">+D67/(1-D36)</f>
        <v>4065</v>
      </c>
      <c r="E56" s="4">
        <f t="shared" si="19"/>
        <v>4382.07</v>
      </c>
      <c r="F56" s="4">
        <f t="shared" si="19"/>
        <v>4697.5790399999996</v>
      </c>
      <c r="G56" s="4">
        <f t="shared" si="19"/>
        <v>5007.6192566399995</v>
      </c>
      <c r="H56" s="4">
        <f t="shared" si="19"/>
        <v>5308.0764120384001</v>
      </c>
      <c r="I56" s="4">
        <f t="shared" si="19"/>
        <v>5611.2737366940337</v>
      </c>
      <c r="J56" s="4">
        <f t="shared" si="19"/>
        <v>5947.9501608956753</v>
      </c>
    </row>
    <row r="57" spans="2:11" x14ac:dyDescent="0.5">
      <c r="B57" t="s">
        <v>13</v>
      </c>
      <c r="C57" s="4">
        <f>+C42</f>
        <v>460</v>
      </c>
      <c r="D57" s="4">
        <f t="shared" ref="D57:G57" si="20">+D42</f>
        <v>460</v>
      </c>
      <c r="E57" s="4">
        <f t="shared" si="20"/>
        <v>460</v>
      </c>
      <c r="F57" s="4">
        <f t="shared" si="20"/>
        <v>460</v>
      </c>
      <c r="G57" s="4">
        <f t="shared" si="20"/>
        <v>230</v>
      </c>
      <c r="H57" s="4">
        <f>+H52*H35</f>
        <v>1070.5364192346351</v>
      </c>
      <c r="I57" s="4">
        <f t="shared" ref="I57:J57" si="21">+I52*I35</f>
        <v>1131.6854595013174</v>
      </c>
      <c r="J57" s="4">
        <f t="shared" si="21"/>
        <v>1199.5865870713965</v>
      </c>
    </row>
    <row r="58" spans="2:11" x14ac:dyDescent="0.5">
      <c r="B58" t="s">
        <v>14</v>
      </c>
      <c r="C58" s="4">
        <f>+C56-C57</f>
        <v>3290</v>
      </c>
      <c r="D58" s="4">
        <f t="shared" ref="D58:J58" si="22">+D56-D57</f>
        <v>3605</v>
      </c>
      <c r="E58" s="4">
        <f t="shared" si="22"/>
        <v>3922.0699999999997</v>
      </c>
      <c r="F58" s="4">
        <f t="shared" si="22"/>
        <v>4237.5790399999996</v>
      </c>
      <c r="G58" s="4">
        <f t="shared" si="22"/>
        <v>4777.6192566399995</v>
      </c>
      <c r="H58" s="4">
        <f t="shared" si="22"/>
        <v>4237.539992803765</v>
      </c>
      <c r="I58" s="4">
        <f t="shared" si="22"/>
        <v>4479.5882771927163</v>
      </c>
      <c r="J58" s="4">
        <f t="shared" si="22"/>
        <v>4748.3635738242792</v>
      </c>
    </row>
    <row r="59" spans="2:11" x14ac:dyDescent="0.5">
      <c r="B59" t="s">
        <v>15</v>
      </c>
      <c r="C59" s="4">
        <f>+IF(C58&lt;0,0,C58*C33)</f>
        <v>658</v>
      </c>
      <c r="D59" s="4">
        <f t="shared" ref="D59:J59" si="23">+IF(D58&lt;0,0,D58*D33)</f>
        <v>721</v>
      </c>
      <c r="E59" s="4">
        <f t="shared" si="23"/>
        <v>784.41399999999999</v>
      </c>
      <c r="F59" s="4">
        <f t="shared" si="23"/>
        <v>847.51580799999999</v>
      </c>
      <c r="G59" s="4">
        <f t="shared" si="23"/>
        <v>955.52385132799998</v>
      </c>
      <c r="H59" s="4">
        <f t="shared" si="23"/>
        <v>847.50799856075309</v>
      </c>
      <c r="I59" s="4">
        <f t="shared" si="23"/>
        <v>895.91765543854331</v>
      </c>
      <c r="J59" s="4">
        <f t="shared" si="23"/>
        <v>949.67271476485587</v>
      </c>
    </row>
    <row r="60" spans="2:11" x14ac:dyDescent="0.5">
      <c r="B60" t="s">
        <v>16</v>
      </c>
      <c r="C60" s="4">
        <f>+C58-C59</f>
        <v>2632</v>
      </c>
      <c r="D60" s="4">
        <f t="shared" ref="D60:J60" si="24">+D58-D59</f>
        <v>2884</v>
      </c>
      <c r="E60" s="4">
        <f t="shared" si="24"/>
        <v>3137.6559999999999</v>
      </c>
      <c r="F60" s="4">
        <f t="shared" si="24"/>
        <v>3390.0632319999995</v>
      </c>
      <c r="G60" s="4">
        <f t="shared" si="24"/>
        <v>3822.0954053119995</v>
      </c>
      <c r="H60" s="4">
        <f t="shared" si="24"/>
        <v>3390.0319942430119</v>
      </c>
      <c r="I60" s="4">
        <f t="shared" si="24"/>
        <v>3583.6706217541732</v>
      </c>
      <c r="J60" s="4">
        <f t="shared" si="24"/>
        <v>3798.6908590594235</v>
      </c>
    </row>
    <row r="61" spans="2:11" x14ac:dyDescent="0.5">
      <c r="B61" t="s">
        <v>17</v>
      </c>
      <c r="C61" s="4">
        <f>+C60-C62</f>
        <v>967.78108802087081</v>
      </c>
      <c r="D61" s="4">
        <f t="shared" ref="D61:J61" si="25">+D60-D62</f>
        <v>1078.0857641823295</v>
      </c>
      <c r="E61" s="4">
        <f t="shared" si="25"/>
        <v>0</v>
      </c>
      <c r="F61" s="4">
        <f t="shared" si="25"/>
        <v>0</v>
      </c>
      <c r="G61" s="4">
        <f t="shared" si="25"/>
        <v>3822.0954053119995</v>
      </c>
      <c r="H61" s="4">
        <f t="shared" si="25"/>
        <v>1861.305987575955</v>
      </c>
      <c r="I61" s="4">
        <f t="shared" si="25"/>
        <v>1886.142432502199</v>
      </c>
      <c r="J61" s="4">
        <f t="shared" si="25"/>
        <v>0</v>
      </c>
    </row>
    <row r="62" spans="2:11" x14ac:dyDescent="0.5">
      <c r="B62" t="s">
        <v>18</v>
      </c>
      <c r="C62" s="4">
        <f>+IF(C60&lt;0,C60,MAX(0,MIN(C60,C64)))</f>
        <v>1664.2189119791292</v>
      </c>
      <c r="D62" s="4">
        <f t="shared" ref="D62:J62" si="26">+IF(D60&lt;0,D60,MAX(0,MIN(D60,D64)))</f>
        <v>1805.9142358176705</v>
      </c>
      <c r="E62" s="4">
        <f t="shared" si="26"/>
        <v>3137.6559999999999</v>
      </c>
      <c r="F62" s="4">
        <f t="shared" si="26"/>
        <v>3390.0632319999995</v>
      </c>
      <c r="G62" s="4">
        <f t="shared" si="26"/>
        <v>0</v>
      </c>
      <c r="H62" s="4">
        <f t="shared" si="26"/>
        <v>1528.7260066670569</v>
      </c>
      <c r="I62" s="4">
        <f t="shared" si="26"/>
        <v>1697.5281892519743</v>
      </c>
      <c r="J62" s="4">
        <f t="shared" si="26"/>
        <v>3798.6908590594235</v>
      </c>
    </row>
    <row r="64" spans="2:11" x14ac:dyDescent="0.5">
      <c r="B64" t="s">
        <v>36</v>
      </c>
      <c r="C64" s="4">
        <f>+D53-C53</f>
        <v>1664.2189119791292</v>
      </c>
      <c r="D64" s="4">
        <f t="shared" ref="D64:I64" si="27">+E53-D53</f>
        <v>1805.9142358176705</v>
      </c>
      <c r="E64" s="4">
        <f t="shared" si="27"/>
        <v>4247.9378323249075</v>
      </c>
      <c r="F64" s="4">
        <f t="shared" si="27"/>
        <v>6573.5002677876473</v>
      </c>
      <c r="G64" s="4">
        <f t="shared" si="27"/>
        <v>-13339.597719134603</v>
      </c>
      <c r="H64" s="4">
        <f t="shared" si="27"/>
        <v>1528.7260066670569</v>
      </c>
      <c r="I64" s="4">
        <f t="shared" si="27"/>
        <v>1697.5281892519743</v>
      </c>
    </row>
    <row r="65" spans="2:10" x14ac:dyDescent="0.5">
      <c r="B65" t="s">
        <v>37</v>
      </c>
      <c r="C65" s="4">
        <f>+C64-C62</f>
        <v>0</v>
      </c>
      <c r="D65" s="4">
        <f t="shared" ref="D65:I65" si="28">+D64-D62</f>
        <v>0</v>
      </c>
      <c r="E65" s="4">
        <f t="shared" si="28"/>
        <v>1110.2818323249076</v>
      </c>
      <c r="F65" s="4">
        <f t="shared" si="28"/>
        <v>3183.4370357876478</v>
      </c>
      <c r="G65" s="4">
        <f t="shared" si="28"/>
        <v>-13339.597719134603</v>
      </c>
      <c r="H65" s="4">
        <f t="shared" si="28"/>
        <v>0</v>
      </c>
      <c r="I65" s="4">
        <f t="shared" si="28"/>
        <v>0</v>
      </c>
    </row>
    <row r="67" spans="2:10" x14ac:dyDescent="0.5">
      <c r="B67" t="s">
        <v>19</v>
      </c>
      <c r="C67" s="4">
        <f>+C51*C28</f>
        <v>3000</v>
      </c>
      <c r="D67" s="4">
        <f>+C67+C68*D29</f>
        <v>3252</v>
      </c>
      <c r="E67" s="4">
        <f t="shared" ref="E67:J67" si="29">+D67+D68*E29</f>
        <v>3505.6559999999999</v>
      </c>
      <c r="F67" s="4">
        <f t="shared" si="29"/>
        <v>3758.063232</v>
      </c>
      <c r="G67" s="4">
        <f t="shared" si="29"/>
        <v>4006.0954053119999</v>
      </c>
      <c r="H67" s="4">
        <f t="shared" si="29"/>
        <v>4246.4611296307203</v>
      </c>
      <c r="I67" s="4">
        <f t="shared" si="29"/>
        <v>4489.0189893552269</v>
      </c>
      <c r="J67" s="4">
        <f t="shared" si="29"/>
        <v>4758.3601287165402</v>
      </c>
    </row>
    <row r="68" spans="2:10" x14ac:dyDescent="0.5">
      <c r="B68" t="s">
        <v>20</v>
      </c>
      <c r="C68" s="4">
        <f>+C67*C30</f>
        <v>1800</v>
      </c>
      <c r="D68" s="4">
        <f t="shared" ref="D68:J68" si="30">+D67*D30</f>
        <v>1951.1999999999998</v>
      </c>
      <c r="E68" s="4">
        <f t="shared" si="30"/>
        <v>2103.3935999999999</v>
      </c>
      <c r="F68" s="4">
        <f t="shared" si="30"/>
        <v>2254.8379391999997</v>
      </c>
      <c r="G68" s="4">
        <f t="shared" si="30"/>
        <v>2403.6572431872</v>
      </c>
      <c r="H68" s="4">
        <f t="shared" si="30"/>
        <v>2547.8766777784322</v>
      </c>
      <c r="I68" s="4">
        <f t="shared" si="30"/>
        <v>2829.2136487532944</v>
      </c>
      <c r="J68" s="4">
        <f t="shared" si="30"/>
        <v>2998.9664676784914</v>
      </c>
    </row>
    <row r="69" spans="2:10" x14ac:dyDescent="0.5">
      <c r="B69" t="s">
        <v>21</v>
      </c>
      <c r="C69" s="4">
        <f>+C67-C68</f>
        <v>1200</v>
      </c>
      <c r="D69" s="4">
        <f t="shared" ref="D69:J69" si="31">+D67-D68</f>
        <v>1300.8000000000002</v>
      </c>
      <c r="E69" s="4">
        <f t="shared" si="31"/>
        <v>1402.2624000000001</v>
      </c>
      <c r="F69" s="4">
        <f t="shared" si="31"/>
        <v>1503.2252928000003</v>
      </c>
      <c r="G69" s="4">
        <f t="shared" si="31"/>
        <v>1602.4381621247999</v>
      </c>
      <c r="H69" s="4">
        <f t="shared" si="31"/>
        <v>1698.5844518522881</v>
      </c>
      <c r="I69" s="4">
        <f t="shared" si="31"/>
        <v>1659.8053406019326</v>
      </c>
      <c r="J69" s="4">
        <f t="shared" si="31"/>
        <v>1759.3936610380488</v>
      </c>
    </row>
    <row r="70" spans="2:10" x14ac:dyDescent="0.5">
      <c r="B70" s="4" t="str">
        <f>+B57</f>
        <v>Interest payment</v>
      </c>
      <c r="C70" s="4">
        <f t="shared" ref="C70:I70" si="32">+C57</f>
        <v>460</v>
      </c>
      <c r="D70" s="4">
        <f t="shared" si="32"/>
        <v>460</v>
      </c>
      <c r="E70" s="4">
        <f t="shared" si="32"/>
        <v>460</v>
      </c>
      <c r="F70" s="4">
        <f t="shared" si="32"/>
        <v>460</v>
      </c>
      <c r="G70" s="4">
        <f t="shared" si="32"/>
        <v>230</v>
      </c>
      <c r="H70" s="4">
        <f t="shared" si="32"/>
        <v>1070.5364192346351</v>
      </c>
      <c r="I70" s="4">
        <f t="shared" si="32"/>
        <v>1131.6854595013174</v>
      </c>
      <c r="J70" s="4"/>
    </row>
    <row r="71" spans="2:10" x14ac:dyDescent="0.5">
      <c r="B71" t="s">
        <v>38</v>
      </c>
      <c r="C71" s="4">
        <f>+C70*C36</f>
        <v>92</v>
      </c>
      <c r="D71" s="4">
        <f t="shared" ref="D71:I71" si="33">+D70*D36</f>
        <v>92</v>
      </c>
      <c r="E71" s="4">
        <f t="shared" si="33"/>
        <v>92</v>
      </c>
      <c r="F71" s="4">
        <f t="shared" si="33"/>
        <v>92</v>
      </c>
      <c r="G71" s="4">
        <f t="shared" si="33"/>
        <v>46</v>
      </c>
      <c r="H71" s="4">
        <f t="shared" si="33"/>
        <v>214.10728384692703</v>
      </c>
      <c r="I71" s="4">
        <f t="shared" si="33"/>
        <v>226.33709190026349</v>
      </c>
      <c r="J71" s="4"/>
    </row>
    <row r="72" spans="2:10" x14ac:dyDescent="0.5">
      <c r="B72" t="s">
        <v>39</v>
      </c>
      <c r="C72" s="4">
        <f>+D52-C52</f>
        <v>135.78108802087081</v>
      </c>
      <c r="D72" s="4">
        <f t="shared" ref="D72:I72" si="34">+E52-D52</f>
        <v>145.28576418233024</v>
      </c>
      <c r="E72" s="4">
        <f t="shared" si="34"/>
        <v>155.45576767509374</v>
      </c>
      <c r="F72" s="4">
        <f t="shared" si="34"/>
        <v>-4433.6623285876485</v>
      </c>
      <c r="G72" s="4">
        <f t="shared" si="34"/>
        <v>13328.254962321802</v>
      </c>
      <c r="H72" s="4">
        <f t="shared" si="34"/>
        <v>1019.1506711113725</v>
      </c>
      <c r="I72" s="4">
        <f t="shared" si="34"/>
        <v>1131.6854595013174</v>
      </c>
      <c r="J72" s="4"/>
    </row>
    <row r="73" spans="2:10" x14ac:dyDescent="0.5">
      <c r="B73" s="21" t="s">
        <v>52</v>
      </c>
      <c r="C73" s="4">
        <f>+D50-C50</f>
        <v>0</v>
      </c>
      <c r="D73" s="4">
        <f t="shared" ref="D73:I73" si="35">+E50-D50</f>
        <v>0</v>
      </c>
      <c r="E73" s="4">
        <f t="shared" si="35"/>
        <v>2300</v>
      </c>
      <c r="F73" s="4">
        <f t="shared" si="35"/>
        <v>-115</v>
      </c>
      <c r="G73" s="4">
        <f t="shared" si="35"/>
        <v>-2415</v>
      </c>
      <c r="H73" s="4">
        <f t="shared" si="35"/>
        <v>0</v>
      </c>
      <c r="I73" s="4">
        <f t="shared" si="35"/>
        <v>0</v>
      </c>
      <c r="J73" s="4"/>
    </row>
    <row r="74" spans="2:10" x14ac:dyDescent="0.5">
      <c r="B74" s="21" t="s">
        <v>40</v>
      </c>
      <c r="C74" s="4">
        <f>+C69-C70+C71+C72-C73</f>
        <v>967.78108802087081</v>
      </c>
      <c r="D74" s="4">
        <f t="shared" ref="D74:I74" si="36">+D69-D70+D71+D72-D73</f>
        <v>1078.0857641823304</v>
      </c>
      <c r="E74" s="4">
        <f t="shared" si="36"/>
        <v>-1110.2818323249062</v>
      </c>
      <c r="F74" s="4">
        <f t="shared" si="36"/>
        <v>-3183.4370357876483</v>
      </c>
      <c r="G74" s="4">
        <f t="shared" si="36"/>
        <v>17161.693124446603</v>
      </c>
      <c r="H74" s="4">
        <f t="shared" si="36"/>
        <v>1861.3059875759525</v>
      </c>
      <c r="I74" s="4">
        <f t="shared" si="36"/>
        <v>1886.142432502196</v>
      </c>
      <c r="J74" s="4"/>
    </row>
    <row r="75" spans="2:10" x14ac:dyDescent="0.5">
      <c r="B75" t="str">
        <f>+B61</f>
        <v>Dividend</v>
      </c>
      <c r="C75" s="4">
        <f>+C61</f>
        <v>967.78108802087081</v>
      </c>
      <c r="D75" s="4">
        <f t="shared" ref="D75:I75" si="37">+D61</f>
        <v>1078.0857641823295</v>
      </c>
      <c r="E75" s="4">
        <f t="shared" si="37"/>
        <v>0</v>
      </c>
      <c r="F75" s="4">
        <f t="shared" si="37"/>
        <v>0</v>
      </c>
      <c r="G75" s="4">
        <f t="shared" si="37"/>
        <v>3822.0954053119995</v>
      </c>
      <c r="H75" s="4">
        <f t="shared" si="37"/>
        <v>1861.305987575955</v>
      </c>
      <c r="I75" s="4">
        <f t="shared" si="37"/>
        <v>1886.142432502199</v>
      </c>
    </row>
    <row r="76" spans="2:10" x14ac:dyDescent="0.5">
      <c r="B76" t="s">
        <v>41</v>
      </c>
      <c r="C76" s="4">
        <f>+D53-C53-C62</f>
        <v>0</v>
      </c>
      <c r="D76" s="4">
        <f t="shared" ref="D76:I76" si="38">+E53-D53-D62</f>
        <v>0</v>
      </c>
      <c r="E76" s="4">
        <f t="shared" si="38"/>
        <v>1110.2818323249076</v>
      </c>
      <c r="F76" s="4">
        <f t="shared" si="38"/>
        <v>3183.4370357876478</v>
      </c>
      <c r="G76" s="4">
        <f t="shared" si="38"/>
        <v>-13339.597719134603</v>
      </c>
      <c r="H76" s="4">
        <f t="shared" si="38"/>
        <v>0</v>
      </c>
      <c r="I76" s="4">
        <f t="shared" si="38"/>
        <v>0</v>
      </c>
    </row>
    <row r="77" spans="2:10" x14ac:dyDescent="0.5">
      <c r="B77" t="s">
        <v>42</v>
      </c>
      <c r="C77" s="4">
        <f>+C74-C75+C76</f>
        <v>0</v>
      </c>
      <c r="D77" s="4">
        <f t="shared" ref="D77:I77" si="39">+D74-D75+D76</f>
        <v>9.0949470177292824E-13</v>
      </c>
      <c r="E77" s="4">
        <f t="shared" si="39"/>
        <v>0</v>
      </c>
      <c r="F77" s="4">
        <f t="shared" si="39"/>
        <v>0</v>
      </c>
      <c r="G77" s="4">
        <f t="shared" si="39"/>
        <v>0</v>
      </c>
      <c r="H77" s="4">
        <f t="shared" si="39"/>
        <v>-2.5011104298755527E-12</v>
      </c>
      <c r="I77" s="4">
        <f t="shared" si="39"/>
        <v>-2.9558577807620168E-12</v>
      </c>
    </row>
    <row r="79" spans="2:10" x14ac:dyDescent="0.5">
      <c r="B79" t="s">
        <v>33</v>
      </c>
    </row>
    <row r="80" spans="2:10" x14ac:dyDescent="0.5">
      <c r="B80" s="4" t="str">
        <f>+B69</f>
        <v>FCFF</v>
      </c>
      <c r="C80" s="4">
        <f t="shared" ref="C80:J80" si="40">+C69</f>
        <v>1200</v>
      </c>
      <c r="D80" s="4">
        <f t="shared" si="40"/>
        <v>1300.8000000000002</v>
      </c>
      <c r="E80" s="4">
        <f t="shared" si="40"/>
        <v>1402.2624000000001</v>
      </c>
      <c r="F80" s="4">
        <f t="shared" si="40"/>
        <v>1503.2252928000003</v>
      </c>
      <c r="G80" s="4">
        <f t="shared" si="40"/>
        <v>1602.4381621247999</v>
      </c>
      <c r="H80" s="4">
        <f t="shared" si="40"/>
        <v>1698.5844518522881</v>
      </c>
      <c r="I80" s="4">
        <f t="shared" si="40"/>
        <v>1659.8053406019326</v>
      </c>
      <c r="J80" s="4">
        <f t="shared" si="40"/>
        <v>1759.3936610380488</v>
      </c>
    </row>
    <row r="81" spans="2:10" x14ac:dyDescent="0.5">
      <c r="B81" s="3" t="str">
        <f>+B38</f>
        <v>WACC</v>
      </c>
      <c r="C81" s="3">
        <f t="shared" ref="C81:J81" si="41">+C38</f>
        <v>9.7233749306221251E-2</v>
      </c>
      <c r="D81" s="3">
        <f t="shared" si="41"/>
        <v>9.7393163162168589E-2</v>
      </c>
      <c r="E81" s="3">
        <f t="shared" si="41"/>
        <v>9.7541960015544771E-2</v>
      </c>
      <c r="F81" s="3">
        <f t="shared" si="41"/>
        <v>9.7681261822573348E-2</v>
      </c>
      <c r="G81" s="3">
        <f t="shared" si="41"/>
        <v>9.8906043451106845E-2</v>
      </c>
      <c r="H81" s="3">
        <f t="shared" si="41"/>
        <v>9.5200000000000007E-2</v>
      </c>
      <c r="I81" s="3">
        <f t="shared" si="41"/>
        <v>9.5200000000000007E-2</v>
      </c>
      <c r="J81" s="3">
        <f t="shared" si="41"/>
        <v>9.5200000000000007E-2</v>
      </c>
    </row>
    <row r="82" spans="2:10" x14ac:dyDescent="0.5">
      <c r="B82" s="17" t="s">
        <v>35</v>
      </c>
      <c r="C82" s="18">
        <f t="shared" ref="C82:G82" si="42">+(C80+D82)/(1+C81)</f>
        <v>33258.012445114458</v>
      </c>
      <c r="D82" s="18">
        <f t="shared" si="42"/>
        <v>35291.813689625902</v>
      </c>
      <c r="E82" s="18">
        <f t="shared" si="42"/>
        <v>37428.195058588484</v>
      </c>
      <c r="F82" s="18">
        <f t="shared" si="42"/>
        <v>39676.752164447331</v>
      </c>
      <c r="G82" s="18">
        <f t="shared" si="42"/>
        <v>42049.202088092061</v>
      </c>
      <c r="H82" s="18">
        <f>+(H80+I82)/(1+H81)</f>
        <v>44605.684134776464</v>
      </c>
      <c r="I82" s="18">
        <f>+(I80+J82)/(1+I81)</f>
        <v>47153.560812554897</v>
      </c>
      <c r="J82" s="4">
        <f>+J80/(J81-K31)</f>
        <v>49982.774461308189</v>
      </c>
    </row>
    <row r="85" spans="2:10" x14ac:dyDescent="0.5">
      <c r="B85" t="s">
        <v>43</v>
      </c>
    </row>
    <row r="86" spans="2:10" x14ac:dyDescent="0.5">
      <c r="B86" t="s">
        <v>44</v>
      </c>
      <c r="C86" s="4">
        <f>+C69+C71</f>
        <v>1292</v>
      </c>
      <c r="D86" s="4">
        <f t="shared" ref="D86:I86" si="43">+D69+D71</f>
        <v>1392.8000000000002</v>
      </c>
      <c r="E86" s="4">
        <f t="shared" si="43"/>
        <v>1494.2624000000001</v>
      </c>
      <c r="F86" s="4">
        <f t="shared" si="43"/>
        <v>1595.2252928000003</v>
      </c>
      <c r="G86" s="4">
        <f t="shared" si="43"/>
        <v>1648.4381621247999</v>
      </c>
      <c r="H86" s="4">
        <f t="shared" si="43"/>
        <v>1912.6917356992151</v>
      </c>
      <c r="I86" s="4">
        <f t="shared" si="43"/>
        <v>1886.142432502196</v>
      </c>
      <c r="J86" s="4"/>
    </row>
    <row r="87" spans="2:10" x14ac:dyDescent="0.5">
      <c r="B87" s="3" t="str">
        <f>+B32</f>
        <v>rA</v>
      </c>
      <c r="C87" s="3">
        <f t="shared" ref="C87:I87" si="44">+C32</f>
        <v>0.1</v>
      </c>
      <c r="D87" s="3">
        <f t="shared" si="44"/>
        <v>0.1</v>
      </c>
      <c r="E87" s="3">
        <f t="shared" si="44"/>
        <v>0.1</v>
      </c>
      <c r="F87" s="3">
        <f t="shared" si="44"/>
        <v>0.1</v>
      </c>
      <c r="G87" s="3">
        <f t="shared" si="44"/>
        <v>0.1</v>
      </c>
      <c r="H87" s="3">
        <f t="shared" si="44"/>
        <v>0.1</v>
      </c>
      <c r="I87" s="3">
        <f t="shared" si="44"/>
        <v>0.1</v>
      </c>
      <c r="J87" s="3"/>
    </row>
    <row r="88" spans="2:10" x14ac:dyDescent="0.5">
      <c r="B88" s="17" t="s">
        <v>34</v>
      </c>
      <c r="C88" s="18">
        <f t="shared" ref="C88:G88" si="45">+(C86+D88)/(1+C87)</f>
        <v>33258.012445114429</v>
      </c>
      <c r="D88" s="18">
        <f t="shared" si="45"/>
        <v>35291.813689625873</v>
      </c>
      <c r="E88" s="18">
        <f t="shared" si="45"/>
        <v>37428.195058588462</v>
      </c>
      <c r="F88" s="18">
        <f t="shared" si="45"/>
        <v>39676.752164447316</v>
      </c>
      <c r="G88" s="18">
        <f t="shared" si="45"/>
        <v>42049.202088092054</v>
      </c>
      <c r="H88" s="18">
        <f>+(H86+I88)/(1+H87)</f>
        <v>44605.684134776457</v>
      </c>
      <c r="I88" s="18">
        <f>+I86/(I87-J31)</f>
        <v>47153.56081255489</v>
      </c>
    </row>
    <row r="92" spans="2:10" x14ac:dyDescent="0.5">
      <c r="B92" t="s">
        <v>46</v>
      </c>
    </row>
    <row r="93" spans="2:10" x14ac:dyDescent="0.5">
      <c r="B93" s="4" t="str">
        <f>+B74</f>
        <v>FCFE</v>
      </c>
      <c r="C93" s="4">
        <f t="shared" ref="C93:I93" si="46">+C74</f>
        <v>967.78108802087081</v>
      </c>
      <c r="D93" s="4">
        <f t="shared" si="46"/>
        <v>1078.0857641823304</v>
      </c>
      <c r="E93" s="4">
        <f t="shared" si="46"/>
        <v>-1110.2818323249062</v>
      </c>
      <c r="F93" s="4">
        <f t="shared" si="46"/>
        <v>-3183.4370357876483</v>
      </c>
      <c r="G93" s="4">
        <f t="shared" si="46"/>
        <v>17161.693124446603</v>
      </c>
      <c r="H93" s="4">
        <f t="shared" si="46"/>
        <v>1861.3059875759525</v>
      </c>
      <c r="I93" s="4">
        <f t="shared" si="46"/>
        <v>1886.142432502196</v>
      </c>
    </row>
    <row r="94" spans="2:10" x14ac:dyDescent="0.5">
      <c r="B94" t="s">
        <v>47</v>
      </c>
      <c r="C94" s="30">
        <f>+(C32-C48*C35)/(1-C48)</f>
        <v>0.11473827886287437</v>
      </c>
      <c r="D94" s="30">
        <f t="shared" ref="C94:F94" si="47">+(D32-D48*D35)/(1-D48)</f>
        <v>0.11420263201877016</v>
      </c>
      <c r="E94" s="30">
        <f t="shared" si="47"/>
        <v>0.11372628489227411</v>
      </c>
      <c r="F94" s="30">
        <f t="shared" si="47"/>
        <v>0.10546521883395878</v>
      </c>
      <c r="G94" s="30">
        <f>+(G32-G48*G35)/(1-G48)</f>
        <v>9.9496920185781157E-2</v>
      </c>
      <c r="H94" s="3">
        <f>+(H32-H34*H45)/(1-H34)</f>
        <v>0.12666666666666671</v>
      </c>
      <c r="I94" s="3">
        <f t="shared" ref="I94" si="48">+(I32-I34*I45)/(1-I34)</f>
        <v>0.12666666666666671</v>
      </c>
    </row>
    <row r="95" spans="2:10" x14ac:dyDescent="0.5">
      <c r="B95" t="s">
        <v>11</v>
      </c>
      <c r="C95" s="4">
        <f t="shared" ref="C95:G95" si="49">+(C93+D95)/(1+C94)</f>
        <v>24976.854044816297</v>
      </c>
      <c r="D95" s="4">
        <f t="shared" si="49"/>
        <v>26874.87420130687</v>
      </c>
      <c r="E95" s="4">
        <f t="shared" si="49"/>
        <v>28865.969806087123</v>
      </c>
      <c r="F95" s="4">
        <f t="shared" si="49"/>
        <v>33259.071144270878</v>
      </c>
      <c r="G95" s="4">
        <f t="shared" si="49"/>
        <v>39950.183396503264</v>
      </c>
      <c r="H95" s="4">
        <f>+(H93+I95)/(1+H94)</f>
        <v>26763.410480865867</v>
      </c>
      <c r="I95" s="4">
        <f>+I93/(I94-J31)</f>
        <v>28292.136487532924</v>
      </c>
    </row>
    <row r="96" spans="2:10" x14ac:dyDescent="0.5">
      <c r="B96" s="4" t="str">
        <f>+B47</f>
        <v>net D boy</v>
      </c>
      <c r="C96" s="4">
        <f t="shared" ref="C96:G96" si="50">+C47</f>
        <v>8281.1584002981381</v>
      </c>
      <c r="D96" s="4">
        <f t="shared" si="50"/>
        <v>8416.9394883190089</v>
      </c>
      <c r="E96" s="4">
        <f t="shared" si="50"/>
        <v>8562.2252525013391</v>
      </c>
      <c r="F96" s="4">
        <f t="shared" si="50"/>
        <v>6417.6810201764329</v>
      </c>
      <c r="G96" s="4">
        <f t="shared" si="50"/>
        <v>2099.0186915887843</v>
      </c>
      <c r="H96" s="20">
        <f>+H52</f>
        <v>17842.273653910586</v>
      </c>
      <c r="I96" s="20">
        <f>+I52</f>
        <v>18861.424325021959</v>
      </c>
      <c r="J96" t="s">
        <v>48</v>
      </c>
    </row>
    <row r="97" spans="2:9" x14ac:dyDescent="0.5">
      <c r="B97" s="17" t="s">
        <v>35</v>
      </c>
      <c r="C97" s="18">
        <f>+C95+C96</f>
        <v>33258.012445114437</v>
      </c>
      <c r="D97" s="18">
        <f t="shared" ref="D97:I97" si="51">+D95+D96</f>
        <v>35291.81368962588</v>
      </c>
      <c r="E97" s="18">
        <f t="shared" si="51"/>
        <v>37428.195058588462</v>
      </c>
      <c r="F97" s="18">
        <f t="shared" si="51"/>
        <v>39676.752164447309</v>
      </c>
      <c r="G97" s="18">
        <f t="shared" si="51"/>
        <v>42049.202088092046</v>
      </c>
      <c r="H97" s="18">
        <f t="shared" si="51"/>
        <v>44605.684134776457</v>
      </c>
      <c r="I97" s="18">
        <f t="shared" si="51"/>
        <v>47153.560812554882</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65CC-5DED-4C39-9C3B-9E500C393905}">
  <sheetPr codeName="Munka5"/>
  <dimension ref="B26:L100"/>
  <sheetViews>
    <sheetView topLeftCell="B75" zoomScale="110" zoomScaleNormal="110" workbookViewId="0">
      <selection activeCell="D40" sqref="D40"/>
    </sheetView>
  </sheetViews>
  <sheetFormatPr defaultRowHeight="15.75" x14ac:dyDescent="0.5"/>
  <cols>
    <col min="1" max="1" width="2.5" customWidth="1"/>
    <col min="2" max="2" width="28.625" bestFit="1" customWidth="1"/>
    <col min="3" max="3" width="10.75" bestFit="1" customWidth="1"/>
    <col min="4" max="6" width="8.75" bestFit="1" customWidth="1"/>
    <col min="7" max="7" width="10.75" bestFit="1" customWidth="1"/>
    <col min="8" max="8" width="12.375" bestFit="1" customWidth="1"/>
    <col min="9" max="9" width="8.75" bestFit="1" customWidth="1"/>
    <col min="11" max="11" width="12.125" bestFit="1" customWidth="1"/>
  </cols>
  <sheetData>
    <row r="26" spans="2:12" x14ac:dyDescent="0.5">
      <c r="C26" s="1">
        <v>2025</v>
      </c>
      <c r="D26" s="2">
        <f>+C26+1</f>
        <v>2026</v>
      </c>
      <c r="E26" s="2">
        <f t="shared" ref="E26:H26" si="0">+D26+1</f>
        <v>2027</v>
      </c>
      <c r="F26" s="2">
        <f t="shared" si="0"/>
        <v>2028</v>
      </c>
      <c r="G26" s="2">
        <f t="shared" si="0"/>
        <v>2029</v>
      </c>
      <c r="H26" s="2">
        <f t="shared" si="0"/>
        <v>2030</v>
      </c>
      <c r="I26" s="2" t="s">
        <v>8</v>
      </c>
      <c r="J26" s="2" t="s">
        <v>9</v>
      </c>
    </row>
    <row r="27" spans="2:12" x14ac:dyDescent="0.5">
      <c r="B27" t="s">
        <v>1</v>
      </c>
      <c r="C27" s="6">
        <v>20000</v>
      </c>
      <c r="D27" s="4"/>
      <c r="E27" s="4"/>
      <c r="F27" s="4"/>
      <c r="G27" s="4"/>
      <c r="H27" s="4"/>
      <c r="I27" s="4" t="s">
        <v>25</v>
      </c>
      <c r="J27" s="4"/>
      <c r="K27" s="4"/>
    </row>
    <row r="28" spans="2:12" x14ac:dyDescent="0.5">
      <c r="B28" t="s">
        <v>2</v>
      </c>
      <c r="C28" s="7">
        <v>0.15</v>
      </c>
      <c r="D28" s="3"/>
      <c r="E28" s="3"/>
      <c r="F28" s="3"/>
      <c r="G28" s="3"/>
      <c r="H28" s="3"/>
    </row>
    <row r="29" spans="2:12" x14ac:dyDescent="0.5">
      <c r="B29" t="s">
        <v>3</v>
      </c>
      <c r="C29" s="3"/>
      <c r="D29" s="7">
        <v>0.14000000000000001</v>
      </c>
      <c r="E29" s="7">
        <v>0.13</v>
      </c>
      <c r="F29" s="7">
        <v>0.12</v>
      </c>
      <c r="G29" s="7">
        <v>0.11</v>
      </c>
      <c r="H29" s="7">
        <v>0.1</v>
      </c>
      <c r="I29" s="11">
        <f>+I38</f>
        <v>9.5200000000000007E-2</v>
      </c>
      <c r="J29" s="11">
        <f t="shared" ref="J29:K29" si="1">+J38</f>
        <v>9.5200000000000007E-2</v>
      </c>
      <c r="K29" s="11">
        <f t="shared" si="1"/>
        <v>9.5200000000000007E-2</v>
      </c>
      <c r="L29" s="3"/>
    </row>
    <row r="30" spans="2:12" x14ac:dyDescent="0.5">
      <c r="B30" t="s">
        <v>4</v>
      </c>
      <c r="C30" s="7">
        <v>0.6</v>
      </c>
      <c r="D30" s="7">
        <v>0.6</v>
      </c>
      <c r="E30" s="7">
        <v>0.6</v>
      </c>
      <c r="F30" s="7">
        <v>0.6</v>
      </c>
      <c r="G30" s="7">
        <v>0.6</v>
      </c>
      <c r="H30" s="7">
        <v>0.6</v>
      </c>
      <c r="I30" s="3">
        <f>+J31/J29</f>
        <v>0.63025210084033612</v>
      </c>
      <c r="J30" s="3">
        <f>+K31/K29</f>
        <v>0.63025210084033612</v>
      </c>
      <c r="K30" s="3"/>
      <c r="L30" s="3"/>
    </row>
    <row r="31" spans="2:12" x14ac:dyDescent="0.5">
      <c r="B31" t="s">
        <v>6</v>
      </c>
      <c r="C31" s="3"/>
      <c r="D31" s="9"/>
      <c r="E31" s="9"/>
      <c r="F31" s="9"/>
      <c r="G31" s="9"/>
      <c r="H31" s="9"/>
      <c r="I31" s="9"/>
      <c r="J31" s="7">
        <v>0.06</v>
      </c>
      <c r="K31" s="7">
        <v>0.06</v>
      </c>
    </row>
    <row r="32" spans="2:12" x14ac:dyDescent="0.5">
      <c r="B32" t="s">
        <v>5</v>
      </c>
      <c r="C32" s="5">
        <v>0.1</v>
      </c>
      <c r="D32" s="5">
        <v>0.1</v>
      </c>
      <c r="E32" s="5">
        <v>0.1</v>
      </c>
      <c r="F32" s="5">
        <v>0.1</v>
      </c>
      <c r="G32" s="5">
        <v>0.1</v>
      </c>
      <c r="H32" s="5">
        <v>0.1</v>
      </c>
      <c r="I32" s="5">
        <v>0.1</v>
      </c>
      <c r="J32" s="5">
        <v>0.1</v>
      </c>
      <c r="K32" s="5">
        <v>0.1</v>
      </c>
    </row>
    <row r="33" spans="2:11" x14ac:dyDescent="0.5">
      <c r="B33" t="s">
        <v>22</v>
      </c>
      <c r="C33" s="5">
        <v>0.2</v>
      </c>
      <c r="D33" s="5">
        <v>0.2</v>
      </c>
      <c r="E33" s="5">
        <v>0.2</v>
      </c>
      <c r="F33" s="5">
        <v>0.2</v>
      </c>
      <c r="G33" s="5">
        <v>0.2</v>
      </c>
      <c r="H33" s="5">
        <v>0.2</v>
      </c>
      <c r="I33" s="5">
        <v>0.2</v>
      </c>
      <c r="J33" s="5">
        <v>0.2</v>
      </c>
      <c r="K33" s="5">
        <v>0.2</v>
      </c>
    </row>
    <row r="34" spans="2:11" ht="16.149999999999999" thickBot="1" x14ac:dyDescent="0.55000000000000004">
      <c r="B34" t="s">
        <v>7</v>
      </c>
      <c r="C34" s="19">
        <f>+C47/C91</f>
        <v>0.25585501638436009</v>
      </c>
      <c r="D34" s="19">
        <f t="shared" ref="D34:G34" si="2">+D47/D91</f>
        <v>0.24497290097751917</v>
      </c>
      <c r="E34" s="19">
        <f t="shared" si="2"/>
        <v>0.23488438440959297</v>
      </c>
      <c r="F34" s="19">
        <f t="shared" si="2"/>
        <v>0.22550205163589179</v>
      </c>
      <c r="G34" s="19">
        <f t="shared" si="2"/>
        <v>0.10734984838319002</v>
      </c>
      <c r="H34" s="7">
        <v>0.4</v>
      </c>
      <c r="I34" s="7">
        <v>0.4</v>
      </c>
      <c r="J34" s="7">
        <v>0.4</v>
      </c>
      <c r="K34" s="7">
        <v>0.4</v>
      </c>
    </row>
    <row r="35" spans="2:11" ht="16.149999999999999" thickBot="1" x14ac:dyDescent="0.55000000000000004">
      <c r="B35" t="s">
        <v>45</v>
      </c>
      <c r="C35" s="27">
        <f>+C43/C48</f>
        <v>5.5547784230698824E-2</v>
      </c>
      <c r="D35" s="28">
        <f t="shared" ref="D35:G35" si="3">+D43/D48</f>
        <v>5.4651693841732608E-2</v>
      </c>
      <c r="E35" s="28">
        <f t="shared" si="3"/>
        <v>5.3724351606565968E-2</v>
      </c>
      <c r="F35" s="28">
        <f t="shared" si="3"/>
        <v>7.1676980914728267E-2</v>
      </c>
      <c r="G35" s="29">
        <f t="shared" si="3"/>
        <v>0.10957501280081929</v>
      </c>
      <c r="H35" s="5">
        <v>0.06</v>
      </c>
      <c r="I35" s="5">
        <v>0.06</v>
      </c>
      <c r="J35" s="5">
        <v>0.06</v>
      </c>
      <c r="K35" s="5">
        <v>0.06</v>
      </c>
    </row>
    <row r="36" spans="2:11" x14ac:dyDescent="0.5">
      <c r="B36" t="s">
        <v>23</v>
      </c>
      <c r="C36" s="10">
        <v>0.20559270516717329</v>
      </c>
      <c r="D36" s="10">
        <v>0.20510402219140086</v>
      </c>
      <c r="E36" s="10">
        <v>0.20469140020448387</v>
      </c>
      <c r="F36" s="10">
        <v>0.20434210189976776</v>
      </c>
      <c r="G36" s="10">
        <v>0.20192564528603105</v>
      </c>
      <c r="H36" s="10">
        <v>0.2</v>
      </c>
      <c r="I36" s="10">
        <v>0.2</v>
      </c>
      <c r="J36" s="10">
        <v>0.2</v>
      </c>
      <c r="K36" s="10">
        <v>0.2</v>
      </c>
    </row>
    <row r="37" spans="2:11" x14ac:dyDescent="0.5">
      <c r="B37" t="s">
        <v>24</v>
      </c>
      <c r="C37" s="3">
        <f>+C62/C60</f>
        <v>0.20554818416418391</v>
      </c>
      <c r="D37" s="3">
        <f t="shared" ref="D37:K37" si="4">+D62/D60</f>
        <v>0.20506733309729944</v>
      </c>
      <c r="E37" s="3">
        <f t="shared" si="4"/>
        <v>0.2046606830948359</v>
      </c>
      <c r="F37" s="3">
        <f t="shared" si="4"/>
        <v>0.20431599168066295</v>
      </c>
      <c r="G37" s="3">
        <f t="shared" si="4"/>
        <v>0.20192078757097301</v>
      </c>
      <c r="H37" s="3">
        <f t="shared" si="4"/>
        <v>0.2</v>
      </c>
      <c r="I37" s="3">
        <f t="shared" si="4"/>
        <v>0.2</v>
      </c>
      <c r="J37" s="3">
        <f t="shared" si="4"/>
        <v>0.2</v>
      </c>
      <c r="K37" s="3" t="e">
        <f t="shared" si="4"/>
        <v>#DIV/0!</v>
      </c>
    </row>
    <row r="38" spans="2:11" x14ac:dyDescent="0.5">
      <c r="B38" t="s">
        <v>26</v>
      </c>
      <c r="C38" s="26">
        <f>+C32-C35*C49*C36</f>
        <v>9.7157039695593458E-2</v>
      </c>
      <c r="D38" s="26">
        <f t="shared" ref="D38:G38" si="5">+D32-D35*D49*D36</f>
        <v>9.7327069699321991E-2</v>
      </c>
      <c r="E38" s="26">
        <f t="shared" si="5"/>
        <v>9.7484566922582741E-2</v>
      </c>
      <c r="F38" s="26">
        <f t="shared" si="5"/>
        <v>9.7631051103561073E-2</v>
      </c>
      <c r="G38" s="26">
        <f t="shared" si="5"/>
        <v>9.8895521165497019E-2</v>
      </c>
      <c r="H38" s="8">
        <f>+H32-H35*H34*H36</f>
        <v>9.5200000000000007E-2</v>
      </c>
      <c r="I38" s="8">
        <f t="shared" ref="I38:K38" si="6">+I32-I35*I34*I36</f>
        <v>9.5200000000000007E-2</v>
      </c>
      <c r="J38" s="8">
        <f t="shared" si="6"/>
        <v>9.5200000000000007E-2</v>
      </c>
      <c r="K38" s="8">
        <f t="shared" si="6"/>
        <v>9.5200000000000007E-2</v>
      </c>
    </row>
    <row r="39" spans="2:11" x14ac:dyDescent="0.5">
      <c r="B39" t="s">
        <v>56</v>
      </c>
      <c r="C39" s="32">
        <v>0.8</v>
      </c>
      <c r="D39" s="32">
        <v>0.8</v>
      </c>
      <c r="E39" s="32">
        <v>0.8</v>
      </c>
      <c r="F39" s="32">
        <v>0.8</v>
      </c>
      <c r="G39" s="32">
        <v>0.8</v>
      </c>
      <c r="H39" s="8">
        <v>1</v>
      </c>
      <c r="I39" s="8">
        <v>1</v>
      </c>
      <c r="J39" s="8">
        <v>1</v>
      </c>
      <c r="K39" s="8">
        <v>1</v>
      </c>
    </row>
    <row r="40" spans="2:11" x14ac:dyDescent="0.5">
      <c r="H40" s="8"/>
      <c r="I40" s="8"/>
      <c r="J40" s="8"/>
      <c r="K40" s="8"/>
    </row>
    <row r="41" spans="2:11" x14ac:dyDescent="0.5">
      <c r="B41" s="21" t="s">
        <v>29</v>
      </c>
      <c r="C41" s="22">
        <v>9200</v>
      </c>
      <c r="D41" s="22">
        <v>9200</v>
      </c>
      <c r="E41" s="22">
        <v>9200</v>
      </c>
      <c r="F41" s="22">
        <v>9200</v>
      </c>
      <c r="G41" s="22">
        <f>+F41/2</f>
        <v>4600</v>
      </c>
      <c r="H41" s="4">
        <v>0</v>
      </c>
      <c r="I41" s="8"/>
      <c r="J41" s="8"/>
      <c r="K41" s="8"/>
    </row>
    <row r="42" spans="2:11" x14ac:dyDescent="0.5">
      <c r="B42" s="21" t="s">
        <v>30</v>
      </c>
      <c r="C42" s="23">
        <v>0.05</v>
      </c>
      <c r="D42" s="23">
        <v>0.05</v>
      </c>
      <c r="E42" s="23">
        <v>0.05</v>
      </c>
      <c r="F42" s="23">
        <v>0.05</v>
      </c>
      <c r="G42" s="23">
        <v>0.05</v>
      </c>
      <c r="H42" s="8"/>
      <c r="I42" s="8"/>
      <c r="J42" s="8"/>
      <c r="K42" s="8"/>
    </row>
    <row r="43" spans="2:11" x14ac:dyDescent="0.5">
      <c r="B43" t="s">
        <v>13</v>
      </c>
      <c r="C43" s="4">
        <f>+C41*C42</f>
        <v>460</v>
      </c>
      <c r="D43" s="4">
        <f t="shared" ref="D43:G43" si="7">+D41*D42</f>
        <v>460</v>
      </c>
      <c r="E43" s="4">
        <f t="shared" si="7"/>
        <v>460</v>
      </c>
      <c r="F43" s="4">
        <f t="shared" si="7"/>
        <v>460</v>
      </c>
      <c r="G43" s="4">
        <f t="shared" si="7"/>
        <v>230</v>
      </c>
      <c r="H43" s="8"/>
      <c r="I43" s="8"/>
      <c r="J43" s="8"/>
      <c r="K43" s="8"/>
    </row>
    <row r="44" spans="2:11" x14ac:dyDescent="0.5">
      <c r="B44" t="s">
        <v>31</v>
      </c>
      <c r="C44" s="4">
        <f>+C41-D41</f>
        <v>0</v>
      </c>
      <c r="D44" s="4">
        <f t="shared" ref="D44:G44" si="8">+D41-E41</f>
        <v>0</v>
      </c>
      <c r="E44" s="4">
        <f t="shared" si="8"/>
        <v>0</v>
      </c>
      <c r="F44" s="4">
        <f t="shared" si="8"/>
        <v>4600</v>
      </c>
      <c r="G44" s="4">
        <f t="shared" si="8"/>
        <v>4600</v>
      </c>
      <c r="H44" s="8"/>
      <c r="I44" s="8"/>
      <c r="J44" s="8"/>
      <c r="K44" s="8"/>
    </row>
    <row r="45" spans="2:11" x14ac:dyDescent="0.5">
      <c r="B45" s="12" t="s">
        <v>50</v>
      </c>
      <c r="C45" s="13">
        <f>+C43+C44</f>
        <v>460</v>
      </c>
      <c r="D45" s="13">
        <f t="shared" ref="D45:G45" si="9">+D43+D44</f>
        <v>460</v>
      </c>
      <c r="E45" s="13">
        <f t="shared" si="9"/>
        <v>460</v>
      </c>
      <c r="F45" s="13">
        <f t="shared" si="9"/>
        <v>5060</v>
      </c>
      <c r="G45" s="13">
        <f t="shared" si="9"/>
        <v>4830</v>
      </c>
      <c r="H45" s="8"/>
      <c r="I45" s="8"/>
      <c r="J45" s="8"/>
      <c r="K45" s="8"/>
    </row>
    <row r="46" spans="2:11" x14ac:dyDescent="0.5">
      <c r="B46" t="s">
        <v>0</v>
      </c>
      <c r="C46" s="8">
        <v>7.0000000000000007E-2</v>
      </c>
      <c r="D46" s="8">
        <v>7.0000000000000007E-2</v>
      </c>
      <c r="E46" s="8">
        <v>7.0000000000000007E-2</v>
      </c>
      <c r="F46" s="8">
        <v>7.0000000000000007E-2</v>
      </c>
      <c r="G46" s="8">
        <v>7.0000000000000007E-2</v>
      </c>
      <c r="H46" s="8">
        <f>+H35</f>
        <v>0.06</v>
      </c>
      <c r="I46" s="8">
        <f t="shared" ref="I46:K46" si="10">+I35</f>
        <v>0.06</v>
      </c>
      <c r="J46" s="8">
        <f t="shared" si="10"/>
        <v>0.06</v>
      </c>
      <c r="K46" s="8">
        <f t="shared" si="10"/>
        <v>0.06</v>
      </c>
    </row>
    <row r="47" spans="2:11" x14ac:dyDescent="0.5">
      <c r="B47" t="s">
        <v>10</v>
      </c>
      <c r="C47" s="4">
        <f t="shared" ref="C47:F47" si="11">+(C45+D47)/(1+C46)</f>
        <v>8511.1584002981381</v>
      </c>
      <c r="D47" s="4">
        <f t="shared" si="11"/>
        <v>8646.9394883190089</v>
      </c>
      <c r="E47" s="4">
        <f t="shared" si="11"/>
        <v>8792.2252525013391</v>
      </c>
      <c r="F47" s="4">
        <f t="shared" si="11"/>
        <v>8947.6810201764329</v>
      </c>
      <c r="G47" s="4">
        <f>+(G45+H47)/(1+G46)</f>
        <v>4514.0186915887843</v>
      </c>
      <c r="H47" s="14">
        <v>0</v>
      </c>
      <c r="I47" s="8"/>
      <c r="J47" s="8"/>
      <c r="K47" s="8"/>
    </row>
    <row r="48" spans="2:11" x14ac:dyDescent="0.5">
      <c r="B48" t="s">
        <v>51</v>
      </c>
      <c r="C48" s="4">
        <f>+C47-C51</f>
        <v>8281.1584002981381</v>
      </c>
      <c r="D48" s="4">
        <f t="shared" ref="D48:G48" si="12">+D47-D51</f>
        <v>8416.9394883190089</v>
      </c>
      <c r="E48" s="4">
        <f t="shared" si="12"/>
        <v>8562.2252525013391</v>
      </c>
      <c r="F48" s="4">
        <f t="shared" si="12"/>
        <v>6417.6810201764329</v>
      </c>
      <c r="G48" s="4">
        <f t="shared" si="12"/>
        <v>2099.0186915887843</v>
      </c>
      <c r="H48" s="8"/>
      <c r="I48" s="8"/>
      <c r="J48" s="8"/>
      <c r="K48" s="8"/>
    </row>
    <row r="49" spans="2:11" x14ac:dyDescent="0.5">
      <c r="B49" t="s">
        <v>53</v>
      </c>
      <c r="C49" s="3">
        <f>+C48/C91</f>
        <v>0.24894095709880604</v>
      </c>
      <c r="D49" s="3">
        <f t="shared" ref="D49:G49" si="13">+D48/D91</f>
        <v>0.23845686518231751</v>
      </c>
      <c r="E49" s="3">
        <f t="shared" si="13"/>
        <v>0.22873993213923777</v>
      </c>
      <c r="F49" s="3">
        <f t="shared" si="13"/>
        <v>0.16174025800999914</v>
      </c>
      <c r="G49" s="3">
        <f t="shared" si="13"/>
        <v>4.9917679498183348E-2</v>
      </c>
      <c r="H49" s="8"/>
      <c r="I49" s="8"/>
      <c r="J49" s="8"/>
      <c r="K49" s="8"/>
    </row>
    <row r="50" spans="2:11" x14ac:dyDescent="0.5">
      <c r="C50" s="4"/>
      <c r="D50" s="4"/>
      <c r="E50" s="4"/>
      <c r="F50" s="4"/>
      <c r="G50" s="4"/>
      <c r="H50" s="8"/>
      <c r="I50" s="8"/>
      <c r="J50" s="8"/>
      <c r="K50" s="8"/>
    </row>
    <row r="51" spans="2:11" x14ac:dyDescent="0.5">
      <c r="B51" s="21" t="s">
        <v>49</v>
      </c>
      <c r="C51" s="4">
        <f>+C45/2</f>
        <v>230</v>
      </c>
      <c r="D51" s="4">
        <f t="shared" ref="D51:G51" si="14">+D45/2</f>
        <v>230</v>
      </c>
      <c r="E51" s="4">
        <f t="shared" si="14"/>
        <v>230</v>
      </c>
      <c r="F51" s="4">
        <f t="shared" si="14"/>
        <v>2530</v>
      </c>
      <c r="G51" s="4">
        <f t="shared" si="14"/>
        <v>2415</v>
      </c>
      <c r="H51" s="24">
        <v>0</v>
      </c>
      <c r="I51" s="24">
        <v>0</v>
      </c>
      <c r="J51" s="24">
        <v>0</v>
      </c>
    </row>
    <row r="52" spans="2:11" x14ac:dyDescent="0.5">
      <c r="B52" t="str">
        <f>+B27</f>
        <v>IC boy</v>
      </c>
      <c r="C52" s="4">
        <f>+C27</f>
        <v>20000</v>
      </c>
      <c r="D52" s="4">
        <f>+C52+C71</f>
        <v>21800</v>
      </c>
      <c r="E52" s="4">
        <f t="shared" ref="E52:J52" si="15">+D52+D71</f>
        <v>23751.200000000001</v>
      </c>
      <c r="F52" s="4">
        <f t="shared" si="15"/>
        <v>25854.5936</v>
      </c>
      <c r="G52" s="4">
        <f t="shared" si="15"/>
        <v>28109.431539199999</v>
      </c>
      <c r="H52" s="4">
        <f t="shared" si="15"/>
        <v>30513.0887823872</v>
      </c>
      <c r="I52" s="4">
        <f t="shared" si="15"/>
        <v>33060.965460165629</v>
      </c>
      <c r="J52" s="4">
        <f t="shared" si="15"/>
        <v>35890.179108918921</v>
      </c>
    </row>
    <row r="53" spans="2:11" x14ac:dyDescent="0.5">
      <c r="B53" s="15" t="s">
        <v>27</v>
      </c>
      <c r="C53" s="16">
        <f>+C47</f>
        <v>8511.1584002981381</v>
      </c>
      <c r="D53" s="16">
        <f t="shared" ref="D53:G53" si="16">+D47</f>
        <v>8646.9394883190089</v>
      </c>
      <c r="E53" s="16">
        <f t="shared" si="16"/>
        <v>8792.2252525013391</v>
      </c>
      <c r="F53" s="16">
        <f t="shared" si="16"/>
        <v>8947.6810201764329</v>
      </c>
      <c r="G53" s="16">
        <f t="shared" si="16"/>
        <v>4514.0186915887843</v>
      </c>
      <c r="H53" s="4">
        <f>+H34*H85</f>
        <v>17842.273653910586</v>
      </c>
      <c r="I53" s="4">
        <f t="shared" ref="I53:J53" si="17">+I34*I85</f>
        <v>18861.424325021959</v>
      </c>
      <c r="J53" s="4">
        <f t="shared" si="17"/>
        <v>19993.109784523276</v>
      </c>
    </row>
    <row r="54" spans="2:11" x14ac:dyDescent="0.5">
      <c r="B54" s="21" t="s">
        <v>28</v>
      </c>
      <c r="C54" s="4">
        <f>+C51+C52-C53</f>
        <v>11718.841599701862</v>
      </c>
      <c r="D54" s="4">
        <f t="shared" ref="D54:J54" si="18">+D51+D52-D53</f>
        <v>13383.060511680991</v>
      </c>
      <c r="E54" s="4">
        <f t="shared" si="18"/>
        <v>15188.974747498662</v>
      </c>
      <c r="F54" s="4">
        <f t="shared" si="18"/>
        <v>19436.912579823569</v>
      </c>
      <c r="G54" s="4">
        <f t="shared" si="18"/>
        <v>26010.412847611216</v>
      </c>
      <c r="H54" s="4">
        <f t="shared" si="18"/>
        <v>12670.815128476614</v>
      </c>
      <c r="I54" s="4">
        <f t="shared" si="18"/>
        <v>14199.541135143671</v>
      </c>
      <c r="J54" s="4">
        <f t="shared" si="18"/>
        <v>15897.069324395645</v>
      </c>
    </row>
    <row r="57" spans="2:11" x14ac:dyDescent="0.5">
      <c r="B57" t="s">
        <v>12</v>
      </c>
      <c r="C57" s="4">
        <f>+C70/(1-C36)</f>
        <v>3776.4003673094585</v>
      </c>
      <c r="D57" s="4">
        <f t="shared" ref="D57:J57" si="19">+D70/(1-D36)</f>
        <v>4091.1013400335009</v>
      </c>
      <c r="E57" s="4">
        <f t="shared" si="19"/>
        <v>4407.9191409489949</v>
      </c>
      <c r="F57" s="4">
        <f t="shared" si="19"/>
        <v>4723.2148904359665</v>
      </c>
      <c r="G57" s="4">
        <f t="shared" si="19"/>
        <v>5019.7019634189228</v>
      </c>
      <c r="H57" s="4">
        <f t="shared" si="19"/>
        <v>5308.0764120384001</v>
      </c>
      <c r="I57" s="4">
        <f t="shared" si="19"/>
        <v>5611.2737366940337</v>
      </c>
      <c r="J57" s="4">
        <f t="shared" si="19"/>
        <v>5947.9501608956753</v>
      </c>
    </row>
    <row r="58" spans="2:11" x14ac:dyDescent="0.5">
      <c r="B58" t="s">
        <v>13</v>
      </c>
      <c r="C58" s="4">
        <f>+C43</f>
        <v>460</v>
      </c>
      <c r="D58" s="4">
        <f t="shared" ref="D58:G58" si="20">+D43</f>
        <v>460</v>
      </c>
      <c r="E58" s="4">
        <f t="shared" si="20"/>
        <v>460</v>
      </c>
      <c r="F58" s="4">
        <f t="shared" si="20"/>
        <v>460</v>
      </c>
      <c r="G58" s="4">
        <f t="shared" si="20"/>
        <v>230</v>
      </c>
      <c r="H58" s="4">
        <f>+H53*H35</f>
        <v>1070.5364192346351</v>
      </c>
      <c r="I58" s="4">
        <f t="shared" ref="I58:J58" si="21">+I53*I35</f>
        <v>1131.6854595013174</v>
      </c>
      <c r="J58" s="4">
        <f t="shared" si="21"/>
        <v>1199.5865870713965</v>
      </c>
    </row>
    <row r="59" spans="2:11" x14ac:dyDescent="0.5">
      <c r="B59" t="s">
        <v>55</v>
      </c>
      <c r="C59" s="4">
        <f>+C58*C39</f>
        <v>368</v>
      </c>
      <c r="D59" s="4">
        <f t="shared" ref="D59:J59" si="22">+D58*D39</f>
        <v>368</v>
      </c>
      <c r="E59" s="4">
        <f t="shared" si="22"/>
        <v>368</v>
      </c>
      <c r="F59" s="4">
        <f t="shared" si="22"/>
        <v>368</v>
      </c>
      <c r="G59" s="4">
        <f t="shared" si="22"/>
        <v>184</v>
      </c>
      <c r="H59" s="4">
        <f t="shared" si="22"/>
        <v>1070.5364192346351</v>
      </c>
      <c r="I59" s="4">
        <f t="shared" si="22"/>
        <v>1131.6854595013174</v>
      </c>
      <c r="J59" s="4">
        <f t="shared" si="22"/>
        <v>1199.5865870713965</v>
      </c>
    </row>
    <row r="60" spans="2:11" x14ac:dyDescent="0.5">
      <c r="B60" t="s">
        <v>14</v>
      </c>
      <c r="C60" s="4">
        <f>+C57-C58</f>
        <v>3316.4003673094585</v>
      </c>
      <c r="D60" s="4">
        <f t="shared" ref="D60:J60" si="23">+D57-D58</f>
        <v>3631.1013400335009</v>
      </c>
      <c r="E60" s="4">
        <f t="shared" si="23"/>
        <v>3947.9191409489949</v>
      </c>
      <c r="F60" s="4">
        <f t="shared" si="23"/>
        <v>4263.2148904359665</v>
      </c>
      <c r="G60" s="4">
        <f t="shared" si="23"/>
        <v>4789.7019634189228</v>
      </c>
      <c r="H60" s="4">
        <f t="shared" si="23"/>
        <v>4237.539992803765</v>
      </c>
      <c r="I60" s="4">
        <f t="shared" si="23"/>
        <v>4479.5882771927163</v>
      </c>
      <c r="J60" s="4">
        <f t="shared" si="23"/>
        <v>4748.3635738242792</v>
      </c>
    </row>
    <row r="61" spans="2:11" x14ac:dyDescent="0.5">
      <c r="B61" t="s">
        <v>54</v>
      </c>
      <c r="C61" s="4">
        <f>+C57-C59</f>
        <v>3408.4003673094585</v>
      </c>
      <c r="D61" s="4">
        <f t="shared" ref="D61:J61" si="24">+D57-D59</f>
        <v>3723.1013400335009</v>
      </c>
      <c r="E61" s="4">
        <f t="shared" si="24"/>
        <v>4039.9191409489949</v>
      </c>
      <c r="F61" s="4">
        <f t="shared" si="24"/>
        <v>4355.2148904359665</v>
      </c>
      <c r="G61" s="4">
        <f t="shared" si="24"/>
        <v>4835.7019634189228</v>
      </c>
      <c r="H61" s="4">
        <f t="shared" si="24"/>
        <v>4237.539992803765</v>
      </c>
      <c r="I61" s="4">
        <f t="shared" si="24"/>
        <v>4479.5882771927163</v>
      </c>
      <c r="J61" s="4">
        <f t="shared" si="24"/>
        <v>4748.3635738242792</v>
      </c>
    </row>
    <row r="62" spans="2:11" x14ac:dyDescent="0.5">
      <c r="B62" t="s">
        <v>15</v>
      </c>
      <c r="C62" s="4">
        <f>+IF(C61&lt;0,0,C61*C33)</f>
        <v>681.68007346189177</v>
      </c>
      <c r="D62" s="4">
        <f t="shared" ref="D62:J62" si="25">+IF(D61&lt;0,0,D61*D33)</f>
        <v>744.62026800670026</v>
      </c>
      <c r="E62" s="4">
        <f t="shared" si="25"/>
        <v>807.98382818979906</v>
      </c>
      <c r="F62" s="4">
        <f t="shared" si="25"/>
        <v>871.04297808719332</v>
      </c>
      <c r="G62" s="4">
        <f t="shared" si="25"/>
        <v>967.14039268378463</v>
      </c>
      <c r="H62" s="4">
        <f t="shared" si="25"/>
        <v>847.50799856075309</v>
      </c>
      <c r="I62" s="4">
        <f t="shared" si="25"/>
        <v>895.91765543854331</v>
      </c>
      <c r="J62" s="4">
        <f t="shared" si="25"/>
        <v>949.67271476485587</v>
      </c>
    </row>
    <row r="63" spans="2:11" x14ac:dyDescent="0.5">
      <c r="B63" t="s">
        <v>16</v>
      </c>
      <c r="C63" s="4">
        <f>+C60-C62</f>
        <v>2634.7202938475666</v>
      </c>
      <c r="D63" s="4">
        <f t="shared" ref="D63:J63" si="26">+D60-D62</f>
        <v>2886.4810720268006</v>
      </c>
      <c r="E63" s="4">
        <f t="shared" si="26"/>
        <v>3139.9353127591958</v>
      </c>
      <c r="F63" s="4">
        <f t="shared" si="26"/>
        <v>3392.1719123487733</v>
      </c>
      <c r="G63" s="4">
        <f t="shared" si="26"/>
        <v>3822.561570735138</v>
      </c>
      <c r="H63" s="4">
        <f t="shared" si="26"/>
        <v>3390.0319942430119</v>
      </c>
      <c r="I63" s="4">
        <f t="shared" si="26"/>
        <v>3583.6706217541732</v>
      </c>
      <c r="J63" s="4">
        <f t="shared" si="26"/>
        <v>3798.6908590594235</v>
      </c>
    </row>
    <row r="64" spans="2:11" x14ac:dyDescent="0.5">
      <c r="B64" t="s">
        <v>17</v>
      </c>
      <c r="C64" s="4">
        <f>+C63-C65</f>
        <v>970.50138186843742</v>
      </c>
      <c r="D64" s="4">
        <f t="shared" ref="D64:J64" si="27">+D63-D65</f>
        <v>1080.5668362091301</v>
      </c>
      <c r="E64" s="4">
        <f t="shared" si="27"/>
        <v>0</v>
      </c>
      <c r="F64" s="4">
        <f t="shared" si="27"/>
        <v>0</v>
      </c>
      <c r="G64" s="4">
        <f t="shared" si="27"/>
        <v>3822.561570735138</v>
      </c>
      <c r="H64" s="4">
        <f t="shared" si="27"/>
        <v>1861.305987575955</v>
      </c>
      <c r="I64" s="4">
        <f t="shared" si="27"/>
        <v>1886.142432502199</v>
      </c>
      <c r="J64" s="4">
        <f t="shared" si="27"/>
        <v>0</v>
      </c>
    </row>
    <row r="65" spans="2:10" x14ac:dyDescent="0.5">
      <c r="B65" t="s">
        <v>18</v>
      </c>
      <c r="C65" s="4">
        <f>+IF(C63&lt;0,C63,MAX(0,MIN(C63,C67)))</f>
        <v>1664.2189119791292</v>
      </c>
      <c r="D65" s="4">
        <f t="shared" ref="D65:J65" si="28">+IF(D63&lt;0,D63,MAX(0,MIN(D63,D67)))</f>
        <v>1805.9142358176705</v>
      </c>
      <c r="E65" s="4">
        <f t="shared" si="28"/>
        <v>3139.9353127591958</v>
      </c>
      <c r="F65" s="4">
        <f t="shared" si="28"/>
        <v>3392.1719123487733</v>
      </c>
      <c r="G65" s="4">
        <f t="shared" si="28"/>
        <v>0</v>
      </c>
      <c r="H65" s="4">
        <f t="shared" si="28"/>
        <v>1528.7260066670569</v>
      </c>
      <c r="I65" s="4">
        <f t="shared" si="28"/>
        <v>1697.5281892519743</v>
      </c>
      <c r="J65" s="4">
        <f t="shared" si="28"/>
        <v>3798.6908590594235</v>
      </c>
    </row>
    <row r="67" spans="2:10" x14ac:dyDescent="0.5">
      <c r="B67" t="s">
        <v>36</v>
      </c>
      <c r="C67" s="4">
        <f>+D54-C54</f>
        <v>1664.2189119791292</v>
      </c>
      <c r="D67" s="4">
        <f t="shared" ref="D67:I67" si="29">+E54-D54</f>
        <v>1805.9142358176705</v>
      </c>
      <c r="E67" s="4">
        <f t="shared" si="29"/>
        <v>4247.9378323249075</v>
      </c>
      <c r="F67" s="4">
        <f t="shared" si="29"/>
        <v>6573.5002677876473</v>
      </c>
      <c r="G67" s="4">
        <f t="shared" si="29"/>
        <v>-13339.597719134603</v>
      </c>
      <c r="H67" s="4">
        <f t="shared" si="29"/>
        <v>1528.7260066670569</v>
      </c>
      <c r="I67" s="4">
        <f t="shared" si="29"/>
        <v>1697.5281892519743</v>
      </c>
    </row>
    <row r="68" spans="2:10" x14ac:dyDescent="0.5">
      <c r="B68" t="s">
        <v>37</v>
      </c>
      <c r="C68" s="4">
        <f>+C67-C65</f>
        <v>0</v>
      </c>
      <c r="D68" s="4">
        <f t="shared" ref="D68:I68" si="30">+D67-D65</f>
        <v>0</v>
      </c>
      <c r="E68" s="4">
        <f t="shared" si="30"/>
        <v>1108.0025195657117</v>
      </c>
      <c r="F68" s="4">
        <f t="shared" si="30"/>
        <v>3181.328355438874</v>
      </c>
      <c r="G68" s="4">
        <f t="shared" si="30"/>
        <v>-13339.597719134603</v>
      </c>
      <c r="H68" s="4">
        <f t="shared" si="30"/>
        <v>0</v>
      </c>
      <c r="I68" s="4">
        <f t="shared" si="30"/>
        <v>0</v>
      </c>
    </row>
    <row r="70" spans="2:10" x14ac:dyDescent="0.5">
      <c r="B70" t="s">
        <v>19</v>
      </c>
      <c r="C70" s="4">
        <f>+C52*C28</f>
        <v>3000</v>
      </c>
      <c r="D70" s="4">
        <f>+C70+C71*D29</f>
        <v>3252</v>
      </c>
      <c r="E70" s="4">
        <f t="shared" ref="E70:J70" si="31">+D70+D71*E29</f>
        <v>3505.6559999999999</v>
      </c>
      <c r="F70" s="4">
        <f t="shared" si="31"/>
        <v>3758.063232</v>
      </c>
      <c r="G70" s="4">
        <f t="shared" si="31"/>
        <v>4006.0954053119999</v>
      </c>
      <c r="H70" s="4">
        <f t="shared" si="31"/>
        <v>4246.4611296307203</v>
      </c>
      <c r="I70" s="4">
        <f t="shared" si="31"/>
        <v>4489.0189893552269</v>
      </c>
      <c r="J70" s="4">
        <f t="shared" si="31"/>
        <v>4758.3601287165402</v>
      </c>
    </row>
    <row r="71" spans="2:10" x14ac:dyDescent="0.5">
      <c r="B71" t="s">
        <v>20</v>
      </c>
      <c r="C71" s="4">
        <f>+C70*C30</f>
        <v>1800</v>
      </c>
      <c r="D71" s="4">
        <f t="shared" ref="D71:J71" si="32">+D70*D30</f>
        <v>1951.1999999999998</v>
      </c>
      <c r="E71" s="4">
        <f t="shared" si="32"/>
        <v>2103.3935999999999</v>
      </c>
      <c r="F71" s="4">
        <f t="shared" si="32"/>
        <v>2254.8379391999997</v>
      </c>
      <c r="G71" s="4">
        <f t="shared" si="32"/>
        <v>2403.6572431872</v>
      </c>
      <c r="H71" s="4">
        <f t="shared" si="32"/>
        <v>2547.8766777784322</v>
      </c>
      <c r="I71" s="4">
        <f t="shared" si="32"/>
        <v>2829.2136487532944</v>
      </c>
      <c r="J71" s="4">
        <f t="shared" si="32"/>
        <v>2998.9664676784914</v>
      </c>
    </row>
    <row r="72" spans="2:10" x14ac:dyDescent="0.5">
      <c r="B72" t="s">
        <v>21</v>
      </c>
      <c r="C72" s="4">
        <f>+C70-C71</f>
        <v>1200</v>
      </c>
      <c r="D72" s="4">
        <f t="shared" ref="D72:J72" si="33">+D70-D71</f>
        <v>1300.8000000000002</v>
      </c>
      <c r="E72" s="4">
        <f t="shared" si="33"/>
        <v>1402.2624000000001</v>
      </c>
      <c r="F72" s="4">
        <f t="shared" si="33"/>
        <v>1503.2252928000003</v>
      </c>
      <c r="G72" s="4">
        <f t="shared" si="33"/>
        <v>1602.4381621247999</v>
      </c>
      <c r="H72" s="4">
        <f t="shared" si="33"/>
        <v>1698.5844518522881</v>
      </c>
      <c r="I72" s="4">
        <f t="shared" si="33"/>
        <v>1659.8053406019326</v>
      </c>
      <c r="J72" s="4">
        <f t="shared" si="33"/>
        <v>1759.3936610380488</v>
      </c>
    </row>
    <row r="73" spans="2:10" x14ac:dyDescent="0.5">
      <c r="B73" s="4" t="str">
        <f>+B58</f>
        <v>Interest payment</v>
      </c>
      <c r="C73" s="4">
        <f t="shared" ref="C73:I73" si="34">+C58</f>
        <v>460</v>
      </c>
      <c r="D73" s="4">
        <f t="shared" si="34"/>
        <v>460</v>
      </c>
      <c r="E73" s="4">
        <f t="shared" si="34"/>
        <v>460</v>
      </c>
      <c r="F73" s="4">
        <f t="shared" si="34"/>
        <v>460</v>
      </c>
      <c r="G73" s="4">
        <f t="shared" si="34"/>
        <v>230</v>
      </c>
      <c r="H73" s="4">
        <f t="shared" si="34"/>
        <v>1070.5364192346351</v>
      </c>
      <c r="I73" s="4">
        <f t="shared" si="34"/>
        <v>1131.6854595013174</v>
      </c>
      <c r="J73" s="4"/>
    </row>
    <row r="74" spans="2:10" x14ac:dyDescent="0.5">
      <c r="B74" t="s">
        <v>38</v>
      </c>
      <c r="C74" s="4">
        <f>+C73*C36</f>
        <v>94.572644376899717</v>
      </c>
      <c r="D74" s="4">
        <f t="shared" ref="D74:I74" si="35">+D73*D36</f>
        <v>94.347850208044392</v>
      </c>
      <c r="E74" s="4">
        <f t="shared" si="35"/>
        <v>94.158044094062575</v>
      </c>
      <c r="F74" s="4">
        <f t="shared" si="35"/>
        <v>93.997366873893171</v>
      </c>
      <c r="G74" s="4">
        <f t="shared" si="35"/>
        <v>46.442898415787141</v>
      </c>
      <c r="H74" s="4">
        <f t="shared" si="35"/>
        <v>214.10728384692703</v>
      </c>
      <c r="I74" s="4">
        <f t="shared" si="35"/>
        <v>226.33709190026349</v>
      </c>
      <c r="J74" s="4"/>
    </row>
    <row r="75" spans="2:10" x14ac:dyDescent="0.5">
      <c r="B75" t="s">
        <v>39</v>
      </c>
      <c r="C75" s="4">
        <f>+D53-C53</f>
        <v>135.78108802087081</v>
      </c>
      <c r="D75" s="4">
        <f t="shared" ref="D75:I75" si="36">+E53-D53</f>
        <v>145.28576418233024</v>
      </c>
      <c r="E75" s="4">
        <f t="shared" si="36"/>
        <v>155.45576767509374</v>
      </c>
      <c r="F75" s="4">
        <f t="shared" si="36"/>
        <v>-4433.6623285876485</v>
      </c>
      <c r="G75" s="4">
        <f t="shared" si="36"/>
        <v>13328.254962321802</v>
      </c>
      <c r="H75" s="4">
        <f t="shared" si="36"/>
        <v>1019.1506711113725</v>
      </c>
      <c r="I75" s="4">
        <f t="shared" si="36"/>
        <v>1131.6854595013174</v>
      </c>
      <c r="J75" s="4"/>
    </row>
    <row r="76" spans="2:10" x14ac:dyDescent="0.5">
      <c r="B76" s="21" t="s">
        <v>52</v>
      </c>
      <c r="C76" s="4">
        <f>+D51-C51</f>
        <v>0</v>
      </c>
      <c r="D76" s="4">
        <f t="shared" ref="D76:I76" si="37">+E51-D51</f>
        <v>0</v>
      </c>
      <c r="E76" s="4">
        <f t="shared" si="37"/>
        <v>2300</v>
      </c>
      <c r="F76" s="4">
        <f t="shared" si="37"/>
        <v>-115</v>
      </c>
      <c r="G76" s="4">
        <f t="shared" si="37"/>
        <v>-2415</v>
      </c>
      <c r="H76" s="4">
        <f t="shared" si="37"/>
        <v>0</v>
      </c>
      <c r="I76" s="4">
        <f t="shared" si="37"/>
        <v>0</v>
      </c>
      <c r="J76" s="4"/>
    </row>
    <row r="77" spans="2:10" x14ac:dyDescent="0.5">
      <c r="B77" s="21" t="s">
        <v>40</v>
      </c>
      <c r="C77" s="4">
        <f>+C72-C73+C74+C75-C76</f>
        <v>970.3537323977705</v>
      </c>
      <c r="D77" s="4">
        <f t="shared" ref="D77:I77" si="38">+D72-D73+D74+D75-D76</f>
        <v>1080.4336143903747</v>
      </c>
      <c r="E77" s="4">
        <f t="shared" si="38"/>
        <v>-1108.1237882308437</v>
      </c>
      <c r="F77" s="4">
        <f t="shared" si="38"/>
        <v>-3181.4396689137548</v>
      </c>
      <c r="G77" s="4">
        <f t="shared" si="38"/>
        <v>17162.136022862389</v>
      </c>
      <c r="H77" s="4">
        <f t="shared" si="38"/>
        <v>1861.3059875759525</v>
      </c>
      <c r="I77" s="4">
        <f t="shared" si="38"/>
        <v>1886.142432502196</v>
      </c>
      <c r="J77" s="4"/>
    </row>
    <row r="78" spans="2:10" x14ac:dyDescent="0.5">
      <c r="B78" t="str">
        <f>+B64</f>
        <v>Dividend</v>
      </c>
      <c r="C78" s="4">
        <f>+C64</f>
        <v>970.50138186843742</v>
      </c>
      <c r="D78" s="4">
        <f t="shared" ref="D78:I78" si="39">+D64</f>
        <v>1080.5668362091301</v>
      </c>
      <c r="E78" s="4">
        <f t="shared" si="39"/>
        <v>0</v>
      </c>
      <c r="F78" s="4">
        <f t="shared" si="39"/>
        <v>0</v>
      </c>
      <c r="G78" s="4">
        <f t="shared" si="39"/>
        <v>3822.561570735138</v>
      </c>
      <c r="H78" s="4">
        <f t="shared" si="39"/>
        <v>1861.305987575955</v>
      </c>
      <c r="I78" s="4">
        <f t="shared" si="39"/>
        <v>1886.142432502199</v>
      </c>
    </row>
    <row r="79" spans="2:10" x14ac:dyDescent="0.5">
      <c r="B79" t="s">
        <v>41</v>
      </c>
      <c r="C79" s="4">
        <f>+D54-C54-C65</f>
        <v>0</v>
      </c>
      <c r="D79" s="4">
        <f t="shared" ref="D79:I79" si="40">+E54-D54-D65</f>
        <v>0</v>
      </c>
      <c r="E79" s="4">
        <f t="shared" si="40"/>
        <v>1108.0025195657117</v>
      </c>
      <c r="F79" s="4">
        <f t="shared" si="40"/>
        <v>3181.328355438874</v>
      </c>
      <c r="G79" s="4">
        <f t="shared" si="40"/>
        <v>-13339.597719134603</v>
      </c>
      <c r="H79" s="4">
        <f t="shared" si="40"/>
        <v>0</v>
      </c>
      <c r="I79" s="4">
        <f t="shared" si="40"/>
        <v>0</v>
      </c>
    </row>
    <row r="80" spans="2:10" x14ac:dyDescent="0.5">
      <c r="B80" t="s">
        <v>42</v>
      </c>
      <c r="C80" s="4">
        <f>+C77-C78+C79</f>
        <v>-0.14764947066692002</v>
      </c>
      <c r="D80" s="4">
        <f t="shared" ref="D80:I80" si="41">+D77-D78+D79</f>
        <v>-0.13322181875537353</v>
      </c>
      <c r="E80" s="4">
        <f t="shared" si="41"/>
        <v>-0.12126866513199275</v>
      </c>
      <c r="F80" s="4">
        <f t="shared" si="41"/>
        <v>-0.11131347488071697</v>
      </c>
      <c r="G80" s="4">
        <f t="shared" si="41"/>
        <v>-2.3267007352842484E-2</v>
      </c>
      <c r="H80" s="4">
        <f t="shared" si="41"/>
        <v>-2.5011104298755527E-12</v>
      </c>
      <c r="I80" s="4">
        <f t="shared" si="41"/>
        <v>-2.9558577807620168E-12</v>
      </c>
    </row>
    <row r="82" spans="2:10" x14ac:dyDescent="0.5">
      <c r="B82" t="s">
        <v>33</v>
      </c>
    </row>
    <row r="83" spans="2:10" x14ac:dyDescent="0.5">
      <c r="B83" s="4" t="str">
        <f>+B72</f>
        <v>FCFF</v>
      </c>
      <c r="C83" s="4">
        <f t="shared" ref="C83:J83" si="42">+C72</f>
        <v>1200</v>
      </c>
      <c r="D83" s="4">
        <f t="shared" si="42"/>
        <v>1300.8000000000002</v>
      </c>
      <c r="E83" s="4">
        <f t="shared" si="42"/>
        <v>1402.2624000000001</v>
      </c>
      <c r="F83" s="4">
        <f t="shared" si="42"/>
        <v>1503.2252928000003</v>
      </c>
      <c r="G83" s="4">
        <f t="shared" si="42"/>
        <v>1602.4381621247999</v>
      </c>
      <c r="H83" s="4">
        <f t="shared" si="42"/>
        <v>1698.5844518522881</v>
      </c>
      <c r="I83" s="4">
        <f t="shared" si="42"/>
        <v>1659.8053406019326</v>
      </c>
      <c r="J83" s="4">
        <f t="shared" si="42"/>
        <v>1759.3936610380488</v>
      </c>
    </row>
    <row r="84" spans="2:10" x14ac:dyDescent="0.5">
      <c r="B84" s="3" t="str">
        <f>+B38</f>
        <v>WACC</v>
      </c>
      <c r="C84" s="3">
        <f t="shared" ref="C84:J84" si="43">+C38</f>
        <v>9.7157039695593458E-2</v>
      </c>
      <c r="D84" s="3">
        <f t="shared" si="43"/>
        <v>9.7327069699321991E-2</v>
      </c>
      <c r="E84" s="3">
        <f t="shared" si="43"/>
        <v>9.7484566922582741E-2</v>
      </c>
      <c r="F84" s="3">
        <f t="shared" si="43"/>
        <v>9.7631051103561073E-2</v>
      </c>
      <c r="G84" s="3">
        <f t="shared" si="43"/>
        <v>9.8895521165497019E-2</v>
      </c>
      <c r="H84" s="3">
        <f t="shared" si="43"/>
        <v>9.5200000000000007E-2</v>
      </c>
      <c r="I84" s="3">
        <f t="shared" si="43"/>
        <v>9.5200000000000007E-2</v>
      </c>
      <c r="J84" s="3">
        <f t="shared" si="43"/>
        <v>9.5200000000000007E-2</v>
      </c>
    </row>
    <row r="85" spans="2:10" x14ac:dyDescent="0.5">
      <c r="B85" s="17" t="s">
        <v>35</v>
      </c>
      <c r="C85" s="18">
        <f t="shared" ref="C85:G85" si="44">+(C83+D85)/(1+C84)</f>
        <v>33265.552188791924</v>
      </c>
      <c r="D85" s="18">
        <f t="shared" si="44"/>
        <v>35297.534763294214</v>
      </c>
      <c r="E85" s="18">
        <f t="shared" si="44"/>
        <v>37432.140389415588</v>
      </c>
      <c r="F85" s="18">
        <f t="shared" si="44"/>
        <v>39678.933984263087</v>
      </c>
      <c r="G85" s="18">
        <f t="shared" si="44"/>
        <v>42049.604723015509</v>
      </c>
      <c r="H85" s="18">
        <f>+(H83+I85)/(1+H84)</f>
        <v>44605.684134776464</v>
      </c>
      <c r="I85" s="18">
        <f>+(I83+J85)/(1+I84)</f>
        <v>47153.560812554897</v>
      </c>
      <c r="J85" s="4">
        <f>+J83/(J84-K31)</f>
        <v>49982.774461308189</v>
      </c>
    </row>
    <row r="88" spans="2:10" x14ac:dyDescent="0.5">
      <c r="B88" t="s">
        <v>43</v>
      </c>
    </row>
    <row r="89" spans="2:10" x14ac:dyDescent="0.5">
      <c r="B89" t="s">
        <v>44</v>
      </c>
      <c r="C89" s="4">
        <f>+C72+C74</f>
        <v>1294.5726443768997</v>
      </c>
      <c r="D89" s="4">
        <f t="shared" ref="D89:I89" si="45">+D72+D74</f>
        <v>1395.1478502080445</v>
      </c>
      <c r="E89" s="4">
        <f t="shared" si="45"/>
        <v>1496.4204440940625</v>
      </c>
      <c r="F89" s="4">
        <f t="shared" si="45"/>
        <v>1597.2226596738935</v>
      </c>
      <c r="G89" s="4">
        <f t="shared" si="45"/>
        <v>1648.881060540587</v>
      </c>
      <c r="H89" s="4">
        <f t="shared" si="45"/>
        <v>1912.6917356992151</v>
      </c>
      <c r="I89" s="4">
        <f t="shared" si="45"/>
        <v>1886.142432502196</v>
      </c>
      <c r="J89" s="4"/>
    </row>
    <row r="90" spans="2:10" x14ac:dyDescent="0.5">
      <c r="B90" s="3" t="str">
        <f>+B32</f>
        <v>rA</v>
      </c>
      <c r="C90" s="3">
        <f t="shared" ref="C90:I90" si="46">+C32</f>
        <v>0.1</v>
      </c>
      <c r="D90" s="3">
        <f t="shared" si="46"/>
        <v>0.1</v>
      </c>
      <c r="E90" s="3">
        <f t="shared" si="46"/>
        <v>0.1</v>
      </c>
      <c r="F90" s="3">
        <f t="shared" si="46"/>
        <v>0.1</v>
      </c>
      <c r="G90" s="3">
        <f t="shared" si="46"/>
        <v>0.1</v>
      </c>
      <c r="H90" s="3">
        <f t="shared" si="46"/>
        <v>0.1</v>
      </c>
      <c r="I90" s="3">
        <f t="shared" si="46"/>
        <v>0.1</v>
      </c>
      <c r="J90" s="3"/>
    </row>
    <row r="91" spans="2:10" x14ac:dyDescent="0.5">
      <c r="B91" s="17" t="s">
        <v>34</v>
      </c>
      <c r="C91" s="18">
        <f t="shared" ref="C91:G91" si="47">+(C89+D91)/(1+C90)</f>
        <v>33265.552188791902</v>
      </c>
      <c r="D91" s="18">
        <f t="shared" si="47"/>
        <v>35297.534763294192</v>
      </c>
      <c r="E91" s="18">
        <f t="shared" si="47"/>
        <v>37432.140389415574</v>
      </c>
      <c r="F91" s="18">
        <f t="shared" si="47"/>
        <v>39678.933984263072</v>
      </c>
      <c r="G91" s="18">
        <f t="shared" si="47"/>
        <v>42049.604723015495</v>
      </c>
      <c r="H91" s="18">
        <f>+(H89+I91)/(1+H90)</f>
        <v>44605.684134776457</v>
      </c>
      <c r="I91" s="18">
        <f>+I89/(I90-J31)</f>
        <v>47153.56081255489</v>
      </c>
    </row>
    <row r="95" spans="2:10" x14ac:dyDescent="0.5">
      <c r="B95" t="s">
        <v>46</v>
      </c>
    </row>
    <row r="96" spans="2:10" x14ac:dyDescent="0.5">
      <c r="B96" s="4" t="str">
        <f>+B77</f>
        <v>FCFE</v>
      </c>
      <c r="C96" s="4">
        <f t="shared" ref="C96:I96" si="48">+C77</f>
        <v>970.3537323977705</v>
      </c>
      <c r="D96" s="4">
        <f t="shared" si="48"/>
        <v>1080.4336143903747</v>
      </c>
      <c r="E96" s="4">
        <f t="shared" si="48"/>
        <v>-1108.1237882308437</v>
      </c>
      <c r="F96" s="4">
        <f t="shared" si="48"/>
        <v>-3181.4396689137548</v>
      </c>
      <c r="G96" s="4">
        <f t="shared" si="48"/>
        <v>17162.136022862389</v>
      </c>
      <c r="H96" s="4">
        <f t="shared" si="48"/>
        <v>1861.3059875759525</v>
      </c>
      <c r="I96" s="4">
        <f t="shared" si="48"/>
        <v>1886.142432502196</v>
      </c>
    </row>
    <row r="97" spans="2:10" x14ac:dyDescent="0.5">
      <c r="B97" t="s">
        <v>47</v>
      </c>
      <c r="C97" s="30">
        <f>+(C32-C49*C35)/(1-C49)</f>
        <v>0.11473383117261564</v>
      </c>
      <c r="D97" s="30">
        <f t="shared" ref="D97:G97" si="49">+(D32-D49*D35)/(1-D49)</f>
        <v>0.11419960923213794</v>
      </c>
      <c r="E97" s="30">
        <f t="shared" si="49"/>
        <v>0.11372440907328848</v>
      </c>
      <c r="F97" s="30">
        <f t="shared" si="49"/>
        <v>0.10546486033505428</v>
      </c>
      <c r="G97" s="30">
        <f>+(G32-G49*G35)/(1-G49)</f>
        <v>9.9496925255982194E-2</v>
      </c>
      <c r="H97" s="3">
        <f>+(H32-H34*H46)/(1-H34)</f>
        <v>0.12666666666666671</v>
      </c>
      <c r="I97" s="3">
        <f t="shared" ref="I97" si="50">+(I32-I34*I46)/(1-I34)</f>
        <v>0.12666666666666671</v>
      </c>
    </row>
    <row r="98" spans="2:10" x14ac:dyDescent="0.5">
      <c r="B98" t="s">
        <v>11</v>
      </c>
      <c r="C98" s="4">
        <f t="shared" ref="C98:G98" si="51">+(C96+D98)/(1+C97)</f>
        <v>24984.39378849377</v>
      </c>
      <c r="D98" s="4">
        <f t="shared" si="51"/>
        <v>26880.595274975192</v>
      </c>
      <c r="E98" s="4">
        <f t="shared" si="51"/>
        <v>28869.915136914238</v>
      </c>
      <c r="F98" s="4">
        <f t="shared" si="51"/>
        <v>33261.252964086641</v>
      </c>
      <c r="G98" s="4">
        <f t="shared" si="51"/>
        <v>39950.586031426705</v>
      </c>
      <c r="H98" s="4">
        <f>+(H96+I98)/(1+H97)</f>
        <v>26763.410480865867</v>
      </c>
      <c r="I98" s="4">
        <f>+I96/(I97-J31)</f>
        <v>28292.136487532924</v>
      </c>
    </row>
    <row r="99" spans="2:10" x14ac:dyDescent="0.5">
      <c r="B99" s="4" t="str">
        <f>+B48</f>
        <v>net D boy</v>
      </c>
      <c r="C99" s="4">
        <f t="shared" ref="C99:G99" si="52">+C48</f>
        <v>8281.1584002981381</v>
      </c>
      <c r="D99" s="4">
        <f t="shared" si="52"/>
        <v>8416.9394883190089</v>
      </c>
      <c r="E99" s="4">
        <f t="shared" si="52"/>
        <v>8562.2252525013391</v>
      </c>
      <c r="F99" s="4">
        <f t="shared" si="52"/>
        <v>6417.6810201764329</v>
      </c>
      <c r="G99" s="4">
        <f t="shared" si="52"/>
        <v>2099.0186915887843</v>
      </c>
      <c r="H99" s="20">
        <f>+H53</f>
        <v>17842.273653910586</v>
      </c>
      <c r="I99" s="20">
        <f>+I53</f>
        <v>18861.424325021959</v>
      </c>
      <c r="J99" t="s">
        <v>48</v>
      </c>
    </row>
    <row r="100" spans="2:10" x14ac:dyDescent="0.5">
      <c r="B100" s="17" t="s">
        <v>35</v>
      </c>
      <c r="C100" s="18">
        <f>+C98+C99</f>
        <v>33265.552188791909</v>
      </c>
      <c r="D100" s="18">
        <f t="shared" ref="D100:I100" si="53">+D98+D99</f>
        <v>35297.534763294199</v>
      </c>
      <c r="E100" s="18">
        <f t="shared" si="53"/>
        <v>37432.140389415581</v>
      </c>
      <c r="F100" s="18">
        <f t="shared" si="53"/>
        <v>39678.933984263072</v>
      </c>
      <c r="G100" s="18">
        <f t="shared" si="53"/>
        <v>42049.604723015487</v>
      </c>
      <c r="H100" s="18">
        <f t="shared" si="53"/>
        <v>44605.684134776457</v>
      </c>
      <c r="I100" s="18">
        <f t="shared" si="53"/>
        <v>47153.560812554882</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6</vt:i4>
      </vt:variant>
    </vt:vector>
  </HeadingPairs>
  <TitlesOfParts>
    <vt:vector size="6" baseType="lpstr">
      <vt:lpstr>WhichIsBetter</vt:lpstr>
      <vt:lpstr>ModelAStandard</vt:lpstr>
      <vt:lpstr>ModelAFairValue</vt:lpstr>
      <vt:lpstr>ModelBStandard</vt:lpstr>
      <vt:lpstr>ModelBFair</vt:lpstr>
      <vt:lpstr>ModelBFair (80%)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Péter Juhász</cp:lastModifiedBy>
  <dcterms:created xsi:type="dcterms:W3CDTF">2023-11-05T11:18:39Z</dcterms:created>
  <dcterms:modified xsi:type="dcterms:W3CDTF">2024-11-19T21:07:46Z</dcterms:modified>
</cp:coreProperties>
</file>