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!Aktualis\2024ősz\Applied Business Valuation\Week3\"/>
    </mc:Choice>
  </mc:AlternateContent>
  <xr:revisionPtr revIDLastSave="0" documentId="13_ncr:1_{4B514845-5C9F-443F-86CC-1D235B920A59}" xr6:coauthVersionLast="47" xr6:coauthVersionMax="47" xr10:uidLastSave="{00000000-0000-0000-0000-000000000000}"/>
  <bookViews>
    <workbookView xWindow="-120" yWindow="-120" windowWidth="29040" windowHeight="15720" activeTab="5" xr2:uid="{EE2224F1-1A86-480D-9DF9-DD5525925017}"/>
  </bookViews>
  <sheets>
    <sheet name="Base Case" sheetId="3" r:id="rId1"/>
    <sheet name="Task2" sheetId="4" r:id="rId2"/>
    <sheet name="Task3 base" sheetId="5" r:id="rId3"/>
    <sheet name="Task3 base (2)" sheetId="6" r:id="rId4"/>
    <sheet name="Task4" sheetId="7" r:id="rId5"/>
    <sheet name="ROIC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8" l="1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D21" i="8"/>
  <c r="R95" i="8"/>
  <c r="O95" i="8"/>
  <c r="N95" i="8"/>
  <c r="E95" i="8"/>
  <c r="D95" i="8"/>
  <c r="B95" i="8"/>
  <c r="B94" i="8"/>
  <c r="B93" i="8"/>
  <c r="G85" i="8"/>
  <c r="D85" i="8"/>
  <c r="C85" i="8"/>
  <c r="B85" i="8"/>
  <c r="B83" i="8"/>
  <c r="B78" i="8"/>
  <c r="B100" i="8" s="1"/>
  <c r="S76" i="8"/>
  <c r="R76" i="8"/>
  <c r="P76" i="8"/>
  <c r="O76" i="8"/>
  <c r="N76" i="8"/>
  <c r="J76" i="8"/>
  <c r="D76" i="8"/>
  <c r="B76" i="8"/>
  <c r="B75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C63" i="8"/>
  <c r="C84" i="8" s="1"/>
  <c r="B63" i="8"/>
  <c r="B84" i="8" s="1"/>
  <c r="BD60" i="8"/>
  <c r="AQ60" i="8"/>
  <c r="Z60" i="8"/>
  <c r="Y60" i="8"/>
  <c r="T60" i="8"/>
  <c r="R60" i="8"/>
  <c r="P60" i="8"/>
  <c r="N60" i="8"/>
  <c r="C60" i="8"/>
  <c r="B60" i="8"/>
  <c r="B59" i="8"/>
  <c r="B48" i="8"/>
  <c r="B42" i="8"/>
  <c r="C36" i="8"/>
  <c r="C35" i="8"/>
  <c r="C47" i="8" s="1"/>
  <c r="D34" i="8"/>
  <c r="BF31" i="8"/>
  <c r="BE31" i="8"/>
  <c r="BD31" i="8"/>
  <c r="BC31" i="8"/>
  <c r="BC29" i="8" s="1"/>
  <c r="BC60" i="8" s="1"/>
  <c r="BB31" i="8"/>
  <c r="BA31" i="8"/>
  <c r="AZ31" i="8"/>
  <c r="AY31" i="8"/>
  <c r="AX31" i="8"/>
  <c r="AW31" i="8"/>
  <c r="AW29" i="8" s="1"/>
  <c r="AW60" i="8" s="1"/>
  <c r="AV31" i="8"/>
  <c r="AV29" i="8" s="1"/>
  <c r="AV60" i="8" s="1"/>
  <c r="AU31" i="8"/>
  <c r="AT31" i="8"/>
  <c r="AS31" i="8"/>
  <c r="AR31" i="8"/>
  <c r="AR29" i="8" s="1"/>
  <c r="AR60" i="8" s="1"/>
  <c r="AQ31" i="8"/>
  <c r="AQ29" i="8" s="1"/>
  <c r="AP31" i="8"/>
  <c r="AP29" i="8" s="1"/>
  <c r="AP60" i="8" s="1"/>
  <c r="AO31" i="8"/>
  <c r="AO29" i="8" s="1"/>
  <c r="AO60" i="8" s="1"/>
  <c r="AN31" i="8"/>
  <c r="AN29" i="8" s="1"/>
  <c r="AN60" i="8" s="1"/>
  <c r="AM31" i="8"/>
  <c r="AM29" i="8" s="1"/>
  <c r="AM60" i="8" s="1"/>
  <c r="AL31" i="8"/>
  <c r="AL29" i="8" s="1"/>
  <c r="AL60" i="8" s="1"/>
  <c r="AK31" i="8"/>
  <c r="AK29" i="8" s="1"/>
  <c r="AK60" i="8" s="1"/>
  <c r="AJ31" i="8"/>
  <c r="AJ29" i="8" s="1"/>
  <c r="AJ60" i="8" s="1"/>
  <c r="AI31" i="8"/>
  <c r="AI29" i="8" s="1"/>
  <c r="AI60" i="8" s="1"/>
  <c r="AH31" i="8"/>
  <c r="AG31" i="8"/>
  <c r="AF31" i="8"/>
  <c r="AE31" i="8"/>
  <c r="AD31" i="8"/>
  <c r="AC31" i="8"/>
  <c r="AB31" i="8"/>
  <c r="AA31" i="8"/>
  <c r="Z31" i="8"/>
  <c r="Y31" i="8"/>
  <c r="Y29" i="8" s="1"/>
  <c r="X31" i="8"/>
  <c r="X29" i="8" s="1"/>
  <c r="X60" i="8" s="1"/>
  <c r="W31" i="8"/>
  <c r="W29" i="8" s="1"/>
  <c r="W60" i="8" s="1"/>
  <c r="V31" i="8"/>
  <c r="V29" i="8" s="1"/>
  <c r="V60" i="8" s="1"/>
  <c r="U31" i="8"/>
  <c r="U29" i="8" s="1"/>
  <c r="U60" i="8" s="1"/>
  <c r="T31" i="8"/>
  <c r="T29" i="8" s="1"/>
  <c r="T85" i="8" s="1"/>
  <c r="S31" i="8"/>
  <c r="S29" i="8" s="1"/>
  <c r="R31" i="8"/>
  <c r="R29" i="8" s="1"/>
  <c r="R85" i="8" s="1"/>
  <c r="Q31" i="8"/>
  <c r="P31" i="8"/>
  <c r="P29" i="8" s="1"/>
  <c r="P85" i="8" s="1"/>
  <c r="O31" i="8"/>
  <c r="O29" i="8" s="1"/>
  <c r="N31" i="8"/>
  <c r="M31" i="8"/>
  <c r="L31" i="8"/>
  <c r="K31" i="8"/>
  <c r="J31" i="8"/>
  <c r="I31" i="8"/>
  <c r="H31" i="8"/>
  <c r="G31" i="8"/>
  <c r="F31" i="8"/>
  <c r="E31" i="8"/>
  <c r="D31" i="8"/>
  <c r="D29" i="8" s="1"/>
  <c r="D60" i="8" s="1"/>
  <c r="C31" i="8"/>
  <c r="C29" i="8" s="1"/>
  <c r="G30" i="8"/>
  <c r="F30" i="8"/>
  <c r="E30" i="8"/>
  <c r="D30" i="8"/>
  <c r="C30" i="8"/>
  <c r="BF29" i="8"/>
  <c r="BF60" i="8" s="1"/>
  <c r="BE29" i="8"/>
  <c r="BE60" i="8" s="1"/>
  <c r="BD29" i="8"/>
  <c r="BB29" i="8"/>
  <c r="BB60" i="8" s="1"/>
  <c r="BA29" i="8"/>
  <c r="BA60" i="8" s="1"/>
  <c r="AZ29" i="8"/>
  <c r="AZ60" i="8" s="1"/>
  <c r="AY29" i="8"/>
  <c r="AY60" i="8" s="1"/>
  <c r="AX29" i="8"/>
  <c r="AX60" i="8" s="1"/>
  <c r="AU29" i="8"/>
  <c r="AU60" i="8" s="1"/>
  <c r="AT29" i="8"/>
  <c r="AT60" i="8" s="1"/>
  <c r="AS29" i="8"/>
  <c r="AS60" i="8" s="1"/>
  <c r="AH29" i="8"/>
  <c r="AH60" i="8" s="1"/>
  <c r="AG29" i="8"/>
  <c r="AG60" i="8" s="1"/>
  <c r="AF29" i="8"/>
  <c r="AF60" i="8" s="1"/>
  <c r="AE29" i="8"/>
  <c r="AE60" i="8" s="1"/>
  <c r="AD29" i="8"/>
  <c r="AD60" i="8" s="1"/>
  <c r="AC29" i="8"/>
  <c r="AC60" i="8" s="1"/>
  <c r="AB29" i="8"/>
  <c r="AB60" i="8" s="1"/>
  <c r="AA29" i="8"/>
  <c r="AA60" i="8" s="1"/>
  <c r="Z29" i="8"/>
  <c r="Q29" i="8"/>
  <c r="N29" i="8"/>
  <c r="N85" i="8" s="1"/>
  <c r="M29" i="8"/>
  <c r="L29" i="8"/>
  <c r="K29" i="8"/>
  <c r="J29" i="8"/>
  <c r="I29" i="8"/>
  <c r="I85" i="8" s="1"/>
  <c r="H29" i="8"/>
  <c r="H60" i="8" s="1"/>
  <c r="G29" i="8"/>
  <c r="G60" i="8" s="1"/>
  <c r="F29" i="8"/>
  <c r="F60" i="8" s="1"/>
  <c r="E29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T76" i="8" s="1"/>
  <c r="S28" i="8"/>
  <c r="R28" i="8"/>
  <c r="Q28" i="8"/>
  <c r="P28" i="8"/>
  <c r="P95" i="8" s="1"/>
  <c r="O28" i="8"/>
  <c r="N28" i="8"/>
  <c r="M28" i="8"/>
  <c r="L28" i="8"/>
  <c r="L95" i="8" s="1"/>
  <c r="K28" i="8"/>
  <c r="J28" i="8"/>
  <c r="J95" i="8" s="1"/>
  <c r="I28" i="8"/>
  <c r="H28" i="8"/>
  <c r="G28" i="8"/>
  <c r="F28" i="8"/>
  <c r="E28" i="8"/>
  <c r="E76" i="8" s="1"/>
  <c r="D28" i="8"/>
  <c r="C28" i="8"/>
  <c r="C95" i="8" s="1"/>
  <c r="C22" i="8"/>
  <c r="F19" i="8"/>
  <c r="G19" i="8" s="1"/>
  <c r="H19" i="8" s="1"/>
  <c r="D19" i="8"/>
  <c r="E19" i="8" s="1"/>
  <c r="C35" i="7"/>
  <c r="I21" i="7"/>
  <c r="B100" i="7"/>
  <c r="L95" i="7"/>
  <c r="E95" i="7"/>
  <c r="D95" i="7"/>
  <c r="C95" i="7"/>
  <c r="B95" i="7"/>
  <c r="B94" i="7"/>
  <c r="B93" i="7"/>
  <c r="Q85" i="7"/>
  <c r="K85" i="7"/>
  <c r="G85" i="7"/>
  <c r="D85" i="7"/>
  <c r="C85" i="7"/>
  <c r="B85" i="7"/>
  <c r="C84" i="7"/>
  <c r="C86" i="7" s="1"/>
  <c r="C83" i="7"/>
  <c r="C87" i="7" s="1"/>
  <c r="B83" i="7"/>
  <c r="B78" i="7"/>
  <c r="S76" i="7"/>
  <c r="R76" i="7"/>
  <c r="L76" i="7"/>
  <c r="C76" i="7"/>
  <c r="B76" i="7"/>
  <c r="B75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C63" i="7"/>
  <c r="B63" i="7"/>
  <c r="B84" i="7" s="1"/>
  <c r="AR60" i="7"/>
  <c r="AL60" i="7"/>
  <c r="AK60" i="7"/>
  <c r="AC60" i="7"/>
  <c r="AB60" i="7"/>
  <c r="AA60" i="7"/>
  <c r="W60" i="7"/>
  <c r="K60" i="7"/>
  <c r="D60" i="7"/>
  <c r="B60" i="7"/>
  <c r="B59" i="7"/>
  <c r="B48" i="7"/>
  <c r="C47" i="7"/>
  <c r="B42" i="7"/>
  <c r="C37" i="7"/>
  <c r="D34" i="7"/>
  <c r="BF31" i="7"/>
  <c r="BF29" i="7" s="1"/>
  <c r="BF60" i="7" s="1"/>
  <c r="BE31" i="7"/>
  <c r="BE29" i="7" s="1"/>
  <c r="BE60" i="7" s="1"/>
  <c r="BD31" i="7"/>
  <c r="BD29" i="7" s="1"/>
  <c r="BD60" i="7" s="1"/>
  <c r="BC31" i="7"/>
  <c r="BB31" i="7"/>
  <c r="BB29" i="7" s="1"/>
  <c r="BB60" i="7" s="1"/>
  <c r="BA31" i="7"/>
  <c r="BA29" i="7" s="1"/>
  <c r="BA60" i="7" s="1"/>
  <c r="AZ31" i="7"/>
  <c r="AZ29" i="7" s="1"/>
  <c r="AZ60" i="7" s="1"/>
  <c r="AY31" i="7"/>
  <c r="AX31" i="7"/>
  <c r="AX29" i="7" s="1"/>
  <c r="AX60" i="7" s="1"/>
  <c r="AW31" i="7"/>
  <c r="AW29" i="7" s="1"/>
  <c r="AW60" i="7" s="1"/>
  <c r="AV31" i="7"/>
  <c r="AU31" i="7"/>
  <c r="AU29" i="7" s="1"/>
  <c r="AU60" i="7" s="1"/>
  <c r="AT31" i="7"/>
  <c r="AT29" i="7" s="1"/>
  <c r="AT60" i="7" s="1"/>
  <c r="AS31" i="7"/>
  <c r="AS29" i="7" s="1"/>
  <c r="AS60" i="7" s="1"/>
  <c r="AR31" i="7"/>
  <c r="AQ31" i="7"/>
  <c r="AQ29" i="7" s="1"/>
  <c r="AQ60" i="7" s="1"/>
  <c r="AP31" i="7"/>
  <c r="AP29" i="7" s="1"/>
  <c r="AP60" i="7" s="1"/>
  <c r="AO31" i="7"/>
  <c r="AN31" i="7"/>
  <c r="AN29" i="7" s="1"/>
  <c r="AN60" i="7" s="1"/>
  <c r="AM31" i="7"/>
  <c r="AL31" i="7"/>
  <c r="AK31" i="7"/>
  <c r="AK29" i="7" s="1"/>
  <c r="AJ31" i="7"/>
  <c r="AJ29" i="7" s="1"/>
  <c r="AJ60" i="7" s="1"/>
  <c r="AI31" i="7"/>
  <c r="AH31" i="7"/>
  <c r="AG31" i="7"/>
  <c r="AG29" i="7" s="1"/>
  <c r="AG60" i="7" s="1"/>
  <c r="AF31" i="7"/>
  <c r="AF29" i="7" s="1"/>
  <c r="AF60" i="7" s="1"/>
  <c r="AE31" i="7"/>
  <c r="AD31" i="7"/>
  <c r="AC31" i="7"/>
  <c r="AB31" i="7"/>
  <c r="AB29" i="7" s="1"/>
  <c r="AA31" i="7"/>
  <c r="AA29" i="7" s="1"/>
  <c r="Z31" i="7"/>
  <c r="Y31" i="7"/>
  <c r="Y29" i="7" s="1"/>
  <c r="Y60" i="7" s="1"/>
  <c r="X31" i="7"/>
  <c r="W31" i="7"/>
  <c r="W29" i="7" s="1"/>
  <c r="V31" i="7"/>
  <c r="V29" i="7" s="1"/>
  <c r="V60" i="7" s="1"/>
  <c r="U31" i="7"/>
  <c r="T31" i="7"/>
  <c r="T29" i="7" s="1"/>
  <c r="S31" i="7"/>
  <c r="S29" i="7" s="1"/>
  <c r="R31" i="7"/>
  <c r="R29" i="7" s="1"/>
  <c r="Q31" i="7"/>
  <c r="Q29" i="7" s="1"/>
  <c r="Q60" i="7" s="1"/>
  <c r="P31" i="7"/>
  <c r="P29" i="7" s="1"/>
  <c r="O31" i="7"/>
  <c r="N31" i="7"/>
  <c r="M31" i="7"/>
  <c r="M29" i="7" s="1"/>
  <c r="L31" i="7"/>
  <c r="K31" i="7"/>
  <c r="J31" i="7"/>
  <c r="J29" i="7" s="1"/>
  <c r="I31" i="7"/>
  <c r="H31" i="7"/>
  <c r="G31" i="7"/>
  <c r="F31" i="7"/>
  <c r="F29" i="7" s="1"/>
  <c r="E31" i="7"/>
  <c r="E29" i="7" s="1"/>
  <c r="D31" i="7"/>
  <c r="C31" i="7"/>
  <c r="C29" i="7" s="1"/>
  <c r="C60" i="7" s="1"/>
  <c r="G30" i="7"/>
  <c r="F30" i="7"/>
  <c r="E30" i="7"/>
  <c r="D30" i="7"/>
  <c r="C30" i="7"/>
  <c r="C36" i="7" s="1"/>
  <c r="BC29" i="7"/>
  <c r="BC60" i="7" s="1"/>
  <c r="AY29" i="7"/>
  <c r="AY60" i="7" s="1"/>
  <c r="AV29" i="7"/>
  <c r="AV60" i="7" s="1"/>
  <c r="AR29" i="7"/>
  <c r="AO29" i="7"/>
  <c r="AO60" i="7" s="1"/>
  <c r="AM29" i="7"/>
  <c r="AM60" i="7" s="1"/>
  <c r="AL29" i="7"/>
  <c r="AI29" i="7"/>
  <c r="AI60" i="7" s="1"/>
  <c r="AH29" i="7"/>
  <c r="AH60" i="7" s="1"/>
  <c r="AE29" i="7"/>
  <c r="AE60" i="7" s="1"/>
  <c r="AD29" i="7"/>
  <c r="AD60" i="7" s="1"/>
  <c r="AC29" i="7"/>
  <c r="Z29" i="7"/>
  <c r="Z60" i="7" s="1"/>
  <c r="X29" i="7"/>
  <c r="X60" i="7" s="1"/>
  <c r="U29" i="7"/>
  <c r="U60" i="7" s="1"/>
  <c r="O29" i="7"/>
  <c r="O60" i="7" s="1"/>
  <c r="N29" i="7"/>
  <c r="L29" i="7"/>
  <c r="K29" i="7"/>
  <c r="I29" i="7"/>
  <c r="H29" i="7"/>
  <c r="G29" i="7"/>
  <c r="G60" i="7" s="1"/>
  <c r="D29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T76" i="7" s="1"/>
  <c r="S28" i="7"/>
  <c r="R28" i="7"/>
  <c r="R95" i="7" s="1"/>
  <c r="Q28" i="7"/>
  <c r="Q76" i="7" s="1"/>
  <c r="P28" i="7"/>
  <c r="O28" i="7"/>
  <c r="N28" i="7"/>
  <c r="M28" i="7"/>
  <c r="M95" i="7" s="1"/>
  <c r="L28" i="7"/>
  <c r="K28" i="7"/>
  <c r="K95" i="7" s="1"/>
  <c r="J28" i="7"/>
  <c r="J95" i="7" s="1"/>
  <c r="I28" i="7"/>
  <c r="I95" i="7" s="1"/>
  <c r="H28" i="7"/>
  <c r="G28" i="7"/>
  <c r="F28" i="7"/>
  <c r="E28" i="7"/>
  <c r="E76" i="7" s="1"/>
  <c r="D28" i="7"/>
  <c r="D76" i="7" s="1"/>
  <c r="C28" i="7"/>
  <c r="C22" i="7"/>
  <c r="D19" i="7"/>
  <c r="E19" i="7" s="1"/>
  <c r="F19" i="7" s="1"/>
  <c r="G19" i="7" s="1"/>
  <c r="H19" i="7" s="1"/>
  <c r="R95" i="6"/>
  <c r="P95" i="6"/>
  <c r="L95" i="6"/>
  <c r="K95" i="6"/>
  <c r="G95" i="6"/>
  <c r="F95" i="6"/>
  <c r="E95" i="6"/>
  <c r="B95" i="6"/>
  <c r="B94" i="6"/>
  <c r="B93" i="6"/>
  <c r="H85" i="6"/>
  <c r="B85" i="6"/>
  <c r="C84" i="6"/>
  <c r="B84" i="6"/>
  <c r="B83" i="6"/>
  <c r="B78" i="6"/>
  <c r="B100" i="6" s="1"/>
  <c r="Q76" i="6"/>
  <c r="P76" i="6"/>
  <c r="J76" i="6"/>
  <c r="F76" i="6"/>
  <c r="E76" i="6"/>
  <c r="D76" i="6"/>
  <c r="B76" i="6"/>
  <c r="B75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C63" i="6"/>
  <c r="B63" i="6"/>
  <c r="AX60" i="6"/>
  <c r="AW60" i="6"/>
  <c r="AV60" i="6"/>
  <c r="AU60" i="6"/>
  <c r="AT60" i="6"/>
  <c r="AJ60" i="6"/>
  <c r="AD60" i="6"/>
  <c r="V60" i="6"/>
  <c r="P60" i="6"/>
  <c r="K60" i="6"/>
  <c r="J60" i="6"/>
  <c r="I60" i="6"/>
  <c r="B60" i="6"/>
  <c r="B59" i="6"/>
  <c r="B48" i="6"/>
  <c r="B42" i="6"/>
  <c r="C35" i="6"/>
  <c r="BF31" i="6"/>
  <c r="BF29" i="6" s="1"/>
  <c r="BF60" i="6" s="1"/>
  <c r="BE31" i="6"/>
  <c r="BD31" i="6"/>
  <c r="BC31" i="6"/>
  <c r="BB31" i="6"/>
  <c r="BA31" i="6"/>
  <c r="AZ31" i="6"/>
  <c r="AY31" i="6"/>
  <c r="AX31" i="6"/>
  <c r="AW31" i="6"/>
  <c r="AV31" i="6"/>
  <c r="AU31" i="6"/>
  <c r="AU29" i="6" s="1"/>
  <c r="AT31" i="6"/>
  <c r="AT29" i="6" s="1"/>
  <c r="AS31" i="6"/>
  <c r="AS29" i="6" s="1"/>
  <c r="AS60" i="6" s="1"/>
  <c r="AR31" i="6"/>
  <c r="AR29" i="6" s="1"/>
  <c r="AR60" i="6" s="1"/>
  <c r="AQ31" i="6"/>
  <c r="AQ29" i="6" s="1"/>
  <c r="AQ60" i="6" s="1"/>
  <c r="AP31" i="6"/>
  <c r="AP29" i="6" s="1"/>
  <c r="AP60" i="6" s="1"/>
  <c r="AO31" i="6"/>
  <c r="AO29" i="6" s="1"/>
  <c r="AO60" i="6" s="1"/>
  <c r="AN31" i="6"/>
  <c r="AN29" i="6" s="1"/>
  <c r="AN60" i="6" s="1"/>
  <c r="AM31" i="6"/>
  <c r="AM29" i="6" s="1"/>
  <c r="AM60" i="6" s="1"/>
  <c r="AL31" i="6"/>
  <c r="AK31" i="6"/>
  <c r="AJ31" i="6"/>
  <c r="AI31" i="6"/>
  <c r="AH31" i="6"/>
  <c r="AG31" i="6"/>
  <c r="AF31" i="6"/>
  <c r="AE31" i="6"/>
  <c r="AE29" i="6" s="1"/>
  <c r="AE60" i="6" s="1"/>
  <c r="AD31" i="6"/>
  <c r="AC31" i="6"/>
  <c r="AB31" i="6"/>
  <c r="AA31" i="6"/>
  <c r="Z31" i="6"/>
  <c r="Y31" i="6"/>
  <c r="Y29" i="6" s="1"/>
  <c r="Y60" i="6" s="1"/>
  <c r="X31" i="6"/>
  <c r="X29" i="6" s="1"/>
  <c r="X60" i="6" s="1"/>
  <c r="W31" i="6"/>
  <c r="V31" i="6"/>
  <c r="V29" i="6" s="1"/>
  <c r="U31" i="6"/>
  <c r="U29" i="6" s="1"/>
  <c r="U60" i="6" s="1"/>
  <c r="T31" i="6"/>
  <c r="T29" i="6" s="1"/>
  <c r="S31" i="6"/>
  <c r="S29" i="6" s="1"/>
  <c r="R31" i="6"/>
  <c r="R29" i="6" s="1"/>
  <c r="Q31" i="6"/>
  <c r="P31" i="6"/>
  <c r="O31" i="6"/>
  <c r="N31" i="6"/>
  <c r="M31" i="6"/>
  <c r="L31" i="6"/>
  <c r="K31" i="6"/>
  <c r="K29" i="6" s="1"/>
  <c r="K85" i="6" s="1"/>
  <c r="J31" i="6"/>
  <c r="I31" i="6"/>
  <c r="H31" i="6"/>
  <c r="G31" i="6"/>
  <c r="F31" i="6"/>
  <c r="E31" i="6"/>
  <c r="E29" i="6" s="1"/>
  <c r="D31" i="6"/>
  <c r="D29" i="6" s="1"/>
  <c r="C31" i="6"/>
  <c r="C29" i="6" s="1"/>
  <c r="H30" i="6"/>
  <c r="G30" i="6"/>
  <c r="F30" i="6"/>
  <c r="E30" i="6"/>
  <c r="D30" i="6"/>
  <c r="C30" i="6"/>
  <c r="BE29" i="6"/>
  <c r="BE60" i="6" s="1"/>
  <c r="BD29" i="6"/>
  <c r="BD60" i="6" s="1"/>
  <c r="BC29" i="6"/>
  <c r="BC60" i="6" s="1"/>
  <c r="BB29" i="6"/>
  <c r="BB60" i="6" s="1"/>
  <c r="BA29" i="6"/>
  <c r="BA60" i="6" s="1"/>
  <c r="AZ29" i="6"/>
  <c r="AZ60" i="6" s="1"/>
  <c r="AY29" i="6"/>
  <c r="AY60" i="6" s="1"/>
  <c r="AX29" i="6"/>
  <c r="AW29" i="6"/>
  <c r="AV29" i="6"/>
  <c r="AL29" i="6"/>
  <c r="AL60" i="6" s="1"/>
  <c r="AK29" i="6"/>
  <c r="AK60" i="6" s="1"/>
  <c r="AJ29" i="6"/>
  <c r="AI29" i="6"/>
  <c r="AI60" i="6" s="1"/>
  <c r="AH29" i="6"/>
  <c r="AH60" i="6" s="1"/>
  <c r="AG29" i="6"/>
  <c r="AG60" i="6" s="1"/>
  <c r="AF29" i="6"/>
  <c r="AF60" i="6" s="1"/>
  <c r="AD29" i="6"/>
  <c r="AC29" i="6"/>
  <c r="AC60" i="6" s="1"/>
  <c r="AB29" i="6"/>
  <c r="AB60" i="6" s="1"/>
  <c r="AA29" i="6"/>
  <c r="AA60" i="6" s="1"/>
  <c r="Z29" i="6"/>
  <c r="Z60" i="6" s="1"/>
  <c r="W29" i="6"/>
  <c r="W60" i="6" s="1"/>
  <c r="Q29" i="6"/>
  <c r="Q60" i="6" s="1"/>
  <c r="P29" i="6"/>
  <c r="P85" i="6" s="1"/>
  <c r="O29" i="6"/>
  <c r="O60" i="6" s="1"/>
  <c r="N29" i="6"/>
  <c r="M29" i="6"/>
  <c r="L29" i="6"/>
  <c r="J29" i="6"/>
  <c r="J85" i="6" s="1"/>
  <c r="I29" i="6"/>
  <c r="H29" i="6"/>
  <c r="H60" i="6" s="1"/>
  <c r="G29" i="6"/>
  <c r="F29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T76" i="6" s="1"/>
  <c r="S28" i="6"/>
  <c r="S76" i="6" s="1"/>
  <c r="R28" i="6"/>
  <c r="R76" i="6" s="1"/>
  <c r="Q28" i="6"/>
  <c r="Q95" i="6" s="1"/>
  <c r="P28" i="6"/>
  <c r="O28" i="6"/>
  <c r="N28" i="6"/>
  <c r="N95" i="6" s="1"/>
  <c r="M28" i="6"/>
  <c r="L28" i="6"/>
  <c r="L76" i="6" s="1"/>
  <c r="K28" i="6"/>
  <c r="K76" i="6" s="1"/>
  <c r="J28" i="6"/>
  <c r="J95" i="6" s="1"/>
  <c r="I28" i="6"/>
  <c r="I76" i="6" s="1"/>
  <c r="H28" i="6"/>
  <c r="H76" i="6" s="1"/>
  <c r="G28" i="6"/>
  <c r="G76" i="6" s="1"/>
  <c r="F28" i="6"/>
  <c r="E28" i="6"/>
  <c r="D28" i="6"/>
  <c r="D95" i="6" s="1"/>
  <c r="C28" i="6"/>
  <c r="C95" i="6" s="1"/>
  <c r="K23" i="6"/>
  <c r="J22" i="6"/>
  <c r="I30" i="6" s="1"/>
  <c r="C22" i="6"/>
  <c r="E19" i="6"/>
  <c r="F19" i="6" s="1"/>
  <c r="G19" i="6" s="1"/>
  <c r="H19" i="6" s="1"/>
  <c r="D19" i="6"/>
  <c r="I17" i="5"/>
  <c r="J22" i="5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O95" i="5"/>
  <c r="B95" i="5"/>
  <c r="B94" i="5"/>
  <c r="B93" i="5"/>
  <c r="O85" i="5"/>
  <c r="K85" i="5"/>
  <c r="J85" i="5"/>
  <c r="B85" i="5"/>
  <c r="B84" i="5"/>
  <c r="C83" i="5"/>
  <c r="B83" i="5"/>
  <c r="B78" i="5"/>
  <c r="B100" i="5" s="1"/>
  <c r="T76" i="5"/>
  <c r="S76" i="5"/>
  <c r="R76" i="5"/>
  <c r="O76" i="5"/>
  <c r="F76" i="5"/>
  <c r="E76" i="5"/>
  <c r="D76" i="5"/>
  <c r="B76" i="5"/>
  <c r="B75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C63" i="5"/>
  <c r="C84" i="5" s="1"/>
  <c r="B63" i="5"/>
  <c r="AZ60" i="5"/>
  <c r="AY60" i="5"/>
  <c r="AP60" i="5"/>
  <c r="AN60" i="5"/>
  <c r="AI60" i="5"/>
  <c r="AH60" i="5"/>
  <c r="AG60" i="5"/>
  <c r="AF60" i="5"/>
  <c r="AE60" i="5"/>
  <c r="AB60" i="5"/>
  <c r="W60" i="5"/>
  <c r="V60" i="5"/>
  <c r="K60" i="5"/>
  <c r="J60" i="5"/>
  <c r="E60" i="5"/>
  <c r="B60" i="5"/>
  <c r="B59" i="5"/>
  <c r="B48" i="5"/>
  <c r="B42" i="5"/>
  <c r="C35" i="5"/>
  <c r="D34" i="5"/>
  <c r="BF31" i="5"/>
  <c r="BF29" i="5" s="1"/>
  <c r="BF60" i="5" s="1"/>
  <c r="BE31" i="5"/>
  <c r="BE29" i="5" s="1"/>
  <c r="BE60" i="5" s="1"/>
  <c r="BD31" i="5"/>
  <c r="BC31" i="5"/>
  <c r="BB31" i="5"/>
  <c r="BA31" i="5"/>
  <c r="BA29" i="5" s="1"/>
  <c r="BA60" i="5" s="1"/>
  <c r="AZ31" i="5"/>
  <c r="AZ29" i="5" s="1"/>
  <c r="AY31" i="5"/>
  <c r="AX31" i="5"/>
  <c r="AW31" i="5"/>
  <c r="AV31" i="5"/>
  <c r="AU31" i="5"/>
  <c r="AU29" i="5" s="1"/>
  <c r="AU60" i="5" s="1"/>
  <c r="AT31" i="5"/>
  <c r="AT29" i="5" s="1"/>
  <c r="AT60" i="5" s="1"/>
  <c r="AS31" i="5"/>
  <c r="AR31" i="5"/>
  <c r="AQ31" i="5"/>
  <c r="AQ29" i="5" s="1"/>
  <c r="AQ60" i="5" s="1"/>
  <c r="AP31" i="5"/>
  <c r="AP29" i="5" s="1"/>
  <c r="AO31" i="5"/>
  <c r="AO29" i="5" s="1"/>
  <c r="AO60" i="5" s="1"/>
  <c r="AN31" i="5"/>
  <c r="AM31" i="5"/>
  <c r="AM29" i="5" s="1"/>
  <c r="AM60" i="5" s="1"/>
  <c r="AL31" i="5"/>
  <c r="AL29" i="5" s="1"/>
  <c r="AL60" i="5" s="1"/>
  <c r="AK31" i="5"/>
  <c r="AJ31" i="5"/>
  <c r="AI31" i="5"/>
  <c r="AH31" i="5"/>
  <c r="AG31" i="5"/>
  <c r="AG29" i="5" s="1"/>
  <c r="AF31" i="5"/>
  <c r="AF29" i="5" s="1"/>
  <c r="AE31" i="5"/>
  <c r="AD31" i="5"/>
  <c r="AC31" i="5"/>
  <c r="AB31" i="5"/>
  <c r="AA31" i="5"/>
  <c r="Z31" i="5"/>
  <c r="Z29" i="5" s="1"/>
  <c r="Z60" i="5" s="1"/>
  <c r="Y31" i="5"/>
  <c r="X31" i="5"/>
  <c r="W31" i="5"/>
  <c r="W29" i="5" s="1"/>
  <c r="V31" i="5"/>
  <c r="V29" i="5" s="1"/>
  <c r="U31" i="5"/>
  <c r="T31" i="5"/>
  <c r="T29" i="5" s="1"/>
  <c r="S31" i="5"/>
  <c r="R31" i="5"/>
  <c r="Q31" i="5"/>
  <c r="P31" i="5"/>
  <c r="O31" i="5"/>
  <c r="N31" i="5"/>
  <c r="M31" i="5"/>
  <c r="M29" i="5" s="1"/>
  <c r="L31" i="5"/>
  <c r="K31" i="5"/>
  <c r="J31" i="5"/>
  <c r="I31" i="5"/>
  <c r="I29" i="5" s="1"/>
  <c r="I85" i="5" s="1"/>
  <c r="H31" i="5"/>
  <c r="H29" i="5" s="1"/>
  <c r="G31" i="5"/>
  <c r="G29" i="5" s="1"/>
  <c r="F31" i="5"/>
  <c r="F29" i="5" s="1"/>
  <c r="E31" i="5"/>
  <c r="D31" i="5"/>
  <c r="C31" i="5"/>
  <c r="H30" i="5"/>
  <c r="G30" i="5"/>
  <c r="F30" i="5"/>
  <c r="E30" i="5"/>
  <c r="D30" i="5"/>
  <c r="C30" i="5"/>
  <c r="C36" i="5" s="1"/>
  <c r="BD29" i="5"/>
  <c r="BD60" i="5" s="1"/>
  <c r="BC29" i="5"/>
  <c r="BC60" i="5" s="1"/>
  <c r="BB29" i="5"/>
  <c r="BB60" i="5" s="1"/>
  <c r="AY29" i="5"/>
  <c r="AX29" i="5"/>
  <c r="AX60" i="5" s="1"/>
  <c r="AW29" i="5"/>
  <c r="AW60" i="5" s="1"/>
  <c r="AV29" i="5"/>
  <c r="AV60" i="5" s="1"/>
  <c r="AS29" i="5"/>
  <c r="AS60" i="5" s="1"/>
  <c r="AR29" i="5"/>
  <c r="AR60" i="5" s="1"/>
  <c r="AN29" i="5"/>
  <c r="AK29" i="5"/>
  <c r="AK60" i="5" s="1"/>
  <c r="AJ29" i="5"/>
  <c r="AJ60" i="5" s="1"/>
  <c r="AI29" i="5"/>
  <c r="AH29" i="5"/>
  <c r="AE29" i="5"/>
  <c r="AD29" i="5"/>
  <c r="AD60" i="5" s="1"/>
  <c r="AC29" i="5"/>
  <c r="AC60" i="5" s="1"/>
  <c r="AB29" i="5"/>
  <c r="AA29" i="5"/>
  <c r="AA60" i="5" s="1"/>
  <c r="Y29" i="5"/>
  <c r="Y60" i="5" s="1"/>
  <c r="X29" i="5"/>
  <c r="X60" i="5" s="1"/>
  <c r="U29" i="5"/>
  <c r="U60" i="5" s="1"/>
  <c r="S29" i="5"/>
  <c r="R29" i="5"/>
  <c r="Q29" i="5"/>
  <c r="P29" i="5"/>
  <c r="O29" i="5"/>
  <c r="O60" i="5" s="1"/>
  <c r="N29" i="5"/>
  <c r="L29" i="5"/>
  <c r="K29" i="5"/>
  <c r="J29" i="5"/>
  <c r="E29" i="5"/>
  <c r="E85" i="5" s="1"/>
  <c r="D29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R95" i="5" s="1"/>
  <c r="Q28" i="5"/>
  <c r="P28" i="5"/>
  <c r="O28" i="5"/>
  <c r="N28" i="5"/>
  <c r="M28" i="5"/>
  <c r="L28" i="5"/>
  <c r="K28" i="5"/>
  <c r="J28" i="5"/>
  <c r="I28" i="5"/>
  <c r="H28" i="5"/>
  <c r="G28" i="5"/>
  <c r="F28" i="5"/>
  <c r="F95" i="5" s="1"/>
  <c r="E28" i="5"/>
  <c r="E95" i="5" s="1"/>
  <c r="D28" i="5"/>
  <c r="D95" i="5" s="1"/>
  <c r="C28" i="5"/>
  <c r="C95" i="5" s="1"/>
  <c r="K23" i="5"/>
  <c r="L23" i="5" s="1"/>
  <c r="C22" i="5"/>
  <c r="D19" i="5"/>
  <c r="E19" i="5" s="1"/>
  <c r="F19" i="5" s="1"/>
  <c r="G19" i="5" s="1"/>
  <c r="H19" i="5" s="1"/>
  <c r="K23" i="4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L95" i="4"/>
  <c r="B95" i="4"/>
  <c r="B94" i="4"/>
  <c r="B93" i="4"/>
  <c r="E85" i="4"/>
  <c r="D85" i="4"/>
  <c r="B85" i="4"/>
  <c r="C83" i="4"/>
  <c r="B83" i="4"/>
  <c r="B78" i="4"/>
  <c r="B100" i="4" s="1"/>
  <c r="N76" i="4"/>
  <c r="J76" i="4"/>
  <c r="I76" i="4"/>
  <c r="E76" i="4"/>
  <c r="D76" i="4"/>
  <c r="B76" i="4"/>
  <c r="B75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C63" i="4"/>
  <c r="B63" i="4"/>
  <c r="B84" i="4" s="1"/>
  <c r="X60" i="4"/>
  <c r="U60" i="4"/>
  <c r="T60" i="4"/>
  <c r="P60" i="4"/>
  <c r="B60" i="4"/>
  <c r="B59" i="4"/>
  <c r="B48" i="4"/>
  <c r="B42" i="4"/>
  <c r="C35" i="4"/>
  <c r="D34" i="4"/>
  <c r="BF31" i="4"/>
  <c r="BE31" i="4"/>
  <c r="BD31" i="4"/>
  <c r="BD29" i="4" s="1"/>
  <c r="BD60" i="4" s="1"/>
  <c r="BC31" i="4"/>
  <c r="BC29" i="4" s="1"/>
  <c r="BC60" i="4" s="1"/>
  <c r="BB31" i="4"/>
  <c r="BB29" i="4" s="1"/>
  <c r="BB60" i="4" s="1"/>
  <c r="BA31" i="4"/>
  <c r="AZ31" i="4"/>
  <c r="AZ29" i="4" s="1"/>
  <c r="AZ60" i="4" s="1"/>
  <c r="AY31" i="4"/>
  <c r="AX31" i="4"/>
  <c r="AW31" i="4"/>
  <c r="AV31" i="4"/>
  <c r="AV29" i="4" s="1"/>
  <c r="AV60" i="4" s="1"/>
  <c r="AU31" i="4"/>
  <c r="AU29" i="4" s="1"/>
  <c r="AU60" i="4" s="1"/>
  <c r="AT31" i="4"/>
  <c r="AT29" i="4" s="1"/>
  <c r="AT60" i="4" s="1"/>
  <c r="AS31" i="4"/>
  <c r="AS29" i="4" s="1"/>
  <c r="AS60" i="4" s="1"/>
  <c r="AR31" i="4"/>
  <c r="AR29" i="4" s="1"/>
  <c r="AR60" i="4" s="1"/>
  <c r="AQ31" i="4"/>
  <c r="AQ29" i="4" s="1"/>
  <c r="AQ60" i="4" s="1"/>
  <c r="AP31" i="4"/>
  <c r="AO31" i="4"/>
  <c r="AN31" i="4"/>
  <c r="AM31" i="4"/>
  <c r="AL31" i="4"/>
  <c r="AL29" i="4" s="1"/>
  <c r="AL60" i="4" s="1"/>
  <c r="AK31" i="4"/>
  <c r="AJ31" i="4"/>
  <c r="AI31" i="4"/>
  <c r="AH31" i="4"/>
  <c r="AG31" i="4"/>
  <c r="AF31" i="4"/>
  <c r="AF29" i="4" s="1"/>
  <c r="AF60" i="4" s="1"/>
  <c r="AE31" i="4"/>
  <c r="AE29" i="4" s="1"/>
  <c r="AE60" i="4" s="1"/>
  <c r="AD31" i="4"/>
  <c r="AC31" i="4"/>
  <c r="AB31" i="4"/>
  <c r="AA31" i="4"/>
  <c r="AA29" i="4" s="1"/>
  <c r="AA60" i="4" s="1"/>
  <c r="Z31" i="4"/>
  <c r="Z29" i="4" s="1"/>
  <c r="Z60" i="4" s="1"/>
  <c r="Y31" i="4"/>
  <c r="Y29" i="4" s="1"/>
  <c r="Y60" i="4" s="1"/>
  <c r="X31" i="4"/>
  <c r="X29" i="4" s="1"/>
  <c r="W31" i="4"/>
  <c r="V31" i="4"/>
  <c r="V29" i="4" s="1"/>
  <c r="V60" i="4" s="1"/>
  <c r="U31" i="4"/>
  <c r="T31" i="4"/>
  <c r="S31" i="4"/>
  <c r="S29" i="4" s="1"/>
  <c r="R31" i="4"/>
  <c r="Q31" i="4"/>
  <c r="Q29" i="4" s="1"/>
  <c r="P31" i="4"/>
  <c r="O31" i="4"/>
  <c r="N31" i="4"/>
  <c r="N29" i="4" s="1"/>
  <c r="M31" i="4"/>
  <c r="L31" i="4"/>
  <c r="L29" i="4" s="1"/>
  <c r="K31" i="4"/>
  <c r="J31" i="4"/>
  <c r="I31" i="4"/>
  <c r="H31" i="4"/>
  <c r="G31" i="4"/>
  <c r="G29" i="4" s="1"/>
  <c r="F31" i="4"/>
  <c r="F29" i="4" s="1"/>
  <c r="E31" i="4"/>
  <c r="E29" i="4" s="1"/>
  <c r="E60" i="4" s="1"/>
  <c r="D31" i="4"/>
  <c r="D29" i="4" s="1"/>
  <c r="D60" i="4" s="1"/>
  <c r="C31" i="4"/>
  <c r="C29" i="4" s="1"/>
  <c r="C60" i="4" s="1"/>
  <c r="G30" i="4"/>
  <c r="F30" i="4"/>
  <c r="E30" i="4"/>
  <c r="D30" i="4"/>
  <c r="C30" i="4"/>
  <c r="C36" i="4" s="1"/>
  <c r="BF29" i="4"/>
  <c r="BF60" i="4" s="1"/>
  <c r="BE29" i="4"/>
  <c r="BE60" i="4" s="1"/>
  <c r="BA29" i="4"/>
  <c r="BA60" i="4" s="1"/>
  <c r="AY29" i="4"/>
  <c r="AY60" i="4" s="1"/>
  <c r="AX29" i="4"/>
  <c r="AX60" i="4" s="1"/>
  <c r="AW29" i="4"/>
  <c r="AW60" i="4" s="1"/>
  <c r="AP29" i="4"/>
  <c r="AP60" i="4" s="1"/>
  <c r="AO29" i="4"/>
  <c r="AO60" i="4" s="1"/>
  <c r="AN29" i="4"/>
  <c r="AN60" i="4" s="1"/>
  <c r="AM29" i="4"/>
  <c r="AM60" i="4" s="1"/>
  <c r="AK29" i="4"/>
  <c r="AK60" i="4" s="1"/>
  <c r="AJ29" i="4"/>
  <c r="AJ60" i="4" s="1"/>
  <c r="AI29" i="4"/>
  <c r="AI60" i="4" s="1"/>
  <c r="AH29" i="4"/>
  <c r="AH60" i="4" s="1"/>
  <c r="AG29" i="4"/>
  <c r="AG60" i="4" s="1"/>
  <c r="AD29" i="4"/>
  <c r="AD60" i="4" s="1"/>
  <c r="AC29" i="4"/>
  <c r="AC60" i="4" s="1"/>
  <c r="AB29" i="4"/>
  <c r="AB60" i="4" s="1"/>
  <c r="W29" i="4"/>
  <c r="W60" i="4" s="1"/>
  <c r="U29" i="4"/>
  <c r="T29" i="4"/>
  <c r="T85" i="4" s="1"/>
  <c r="R29" i="4"/>
  <c r="P29" i="4"/>
  <c r="P85" i="4" s="1"/>
  <c r="O29" i="4"/>
  <c r="M29" i="4"/>
  <c r="K29" i="4"/>
  <c r="J29" i="4"/>
  <c r="I29" i="4"/>
  <c r="H29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T76" i="4" s="1"/>
  <c r="S28" i="4"/>
  <c r="S76" i="4" s="1"/>
  <c r="R28" i="4"/>
  <c r="Q28" i="4"/>
  <c r="P28" i="4"/>
  <c r="O28" i="4"/>
  <c r="N28" i="4"/>
  <c r="N95" i="4" s="1"/>
  <c r="M28" i="4"/>
  <c r="L28" i="4"/>
  <c r="L76" i="4" s="1"/>
  <c r="K28" i="4"/>
  <c r="K76" i="4" s="1"/>
  <c r="J28" i="4"/>
  <c r="J95" i="4" s="1"/>
  <c r="I28" i="4"/>
  <c r="I95" i="4" s="1"/>
  <c r="H28" i="4"/>
  <c r="H95" i="4" s="1"/>
  <c r="G28" i="4"/>
  <c r="F28" i="4"/>
  <c r="E28" i="4"/>
  <c r="E95" i="4" s="1"/>
  <c r="D28" i="4"/>
  <c r="D95" i="4" s="1"/>
  <c r="C28" i="4"/>
  <c r="I22" i="4"/>
  <c r="J22" i="4" s="1"/>
  <c r="C22" i="4"/>
  <c r="G19" i="4"/>
  <c r="H19" i="4" s="1"/>
  <c r="D19" i="4"/>
  <c r="E19" i="4" s="1"/>
  <c r="F19" i="4" s="1"/>
  <c r="P98" i="3"/>
  <c r="O98" i="3" s="1"/>
  <c r="Q98" i="3"/>
  <c r="R98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F94" i="3"/>
  <c r="G94" i="3"/>
  <c r="G96" i="3" s="1"/>
  <c r="G97" i="3" s="1"/>
  <c r="H94" i="3"/>
  <c r="H96" i="3" s="1"/>
  <c r="H97" i="3" s="1"/>
  <c r="I94" i="3"/>
  <c r="I96" i="3" s="1"/>
  <c r="I97" i="3" s="1"/>
  <c r="J94" i="3"/>
  <c r="J96" i="3" s="1"/>
  <c r="J97" i="3" s="1"/>
  <c r="K94" i="3"/>
  <c r="K96" i="3" s="1"/>
  <c r="K97" i="3" s="1"/>
  <c r="L94" i="3"/>
  <c r="L96" i="3" s="1"/>
  <c r="L97" i="3" s="1"/>
  <c r="M94" i="3"/>
  <c r="N94" i="3"/>
  <c r="O94" i="3"/>
  <c r="P94" i="3"/>
  <c r="Q94" i="3"/>
  <c r="R94" i="3"/>
  <c r="F95" i="3"/>
  <c r="G95" i="3"/>
  <c r="H95" i="3"/>
  <c r="I95" i="3"/>
  <c r="J95" i="3"/>
  <c r="K95" i="3"/>
  <c r="L95" i="3"/>
  <c r="M95" i="3"/>
  <c r="M96" i="3" s="1"/>
  <c r="M97" i="3" s="1"/>
  <c r="N95" i="3"/>
  <c r="N96" i="3" s="1"/>
  <c r="O95" i="3"/>
  <c r="O96" i="3" s="1"/>
  <c r="P95" i="3"/>
  <c r="P96" i="3" s="1"/>
  <c r="Q95" i="3"/>
  <c r="Q96" i="3" s="1"/>
  <c r="R95" i="3"/>
  <c r="R96" i="3" s="1"/>
  <c r="F96" i="3"/>
  <c r="F97" i="3" s="1"/>
  <c r="P99" i="3"/>
  <c r="P101" i="3" s="1"/>
  <c r="Q99" i="3"/>
  <c r="Q101" i="3" s="1"/>
  <c r="R99" i="3"/>
  <c r="R101" i="3" s="1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D100" i="3"/>
  <c r="E100" i="3"/>
  <c r="C100" i="3"/>
  <c r="B100" i="3"/>
  <c r="D97" i="3"/>
  <c r="E97" i="3"/>
  <c r="C97" i="3"/>
  <c r="D96" i="3"/>
  <c r="E96" i="3"/>
  <c r="C96" i="3"/>
  <c r="C95" i="3"/>
  <c r="D95" i="3"/>
  <c r="E95" i="3"/>
  <c r="B95" i="3"/>
  <c r="C94" i="3"/>
  <c r="D94" i="3"/>
  <c r="E94" i="3"/>
  <c r="B94" i="3"/>
  <c r="C93" i="3"/>
  <c r="D93" i="3"/>
  <c r="E93" i="3"/>
  <c r="B93" i="3"/>
  <c r="U88" i="3"/>
  <c r="T88" i="3"/>
  <c r="C89" i="3"/>
  <c r="C87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R88" i="3"/>
  <c r="Q88" i="3" s="1"/>
  <c r="P88" i="3" s="1"/>
  <c r="O88" i="3" s="1"/>
  <c r="N88" i="3" s="1"/>
  <c r="M88" i="3" s="1"/>
  <c r="L88" i="3" s="1"/>
  <c r="K88" i="3" s="1"/>
  <c r="J88" i="3" s="1"/>
  <c r="I88" i="3" s="1"/>
  <c r="H88" i="3" s="1"/>
  <c r="G88" i="3" s="1"/>
  <c r="F88" i="3" s="1"/>
  <c r="E88" i="3" s="1"/>
  <c r="D88" i="3" s="1"/>
  <c r="C88" i="3" s="1"/>
  <c r="S88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E84" i="3"/>
  <c r="E86" i="3" s="1"/>
  <c r="E87" i="3" s="1"/>
  <c r="F84" i="3"/>
  <c r="F86" i="3" s="1"/>
  <c r="F87" i="3" s="1"/>
  <c r="G84" i="3"/>
  <c r="G86" i="3" s="1"/>
  <c r="G87" i="3" s="1"/>
  <c r="H84" i="3"/>
  <c r="H86" i="3" s="1"/>
  <c r="H87" i="3" s="1"/>
  <c r="I84" i="3"/>
  <c r="J84" i="3"/>
  <c r="K84" i="3"/>
  <c r="L84" i="3"/>
  <c r="M84" i="3"/>
  <c r="N84" i="3"/>
  <c r="O84" i="3"/>
  <c r="P84" i="3"/>
  <c r="Q84" i="3"/>
  <c r="Q86" i="3" s="1"/>
  <c r="Q87" i="3" s="1"/>
  <c r="R84" i="3"/>
  <c r="R86" i="3" s="1"/>
  <c r="R87" i="3" s="1"/>
  <c r="S84" i="3"/>
  <c r="S86" i="3" s="1"/>
  <c r="S87" i="3" s="1"/>
  <c r="T84" i="3"/>
  <c r="T86" i="3" s="1"/>
  <c r="T87" i="3" s="1"/>
  <c r="E85" i="3"/>
  <c r="F85" i="3"/>
  <c r="G85" i="3"/>
  <c r="H85" i="3"/>
  <c r="I85" i="3"/>
  <c r="I86" i="3" s="1"/>
  <c r="I87" i="3" s="1"/>
  <c r="J85" i="3"/>
  <c r="J86" i="3" s="1"/>
  <c r="J87" i="3" s="1"/>
  <c r="K85" i="3"/>
  <c r="K86" i="3" s="1"/>
  <c r="K87" i="3" s="1"/>
  <c r="L85" i="3"/>
  <c r="L86" i="3" s="1"/>
  <c r="L87" i="3" s="1"/>
  <c r="M85" i="3"/>
  <c r="N85" i="3"/>
  <c r="O85" i="3"/>
  <c r="P85" i="3"/>
  <c r="Q85" i="3"/>
  <c r="R85" i="3"/>
  <c r="S85" i="3"/>
  <c r="T85" i="3"/>
  <c r="M86" i="3"/>
  <c r="M87" i="3" s="1"/>
  <c r="N86" i="3"/>
  <c r="N87" i="3" s="1"/>
  <c r="O86" i="3"/>
  <c r="O87" i="3" s="1"/>
  <c r="P86" i="3"/>
  <c r="P87" i="3" s="1"/>
  <c r="D86" i="3"/>
  <c r="D87" i="3" s="1"/>
  <c r="C86" i="3"/>
  <c r="C85" i="3"/>
  <c r="D85" i="3"/>
  <c r="B85" i="3"/>
  <c r="C84" i="3"/>
  <c r="D84" i="3"/>
  <c r="B84" i="3"/>
  <c r="C83" i="3"/>
  <c r="D83" i="3"/>
  <c r="B83" i="3"/>
  <c r="R77" i="3"/>
  <c r="Q77" i="3" s="1"/>
  <c r="P77" i="3" s="1"/>
  <c r="O77" i="3" s="1"/>
  <c r="N77" i="3" s="1"/>
  <c r="M77" i="3" s="1"/>
  <c r="L77" i="3" s="1"/>
  <c r="K77" i="3" s="1"/>
  <c r="J77" i="3" s="1"/>
  <c r="I77" i="3" s="1"/>
  <c r="H77" i="3" s="1"/>
  <c r="S77" i="3"/>
  <c r="T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S79" i="3" s="1"/>
  <c r="T78" i="3"/>
  <c r="T79" i="3" s="1"/>
  <c r="C78" i="3"/>
  <c r="B78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C75" i="3"/>
  <c r="D75" i="3"/>
  <c r="E75" i="3"/>
  <c r="F75" i="3"/>
  <c r="G75" i="3"/>
  <c r="C76" i="3"/>
  <c r="D76" i="3"/>
  <c r="E76" i="3"/>
  <c r="F76" i="3"/>
  <c r="G76" i="3"/>
  <c r="B76" i="3"/>
  <c r="B75" i="3"/>
  <c r="U71" i="3"/>
  <c r="T71" i="3" s="1"/>
  <c r="S71" i="3" s="1"/>
  <c r="R71" i="3" s="1"/>
  <c r="Q71" i="3" s="1"/>
  <c r="P71" i="3" s="1"/>
  <c r="O71" i="3" s="1"/>
  <c r="N71" i="3" s="1"/>
  <c r="M71" i="3" s="1"/>
  <c r="L71" i="3" s="1"/>
  <c r="K71" i="3" s="1"/>
  <c r="J71" i="3" s="1"/>
  <c r="I71" i="3" s="1"/>
  <c r="H71" i="3" s="1"/>
  <c r="G71" i="3" s="1"/>
  <c r="F71" i="3" s="1"/>
  <c r="E71" i="3" s="1"/>
  <c r="D71" i="3" s="1"/>
  <c r="C71" i="3" s="1"/>
  <c r="V71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W71" i="3"/>
  <c r="V61" i="3"/>
  <c r="U61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C70" i="3"/>
  <c r="B70" i="3"/>
  <c r="D42" i="3"/>
  <c r="D44" i="3" s="1"/>
  <c r="E42" i="3"/>
  <c r="E44" i="3" s="1"/>
  <c r="F42" i="3"/>
  <c r="F44" i="3" s="1"/>
  <c r="G42" i="3"/>
  <c r="H42" i="3"/>
  <c r="H44" i="3" s="1"/>
  <c r="I42" i="3"/>
  <c r="I44" i="3" s="1"/>
  <c r="J42" i="3"/>
  <c r="J44" i="3" s="1"/>
  <c r="K42" i="3"/>
  <c r="K44" i="3" s="1"/>
  <c r="L42" i="3"/>
  <c r="M42" i="3"/>
  <c r="N42" i="3"/>
  <c r="O42" i="3"/>
  <c r="P42" i="3"/>
  <c r="Q42" i="3"/>
  <c r="Q44" i="3" s="1"/>
  <c r="R42" i="3"/>
  <c r="S42" i="3"/>
  <c r="T42" i="3"/>
  <c r="U42" i="3"/>
  <c r="V42" i="3"/>
  <c r="V44" i="3" s="1"/>
  <c r="W42" i="3"/>
  <c r="W44" i="3" s="1"/>
  <c r="X42" i="3"/>
  <c r="X44" i="3" s="1"/>
  <c r="Y42" i="3"/>
  <c r="Y44" i="3" s="1"/>
  <c r="Z42" i="3"/>
  <c r="Z44" i="3" s="1"/>
  <c r="AA42" i="3"/>
  <c r="AB42" i="3"/>
  <c r="AB44" i="3" s="1"/>
  <c r="AC42" i="3"/>
  <c r="AC44" i="3" s="1"/>
  <c r="AD42" i="3"/>
  <c r="AD44" i="3" s="1"/>
  <c r="AE42" i="3"/>
  <c r="AE44" i="3" s="1"/>
  <c r="AF42" i="3"/>
  <c r="AG42" i="3"/>
  <c r="AH42" i="3"/>
  <c r="AI42" i="3"/>
  <c r="AJ42" i="3"/>
  <c r="AK42" i="3"/>
  <c r="AK44" i="3" s="1"/>
  <c r="AL42" i="3"/>
  <c r="AM42" i="3"/>
  <c r="AN42" i="3"/>
  <c r="AO42" i="3"/>
  <c r="AP42" i="3"/>
  <c r="AP44" i="3" s="1"/>
  <c r="AQ42" i="3"/>
  <c r="AQ44" i="3" s="1"/>
  <c r="AR42" i="3"/>
  <c r="AR44" i="3" s="1"/>
  <c r="AS42" i="3"/>
  <c r="AS44" i="3" s="1"/>
  <c r="AT42" i="3"/>
  <c r="AT44" i="3" s="1"/>
  <c r="AU42" i="3"/>
  <c r="AV42" i="3"/>
  <c r="AV44" i="3" s="1"/>
  <c r="AW42" i="3"/>
  <c r="AW44" i="3" s="1"/>
  <c r="AX42" i="3"/>
  <c r="AX44" i="3" s="1"/>
  <c r="AY42" i="3"/>
  <c r="AY44" i="3" s="1"/>
  <c r="AZ42" i="3"/>
  <c r="BA42" i="3"/>
  <c r="BB42" i="3"/>
  <c r="BC42" i="3"/>
  <c r="BD42" i="3"/>
  <c r="BE42" i="3"/>
  <c r="BE44" i="3" s="1"/>
  <c r="D43" i="3"/>
  <c r="E43" i="3"/>
  <c r="F43" i="3"/>
  <c r="G43" i="3"/>
  <c r="G44" i="3" s="1"/>
  <c r="H43" i="3"/>
  <c r="I43" i="3"/>
  <c r="J43" i="3"/>
  <c r="K43" i="3"/>
  <c r="L43" i="3"/>
  <c r="M43" i="3"/>
  <c r="M44" i="3" s="1"/>
  <c r="N43" i="3"/>
  <c r="N44" i="3" s="1"/>
  <c r="O43" i="3"/>
  <c r="O44" i="3" s="1"/>
  <c r="P43" i="3"/>
  <c r="P44" i="3" s="1"/>
  <c r="Q43" i="3"/>
  <c r="R43" i="3"/>
  <c r="S43" i="3"/>
  <c r="T43" i="3"/>
  <c r="U43" i="3"/>
  <c r="V43" i="3"/>
  <c r="W43" i="3"/>
  <c r="X43" i="3"/>
  <c r="Y43" i="3"/>
  <c r="Z43" i="3"/>
  <c r="AA43" i="3"/>
  <c r="AA44" i="3" s="1"/>
  <c r="AB43" i="3"/>
  <c r="AC43" i="3"/>
  <c r="AD43" i="3"/>
  <c r="AE43" i="3"/>
  <c r="AF43" i="3"/>
  <c r="AG43" i="3"/>
  <c r="AG44" i="3" s="1"/>
  <c r="AH43" i="3"/>
  <c r="AH44" i="3" s="1"/>
  <c r="AI43" i="3"/>
  <c r="AI44" i="3" s="1"/>
  <c r="AJ43" i="3"/>
  <c r="AJ44" i="3" s="1"/>
  <c r="AK43" i="3"/>
  <c r="AL43" i="3"/>
  <c r="AM43" i="3"/>
  <c r="AN43" i="3"/>
  <c r="AO43" i="3"/>
  <c r="AP43" i="3"/>
  <c r="AQ43" i="3"/>
  <c r="AR43" i="3"/>
  <c r="AS43" i="3"/>
  <c r="AT43" i="3"/>
  <c r="AU43" i="3"/>
  <c r="AU44" i="3" s="1"/>
  <c r="AV43" i="3"/>
  <c r="AW43" i="3"/>
  <c r="AX43" i="3"/>
  <c r="AY43" i="3"/>
  <c r="AZ43" i="3"/>
  <c r="BA43" i="3"/>
  <c r="BA44" i="3" s="1"/>
  <c r="BB43" i="3"/>
  <c r="BB44" i="3" s="1"/>
  <c r="BC43" i="3"/>
  <c r="BC44" i="3" s="1"/>
  <c r="BD43" i="3"/>
  <c r="BD44" i="3" s="1"/>
  <c r="BE43" i="3"/>
  <c r="L44" i="3"/>
  <c r="R44" i="3"/>
  <c r="S44" i="3"/>
  <c r="T44" i="3"/>
  <c r="U44" i="3"/>
  <c r="AF44" i="3"/>
  <c r="AL44" i="3"/>
  <c r="AM44" i="3"/>
  <c r="AN44" i="3"/>
  <c r="AO44" i="3"/>
  <c r="AZ44" i="3"/>
  <c r="C44" i="3"/>
  <c r="C43" i="3"/>
  <c r="C42" i="3"/>
  <c r="B42" i="3"/>
  <c r="BG20" i="3"/>
  <c r="D51" i="3"/>
  <c r="E51" i="3"/>
  <c r="E53" i="3" s="1"/>
  <c r="F51" i="3"/>
  <c r="F53" i="3" s="1"/>
  <c r="G51" i="3"/>
  <c r="G53" i="3" s="1"/>
  <c r="H51" i="3"/>
  <c r="I51" i="3"/>
  <c r="J51" i="3"/>
  <c r="K51" i="3"/>
  <c r="L51" i="3"/>
  <c r="M51" i="3"/>
  <c r="M52" i="3" s="1"/>
  <c r="N51" i="3"/>
  <c r="O51" i="3"/>
  <c r="P51" i="3"/>
  <c r="Q51" i="3"/>
  <c r="R51" i="3"/>
  <c r="R53" i="3" s="1"/>
  <c r="S51" i="3"/>
  <c r="S53" i="3" s="1"/>
  <c r="S56" i="3" s="1"/>
  <c r="T51" i="3"/>
  <c r="T53" i="3" s="1"/>
  <c r="T56" i="3" s="1"/>
  <c r="U51" i="3"/>
  <c r="U53" i="3" s="1"/>
  <c r="U56" i="3" s="1"/>
  <c r="V51" i="3"/>
  <c r="V53" i="3" s="1"/>
  <c r="V56" i="3" s="1"/>
  <c r="W51" i="3"/>
  <c r="W53" i="3" s="1"/>
  <c r="W56" i="3" s="1"/>
  <c r="X51" i="3"/>
  <c r="Y51" i="3"/>
  <c r="Y53" i="3" s="1"/>
  <c r="Z51" i="3"/>
  <c r="Z53" i="3" s="1"/>
  <c r="AA51" i="3"/>
  <c r="AA53" i="3" s="1"/>
  <c r="AB51" i="3"/>
  <c r="AC51" i="3"/>
  <c r="AD51" i="3"/>
  <c r="AE51" i="3"/>
  <c r="AF51" i="3"/>
  <c r="AG51" i="3"/>
  <c r="AG52" i="3" s="1"/>
  <c r="AH51" i="3"/>
  <c r="AI51" i="3"/>
  <c r="AJ51" i="3"/>
  <c r="AK51" i="3"/>
  <c r="AL51" i="3"/>
  <c r="AL53" i="3" s="1"/>
  <c r="AM51" i="3"/>
  <c r="AM53" i="3" s="1"/>
  <c r="AM56" i="3" s="1"/>
  <c r="AN51" i="3"/>
  <c r="AN53" i="3" s="1"/>
  <c r="AN56" i="3" s="1"/>
  <c r="AO51" i="3"/>
  <c r="AO53" i="3" s="1"/>
  <c r="AO56" i="3" s="1"/>
  <c r="AP51" i="3"/>
  <c r="AP53" i="3" s="1"/>
  <c r="AP56" i="3" s="1"/>
  <c r="AQ51" i="3"/>
  <c r="AQ53" i="3" s="1"/>
  <c r="AQ56" i="3" s="1"/>
  <c r="AR51" i="3"/>
  <c r="AS51" i="3"/>
  <c r="AS53" i="3" s="1"/>
  <c r="AT51" i="3"/>
  <c r="AT53" i="3" s="1"/>
  <c r="AU51" i="3"/>
  <c r="AU53" i="3" s="1"/>
  <c r="AV51" i="3"/>
  <c r="AW51" i="3"/>
  <c r="AX51" i="3"/>
  <c r="AY51" i="3"/>
  <c r="AZ51" i="3"/>
  <c r="BA51" i="3"/>
  <c r="BA52" i="3" s="1"/>
  <c r="BB51" i="3"/>
  <c r="BC51" i="3"/>
  <c r="BD51" i="3"/>
  <c r="BE51" i="3"/>
  <c r="BF51" i="3"/>
  <c r="D52" i="3"/>
  <c r="H52" i="3"/>
  <c r="X52" i="3"/>
  <c r="AB52" i="3"/>
  <c r="AR52" i="3"/>
  <c r="AV52" i="3"/>
  <c r="D53" i="3"/>
  <c r="H53" i="3"/>
  <c r="I53" i="3"/>
  <c r="I52" i="3" s="1"/>
  <c r="J53" i="3"/>
  <c r="J52" i="3" s="1"/>
  <c r="K53" i="3"/>
  <c r="K52" i="3" s="1"/>
  <c r="L53" i="3"/>
  <c r="L52" i="3" s="1"/>
  <c r="M53" i="3"/>
  <c r="X53" i="3"/>
  <c r="AB53" i="3"/>
  <c r="AC53" i="3"/>
  <c r="AC52" i="3" s="1"/>
  <c r="AD53" i="3"/>
  <c r="AD52" i="3" s="1"/>
  <c r="AE53" i="3"/>
  <c r="AE52" i="3" s="1"/>
  <c r="AF53" i="3"/>
  <c r="AF52" i="3" s="1"/>
  <c r="AG53" i="3"/>
  <c r="AR53" i="3"/>
  <c r="AV53" i="3"/>
  <c r="AW53" i="3"/>
  <c r="AW52" i="3" s="1"/>
  <c r="AX53" i="3"/>
  <c r="AX52" i="3" s="1"/>
  <c r="AY53" i="3"/>
  <c r="AY52" i="3" s="1"/>
  <c r="AZ53" i="3"/>
  <c r="AZ52" i="3" s="1"/>
  <c r="BA53" i="3"/>
  <c r="D55" i="3"/>
  <c r="E55" i="3"/>
  <c r="F55" i="3"/>
  <c r="G55" i="3"/>
  <c r="H55" i="3"/>
  <c r="H56" i="3" s="1"/>
  <c r="I55" i="3"/>
  <c r="I56" i="3" s="1"/>
  <c r="J55" i="3"/>
  <c r="J56" i="3" s="1"/>
  <c r="K55" i="3"/>
  <c r="K56" i="3" s="1"/>
  <c r="L55" i="3"/>
  <c r="L56" i="3" s="1"/>
  <c r="M55" i="3"/>
  <c r="M56" i="3" s="1"/>
  <c r="N55" i="3"/>
  <c r="N53" i="3" s="1"/>
  <c r="O55" i="3"/>
  <c r="O53" i="3" s="1"/>
  <c r="P55" i="3"/>
  <c r="P53" i="3" s="1"/>
  <c r="Q55" i="3"/>
  <c r="Q53" i="3" s="1"/>
  <c r="R55" i="3"/>
  <c r="R56" i="3" s="1"/>
  <c r="S55" i="3"/>
  <c r="T55" i="3"/>
  <c r="U55" i="3"/>
  <c r="V55" i="3"/>
  <c r="W55" i="3"/>
  <c r="X55" i="3"/>
  <c r="Y55" i="3"/>
  <c r="Z55" i="3"/>
  <c r="AA55" i="3"/>
  <c r="AB55" i="3"/>
  <c r="AB56" i="3" s="1"/>
  <c r="AC55" i="3"/>
  <c r="AC56" i="3" s="1"/>
  <c r="AD55" i="3"/>
  <c r="AD56" i="3" s="1"/>
  <c r="AE55" i="3"/>
  <c r="AE56" i="3" s="1"/>
  <c r="AF55" i="3"/>
  <c r="AF56" i="3" s="1"/>
  <c r="AG55" i="3"/>
  <c r="AG56" i="3" s="1"/>
  <c r="AH55" i="3"/>
  <c r="AH53" i="3" s="1"/>
  <c r="AI55" i="3"/>
  <c r="AI53" i="3" s="1"/>
  <c r="AJ55" i="3"/>
  <c r="AJ53" i="3" s="1"/>
  <c r="AK55" i="3"/>
  <c r="AK53" i="3" s="1"/>
  <c r="AL55" i="3"/>
  <c r="AL56" i="3" s="1"/>
  <c r="AM55" i="3"/>
  <c r="AN55" i="3"/>
  <c r="AO55" i="3"/>
  <c r="AP55" i="3"/>
  <c r="AQ55" i="3"/>
  <c r="AR55" i="3"/>
  <c r="AS55" i="3"/>
  <c r="AT55" i="3"/>
  <c r="AU55" i="3"/>
  <c r="AV55" i="3"/>
  <c r="AV56" i="3" s="1"/>
  <c r="AW55" i="3"/>
  <c r="AW56" i="3" s="1"/>
  <c r="AX55" i="3"/>
  <c r="AX56" i="3" s="1"/>
  <c r="AY55" i="3"/>
  <c r="AY56" i="3" s="1"/>
  <c r="AZ55" i="3"/>
  <c r="AZ56" i="3" s="1"/>
  <c r="BA55" i="3"/>
  <c r="BA56" i="3" s="1"/>
  <c r="BB55" i="3"/>
  <c r="BB53" i="3" s="1"/>
  <c r="BC55" i="3"/>
  <c r="BC53" i="3" s="1"/>
  <c r="BD55" i="3"/>
  <c r="BD53" i="3" s="1"/>
  <c r="BE55" i="3"/>
  <c r="BE53" i="3" s="1"/>
  <c r="D56" i="3"/>
  <c r="X56" i="3"/>
  <c r="AR56" i="3"/>
  <c r="C56" i="3"/>
  <c r="C52" i="3"/>
  <c r="C53" i="3"/>
  <c r="C55" i="3"/>
  <c r="D29" i="3"/>
  <c r="D60" i="3" s="1"/>
  <c r="L29" i="3"/>
  <c r="L60" i="3" s="1"/>
  <c r="Q29" i="3"/>
  <c r="Q60" i="3" s="1"/>
  <c r="R29" i="3"/>
  <c r="R60" i="3" s="1"/>
  <c r="S29" i="3"/>
  <c r="S60" i="3" s="1"/>
  <c r="T29" i="3"/>
  <c r="T60" i="3" s="1"/>
  <c r="U29" i="3"/>
  <c r="U60" i="3" s="1"/>
  <c r="X29" i="3"/>
  <c r="X60" i="3" s="1"/>
  <c r="Y29" i="3"/>
  <c r="Y60" i="3" s="1"/>
  <c r="Z29" i="3"/>
  <c r="Z60" i="3" s="1"/>
  <c r="AK29" i="3"/>
  <c r="AK60" i="3" s="1"/>
  <c r="AL29" i="3"/>
  <c r="AL60" i="3" s="1"/>
  <c r="AM29" i="3"/>
  <c r="AM60" i="3" s="1"/>
  <c r="AN29" i="3"/>
  <c r="AN60" i="3" s="1"/>
  <c r="AO29" i="3"/>
  <c r="AO60" i="3" s="1"/>
  <c r="AR29" i="3"/>
  <c r="AR60" i="3" s="1"/>
  <c r="AS29" i="3"/>
  <c r="AS60" i="3" s="1"/>
  <c r="AT29" i="3"/>
  <c r="AT60" i="3" s="1"/>
  <c r="AU29" i="3"/>
  <c r="AU60" i="3" s="1"/>
  <c r="AV29" i="3"/>
  <c r="AV60" i="3" s="1"/>
  <c r="AZ29" i="3"/>
  <c r="AZ60" i="3" s="1"/>
  <c r="BA29" i="3"/>
  <c r="BA60" i="3" s="1"/>
  <c r="BE29" i="3"/>
  <c r="BE60" i="3" s="1"/>
  <c r="BF29" i="3"/>
  <c r="BF60" i="3" s="1"/>
  <c r="C31" i="3"/>
  <c r="C29" i="3" s="1"/>
  <c r="C60" i="3" s="1"/>
  <c r="B48" i="3"/>
  <c r="D31" i="3"/>
  <c r="E31" i="3"/>
  <c r="E29" i="3" s="1"/>
  <c r="E60" i="3" s="1"/>
  <c r="F31" i="3"/>
  <c r="F29" i="3" s="1"/>
  <c r="F60" i="3" s="1"/>
  <c r="G31" i="3"/>
  <c r="G29" i="3" s="1"/>
  <c r="G60" i="3" s="1"/>
  <c r="H31" i="3"/>
  <c r="H29" i="3" s="1"/>
  <c r="H60" i="3" s="1"/>
  <c r="I31" i="3"/>
  <c r="I29" i="3" s="1"/>
  <c r="I60" i="3" s="1"/>
  <c r="J31" i="3"/>
  <c r="J29" i="3" s="1"/>
  <c r="J60" i="3" s="1"/>
  <c r="K31" i="3"/>
  <c r="K29" i="3" s="1"/>
  <c r="K60" i="3" s="1"/>
  <c r="L31" i="3"/>
  <c r="M31" i="3"/>
  <c r="M29" i="3" s="1"/>
  <c r="M60" i="3" s="1"/>
  <c r="N31" i="3"/>
  <c r="N29" i="3" s="1"/>
  <c r="N60" i="3" s="1"/>
  <c r="O31" i="3"/>
  <c r="O29" i="3" s="1"/>
  <c r="O60" i="3" s="1"/>
  <c r="P31" i="3"/>
  <c r="P29" i="3" s="1"/>
  <c r="P60" i="3" s="1"/>
  <c r="Q31" i="3"/>
  <c r="R31" i="3"/>
  <c r="S31" i="3"/>
  <c r="T31" i="3"/>
  <c r="U31" i="3"/>
  <c r="V31" i="3"/>
  <c r="V29" i="3" s="1"/>
  <c r="V60" i="3" s="1"/>
  <c r="W31" i="3"/>
  <c r="W29" i="3" s="1"/>
  <c r="W60" i="3" s="1"/>
  <c r="X31" i="3"/>
  <c r="Y31" i="3"/>
  <c r="Z31" i="3"/>
  <c r="AA31" i="3"/>
  <c r="AA29" i="3" s="1"/>
  <c r="AA60" i="3" s="1"/>
  <c r="AB31" i="3"/>
  <c r="AB29" i="3" s="1"/>
  <c r="AB60" i="3" s="1"/>
  <c r="AC31" i="3"/>
  <c r="AC29" i="3" s="1"/>
  <c r="AC60" i="3" s="1"/>
  <c r="AD31" i="3"/>
  <c r="AD29" i="3" s="1"/>
  <c r="AD60" i="3" s="1"/>
  <c r="AE31" i="3"/>
  <c r="AE29" i="3" s="1"/>
  <c r="AE60" i="3" s="1"/>
  <c r="AF31" i="3"/>
  <c r="AF29" i="3" s="1"/>
  <c r="AF60" i="3" s="1"/>
  <c r="AG31" i="3"/>
  <c r="AG29" i="3" s="1"/>
  <c r="AG60" i="3" s="1"/>
  <c r="AH31" i="3"/>
  <c r="AH29" i="3" s="1"/>
  <c r="AH60" i="3" s="1"/>
  <c r="AI31" i="3"/>
  <c r="AI29" i="3" s="1"/>
  <c r="AI60" i="3" s="1"/>
  <c r="AJ31" i="3"/>
  <c r="AJ29" i="3" s="1"/>
  <c r="AJ60" i="3" s="1"/>
  <c r="AK31" i="3"/>
  <c r="AL31" i="3"/>
  <c r="AM31" i="3"/>
  <c r="AN31" i="3"/>
  <c r="AO31" i="3"/>
  <c r="AP31" i="3"/>
  <c r="AP29" i="3" s="1"/>
  <c r="AP60" i="3" s="1"/>
  <c r="AQ31" i="3"/>
  <c r="AQ29" i="3" s="1"/>
  <c r="AQ60" i="3" s="1"/>
  <c r="AR31" i="3"/>
  <c r="AS31" i="3"/>
  <c r="AT31" i="3"/>
  <c r="AU31" i="3"/>
  <c r="AV31" i="3"/>
  <c r="AW31" i="3"/>
  <c r="AW29" i="3" s="1"/>
  <c r="AW60" i="3" s="1"/>
  <c r="AX31" i="3"/>
  <c r="AX29" i="3" s="1"/>
  <c r="AX60" i="3" s="1"/>
  <c r="AY31" i="3"/>
  <c r="AY29" i="3" s="1"/>
  <c r="AY60" i="3" s="1"/>
  <c r="AZ31" i="3"/>
  <c r="BA31" i="3"/>
  <c r="BB31" i="3"/>
  <c r="BB29" i="3" s="1"/>
  <c r="BB60" i="3" s="1"/>
  <c r="BC31" i="3"/>
  <c r="BC29" i="3" s="1"/>
  <c r="BC60" i="3" s="1"/>
  <c r="BD31" i="3"/>
  <c r="BD29" i="3" s="1"/>
  <c r="BD60" i="3" s="1"/>
  <c r="BE31" i="3"/>
  <c r="BF31" i="3"/>
  <c r="C63" i="3"/>
  <c r="B63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60" i="3"/>
  <c r="B59" i="3"/>
  <c r="D28" i="3"/>
  <c r="E28" i="3"/>
  <c r="F28" i="3"/>
  <c r="G28" i="3"/>
  <c r="H28" i="3"/>
  <c r="I28" i="3"/>
  <c r="J28" i="3"/>
  <c r="K28" i="3"/>
  <c r="C28" i="3"/>
  <c r="D30" i="3"/>
  <c r="E30" i="3"/>
  <c r="F30" i="3"/>
  <c r="G30" i="3"/>
  <c r="C30" i="3"/>
  <c r="C22" i="3"/>
  <c r="C35" i="3"/>
  <c r="D19" i="3"/>
  <c r="E19" i="3" s="1"/>
  <c r="F19" i="3" s="1"/>
  <c r="G19" i="3" s="1"/>
  <c r="H19" i="3" s="1"/>
  <c r="Q85" i="8" l="1"/>
  <c r="Q60" i="8"/>
  <c r="K95" i="8"/>
  <c r="K76" i="8"/>
  <c r="O60" i="8"/>
  <c r="O85" i="8"/>
  <c r="D35" i="8"/>
  <c r="D20" i="8"/>
  <c r="M95" i="8"/>
  <c r="M76" i="8"/>
  <c r="E60" i="8"/>
  <c r="E85" i="8"/>
  <c r="Q95" i="8"/>
  <c r="Q76" i="8"/>
  <c r="S85" i="8"/>
  <c r="S60" i="8"/>
  <c r="C76" i="8"/>
  <c r="F85" i="8"/>
  <c r="J60" i="8"/>
  <c r="J85" i="8"/>
  <c r="K60" i="8"/>
  <c r="K85" i="8"/>
  <c r="F76" i="8"/>
  <c r="F95" i="8"/>
  <c r="L85" i="8"/>
  <c r="L60" i="8"/>
  <c r="G76" i="8"/>
  <c r="G95" i="8"/>
  <c r="M60" i="8"/>
  <c r="M85" i="8"/>
  <c r="C86" i="8"/>
  <c r="H76" i="8"/>
  <c r="H95" i="8"/>
  <c r="I60" i="8"/>
  <c r="H85" i="8"/>
  <c r="I95" i="8"/>
  <c r="I76" i="8"/>
  <c r="I22" i="8"/>
  <c r="L76" i="8"/>
  <c r="C83" i="8"/>
  <c r="C37" i="8"/>
  <c r="P60" i="7"/>
  <c r="P85" i="7"/>
  <c r="T85" i="7"/>
  <c r="T60" i="7"/>
  <c r="C59" i="7"/>
  <c r="O76" i="7"/>
  <c r="O95" i="7"/>
  <c r="P76" i="7"/>
  <c r="P95" i="7"/>
  <c r="Q95" i="7"/>
  <c r="I85" i="7"/>
  <c r="I60" i="7"/>
  <c r="I22" i="7"/>
  <c r="M85" i="7"/>
  <c r="M60" i="7"/>
  <c r="N76" i="7"/>
  <c r="N95" i="7"/>
  <c r="D35" i="7"/>
  <c r="D20" i="7"/>
  <c r="L85" i="7"/>
  <c r="L60" i="7"/>
  <c r="N60" i="7"/>
  <c r="N85" i="7"/>
  <c r="F95" i="7"/>
  <c r="F76" i="7"/>
  <c r="M76" i="7"/>
  <c r="J60" i="7"/>
  <c r="J85" i="7"/>
  <c r="R60" i="7"/>
  <c r="R85" i="7"/>
  <c r="O85" i="7"/>
  <c r="H85" i="7"/>
  <c r="H60" i="7"/>
  <c r="S85" i="7"/>
  <c r="S60" i="7"/>
  <c r="G95" i="7"/>
  <c r="G76" i="7"/>
  <c r="E85" i="7"/>
  <c r="E60" i="7"/>
  <c r="H95" i="7"/>
  <c r="H76" i="7"/>
  <c r="F85" i="7"/>
  <c r="F60" i="7"/>
  <c r="J76" i="7"/>
  <c r="K76" i="7"/>
  <c r="I76" i="7"/>
  <c r="C76" i="6"/>
  <c r="S60" i="6"/>
  <c r="S85" i="6"/>
  <c r="H95" i="6"/>
  <c r="I85" i="6"/>
  <c r="I17" i="6"/>
  <c r="M85" i="6"/>
  <c r="M60" i="6"/>
  <c r="C60" i="6"/>
  <c r="C85" i="6"/>
  <c r="K22" i="6"/>
  <c r="J30" i="6" s="1"/>
  <c r="I95" i="6"/>
  <c r="N85" i="6"/>
  <c r="N60" i="6"/>
  <c r="T85" i="6"/>
  <c r="T60" i="6"/>
  <c r="D60" i="6"/>
  <c r="D85" i="6"/>
  <c r="E85" i="6"/>
  <c r="E60" i="6"/>
  <c r="C83" i="6"/>
  <c r="C36" i="6"/>
  <c r="D34" i="6"/>
  <c r="C47" i="6"/>
  <c r="L60" i="6"/>
  <c r="L85" i="6"/>
  <c r="R60" i="6"/>
  <c r="R85" i="6"/>
  <c r="L23" i="6"/>
  <c r="N76" i="6"/>
  <c r="F60" i="6"/>
  <c r="F85" i="6"/>
  <c r="G60" i="6"/>
  <c r="G85" i="6"/>
  <c r="Q85" i="6"/>
  <c r="M76" i="6"/>
  <c r="M95" i="6"/>
  <c r="C86" i="6"/>
  <c r="O95" i="6"/>
  <c r="O76" i="6"/>
  <c r="O85" i="6"/>
  <c r="C76" i="5"/>
  <c r="I30" i="5"/>
  <c r="F85" i="5"/>
  <c r="F60" i="5"/>
  <c r="M60" i="5"/>
  <c r="M85" i="5"/>
  <c r="D35" i="5"/>
  <c r="C37" i="5"/>
  <c r="D20" i="5"/>
  <c r="P60" i="5"/>
  <c r="P85" i="5"/>
  <c r="G76" i="5"/>
  <c r="G95" i="5"/>
  <c r="Q60" i="5"/>
  <c r="Q85" i="5"/>
  <c r="G85" i="5"/>
  <c r="G60" i="5"/>
  <c r="H76" i="5"/>
  <c r="H95" i="5"/>
  <c r="I76" i="5"/>
  <c r="I95" i="5"/>
  <c r="S85" i="5"/>
  <c r="S60" i="5"/>
  <c r="J76" i="5"/>
  <c r="J95" i="5"/>
  <c r="H85" i="5"/>
  <c r="H60" i="5"/>
  <c r="Q95" i="5"/>
  <c r="Q76" i="5"/>
  <c r="R60" i="5"/>
  <c r="R85" i="5"/>
  <c r="K76" i="5"/>
  <c r="K95" i="5"/>
  <c r="L76" i="5"/>
  <c r="L95" i="5"/>
  <c r="M95" i="5"/>
  <c r="M76" i="5"/>
  <c r="N95" i="5"/>
  <c r="N76" i="5"/>
  <c r="L60" i="5"/>
  <c r="L85" i="5"/>
  <c r="C29" i="5"/>
  <c r="C47" i="5"/>
  <c r="J30" i="5"/>
  <c r="N60" i="5"/>
  <c r="N85" i="5"/>
  <c r="M23" i="5"/>
  <c r="K30" i="5"/>
  <c r="P76" i="5"/>
  <c r="P95" i="5"/>
  <c r="D85" i="5"/>
  <c r="D60" i="5"/>
  <c r="I60" i="5"/>
  <c r="T85" i="5"/>
  <c r="T60" i="5"/>
  <c r="C85" i="4"/>
  <c r="N85" i="4"/>
  <c r="N60" i="4"/>
  <c r="K22" i="4"/>
  <c r="I30" i="4"/>
  <c r="F60" i="4"/>
  <c r="F85" i="4"/>
  <c r="G60" i="4"/>
  <c r="G85" i="4"/>
  <c r="D20" i="4"/>
  <c r="D35" i="4"/>
  <c r="P95" i="4"/>
  <c r="P76" i="4"/>
  <c r="H30" i="4"/>
  <c r="R95" i="4"/>
  <c r="R76" i="4"/>
  <c r="H60" i="4"/>
  <c r="H85" i="4"/>
  <c r="I60" i="4"/>
  <c r="I85" i="4"/>
  <c r="C37" i="4"/>
  <c r="J85" i="4"/>
  <c r="J60" i="4"/>
  <c r="O95" i="4"/>
  <c r="O76" i="4"/>
  <c r="Q95" i="4"/>
  <c r="Q76" i="4"/>
  <c r="K60" i="4"/>
  <c r="K85" i="4"/>
  <c r="C95" i="4"/>
  <c r="C76" i="4"/>
  <c r="M60" i="4"/>
  <c r="M85" i="4"/>
  <c r="O60" i="4"/>
  <c r="O85" i="4"/>
  <c r="S85" i="4"/>
  <c r="S60" i="4"/>
  <c r="C47" i="4"/>
  <c r="F76" i="4"/>
  <c r="F95" i="4"/>
  <c r="G76" i="4"/>
  <c r="G95" i="4"/>
  <c r="R60" i="4"/>
  <c r="R85" i="4"/>
  <c r="L60" i="4"/>
  <c r="L85" i="4"/>
  <c r="M76" i="4"/>
  <c r="M95" i="4"/>
  <c r="K95" i="4"/>
  <c r="C84" i="4"/>
  <c r="Q85" i="4"/>
  <c r="Q60" i="4"/>
  <c r="H76" i="4"/>
  <c r="O99" i="3"/>
  <c r="O101" i="3" s="1"/>
  <c r="N98" i="3"/>
  <c r="R97" i="3"/>
  <c r="Q97" i="3"/>
  <c r="P97" i="3"/>
  <c r="O97" i="3"/>
  <c r="N97" i="3"/>
  <c r="H79" i="3"/>
  <c r="G77" i="3"/>
  <c r="F77" i="3" s="1"/>
  <c r="R79" i="3"/>
  <c r="P79" i="3"/>
  <c r="L79" i="3"/>
  <c r="I79" i="3"/>
  <c r="M79" i="3"/>
  <c r="K79" i="3"/>
  <c r="J79" i="3"/>
  <c r="G79" i="3"/>
  <c r="Q79" i="3"/>
  <c r="O79" i="3"/>
  <c r="N79" i="3"/>
  <c r="BF53" i="3"/>
  <c r="AK52" i="3"/>
  <c r="P52" i="3"/>
  <c r="BE52" i="3"/>
  <c r="Q52" i="3"/>
  <c r="BD52" i="3"/>
  <c r="AJ52" i="3"/>
  <c r="BC52" i="3"/>
  <c r="AI52" i="3"/>
  <c r="O52" i="3"/>
  <c r="BB52" i="3"/>
  <c r="AH52" i="3"/>
  <c r="N52" i="3"/>
  <c r="AU56" i="3"/>
  <c r="AU52" i="3"/>
  <c r="AA56" i="3"/>
  <c r="AA52" i="3"/>
  <c r="G56" i="3"/>
  <c r="G52" i="3"/>
  <c r="AT56" i="3"/>
  <c r="AT52" i="3"/>
  <c r="Z56" i="3"/>
  <c r="Z52" i="3"/>
  <c r="F56" i="3"/>
  <c r="F52" i="3"/>
  <c r="AS56" i="3"/>
  <c r="AS52" i="3"/>
  <c r="Y56" i="3"/>
  <c r="Y52" i="3"/>
  <c r="E56" i="3"/>
  <c r="E52" i="3"/>
  <c r="W52" i="3"/>
  <c r="AK56" i="3"/>
  <c r="V52" i="3"/>
  <c r="U52" i="3"/>
  <c r="BC56" i="3"/>
  <c r="O56" i="3"/>
  <c r="T52" i="3"/>
  <c r="AH56" i="3"/>
  <c r="S52" i="3"/>
  <c r="AQ52" i="3"/>
  <c r="BE56" i="3"/>
  <c r="Q56" i="3"/>
  <c r="AP52" i="3"/>
  <c r="BD56" i="3"/>
  <c r="AJ56" i="3"/>
  <c r="P56" i="3"/>
  <c r="AO52" i="3"/>
  <c r="AI56" i="3"/>
  <c r="AN52" i="3"/>
  <c r="BB56" i="3"/>
  <c r="N56" i="3"/>
  <c r="AM52" i="3"/>
  <c r="AL52" i="3"/>
  <c r="R52" i="3"/>
  <c r="C47" i="3"/>
  <c r="C36" i="3"/>
  <c r="D35" i="3" s="1"/>
  <c r="D47" i="3" s="1"/>
  <c r="D34" i="3"/>
  <c r="I22" i="3"/>
  <c r="H30" i="3" s="1"/>
  <c r="D63" i="8" l="1"/>
  <c r="H30" i="8"/>
  <c r="J22" i="8"/>
  <c r="D83" i="8"/>
  <c r="E34" i="8"/>
  <c r="D47" i="8"/>
  <c r="D36" i="8"/>
  <c r="E35" i="8" s="1"/>
  <c r="C59" i="8"/>
  <c r="C87" i="8"/>
  <c r="D83" i="7"/>
  <c r="D47" i="7"/>
  <c r="D36" i="7"/>
  <c r="E35" i="7" s="1"/>
  <c r="E34" i="7"/>
  <c r="D37" i="7"/>
  <c r="J22" i="7"/>
  <c r="D63" i="7"/>
  <c r="E20" i="7"/>
  <c r="M23" i="6"/>
  <c r="C87" i="6"/>
  <c r="L22" i="6"/>
  <c r="D35" i="6"/>
  <c r="D20" i="6"/>
  <c r="C37" i="6"/>
  <c r="C85" i="5"/>
  <c r="C86" i="5" s="1"/>
  <c r="C87" i="5" s="1"/>
  <c r="C60" i="5"/>
  <c r="D63" i="5"/>
  <c r="C59" i="5"/>
  <c r="N23" i="5"/>
  <c r="L30" i="5"/>
  <c r="D83" i="5"/>
  <c r="E34" i="5"/>
  <c r="D47" i="5"/>
  <c r="D36" i="5"/>
  <c r="E35" i="5" s="1"/>
  <c r="C86" i="4"/>
  <c r="C87" i="4" s="1"/>
  <c r="D83" i="4"/>
  <c r="D36" i="4"/>
  <c r="E35" i="4" s="1"/>
  <c r="E34" i="4"/>
  <c r="D47" i="4"/>
  <c r="D63" i="4"/>
  <c r="E20" i="4"/>
  <c r="L22" i="4"/>
  <c r="J30" i="4"/>
  <c r="C59" i="4"/>
  <c r="M98" i="3"/>
  <c r="N99" i="3"/>
  <c r="N101" i="3" s="1"/>
  <c r="E77" i="3"/>
  <c r="F79" i="3"/>
  <c r="BF52" i="3"/>
  <c r="C37" i="3"/>
  <c r="C59" i="3" s="1"/>
  <c r="J22" i="3"/>
  <c r="I30" i="3" s="1"/>
  <c r="E34" i="3"/>
  <c r="D36" i="3"/>
  <c r="D37" i="3" s="1"/>
  <c r="D59" i="3" s="1"/>
  <c r="D20" i="3"/>
  <c r="D63" i="3" s="1"/>
  <c r="F34" i="8" l="1"/>
  <c r="E36" i="8"/>
  <c r="F35" i="8" s="1"/>
  <c r="E83" i="8"/>
  <c r="E47" i="8"/>
  <c r="D37" i="8"/>
  <c r="I30" i="8"/>
  <c r="K22" i="8"/>
  <c r="E20" i="8"/>
  <c r="D84" i="8"/>
  <c r="D86" i="8" s="1"/>
  <c r="D87" i="8" s="1"/>
  <c r="E63" i="7"/>
  <c r="D84" i="7"/>
  <c r="D86" i="7" s="1"/>
  <c r="I30" i="7"/>
  <c r="K22" i="7"/>
  <c r="D59" i="7"/>
  <c r="E83" i="7"/>
  <c r="E47" i="7"/>
  <c r="F34" i="7"/>
  <c r="E36" i="7"/>
  <c r="F35" i="7" s="1"/>
  <c r="D87" i="7"/>
  <c r="E34" i="6"/>
  <c r="D36" i="6"/>
  <c r="E35" i="6" s="1"/>
  <c r="D83" i="6"/>
  <c r="D47" i="6"/>
  <c r="C59" i="6"/>
  <c r="D63" i="6"/>
  <c r="E20" i="6"/>
  <c r="M22" i="6"/>
  <c r="L30" i="6" s="1"/>
  <c r="K30" i="6"/>
  <c r="N23" i="6"/>
  <c r="D37" i="5"/>
  <c r="M30" i="5"/>
  <c r="O23" i="5"/>
  <c r="E20" i="5"/>
  <c r="D84" i="5"/>
  <c r="D86" i="5" s="1"/>
  <c r="D87" i="5" s="1"/>
  <c r="E47" i="5"/>
  <c r="E83" i="5"/>
  <c r="F34" i="5"/>
  <c r="E36" i="5"/>
  <c r="F35" i="5" s="1"/>
  <c r="K30" i="4"/>
  <c r="M22" i="4"/>
  <c r="E63" i="4"/>
  <c r="D84" i="4"/>
  <c r="D86" i="4" s="1"/>
  <c r="E83" i="4"/>
  <c r="E36" i="4"/>
  <c r="F35" i="4" s="1"/>
  <c r="F34" i="4"/>
  <c r="E47" i="4"/>
  <c r="E37" i="4"/>
  <c r="D87" i="4"/>
  <c r="D37" i="4"/>
  <c r="L98" i="3"/>
  <c r="M99" i="3"/>
  <c r="M101" i="3" s="1"/>
  <c r="D77" i="3"/>
  <c r="E79" i="3"/>
  <c r="E35" i="3"/>
  <c r="E20" i="3"/>
  <c r="E63" i="3" s="1"/>
  <c r="K22" i="3"/>
  <c r="L22" i="3"/>
  <c r="J30" i="3"/>
  <c r="E63" i="8" l="1"/>
  <c r="F20" i="8"/>
  <c r="L22" i="8"/>
  <c r="J30" i="8"/>
  <c r="D59" i="8"/>
  <c r="G34" i="8"/>
  <c r="F36" i="8"/>
  <c r="G35" i="8" s="1"/>
  <c r="F83" i="8"/>
  <c r="F37" i="8"/>
  <c r="F47" i="8"/>
  <c r="E37" i="8"/>
  <c r="F36" i="7"/>
  <c r="G35" i="7" s="1"/>
  <c r="F83" i="7"/>
  <c r="F37" i="7"/>
  <c r="F47" i="7"/>
  <c r="G34" i="7"/>
  <c r="E37" i="7"/>
  <c r="J30" i="7"/>
  <c r="L22" i="7"/>
  <c r="F20" i="7"/>
  <c r="E84" i="7"/>
  <c r="E86" i="7" s="1"/>
  <c r="E87" i="7" s="1"/>
  <c r="O23" i="6"/>
  <c r="N22" i="6"/>
  <c r="F34" i="6"/>
  <c r="E83" i="6"/>
  <c r="E36" i="6"/>
  <c r="F35" i="6" s="1"/>
  <c r="E47" i="6"/>
  <c r="E63" i="6"/>
  <c r="D84" i="6"/>
  <c r="D86" i="6" s="1"/>
  <c r="D37" i="6"/>
  <c r="D87" i="6"/>
  <c r="F47" i="5"/>
  <c r="F36" i="5"/>
  <c r="G35" i="5" s="1"/>
  <c r="G34" i="5"/>
  <c r="F83" i="5"/>
  <c r="E37" i="5"/>
  <c r="E63" i="5"/>
  <c r="F20" i="5"/>
  <c r="P23" i="5"/>
  <c r="N30" i="5"/>
  <c r="D59" i="5"/>
  <c r="D59" i="4"/>
  <c r="E59" i="4"/>
  <c r="F47" i="4"/>
  <c r="F83" i="4"/>
  <c r="G34" i="4"/>
  <c r="F36" i="4"/>
  <c r="G35" i="4" s="1"/>
  <c r="F20" i="4"/>
  <c r="E84" i="4"/>
  <c r="E86" i="4" s="1"/>
  <c r="E87" i="4" s="1"/>
  <c r="L30" i="4"/>
  <c r="N22" i="4"/>
  <c r="K98" i="3"/>
  <c r="L99" i="3"/>
  <c r="L101" i="3" s="1"/>
  <c r="C77" i="3"/>
  <c r="C79" i="3" s="1"/>
  <c r="D79" i="3"/>
  <c r="F34" i="3"/>
  <c r="E47" i="3"/>
  <c r="E36" i="3"/>
  <c r="F20" i="3" s="1"/>
  <c r="F63" i="3" s="1"/>
  <c r="K30" i="3"/>
  <c r="M22" i="3"/>
  <c r="E84" i="8" l="1"/>
  <c r="E86" i="8" s="1"/>
  <c r="E87" i="8" s="1"/>
  <c r="E59" i="8"/>
  <c r="F59" i="8"/>
  <c r="H34" i="8"/>
  <c r="G36" i="8"/>
  <c r="H35" i="8" s="1"/>
  <c r="G83" i="8"/>
  <c r="G47" i="8"/>
  <c r="G37" i="8"/>
  <c r="K30" i="8"/>
  <c r="M22" i="8"/>
  <c r="F63" i="8"/>
  <c r="G20" i="8"/>
  <c r="F63" i="7"/>
  <c r="G20" i="7"/>
  <c r="M22" i="7"/>
  <c r="K30" i="7"/>
  <c r="E59" i="7"/>
  <c r="F59" i="7"/>
  <c r="G36" i="7"/>
  <c r="H35" i="7" s="1"/>
  <c r="G83" i="7"/>
  <c r="G47" i="7"/>
  <c r="H34" i="7"/>
  <c r="F20" i="6"/>
  <c r="D59" i="6"/>
  <c r="F63" i="6"/>
  <c r="E84" i="6"/>
  <c r="E86" i="6" s="1"/>
  <c r="E87" i="6" s="1"/>
  <c r="F36" i="6"/>
  <c r="G35" i="6" s="1"/>
  <c r="F47" i="6"/>
  <c r="G34" i="6"/>
  <c r="F83" i="6"/>
  <c r="E37" i="6"/>
  <c r="O22" i="6"/>
  <c r="P23" i="6"/>
  <c r="N30" i="6"/>
  <c r="M30" i="6"/>
  <c r="F63" i="5"/>
  <c r="G20" i="5"/>
  <c r="Q23" i="5"/>
  <c r="O30" i="5"/>
  <c r="E84" i="5"/>
  <c r="E86" i="5" s="1"/>
  <c r="E87" i="5" s="1"/>
  <c r="E59" i="5"/>
  <c r="G36" i="5"/>
  <c r="H35" i="5" s="1"/>
  <c r="H34" i="5"/>
  <c r="G83" i="5"/>
  <c r="G47" i="5"/>
  <c r="F37" i="5"/>
  <c r="F63" i="4"/>
  <c r="G20" i="4"/>
  <c r="O22" i="4"/>
  <c r="M30" i="4"/>
  <c r="G83" i="4"/>
  <c r="H34" i="4"/>
  <c r="G47" i="4"/>
  <c r="G36" i="4"/>
  <c r="H35" i="4" s="1"/>
  <c r="F37" i="4"/>
  <c r="J98" i="3"/>
  <c r="K99" i="3"/>
  <c r="K101" i="3" s="1"/>
  <c r="E37" i="3"/>
  <c r="E59" i="3" s="1"/>
  <c r="F35" i="3"/>
  <c r="G34" i="3" s="1"/>
  <c r="L30" i="3"/>
  <c r="N22" i="3"/>
  <c r="F84" i="8" l="1"/>
  <c r="F86" i="8" s="1"/>
  <c r="F87" i="8" s="1"/>
  <c r="L30" i="8"/>
  <c r="N22" i="8"/>
  <c r="H36" i="8"/>
  <c r="I35" i="8" s="1"/>
  <c r="H83" i="8"/>
  <c r="H47" i="8"/>
  <c r="I34" i="8"/>
  <c r="H37" i="8"/>
  <c r="G59" i="8"/>
  <c r="H20" i="8"/>
  <c r="G63" i="8"/>
  <c r="H83" i="7"/>
  <c r="H47" i="7"/>
  <c r="G37" i="7"/>
  <c r="N22" i="7"/>
  <c r="L30" i="7"/>
  <c r="G63" i="7"/>
  <c r="H20" i="7"/>
  <c r="F84" i="7"/>
  <c r="F86" i="7" s="1"/>
  <c r="F87" i="7" s="1"/>
  <c r="F37" i="6"/>
  <c r="F59" i="6"/>
  <c r="Q23" i="6"/>
  <c r="P22" i="6"/>
  <c r="E59" i="6"/>
  <c r="G47" i="6"/>
  <c r="G83" i="6"/>
  <c r="G36" i="6"/>
  <c r="H35" i="6" s="1"/>
  <c r="H34" i="6"/>
  <c r="G37" i="6"/>
  <c r="G20" i="6"/>
  <c r="F84" i="6"/>
  <c r="F86" i="6" s="1"/>
  <c r="F87" i="6" s="1"/>
  <c r="G37" i="5"/>
  <c r="G63" i="5"/>
  <c r="H20" i="5"/>
  <c r="F84" i="5"/>
  <c r="F86" i="5" s="1"/>
  <c r="F87" i="5" s="1"/>
  <c r="F59" i="5"/>
  <c r="H36" i="5"/>
  <c r="I35" i="5" s="1"/>
  <c r="I34" i="5"/>
  <c r="H37" i="5"/>
  <c r="H83" i="5"/>
  <c r="H47" i="5"/>
  <c r="P30" i="5"/>
  <c r="R23" i="5"/>
  <c r="F59" i="4"/>
  <c r="I34" i="4"/>
  <c r="H36" i="4"/>
  <c r="I35" i="4" s="1"/>
  <c r="H47" i="4"/>
  <c r="H37" i="4"/>
  <c r="H83" i="4"/>
  <c r="G37" i="4"/>
  <c r="G63" i="4"/>
  <c r="H20" i="4"/>
  <c r="F84" i="4"/>
  <c r="F86" i="4" s="1"/>
  <c r="F87" i="4" s="1"/>
  <c r="N30" i="4"/>
  <c r="P22" i="4"/>
  <c r="I98" i="3"/>
  <c r="J99" i="3"/>
  <c r="J101" i="3" s="1"/>
  <c r="F36" i="3"/>
  <c r="G20" i="3" s="1"/>
  <c r="G63" i="3" s="1"/>
  <c r="F47" i="3"/>
  <c r="M30" i="3"/>
  <c r="O22" i="3"/>
  <c r="I20" i="8" l="1"/>
  <c r="H63" i="8"/>
  <c r="H59" i="8"/>
  <c r="I83" i="8"/>
  <c r="I47" i="8"/>
  <c r="I36" i="8"/>
  <c r="J35" i="8" s="1"/>
  <c r="I37" i="8"/>
  <c r="J34" i="8"/>
  <c r="M30" i="8"/>
  <c r="O22" i="8"/>
  <c r="G84" i="8"/>
  <c r="G86" i="8" s="1"/>
  <c r="G87" i="8" s="1"/>
  <c r="H63" i="7"/>
  <c r="G84" i="7"/>
  <c r="G86" i="7" s="1"/>
  <c r="G87" i="7" s="1"/>
  <c r="M30" i="7"/>
  <c r="O22" i="7"/>
  <c r="G59" i="7"/>
  <c r="G59" i="6"/>
  <c r="G63" i="6"/>
  <c r="H20" i="6"/>
  <c r="H47" i="6"/>
  <c r="H83" i="6"/>
  <c r="H36" i="6"/>
  <c r="I35" i="6" s="1"/>
  <c r="I34" i="6"/>
  <c r="H37" i="6"/>
  <c r="Q22" i="6"/>
  <c r="O30" i="6"/>
  <c r="R23" i="6"/>
  <c r="P30" i="6"/>
  <c r="H59" i="5"/>
  <c r="J34" i="5"/>
  <c r="I47" i="5"/>
  <c r="I36" i="5"/>
  <c r="J35" i="5" s="1"/>
  <c r="I83" i="5"/>
  <c r="H63" i="5"/>
  <c r="I20" i="5"/>
  <c r="G84" i="5"/>
  <c r="G86" i="5" s="1"/>
  <c r="G87" i="5" s="1"/>
  <c r="G59" i="5"/>
  <c r="Q30" i="5"/>
  <c r="S23" i="5"/>
  <c r="O30" i="4"/>
  <c r="Q22" i="4"/>
  <c r="G84" i="4"/>
  <c r="G86" i="4" s="1"/>
  <c r="G87" i="4" s="1"/>
  <c r="H59" i="4"/>
  <c r="I36" i="4"/>
  <c r="J35" i="4" s="1"/>
  <c r="J34" i="4"/>
  <c r="I47" i="4"/>
  <c r="I83" i="4"/>
  <c r="H63" i="4"/>
  <c r="I20" i="4"/>
  <c r="G59" i="4"/>
  <c r="H98" i="3"/>
  <c r="I99" i="3"/>
  <c r="I101" i="3" s="1"/>
  <c r="G35" i="3"/>
  <c r="H34" i="3" s="1"/>
  <c r="F37" i="3"/>
  <c r="F59" i="3" s="1"/>
  <c r="N30" i="3"/>
  <c r="P22" i="3"/>
  <c r="P22" i="8" l="1"/>
  <c r="N30" i="8"/>
  <c r="J83" i="8"/>
  <c r="J36" i="8"/>
  <c r="K35" i="8" s="1"/>
  <c r="J47" i="8"/>
  <c r="J37" i="8"/>
  <c r="K34" i="8"/>
  <c r="H84" i="8"/>
  <c r="H86" i="8" s="1"/>
  <c r="H87" i="8" s="1"/>
  <c r="I59" i="8"/>
  <c r="I63" i="8"/>
  <c r="J20" i="8"/>
  <c r="N30" i="7"/>
  <c r="P22" i="7"/>
  <c r="H84" i="7"/>
  <c r="H86" i="7" s="1"/>
  <c r="H87" i="7" s="1"/>
  <c r="S23" i="6"/>
  <c r="H59" i="6"/>
  <c r="R22" i="6"/>
  <c r="Q30" i="6" s="1"/>
  <c r="I36" i="6"/>
  <c r="J35" i="6" s="1"/>
  <c r="J34" i="6"/>
  <c r="I47" i="6"/>
  <c r="I83" i="6"/>
  <c r="H63" i="6"/>
  <c r="I20" i="6"/>
  <c r="G84" i="6"/>
  <c r="G86" i="6" s="1"/>
  <c r="G87" i="6" s="1"/>
  <c r="I63" i="5"/>
  <c r="J20" i="5"/>
  <c r="J47" i="5"/>
  <c r="J83" i="5"/>
  <c r="J36" i="5"/>
  <c r="K35" i="5" s="1"/>
  <c r="K34" i="5"/>
  <c r="T23" i="5"/>
  <c r="R30" i="5"/>
  <c r="H84" i="5"/>
  <c r="H86" i="5" s="1"/>
  <c r="H87" i="5" s="1"/>
  <c r="I37" i="5"/>
  <c r="I63" i="4"/>
  <c r="J20" i="4"/>
  <c r="H84" i="4"/>
  <c r="H86" i="4" s="1"/>
  <c r="H87" i="4" s="1"/>
  <c r="J36" i="4"/>
  <c r="K35" i="4" s="1"/>
  <c r="K34" i="4"/>
  <c r="J47" i="4"/>
  <c r="J83" i="4"/>
  <c r="I37" i="4"/>
  <c r="P30" i="4"/>
  <c r="R22" i="4"/>
  <c r="G98" i="3"/>
  <c r="H99" i="3"/>
  <c r="H101" i="3" s="1"/>
  <c r="G36" i="3"/>
  <c r="H20" i="3" s="1"/>
  <c r="H63" i="3" s="1"/>
  <c r="G47" i="3"/>
  <c r="O30" i="3"/>
  <c r="Q22" i="3"/>
  <c r="K20" i="8" l="1"/>
  <c r="J63" i="8"/>
  <c r="I84" i="8"/>
  <c r="I86" i="8" s="1"/>
  <c r="I87" i="8" s="1"/>
  <c r="J59" i="8"/>
  <c r="K83" i="8"/>
  <c r="K36" i="8"/>
  <c r="L35" i="8" s="1"/>
  <c r="K47" i="8"/>
  <c r="K37" i="8"/>
  <c r="L34" i="8"/>
  <c r="Q22" i="8"/>
  <c r="O30" i="8"/>
  <c r="O30" i="7"/>
  <c r="Q22" i="7"/>
  <c r="I37" i="6"/>
  <c r="I59" i="6" s="1"/>
  <c r="I63" i="6"/>
  <c r="J20" i="6"/>
  <c r="H84" i="6"/>
  <c r="H86" i="6" s="1"/>
  <c r="H87" i="6" s="1"/>
  <c r="J47" i="6"/>
  <c r="J83" i="6"/>
  <c r="K34" i="6"/>
  <c r="J36" i="6"/>
  <c r="K35" i="6" s="1"/>
  <c r="S22" i="6"/>
  <c r="T23" i="6"/>
  <c r="R30" i="6"/>
  <c r="U23" i="5"/>
  <c r="S30" i="5"/>
  <c r="J37" i="5"/>
  <c r="I84" i="5"/>
  <c r="I86" i="5" s="1"/>
  <c r="I87" i="5" s="1"/>
  <c r="I59" i="5"/>
  <c r="K47" i="5"/>
  <c r="K83" i="5"/>
  <c r="K36" i="5"/>
  <c r="L35" i="5" s="1"/>
  <c r="L34" i="5"/>
  <c r="J63" i="5"/>
  <c r="K20" i="5"/>
  <c r="I59" i="4"/>
  <c r="Q30" i="4"/>
  <c r="S22" i="4"/>
  <c r="K83" i="4"/>
  <c r="K36" i="4"/>
  <c r="L35" i="4" s="1"/>
  <c r="K47" i="4"/>
  <c r="K37" i="4"/>
  <c r="L34" i="4"/>
  <c r="J37" i="4"/>
  <c r="J63" i="4"/>
  <c r="K20" i="4"/>
  <c r="I84" i="4"/>
  <c r="I86" i="4" s="1"/>
  <c r="I87" i="4" s="1"/>
  <c r="F98" i="3"/>
  <c r="G99" i="3"/>
  <c r="G101" i="3" s="1"/>
  <c r="H35" i="3"/>
  <c r="H36" i="3" s="1"/>
  <c r="H37" i="3" s="1"/>
  <c r="H59" i="3" s="1"/>
  <c r="G37" i="3"/>
  <c r="G59" i="3" s="1"/>
  <c r="I34" i="3"/>
  <c r="H47" i="3"/>
  <c r="P30" i="3"/>
  <c r="R22" i="3"/>
  <c r="I20" i="3"/>
  <c r="I63" i="3" s="1"/>
  <c r="I35" i="3"/>
  <c r="I47" i="3" s="1"/>
  <c r="P30" i="8" l="1"/>
  <c r="R22" i="8"/>
  <c r="K59" i="8"/>
  <c r="L47" i="8"/>
  <c r="L36" i="8"/>
  <c r="M35" i="8" s="1"/>
  <c r="L83" i="8"/>
  <c r="M34" i="8"/>
  <c r="L37" i="8"/>
  <c r="J84" i="8"/>
  <c r="J86" i="8" s="1"/>
  <c r="J87" i="8" s="1"/>
  <c r="K63" i="8"/>
  <c r="L20" i="8"/>
  <c r="P30" i="7"/>
  <c r="R22" i="7"/>
  <c r="U23" i="6"/>
  <c r="T22" i="6"/>
  <c r="S30" i="6" s="1"/>
  <c r="J37" i="6"/>
  <c r="L34" i="6"/>
  <c r="K36" i="6"/>
  <c r="L35" i="6" s="1"/>
  <c r="K47" i="6"/>
  <c r="K37" i="6"/>
  <c r="K83" i="6"/>
  <c r="K20" i="6"/>
  <c r="J63" i="6"/>
  <c r="I84" i="6"/>
  <c r="I86" i="6" s="1"/>
  <c r="I87" i="6" s="1"/>
  <c r="J84" i="5"/>
  <c r="J86" i="5" s="1"/>
  <c r="J87" i="5" s="1"/>
  <c r="L20" i="5"/>
  <c r="K63" i="5"/>
  <c r="L83" i="5"/>
  <c r="L36" i="5"/>
  <c r="M35" i="5" s="1"/>
  <c r="M34" i="5"/>
  <c r="L47" i="5"/>
  <c r="K37" i="5"/>
  <c r="J59" i="5"/>
  <c r="V23" i="5"/>
  <c r="T30" i="5"/>
  <c r="K63" i="4"/>
  <c r="L20" i="4"/>
  <c r="K59" i="4"/>
  <c r="L83" i="4"/>
  <c r="L47" i="4"/>
  <c r="M34" i="4"/>
  <c r="L36" i="4"/>
  <c r="M35" i="4" s="1"/>
  <c r="J84" i="4"/>
  <c r="J86" i="4" s="1"/>
  <c r="J87" i="4" s="1"/>
  <c r="J59" i="4"/>
  <c r="T22" i="4"/>
  <c r="R30" i="4"/>
  <c r="E98" i="3"/>
  <c r="F99" i="3"/>
  <c r="F101" i="3" s="1"/>
  <c r="I36" i="3"/>
  <c r="I37" i="3" s="1"/>
  <c r="J34" i="3"/>
  <c r="Q30" i="3"/>
  <c r="S22" i="3"/>
  <c r="K84" i="8" l="1"/>
  <c r="K86" i="8" s="1"/>
  <c r="K87" i="8" s="1"/>
  <c r="L59" i="8"/>
  <c r="L63" i="8"/>
  <c r="M20" i="8"/>
  <c r="M36" i="8"/>
  <c r="N35" i="8" s="1"/>
  <c r="M83" i="8"/>
  <c r="M47" i="8"/>
  <c r="M37" i="8"/>
  <c r="N34" i="8"/>
  <c r="Q30" i="8"/>
  <c r="S22" i="8"/>
  <c r="Q30" i="7"/>
  <c r="S22" i="7"/>
  <c r="J84" i="6"/>
  <c r="J86" i="6" s="1"/>
  <c r="J87" i="6" s="1"/>
  <c r="K59" i="6"/>
  <c r="L36" i="6"/>
  <c r="M35" i="6" s="1"/>
  <c r="L47" i="6"/>
  <c r="L37" i="6"/>
  <c r="M34" i="6"/>
  <c r="L83" i="6"/>
  <c r="K63" i="6"/>
  <c r="L20" i="6"/>
  <c r="J59" i="6"/>
  <c r="U22" i="6"/>
  <c r="T30" i="6" s="1"/>
  <c r="V23" i="6"/>
  <c r="U30" i="5"/>
  <c r="W23" i="5"/>
  <c r="K59" i="5"/>
  <c r="K84" i="5"/>
  <c r="K86" i="5" s="1"/>
  <c r="K87" i="5" s="1"/>
  <c r="M83" i="5"/>
  <c r="M36" i="5"/>
  <c r="N35" i="5" s="1"/>
  <c r="M47" i="5"/>
  <c r="N34" i="5"/>
  <c r="L37" i="5"/>
  <c r="M20" i="5"/>
  <c r="L63" i="5"/>
  <c r="L63" i="4"/>
  <c r="M20" i="4"/>
  <c r="U22" i="4"/>
  <c r="S30" i="4"/>
  <c r="M83" i="4"/>
  <c r="M36" i="4"/>
  <c r="N35" i="4" s="1"/>
  <c r="M47" i="4"/>
  <c r="N34" i="4"/>
  <c r="L37" i="4"/>
  <c r="K84" i="4"/>
  <c r="K86" i="4" s="1"/>
  <c r="K87" i="4" s="1"/>
  <c r="D98" i="3"/>
  <c r="E99" i="3"/>
  <c r="E101" i="3" s="1"/>
  <c r="J35" i="3"/>
  <c r="K34" i="3" s="1"/>
  <c r="J20" i="3"/>
  <c r="J63" i="3" s="1"/>
  <c r="R30" i="3"/>
  <c r="T22" i="3"/>
  <c r="I59" i="3"/>
  <c r="J36" i="3"/>
  <c r="M59" i="8" l="1"/>
  <c r="M63" i="8"/>
  <c r="N20" i="8"/>
  <c r="R30" i="8"/>
  <c r="T22" i="8"/>
  <c r="N83" i="8"/>
  <c r="N47" i="8"/>
  <c r="N36" i="8"/>
  <c r="O35" i="8" s="1"/>
  <c r="N37" i="8"/>
  <c r="O34" i="8"/>
  <c r="L84" i="8"/>
  <c r="L86" i="8" s="1"/>
  <c r="L87" i="8" s="1"/>
  <c r="R30" i="7"/>
  <c r="T22" i="7"/>
  <c r="L59" i="6"/>
  <c r="K84" i="6"/>
  <c r="K86" i="6" s="1"/>
  <c r="K87" i="6" s="1"/>
  <c r="M47" i="6"/>
  <c r="N34" i="6"/>
  <c r="M36" i="6"/>
  <c r="N35" i="6" s="1"/>
  <c r="M83" i="6"/>
  <c r="V22" i="6"/>
  <c r="M20" i="6"/>
  <c r="L63" i="6"/>
  <c r="W23" i="6"/>
  <c r="U30" i="6"/>
  <c r="M37" i="5"/>
  <c r="M59" i="5" s="1"/>
  <c r="N20" i="5"/>
  <c r="M63" i="5"/>
  <c r="N36" i="5"/>
  <c r="O35" i="5" s="1"/>
  <c r="N83" i="5"/>
  <c r="N47" i="5"/>
  <c r="N37" i="5"/>
  <c r="O34" i="5"/>
  <c r="V30" i="5"/>
  <c r="X23" i="5"/>
  <c r="L84" i="5"/>
  <c r="L86" i="5" s="1"/>
  <c r="L87" i="5" s="1"/>
  <c r="L59" i="5"/>
  <c r="L59" i="4"/>
  <c r="N47" i="4"/>
  <c r="N36" i="4"/>
  <c r="O35" i="4" s="1"/>
  <c r="N83" i="4"/>
  <c r="O34" i="4"/>
  <c r="M37" i="4"/>
  <c r="V22" i="4"/>
  <c r="T30" i="4"/>
  <c r="N20" i="4"/>
  <c r="M63" i="4"/>
  <c r="L84" i="4"/>
  <c r="L86" i="4" s="1"/>
  <c r="L87" i="4" s="1"/>
  <c r="C98" i="3"/>
  <c r="C99" i="3" s="1"/>
  <c r="C101" i="3" s="1"/>
  <c r="D99" i="3"/>
  <c r="D101" i="3" s="1"/>
  <c r="J47" i="3"/>
  <c r="S30" i="3"/>
  <c r="U22" i="3"/>
  <c r="K20" i="3"/>
  <c r="K63" i="3" s="1"/>
  <c r="K35" i="3"/>
  <c r="J37" i="3"/>
  <c r="J59" i="3" s="1"/>
  <c r="N59" i="8" l="1"/>
  <c r="S30" i="8"/>
  <c r="U22" i="8"/>
  <c r="O83" i="8"/>
  <c r="O36" i="8"/>
  <c r="P35" i="8" s="1"/>
  <c r="P34" i="8"/>
  <c r="O47" i="8"/>
  <c r="O37" i="8"/>
  <c r="N63" i="8"/>
  <c r="O20" i="8"/>
  <c r="M84" i="8"/>
  <c r="M86" i="8" s="1"/>
  <c r="M87" i="8" s="1"/>
  <c r="S30" i="7"/>
  <c r="U22" i="7"/>
  <c r="X23" i="6"/>
  <c r="L84" i="6"/>
  <c r="L86" i="6" s="1"/>
  <c r="L87" i="6" s="1"/>
  <c r="N83" i="6"/>
  <c r="N47" i="6"/>
  <c r="O34" i="6"/>
  <c r="N36" i="6"/>
  <c r="O35" i="6" s="1"/>
  <c r="W22" i="6"/>
  <c r="N20" i="6"/>
  <c r="M63" i="6"/>
  <c r="M37" i="6"/>
  <c r="N59" i="5"/>
  <c r="W30" i="5"/>
  <c r="Y23" i="5"/>
  <c r="O83" i="5"/>
  <c r="O47" i="5"/>
  <c r="P34" i="5"/>
  <c r="O36" i="5"/>
  <c r="P35" i="5" s="1"/>
  <c r="M84" i="5"/>
  <c r="M86" i="5" s="1"/>
  <c r="M87" i="5" s="1"/>
  <c r="O20" i="5"/>
  <c r="N63" i="5"/>
  <c r="N37" i="4"/>
  <c r="N63" i="4"/>
  <c r="O20" i="4"/>
  <c r="M59" i="4"/>
  <c r="P34" i="4"/>
  <c r="O36" i="4"/>
  <c r="P35" i="4" s="1"/>
  <c r="O47" i="4"/>
  <c r="O83" i="4"/>
  <c r="M84" i="4"/>
  <c r="M86" i="4" s="1"/>
  <c r="M87" i="4" s="1"/>
  <c r="W22" i="4"/>
  <c r="U30" i="4"/>
  <c r="N59" i="4"/>
  <c r="L34" i="3"/>
  <c r="K47" i="3"/>
  <c r="T30" i="3"/>
  <c r="V22" i="3"/>
  <c r="K36" i="3"/>
  <c r="O63" i="8" l="1"/>
  <c r="P20" i="8"/>
  <c r="N84" i="8"/>
  <c r="N86" i="8" s="1"/>
  <c r="N87" i="8" s="1"/>
  <c r="O59" i="8"/>
  <c r="P47" i="8"/>
  <c r="P36" i="8"/>
  <c r="Q35" i="8" s="1"/>
  <c r="P83" i="8"/>
  <c r="Q34" i="8"/>
  <c r="V22" i="8"/>
  <c r="T30" i="8"/>
  <c r="V22" i="7"/>
  <c r="T30" i="7"/>
  <c r="M84" i="6"/>
  <c r="M86" i="6" s="1"/>
  <c r="M87" i="6" s="1"/>
  <c r="O47" i="6"/>
  <c r="P34" i="6"/>
  <c r="O36" i="6"/>
  <c r="P35" i="6" s="1"/>
  <c r="O83" i="6"/>
  <c r="N37" i="6"/>
  <c r="M59" i="6"/>
  <c r="O20" i="6"/>
  <c r="N63" i="6"/>
  <c r="X22" i="6"/>
  <c r="Y23" i="6"/>
  <c r="W30" i="6"/>
  <c r="V30" i="6"/>
  <c r="P20" i="5"/>
  <c r="O63" i="5"/>
  <c r="P83" i="5"/>
  <c r="P36" i="5"/>
  <c r="Q35" i="5" s="1"/>
  <c r="P47" i="5"/>
  <c r="Q34" i="5"/>
  <c r="O37" i="5"/>
  <c r="X30" i="5"/>
  <c r="Z23" i="5"/>
  <c r="N84" i="5"/>
  <c r="N86" i="5" s="1"/>
  <c r="N87" i="5" s="1"/>
  <c r="P36" i="4"/>
  <c r="Q35" i="4" s="1"/>
  <c r="Q34" i="4"/>
  <c r="P37" i="4"/>
  <c r="P47" i="4"/>
  <c r="P83" i="4"/>
  <c r="V30" i="4"/>
  <c r="X22" i="4"/>
  <c r="O37" i="4"/>
  <c r="P20" i="4"/>
  <c r="O63" i="4"/>
  <c r="N84" i="4"/>
  <c r="N86" i="4" s="1"/>
  <c r="N87" i="4" s="1"/>
  <c r="U30" i="3"/>
  <c r="W22" i="3"/>
  <c r="L20" i="3"/>
  <c r="L63" i="3" s="1"/>
  <c r="L35" i="3"/>
  <c r="L47" i="3" s="1"/>
  <c r="K37" i="3"/>
  <c r="K59" i="3" s="1"/>
  <c r="Q20" i="8" l="1"/>
  <c r="P63" i="8"/>
  <c r="W22" i="8"/>
  <c r="U30" i="8"/>
  <c r="Q47" i="8"/>
  <c r="Q36" i="8"/>
  <c r="R35" i="8" s="1"/>
  <c r="Q37" i="8"/>
  <c r="Q83" i="8"/>
  <c r="R34" i="8"/>
  <c r="P37" i="8"/>
  <c r="O84" i="8"/>
  <c r="O86" i="8" s="1"/>
  <c r="O87" i="8" s="1"/>
  <c r="W22" i="7"/>
  <c r="U30" i="7"/>
  <c r="Y22" i="6"/>
  <c r="X30" i="6" s="1"/>
  <c r="N84" i="6"/>
  <c r="N86" i="6" s="1"/>
  <c r="N87" i="6" s="1"/>
  <c r="Z23" i="6"/>
  <c r="O63" i="6"/>
  <c r="P20" i="6"/>
  <c r="N59" i="6"/>
  <c r="P47" i="6"/>
  <c r="P36" i="6"/>
  <c r="Q35" i="6" s="1"/>
  <c r="P83" i="6"/>
  <c r="Q34" i="6"/>
  <c r="P37" i="6"/>
  <c r="O37" i="6"/>
  <c r="AA23" i="5"/>
  <c r="Y30" i="5"/>
  <c r="O59" i="5"/>
  <c r="Q83" i="5"/>
  <c r="Q47" i="5"/>
  <c r="R34" i="5"/>
  <c r="Q36" i="5"/>
  <c r="R35" i="5" s="1"/>
  <c r="P37" i="5"/>
  <c r="Q20" i="5"/>
  <c r="P63" i="5"/>
  <c r="O84" i="5"/>
  <c r="O86" i="5" s="1"/>
  <c r="O87" i="5" s="1"/>
  <c r="O84" i="4"/>
  <c r="O86" i="4" s="1"/>
  <c r="O87" i="4" s="1"/>
  <c r="O59" i="4"/>
  <c r="Y22" i="4"/>
  <c r="W30" i="4"/>
  <c r="Q20" i="4"/>
  <c r="P63" i="4"/>
  <c r="P59" i="4"/>
  <c r="Q47" i="4"/>
  <c r="Q83" i="4"/>
  <c r="R34" i="4"/>
  <c r="Q36" i="4"/>
  <c r="R35" i="4" s="1"/>
  <c r="V30" i="3"/>
  <c r="X22" i="3"/>
  <c r="L36" i="3"/>
  <c r="M35" i="3" s="1"/>
  <c r="M47" i="3" s="1"/>
  <c r="M34" i="3"/>
  <c r="L37" i="3"/>
  <c r="L59" i="3" s="1"/>
  <c r="M20" i="3"/>
  <c r="M63" i="3" s="1"/>
  <c r="P59" i="8" l="1"/>
  <c r="Q59" i="8"/>
  <c r="S34" i="8"/>
  <c r="R36" i="8"/>
  <c r="S35" i="8" s="1"/>
  <c r="R47" i="8"/>
  <c r="R83" i="8"/>
  <c r="R37" i="8"/>
  <c r="X22" i="8"/>
  <c r="V30" i="8"/>
  <c r="P84" i="8"/>
  <c r="P86" i="8" s="1"/>
  <c r="P87" i="8" s="1"/>
  <c r="R20" i="8"/>
  <c r="Q63" i="8"/>
  <c r="V30" i="7"/>
  <c r="X22" i="7"/>
  <c r="P59" i="6"/>
  <c r="O59" i="6"/>
  <c r="Q83" i="6"/>
  <c r="R34" i="6"/>
  <c r="Q36" i="6"/>
  <c r="R35" i="6" s="1"/>
  <c r="Q37" i="6"/>
  <c r="Q47" i="6"/>
  <c r="Q20" i="6"/>
  <c r="P63" i="6"/>
  <c r="Z22" i="6"/>
  <c r="O84" i="6"/>
  <c r="O86" i="6" s="1"/>
  <c r="O87" i="6" s="1"/>
  <c r="AA23" i="6"/>
  <c r="P84" i="5"/>
  <c r="P86" i="5" s="1"/>
  <c r="P87" i="5" s="1"/>
  <c r="P59" i="5"/>
  <c r="Q37" i="5"/>
  <c r="Q63" i="5"/>
  <c r="R20" i="5"/>
  <c r="R83" i="5"/>
  <c r="R47" i="5"/>
  <c r="S34" i="5"/>
  <c r="R36" i="5"/>
  <c r="S35" i="5" s="1"/>
  <c r="R37" i="5"/>
  <c r="Z30" i="5"/>
  <c r="AB23" i="5"/>
  <c r="R47" i="4"/>
  <c r="R83" i="4"/>
  <c r="S34" i="4"/>
  <c r="R36" i="4"/>
  <c r="S35" i="4" s="1"/>
  <c r="Q63" i="4"/>
  <c r="R20" i="4"/>
  <c r="P84" i="4"/>
  <c r="P86" i="4" s="1"/>
  <c r="P87" i="4" s="1"/>
  <c r="X30" i="4"/>
  <c r="Z22" i="4"/>
  <c r="Q37" i="4"/>
  <c r="Y22" i="3"/>
  <c r="W30" i="3"/>
  <c r="M36" i="3"/>
  <c r="N35" i="3" s="1"/>
  <c r="N47" i="3" s="1"/>
  <c r="N34" i="3"/>
  <c r="M37" i="3"/>
  <c r="M59" i="3" s="1"/>
  <c r="W30" i="8" l="1"/>
  <c r="Y22" i="8"/>
  <c r="T34" i="8"/>
  <c r="S47" i="8"/>
  <c r="S83" i="8"/>
  <c r="S36" i="8"/>
  <c r="T35" i="8" s="1"/>
  <c r="S20" i="8"/>
  <c r="R63" i="8"/>
  <c r="R59" i="8"/>
  <c r="Q84" i="8"/>
  <c r="Q86" i="8" s="1"/>
  <c r="Q87" i="8" s="1"/>
  <c r="Y22" i="7"/>
  <c r="W30" i="7"/>
  <c r="AA22" i="6"/>
  <c r="Z30" i="6" s="1"/>
  <c r="R20" i="6"/>
  <c r="Q63" i="6"/>
  <c r="P84" i="6"/>
  <c r="P86" i="6" s="1"/>
  <c r="P87" i="6" s="1"/>
  <c r="Q59" i="6"/>
  <c r="R83" i="6"/>
  <c r="R47" i="6"/>
  <c r="S34" i="6"/>
  <c r="R36" i="6"/>
  <c r="S35" i="6" s="1"/>
  <c r="AB23" i="6"/>
  <c r="Y30" i="6"/>
  <c r="AA30" i="5"/>
  <c r="AC23" i="5"/>
  <c r="R59" i="5"/>
  <c r="T34" i="5"/>
  <c r="S36" i="5"/>
  <c r="T35" i="5" s="1"/>
  <c r="S47" i="5"/>
  <c r="S83" i="5"/>
  <c r="S37" i="5"/>
  <c r="R63" i="5"/>
  <c r="S20" i="5"/>
  <c r="Q84" i="5"/>
  <c r="Q86" i="5" s="1"/>
  <c r="Q87" i="5" s="1"/>
  <c r="Q59" i="5"/>
  <c r="Q59" i="4"/>
  <c r="Y30" i="4"/>
  <c r="AA22" i="4"/>
  <c r="S83" i="4"/>
  <c r="T34" i="4"/>
  <c r="S36" i="4"/>
  <c r="T35" i="4" s="1"/>
  <c r="S47" i="4"/>
  <c r="R63" i="4"/>
  <c r="S20" i="4"/>
  <c r="Q84" i="4"/>
  <c r="Q86" i="4" s="1"/>
  <c r="Q87" i="4" s="1"/>
  <c r="R37" i="4"/>
  <c r="X30" i="3"/>
  <c r="Z22" i="3"/>
  <c r="N36" i="3"/>
  <c r="O35" i="3" s="1"/>
  <c r="O47" i="3" s="1"/>
  <c r="O34" i="3"/>
  <c r="N20" i="3"/>
  <c r="R84" i="8" l="1"/>
  <c r="R86" i="8" s="1"/>
  <c r="R87" i="8" s="1"/>
  <c r="T20" i="8"/>
  <c r="S63" i="8"/>
  <c r="T36" i="8"/>
  <c r="U35" i="8" s="1"/>
  <c r="U34" i="8"/>
  <c r="T83" i="8"/>
  <c r="T47" i="8"/>
  <c r="S37" i="8"/>
  <c r="Z22" i="8"/>
  <c r="X30" i="8"/>
  <c r="Z22" i="7"/>
  <c r="X30" i="7"/>
  <c r="AC23" i="6"/>
  <c r="S83" i="6"/>
  <c r="S47" i="6"/>
  <c r="S36" i="6"/>
  <c r="T35" i="6" s="1"/>
  <c r="T34" i="6"/>
  <c r="R37" i="6"/>
  <c r="Q84" i="6"/>
  <c r="Q86" i="6" s="1"/>
  <c r="Q87" i="6" s="1"/>
  <c r="R63" i="6"/>
  <c r="S20" i="6"/>
  <c r="AB22" i="6"/>
  <c r="T20" i="5"/>
  <c r="S63" i="5"/>
  <c r="AB30" i="5"/>
  <c r="AD23" i="5"/>
  <c r="R84" i="5"/>
  <c r="R86" i="5" s="1"/>
  <c r="R87" i="5" s="1"/>
  <c r="S59" i="5"/>
  <c r="U34" i="5"/>
  <c r="T83" i="5"/>
  <c r="T47" i="5"/>
  <c r="T36" i="5"/>
  <c r="U35" i="5" s="1"/>
  <c r="R59" i="4"/>
  <c r="S63" i="4"/>
  <c r="T20" i="4"/>
  <c r="S37" i="4"/>
  <c r="R84" i="4"/>
  <c r="R86" i="4" s="1"/>
  <c r="R87" i="4" s="1"/>
  <c r="T47" i="4"/>
  <c r="U34" i="4"/>
  <c r="T36" i="4"/>
  <c r="U35" i="4" s="1"/>
  <c r="T83" i="4"/>
  <c r="AB22" i="4"/>
  <c r="Z30" i="4"/>
  <c r="O20" i="3"/>
  <c r="O63" i="3" s="1"/>
  <c r="N63" i="3"/>
  <c r="N37" i="3"/>
  <c r="N59" i="3" s="1"/>
  <c r="Y30" i="3"/>
  <c r="AA22" i="3"/>
  <c r="O36" i="3"/>
  <c r="P35" i="3" s="1"/>
  <c r="P47" i="3" s="1"/>
  <c r="P34" i="3"/>
  <c r="O37" i="3"/>
  <c r="O59" i="3" s="1"/>
  <c r="U36" i="8" l="1"/>
  <c r="V35" i="8" s="1"/>
  <c r="U47" i="8"/>
  <c r="U37" i="8"/>
  <c r="V34" i="8"/>
  <c r="S84" i="8"/>
  <c r="S86" i="8" s="1"/>
  <c r="S87" i="8" s="1"/>
  <c r="AA22" i="8"/>
  <c r="Y30" i="8"/>
  <c r="S59" i="8"/>
  <c r="T37" i="8"/>
  <c r="T63" i="8"/>
  <c r="U20" i="8"/>
  <c r="Y30" i="7"/>
  <c r="AA22" i="7"/>
  <c r="R84" i="6"/>
  <c r="R86" i="6" s="1"/>
  <c r="R87" i="6" s="1"/>
  <c r="R59" i="6"/>
  <c r="AC22" i="6"/>
  <c r="AB30" i="6" s="1"/>
  <c r="T20" i="6"/>
  <c r="S63" i="6"/>
  <c r="T47" i="6"/>
  <c r="T83" i="6"/>
  <c r="U34" i="6"/>
  <c r="T36" i="6"/>
  <c r="U35" i="6" s="1"/>
  <c r="S37" i="6"/>
  <c r="AD23" i="6"/>
  <c r="AA30" i="6"/>
  <c r="T37" i="5"/>
  <c r="V34" i="5"/>
  <c r="U47" i="5"/>
  <c r="U36" i="5"/>
  <c r="V35" i="5" s="1"/>
  <c r="AE23" i="5"/>
  <c r="AC30" i="5"/>
  <c r="S84" i="5"/>
  <c r="S86" i="5" s="1"/>
  <c r="S87" i="5" s="1"/>
  <c r="T63" i="5"/>
  <c r="U20" i="5"/>
  <c r="U47" i="4"/>
  <c r="U36" i="4"/>
  <c r="V35" i="4" s="1"/>
  <c r="V34" i="4"/>
  <c r="AC22" i="4"/>
  <c r="AA30" i="4"/>
  <c r="T37" i="4"/>
  <c r="S59" i="4"/>
  <c r="U20" i="4"/>
  <c r="T63" i="4"/>
  <c r="S84" i="4"/>
  <c r="S86" i="4" s="1"/>
  <c r="S87" i="4" s="1"/>
  <c r="AB22" i="3"/>
  <c r="Z30" i="3"/>
  <c r="Q34" i="3"/>
  <c r="P36" i="3"/>
  <c r="Q35" i="3" s="1"/>
  <c r="Q47" i="3" s="1"/>
  <c r="P20" i="3"/>
  <c r="T84" i="8" l="1"/>
  <c r="T86" i="8" s="1"/>
  <c r="T87" i="8" s="1"/>
  <c r="U88" i="8" s="1"/>
  <c r="V47" i="8"/>
  <c r="W34" i="8"/>
  <c r="V36" i="8"/>
  <c r="W35" i="8" s="1"/>
  <c r="U63" i="8"/>
  <c r="V20" i="8"/>
  <c r="T59" i="8"/>
  <c r="Z30" i="8"/>
  <c r="AB22" i="8"/>
  <c r="U59" i="8"/>
  <c r="Z30" i="7"/>
  <c r="AB22" i="7"/>
  <c r="AE23" i="6"/>
  <c r="V34" i="6"/>
  <c r="U36" i="6"/>
  <c r="V35" i="6" s="1"/>
  <c r="U47" i="6"/>
  <c r="U20" i="6"/>
  <c r="T63" i="6"/>
  <c r="S59" i="6"/>
  <c r="T37" i="6"/>
  <c r="S84" i="6"/>
  <c r="S86" i="6" s="1"/>
  <c r="S87" i="6" s="1"/>
  <c r="AD22" i="6"/>
  <c r="V20" i="5"/>
  <c r="U63" i="5"/>
  <c r="T84" i="5"/>
  <c r="T86" i="5" s="1"/>
  <c r="T87" i="5" s="1"/>
  <c r="U88" i="5" s="1"/>
  <c r="AD30" i="5"/>
  <c r="AF23" i="5"/>
  <c r="T59" i="5"/>
  <c r="V47" i="5"/>
  <c r="W34" i="5"/>
  <c r="V36" i="5"/>
  <c r="W35" i="5" s="1"/>
  <c r="U37" i="5"/>
  <c r="U37" i="4"/>
  <c r="V20" i="4"/>
  <c r="U63" i="4"/>
  <c r="T84" i="4"/>
  <c r="T86" i="4" s="1"/>
  <c r="T87" i="4" s="1"/>
  <c r="U88" i="4" s="1"/>
  <c r="AB30" i="4"/>
  <c r="AD22" i="4"/>
  <c r="T59" i="4"/>
  <c r="U59" i="4"/>
  <c r="V36" i="4"/>
  <c r="W35" i="4" s="1"/>
  <c r="V47" i="4"/>
  <c r="W34" i="4"/>
  <c r="Q20" i="3"/>
  <c r="Q63" i="3" s="1"/>
  <c r="P63" i="3"/>
  <c r="AA30" i="3"/>
  <c r="AC22" i="3"/>
  <c r="P37" i="3"/>
  <c r="P59" i="3" s="1"/>
  <c r="R34" i="3"/>
  <c r="Q36" i="3"/>
  <c r="R35" i="3" s="1"/>
  <c r="R47" i="3" s="1"/>
  <c r="AA30" i="8" l="1"/>
  <c r="AC22" i="8"/>
  <c r="V63" i="8"/>
  <c r="W20" i="8"/>
  <c r="W36" i="8"/>
  <c r="X35" i="8" s="1"/>
  <c r="W47" i="8"/>
  <c r="X34" i="8"/>
  <c r="V37" i="8"/>
  <c r="AA30" i="7"/>
  <c r="AC22" i="7"/>
  <c r="AE22" i="6"/>
  <c r="T59" i="6"/>
  <c r="T84" i="6"/>
  <c r="T86" i="6" s="1"/>
  <c r="T87" i="6" s="1"/>
  <c r="U88" i="6" s="1"/>
  <c r="U63" i="6"/>
  <c r="V20" i="6"/>
  <c r="V36" i="6"/>
  <c r="W35" i="6" s="1"/>
  <c r="V47" i="6"/>
  <c r="W34" i="6"/>
  <c r="U37" i="6"/>
  <c r="AD30" i="6"/>
  <c r="AF23" i="6"/>
  <c r="AC30" i="6"/>
  <c r="X34" i="5"/>
  <c r="W36" i="5"/>
  <c r="X35" i="5" s="1"/>
  <c r="W47" i="5"/>
  <c r="AE30" i="5"/>
  <c r="AG23" i="5"/>
  <c r="U59" i="5"/>
  <c r="V37" i="5"/>
  <c r="W20" i="5"/>
  <c r="V63" i="5"/>
  <c r="W36" i="4"/>
  <c r="X35" i="4" s="1"/>
  <c r="X34" i="4"/>
  <c r="W47" i="4"/>
  <c r="AE22" i="4"/>
  <c r="AC30" i="4"/>
  <c r="V37" i="4"/>
  <c r="W20" i="4"/>
  <c r="V63" i="4"/>
  <c r="AB30" i="3"/>
  <c r="AD22" i="3"/>
  <c r="S34" i="3"/>
  <c r="R36" i="3"/>
  <c r="S35" i="3" s="1"/>
  <c r="S47" i="3" s="1"/>
  <c r="Q37" i="3"/>
  <c r="Q59" i="3" s="1"/>
  <c r="R20" i="3"/>
  <c r="X47" i="8" l="1"/>
  <c r="Y34" i="8"/>
  <c r="X36" i="8"/>
  <c r="Y35" i="8" s="1"/>
  <c r="X20" i="8"/>
  <c r="W63" i="8"/>
  <c r="V59" i="8"/>
  <c r="V61" i="8" s="1"/>
  <c r="W37" i="8"/>
  <c r="AB30" i="8"/>
  <c r="AD22" i="8"/>
  <c r="AB30" i="7"/>
  <c r="AD22" i="7"/>
  <c r="AG23" i="6"/>
  <c r="U59" i="6"/>
  <c r="W36" i="6"/>
  <c r="X35" i="6" s="1"/>
  <c r="W47" i="6"/>
  <c r="X34" i="6"/>
  <c r="V37" i="6"/>
  <c r="V63" i="6"/>
  <c r="W20" i="6"/>
  <c r="AF22" i="6"/>
  <c r="X36" i="5"/>
  <c r="Y35" i="5" s="1"/>
  <c r="Y34" i="5"/>
  <c r="X47" i="5"/>
  <c r="W63" i="5"/>
  <c r="X20" i="5"/>
  <c r="V59" i="5"/>
  <c r="V61" i="5" s="1"/>
  <c r="V64" i="5" s="1"/>
  <c r="AF30" i="5"/>
  <c r="AH23" i="5"/>
  <c r="W37" i="5"/>
  <c r="X20" i="4"/>
  <c r="W63" i="4"/>
  <c r="V59" i="4"/>
  <c r="V61" i="4" s="1"/>
  <c r="AF22" i="4"/>
  <c r="AD30" i="4"/>
  <c r="X47" i="4"/>
  <c r="X36" i="4"/>
  <c r="Y35" i="4" s="1"/>
  <c r="Y34" i="4"/>
  <c r="W37" i="4"/>
  <c r="S20" i="3"/>
  <c r="S63" i="3" s="1"/>
  <c r="R63" i="3"/>
  <c r="AC30" i="3"/>
  <c r="AE22" i="3"/>
  <c r="T34" i="3"/>
  <c r="S36" i="3"/>
  <c r="T35" i="3" s="1"/>
  <c r="T47" i="3" s="1"/>
  <c r="R37" i="3"/>
  <c r="R59" i="3" s="1"/>
  <c r="V64" i="8" l="1"/>
  <c r="U61" i="8"/>
  <c r="X37" i="8"/>
  <c r="AE22" i="8"/>
  <c r="AC30" i="8"/>
  <c r="W59" i="8"/>
  <c r="W61" i="8" s="1"/>
  <c r="W64" i="8" s="1"/>
  <c r="W65" i="8"/>
  <c r="X63" i="8"/>
  <c r="Y20" i="8"/>
  <c r="Y47" i="8"/>
  <c r="Y36" i="8"/>
  <c r="Z35" i="8" s="1"/>
  <c r="Z34" i="8"/>
  <c r="AC30" i="7"/>
  <c r="AE22" i="7"/>
  <c r="V59" i="6"/>
  <c r="V61" i="6" s="1"/>
  <c r="V64" i="6" s="1"/>
  <c r="V65" i="6" s="1"/>
  <c r="AG22" i="6"/>
  <c r="AF30" i="6" s="1"/>
  <c r="W63" i="6"/>
  <c r="X20" i="6"/>
  <c r="W37" i="6"/>
  <c r="X47" i="6"/>
  <c r="X36" i="6"/>
  <c r="Y35" i="6" s="1"/>
  <c r="Y34" i="6"/>
  <c r="AH23" i="6"/>
  <c r="AE30" i="6"/>
  <c r="W59" i="5"/>
  <c r="W61" i="5" s="1"/>
  <c r="W64" i="5" s="1"/>
  <c r="AG30" i="5"/>
  <c r="AI23" i="5"/>
  <c r="V38" i="5"/>
  <c r="X63" i="5"/>
  <c r="Y20" i="5"/>
  <c r="W65" i="5"/>
  <c r="Y36" i="5"/>
  <c r="Z35" i="5" s="1"/>
  <c r="Y47" i="5"/>
  <c r="Z34" i="5"/>
  <c r="X37" i="5"/>
  <c r="U61" i="5"/>
  <c r="V65" i="5"/>
  <c r="Y47" i="4"/>
  <c r="Y36" i="4"/>
  <c r="Z35" i="4" s="1"/>
  <c r="Z34" i="4"/>
  <c r="X37" i="4"/>
  <c r="W59" i="4"/>
  <c r="W61" i="4" s="1"/>
  <c r="W64" i="4" s="1"/>
  <c r="W65" i="4" s="1"/>
  <c r="AG22" i="4"/>
  <c r="AE30" i="4"/>
  <c r="V64" i="4"/>
  <c r="U61" i="4"/>
  <c r="Y20" i="4"/>
  <c r="X63" i="4"/>
  <c r="AF22" i="3"/>
  <c r="AD30" i="3"/>
  <c r="T36" i="3"/>
  <c r="U35" i="3" s="1"/>
  <c r="U47" i="3" s="1"/>
  <c r="U34" i="3"/>
  <c r="T37" i="3"/>
  <c r="T59" i="3" s="1"/>
  <c r="S37" i="3"/>
  <c r="T20" i="3"/>
  <c r="Z47" i="8" l="1"/>
  <c r="Z36" i="8"/>
  <c r="AA35" i="8" s="1"/>
  <c r="AA34" i="8"/>
  <c r="Y37" i="8"/>
  <c r="U64" i="8"/>
  <c r="T61" i="8"/>
  <c r="Z20" i="8"/>
  <c r="Y63" i="8"/>
  <c r="V55" i="8"/>
  <c r="V40" i="8"/>
  <c r="W38" i="8"/>
  <c r="AF22" i="8"/>
  <c r="AD30" i="8"/>
  <c r="X59" i="8"/>
  <c r="X61" i="8" s="1"/>
  <c r="X64" i="8" s="1"/>
  <c r="V38" i="8"/>
  <c r="V65" i="8"/>
  <c r="AD30" i="7"/>
  <c r="AF22" i="7"/>
  <c r="U61" i="6"/>
  <c r="U64" i="6" s="1"/>
  <c r="AI23" i="6"/>
  <c r="W59" i="6"/>
  <c r="W61" i="6" s="1"/>
  <c r="W64" i="6" s="1"/>
  <c r="X63" i="6"/>
  <c r="Y20" i="6"/>
  <c r="AH22" i="6"/>
  <c r="Y36" i="6"/>
  <c r="Z35" i="6" s="1"/>
  <c r="Y47" i="6"/>
  <c r="Z34" i="6"/>
  <c r="X37" i="6"/>
  <c r="W65" i="6"/>
  <c r="V38" i="6"/>
  <c r="Y37" i="5"/>
  <c r="X59" i="5"/>
  <c r="X61" i="5" s="1"/>
  <c r="X64" i="5" s="1"/>
  <c r="Z20" i="5"/>
  <c r="Y63" i="5"/>
  <c r="W38" i="5"/>
  <c r="V40" i="5"/>
  <c r="U64" i="5"/>
  <c r="T61" i="5"/>
  <c r="Y59" i="5"/>
  <c r="Y61" i="5" s="1"/>
  <c r="Y64" i="5" s="1"/>
  <c r="Z47" i="5"/>
  <c r="Z36" i="5"/>
  <c r="AA35" i="5" s="1"/>
  <c r="AA34" i="5"/>
  <c r="V55" i="5"/>
  <c r="V39" i="5"/>
  <c r="V69" i="5" s="1"/>
  <c r="V48" i="5"/>
  <c r="V49" i="5" s="1"/>
  <c r="AJ23" i="5"/>
  <c r="AH30" i="5"/>
  <c r="U64" i="4"/>
  <c r="U40" i="4" s="1"/>
  <c r="T61" i="4"/>
  <c r="AF30" i="4"/>
  <c r="AH22" i="4"/>
  <c r="X59" i="4"/>
  <c r="X61" i="4" s="1"/>
  <c r="X64" i="4" s="1"/>
  <c r="Y63" i="4"/>
  <c r="Z20" i="4"/>
  <c r="V38" i="4"/>
  <c r="V65" i="4"/>
  <c r="V40" i="4"/>
  <c r="W38" i="4"/>
  <c r="Z47" i="4"/>
  <c r="AA34" i="4"/>
  <c r="Z36" i="4"/>
  <c r="AA35" i="4" s="1"/>
  <c r="Y37" i="4"/>
  <c r="U20" i="3"/>
  <c r="U63" i="3" s="1"/>
  <c r="T63" i="3"/>
  <c r="S59" i="3"/>
  <c r="AG22" i="3"/>
  <c r="AE30" i="3"/>
  <c r="U36" i="3"/>
  <c r="V35" i="3" s="1"/>
  <c r="V47" i="3" s="1"/>
  <c r="V34" i="3"/>
  <c r="U37" i="3"/>
  <c r="U59" i="3" s="1"/>
  <c r="AG22" i="8" l="1"/>
  <c r="AE30" i="8"/>
  <c r="AA20" i="8"/>
  <c r="Z63" i="8"/>
  <c r="T40" i="8"/>
  <c r="U38" i="8"/>
  <c r="U65" i="8"/>
  <c r="Y59" i="8"/>
  <c r="Y61" i="8" s="1"/>
  <c r="Y64" i="8" s="1"/>
  <c r="Y65" i="8" s="1"/>
  <c r="U55" i="8"/>
  <c r="V39" i="8"/>
  <c r="V69" i="8" s="1"/>
  <c r="V48" i="8"/>
  <c r="V49" i="8" s="1"/>
  <c r="V41" i="8"/>
  <c r="X38" i="8"/>
  <c r="W40" i="8"/>
  <c r="W39" i="8"/>
  <c r="W69" i="8" s="1"/>
  <c r="W71" i="8" s="1"/>
  <c r="W48" i="8"/>
  <c r="W49" i="8" s="1"/>
  <c r="T64" i="8"/>
  <c r="S61" i="8"/>
  <c r="X65" i="8"/>
  <c r="AA36" i="8"/>
  <c r="AB35" i="8" s="1"/>
  <c r="AB34" i="8"/>
  <c r="AA47" i="8"/>
  <c r="U40" i="8"/>
  <c r="Z37" i="8"/>
  <c r="AE30" i="7"/>
  <c r="AG22" i="7"/>
  <c r="T61" i="6"/>
  <c r="T64" i="6" s="1"/>
  <c r="V55" i="6"/>
  <c r="Z36" i="6"/>
  <c r="AA35" i="6" s="1"/>
  <c r="AA34" i="6"/>
  <c r="Z47" i="6"/>
  <c r="U38" i="6"/>
  <c r="U65" i="6"/>
  <c r="X59" i="6"/>
  <c r="X61" i="6" s="1"/>
  <c r="X64" i="6" s="1"/>
  <c r="S61" i="6"/>
  <c r="AI22" i="6"/>
  <c r="Y63" i="6"/>
  <c r="Z20" i="6"/>
  <c r="W38" i="6"/>
  <c r="V40" i="6"/>
  <c r="U40" i="6"/>
  <c r="Y37" i="6"/>
  <c r="AJ23" i="6"/>
  <c r="AG30" i="6"/>
  <c r="V48" i="6"/>
  <c r="V49" i="6" s="1"/>
  <c r="V39" i="6"/>
  <c r="V69" i="6" s="1"/>
  <c r="V41" i="5"/>
  <c r="AA36" i="5"/>
  <c r="AB35" i="5" s="1"/>
  <c r="AA47" i="5"/>
  <c r="AA37" i="5"/>
  <c r="AB34" i="5"/>
  <c r="Z37" i="5"/>
  <c r="Y38" i="5"/>
  <c r="X40" i="5"/>
  <c r="Y65" i="5"/>
  <c r="AK23" i="5"/>
  <c r="AI30" i="5"/>
  <c r="X38" i="5"/>
  <c r="W40" i="5"/>
  <c r="W41" i="5" s="1"/>
  <c r="X65" i="5"/>
  <c r="T64" i="5"/>
  <c r="S61" i="5"/>
  <c r="T40" i="5"/>
  <c r="U38" i="5"/>
  <c r="U65" i="5"/>
  <c r="U40" i="5"/>
  <c r="W39" i="5"/>
  <c r="W69" i="5" s="1"/>
  <c r="W71" i="5" s="1"/>
  <c r="W48" i="5"/>
  <c r="W49" i="5" s="1"/>
  <c r="Z63" i="5"/>
  <c r="AA20" i="5"/>
  <c r="V50" i="5"/>
  <c r="V32" i="5" s="1"/>
  <c r="V71" i="5"/>
  <c r="Z37" i="4"/>
  <c r="Z59" i="4"/>
  <c r="Z61" i="4" s="1"/>
  <c r="Z64" i="4" s="1"/>
  <c r="W39" i="4"/>
  <c r="W69" i="4" s="1"/>
  <c r="W71" i="4" s="1"/>
  <c r="W48" i="4"/>
  <c r="W49" i="4" s="1"/>
  <c r="AA20" i="4"/>
  <c r="Z63" i="4"/>
  <c r="Z65" i="4" s="1"/>
  <c r="T64" i="4"/>
  <c r="T40" i="4" s="1"/>
  <c r="S61" i="4"/>
  <c r="V48" i="4"/>
  <c r="V49" i="4" s="1"/>
  <c r="V39" i="4"/>
  <c r="V69" i="4" s="1"/>
  <c r="V41" i="4"/>
  <c r="X38" i="4"/>
  <c r="W40" i="4"/>
  <c r="AG30" i="4"/>
  <c r="AI22" i="4"/>
  <c r="V55" i="4"/>
  <c r="X65" i="4"/>
  <c r="Y59" i="4"/>
  <c r="Y61" i="4" s="1"/>
  <c r="Y64" i="4" s="1"/>
  <c r="Y65" i="4" s="1"/>
  <c r="AA47" i="4"/>
  <c r="AB34" i="4"/>
  <c r="AA36" i="4"/>
  <c r="AB35" i="4" s="1"/>
  <c r="AA37" i="4"/>
  <c r="U38" i="4"/>
  <c r="U65" i="4"/>
  <c r="U55" i="4" s="1"/>
  <c r="AF30" i="3"/>
  <c r="AH22" i="3"/>
  <c r="V36" i="3"/>
  <c r="W35" i="3" s="1"/>
  <c r="W47" i="3" s="1"/>
  <c r="W34" i="3"/>
  <c r="V20" i="3"/>
  <c r="X55" i="8" l="1"/>
  <c r="X39" i="8"/>
  <c r="X48" i="8"/>
  <c r="X49" i="8" s="1"/>
  <c r="V71" i="8"/>
  <c r="T55" i="8"/>
  <c r="U48" i="8"/>
  <c r="U49" i="8" s="1"/>
  <c r="U39" i="8"/>
  <c r="U69" i="8" s="1"/>
  <c r="U71" i="8" s="1"/>
  <c r="U41" i="8"/>
  <c r="AA37" i="8"/>
  <c r="Z65" i="8"/>
  <c r="AB20" i="8"/>
  <c r="AA63" i="8"/>
  <c r="T78" i="8"/>
  <c r="T38" i="8"/>
  <c r="T65" i="8"/>
  <c r="W41" i="8"/>
  <c r="V50" i="8"/>
  <c r="V32" i="8" s="1"/>
  <c r="Z59" i="8"/>
  <c r="Z61" i="8" s="1"/>
  <c r="Z64" i="8" s="1"/>
  <c r="Y38" i="8"/>
  <c r="X40" i="8"/>
  <c r="X41" i="8" s="1"/>
  <c r="AB47" i="8"/>
  <c r="AC34" i="8"/>
  <c r="AB36" i="8"/>
  <c r="AC35" i="8" s="1"/>
  <c r="W55" i="8"/>
  <c r="S64" i="8"/>
  <c r="R61" i="8"/>
  <c r="W51" i="8"/>
  <c r="W50" i="8"/>
  <c r="W32" i="8" s="1"/>
  <c r="AH22" i="8"/>
  <c r="AF30" i="8"/>
  <c r="AH22" i="7"/>
  <c r="AF30" i="7"/>
  <c r="V41" i="6"/>
  <c r="AA20" i="6"/>
  <c r="Z63" i="6"/>
  <c r="X38" i="6"/>
  <c r="W40" i="6"/>
  <c r="U55" i="6"/>
  <c r="V50" i="6"/>
  <c r="V32" i="6" s="1"/>
  <c r="Z37" i="6"/>
  <c r="W48" i="6"/>
  <c r="W49" i="6" s="1"/>
  <c r="W39" i="6"/>
  <c r="W69" i="6" s="1"/>
  <c r="W71" i="6" s="1"/>
  <c r="V71" i="6" s="1"/>
  <c r="W41" i="6"/>
  <c r="AJ22" i="6"/>
  <c r="AI30" i="6" s="1"/>
  <c r="S40" i="6"/>
  <c r="T38" i="6"/>
  <c r="T78" i="6"/>
  <c r="T65" i="6"/>
  <c r="T55" i="6" s="1"/>
  <c r="U48" i="6"/>
  <c r="U49" i="6" s="1"/>
  <c r="U39" i="6"/>
  <c r="U69" i="6" s="1"/>
  <c r="U41" i="6"/>
  <c r="AK23" i="6"/>
  <c r="AH30" i="6"/>
  <c r="S64" i="6"/>
  <c r="R61" i="6"/>
  <c r="X65" i="6"/>
  <c r="T40" i="6"/>
  <c r="AA47" i="6"/>
  <c r="AB34" i="6"/>
  <c r="AA36" i="6"/>
  <c r="AB35" i="6" s="1"/>
  <c r="Y59" i="6"/>
  <c r="Y61" i="6" s="1"/>
  <c r="Y64" i="6" s="1"/>
  <c r="U48" i="5"/>
  <c r="U49" i="5" s="1"/>
  <c r="U39" i="5"/>
  <c r="U69" i="5" s="1"/>
  <c r="U71" i="5" s="1"/>
  <c r="U41" i="5"/>
  <c r="S64" i="5"/>
  <c r="R61" i="5"/>
  <c r="W55" i="5"/>
  <c r="X48" i="5"/>
  <c r="X49" i="5" s="1"/>
  <c r="X39" i="5"/>
  <c r="X41" i="5"/>
  <c r="X55" i="5"/>
  <c r="AA63" i="5"/>
  <c r="AA65" i="5" s="1"/>
  <c r="AB20" i="5"/>
  <c r="Z65" i="5"/>
  <c r="W50" i="5"/>
  <c r="W32" i="5" s="1"/>
  <c r="T38" i="5"/>
  <c r="T78" i="5"/>
  <c r="T65" i="5"/>
  <c r="AL23" i="5"/>
  <c r="AJ30" i="5"/>
  <c r="V51" i="5"/>
  <c r="Y48" i="5"/>
  <c r="Y49" i="5" s="1"/>
  <c r="Y39" i="5"/>
  <c r="Z59" i="5"/>
  <c r="Z61" i="5" s="1"/>
  <c r="Z64" i="5" s="1"/>
  <c r="AA59" i="5"/>
  <c r="AA61" i="5" s="1"/>
  <c r="AA64" i="5" s="1"/>
  <c r="AB36" i="5"/>
  <c r="AC35" i="5" s="1"/>
  <c r="AB47" i="5"/>
  <c r="AC34" i="5"/>
  <c r="AB37" i="5"/>
  <c r="U55" i="5"/>
  <c r="W41" i="4"/>
  <c r="V71" i="4"/>
  <c r="V50" i="4"/>
  <c r="V32" i="4" s="1"/>
  <c r="S64" i="4"/>
  <c r="R61" i="4"/>
  <c r="T78" i="4"/>
  <c r="S40" i="4"/>
  <c r="T38" i="4"/>
  <c r="T65" i="4"/>
  <c r="AA63" i="4"/>
  <c r="AB20" i="4"/>
  <c r="W50" i="4"/>
  <c r="W32" i="4" s="1"/>
  <c r="AH30" i="4"/>
  <c r="AJ22" i="4"/>
  <c r="X48" i="4"/>
  <c r="X49" i="4" s="1"/>
  <c r="X39" i="4"/>
  <c r="U39" i="4"/>
  <c r="U69" i="4" s="1"/>
  <c r="U71" i="4" s="1"/>
  <c r="U48" i="4"/>
  <c r="U49" i="4" s="1"/>
  <c r="U41" i="4"/>
  <c r="AA59" i="4"/>
  <c r="AA61" i="4" s="1"/>
  <c r="AA64" i="4" s="1"/>
  <c r="AB47" i="4"/>
  <c r="AC34" i="4"/>
  <c r="AB36" i="4"/>
  <c r="AC35" i="4" s="1"/>
  <c r="X55" i="4"/>
  <c r="Y55" i="4"/>
  <c r="Y38" i="4"/>
  <c r="X40" i="4"/>
  <c r="W55" i="4"/>
  <c r="Z38" i="4"/>
  <c r="Y40" i="4"/>
  <c r="W20" i="3"/>
  <c r="W63" i="3" s="1"/>
  <c r="V63" i="3"/>
  <c r="AI22" i="3"/>
  <c r="AG30" i="3"/>
  <c r="W36" i="3"/>
  <c r="X35" i="3" s="1"/>
  <c r="X47" i="3" s="1"/>
  <c r="X34" i="3"/>
  <c r="V37" i="3"/>
  <c r="V59" i="3" s="1"/>
  <c r="W53" i="8" l="1"/>
  <c r="W43" i="8" s="1"/>
  <c r="T48" i="8"/>
  <c r="T49" i="8" s="1"/>
  <c r="T39" i="8"/>
  <c r="T69" i="8" s="1"/>
  <c r="T71" i="8" s="1"/>
  <c r="T41" i="8"/>
  <c r="AC20" i="8"/>
  <c r="AB63" i="8"/>
  <c r="Y55" i="8"/>
  <c r="AA59" i="8"/>
  <c r="AA61" i="8" s="1"/>
  <c r="AA64" i="8" s="1"/>
  <c r="U50" i="8"/>
  <c r="U32" i="8" s="1"/>
  <c r="U51" i="8"/>
  <c r="AB37" i="8"/>
  <c r="Y39" i="8"/>
  <c r="Y48" i="8"/>
  <c r="Y49" i="8" s="1"/>
  <c r="Y40" i="8"/>
  <c r="Y41" i="8" s="1"/>
  <c r="Z38" i="8"/>
  <c r="V51" i="8"/>
  <c r="X50" i="8"/>
  <c r="X32" i="8" s="1"/>
  <c r="R64" i="8"/>
  <c r="Q61" i="8"/>
  <c r="S78" i="8"/>
  <c r="S38" i="8"/>
  <c r="R40" i="8"/>
  <c r="S65" i="8"/>
  <c r="W56" i="8"/>
  <c r="AD34" i="8"/>
  <c r="AC47" i="8"/>
  <c r="AC36" i="8"/>
  <c r="AD35" i="8" s="1"/>
  <c r="AG30" i="8"/>
  <c r="AI22" i="8"/>
  <c r="S40" i="8"/>
  <c r="AI22" i="7"/>
  <c r="AG30" i="7"/>
  <c r="Y38" i="6"/>
  <c r="X40" i="6"/>
  <c r="Z59" i="6"/>
  <c r="Z61" i="6" s="1"/>
  <c r="Z64" i="6" s="1"/>
  <c r="V51" i="6"/>
  <c r="Z65" i="6"/>
  <c r="AB47" i="6"/>
  <c r="AC34" i="6"/>
  <c r="AB36" i="6"/>
  <c r="AC35" i="6" s="1"/>
  <c r="W50" i="6"/>
  <c r="W32" i="6" s="1"/>
  <c r="W55" i="6"/>
  <c r="R64" i="6"/>
  <c r="Q61" i="6"/>
  <c r="R40" i="6"/>
  <c r="S38" i="6"/>
  <c r="S78" i="6"/>
  <c r="S65" i="6"/>
  <c r="S55" i="6" s="1"/>
  <c r="Y65" i="6"/>
  <c r="AL23" i="6"/>
  <c r="U71" i="6"/>
  <c r="AB20" i="6"/>
  <c r="AA63" i="6"/>
  <c r="T39" i="6"/>
  <c r="T69" i="6" s="1"/>
  <c r="T48" i="6"/>
  <c r="T49" i="6" s="1"/>
  <c r="AK22" i="6"/>
  <c r="AA37" i="6"/>
  <c r="X48" i="6"/>
  <c r="X49" i="6" s="1"/>
  <c r="X39" i="6"/>
  <c r="U50" i="6"/>
  <c r="U32" i="6" s="1"/>
  <c r="W51" i="5"/>
  <c r="AB59" i="5"/>
  <c r="AB61" i="5" s="1"/>
  <c r="AB64" i="5" s="1"/>
  <c r="AB63" i="5"/>
  <c r="AC20" i="5"/>
  <c r="Z55" i="5"/>
  <c r="AA38" i="5"/>
  <c r="Z40" i="5"/>
  <c r="Z38" i="5"/>
  <c r="Y40" i="5"/>
  <c r="Y41" i="5" s="1"/>
  <c r="X50" i="5"/>
  <c r="X32" i="5" s="1"/>
  <c r="V53" i="5"/>
  <c r="S78" i="5"/>
  <c r="R40" i="5"/>
  <c r="S38" i="5"/>
  <c r="S65" i="5"/>
  <c r="S55" i="5"/>
  <c r="T48" i="5"/>
  <c r="T49" i="5" s="1"/>
  <c r="T39" i="5"/>
  <c r="T69" i="5" s="1"/>
  <c r="T71" i="5" s="1"/>
  <c r="U50" i="5"/>
  <c r="U32" i="5" s="1"/>
  <c r="W53" i="5"/>
  <c r="W43" i="5" s="1"/>
  <c r="Y55" i="5"/>
  <c r="AC47" i="5"/>
  <c r="AC36" i="5"/>
  <c r="AD35" i="5" s="1"/>
  <c r="AD34" i="5"/>
  <c r="Y50" i="5"/>
  <c r="Y32" i="5" s="1"/>
  <c r="R64" i="5"/>
  <c r="Q61" i="5"/>
  <c r="AM23" i="5"/>
  <c r="AK30" i="5"/>
  <c r="T55" i="5"/>
  <c r="S40" i="5"/>
  <c r="AA65" i="4"/>
  <c r="X41" i="4"/>
  <c r="AK22" i="4"/>
  <c r="AI30" i="4"/>
  <c r="AB63" i="4"/>
  <c r="AC20" i="4"/>
  <c r="U50" i="4"/>
  <c r="U32" i="4" s="1"/>
  <c r="X50" i="4"/>
  <c r="X32" i="4" s="1"/>
  <c r="AC47" i="4"/>
  <c r="AC36" i="4"/>
  <c r="AD35" i="4" s="1"/>
  <c r="AC37" i="4"/>
  <c r="AD34" i="4"/>
  <c r="AB37" i="4"/>
  <c r="S55" i="4"/>
  <c r="T48" i="4"/>
  <c r="T49" i="4" s="1"/>
  <c r="T39" i="4"/>
  <c r="T69" i="4" s="1"/>
  <c r="T71" i="4" s="1"/>
  <c r="T41" i="4"/>
  <c r="R64" i="4"/>
  <c r="Q61" i="4"/>
  <c r="R40" i="4"/>
  <c r="S38" i="4"/>
  <c r="S78" i="4"/>
  <c r="S65" i="4"/>
  <c r="V51" i="4"/>
  <c r="Z39" i="4"/>
  <c r="Z48" i="4"/>
  <c r="Z49" i="4" s="1"/>
  <c r="T55" i="4"/>
  <c r="Y48" i="4"/>
  <c r="Y49" i="4" s="1"/>
  <c r="Y39" i="4"/>
  <c r="Y41" i="4"/>
  <c r="W51" i="4"/>
  <c r="Z55" i="4"/>
  <c r="Z40" i="4"/>
  <c r="Z41" i="4" s="1"/>
  <c r="AA38" i="4"/>
  <c r="V64" i="3"/>
  <c r="W37" i="3"/>
  <c r="AH30" i="3"/>
  <c r="AJ22" i="3"/>
  <c r="X36" i="3"/>
  <c r="Y35" i="3" s="1"/>
  <c r="Y47" i="3" s="1"/>
  <c r="Y34" i="3"/>
  <c r="X20" i="3"/>
  <c r="X63" i="3" s="1"/>
  <c r="Y50" i="8" l="1"/>
  <c r="Y32" i="8" s="1"/>
  <c r="Y51" i="8"/>
  <c r="R55" i="8"/>
  <c r="Z40" i="8"/>
  <c r="AA38" i="8"/>
  <c r="AA65" i="8"/>
  <c r="AE34" i="8"/>
  <c r="AD47" i="8"/>
  <c r="AD36" i="8"/>
  <c r="AE35" i="8" s="1"/>
  <c r="S39" i="8"/>
  <c r="S69" i="8" s="1"/>
  <c r="S71" i="8" s="1"/>
  <c r="S48" i="8"/>
  <c r="S49" i="8" s="1"/>
  <c r="S41" i="8"/>
  <c r="R38" i="8"/>
  <c r="Q40" i="8"/>
  <c r="R78" i="8"/>
  <c r="R100" i="8" s="1"/>
  <c r="R65" i="8"/>
  <c r="AC63" i="8"/>
  <c r="AD20" i="8"/>
  <c r="S55" i="8"/>
  <c r="AJ22" i="8"/>
  <c r="AH30" i="8"/>
  <c r="T50" i="8"/>
  <c r="T32" i="8" s="1"/>
  <c r="T51" i="8"/>
  <c r="X51" i="8"/>
  <c r="V53" i="8"/>
  <c r="V52" i="8" s="1"/>
  <c r="V42" i="8" s="1"/>
  <c r="W52" i="8"/>
  <c r="W42" i="8" s="1"/>
  <c r="W44" i="8" s="1"/>
  <c r="AC37" i="8"/>
  <c r="AB59" i="8"/>
  <c r="AB61" i="8" s="1"/>
  <c r="AB64" i="8" s="1"/>
  <c r="U53" i="8"/>
  <c r="Q64" i="8"/>
  <c r="P61" i="8"/>
  <c r="T75" i="8"/>
  <c r="T77" i="8" s="1"/>
  <c r="T79" i="8" s="1"/>
  <c r="T88" i="8" s="1"/>
  <c r="Z39" i="8"/>
  <c r="Z48" i="8"/>
  <c r="Z49" i="8" s="1"/>
  <c r="Z41" i="8"/>
  <c r="AJ22" i="7"/>
  <c r="AH30" i="7"/>
  <c r="X41" i="6"/>
  <c r="T41" i="6"/>
  <c r="T75" i="6" s="1"/>
  <c r="T77" i="6" s="1"/>
  <c r="T79" i="6" s="1"/>
  <c r="T88" i="6" s="1"/>
  <c r="U51" i="6"/>
  <c r="T71" i="6"/>
  <c r="Q64" i="6"/>
  <c r="P61" i="6"/>
  <c r="AL22" i="6"/>
  <c r="AK30" i="6" s="1"/>
  <c r="S39" i="6"/>
  <c r="S69" i="6" s="1"/>
  <c r="S71" i="6" s="1"/>
  <c r="S48" i="6"/>
  <c r="S49" i="6" s="1"/>
  <c r="AA59" i="6"/>
  <c r="AA61" i="6" s="1"/>
  <c r="AA64" i="6" s="1"/>
  <c r="AA65" i="6" s="1"/>
  <c r="Y55" i="6"/>
  <c r="X50" i="6"/>
  <c r="X32" i="6" s="1"/>
  <c r="Q40" i="6"/>
  <c r="R38" i="6"/>
  <c r="R78" i="6"/>
  <c r="R100" i="6" s="1"/>
  <c r="R65" i="6"/>
  <c r="R55" i="6" s="1"/>
  <c r="W51" i="6"/>
  <c r="AC36" i="6"/>
  <c r="AD35" i="6" s="1"/>
  <c r="AC47" i="6"/>
  <c r="AC37" i="6"/>
  <c r="AD34" i="6"/>
  <c r="AB37" i="6"/>
  <c r="V53" i="6"/>
  <c r="AJ30" i="6"/>
  <c r="U53" i="6"/>
  <c r="U52" i="6" s="1"/>
  <c r="U42" i="6" s="1"/>
  <c r="T50" i="6"/>
  <c r="T32" i="6" s="1"/>
  <c r="AB63" i="6"/>
  <c r="AC20" i="6"/>
  <c r="AM23" i="6"/>
  <c r="Z38" i="6"/>
  <c r="Y40" i="6"/>
  <c r="X55" i="6"/>
  <c r="Y48" i="6"/>
  <c r="Y49" i="6" s="1"/>
  <c r="Y39" i="6"/>
  <c r="Y41" i="6"/>
  <c r="AB65" i="5"/>
  <c r="X51" i="5"/>
  <c r="Y51" i="5"/>
  <c r="Y53" i="5" s="1"/>
  <c r="Y43" i="5" s="1"/>
  <c r="T41" i="5"/>
  <c r="V43" i="5"/>
  <c r="V56" i="5"/>
  <c r="V52" i="5"/>
  <c r="V42" i="5" s="1"/>
  <c r="V44" i="5" s="1"/>
  <c r="X53" i="5"/>
  <c r="T50" i="5"/>
  <c r="T32" i="5" s="1"/>
  <c r="T51" i="5"/>
  <c r="AL30" i="5"/>
  <c r="AN23" i="5"/>
  <c r="R78" i="5"/>
  <c r="R100" i="5" s="1"/>
  <c r="R38" i="5"/>
  <c r="R65" i="5"/>
  <c r="AA55" i="5"/>
  <c r="W56" i="5"/>
  <c r="AB38" i="5"/>
  <c r="AA40" i="5"/>
  <c r="AD47" i="5"/>
  <c r="AD36" i="5"/>
  <c r="AE35" i="5" s="1"/>
  <c r="AE34" i="5"/>
  <c r="AC37" i="5"/>
  <c r="Z48" i="5"/>
  <c r="Z49" i="5" s="1"/>
  <c r="Z39" i="5"/>
  <c r="Z41" i="5"/>
  <c r="W52" i="5"/>
  <c r="W42" i="5" s="1"/>
  <c r="W44" i="5" s="1"/>
  <c r="AA48" i="5"/>
  <c r="AA49" i="5" s="1"/>
  <c r="AA39" i="5"/>
  <c r="U51" i="5"/>
  <c r="T75" i="5"/>
  <c r="T77" i="5" s="1"/>
  <c r="T79" i="5" s="1"/>
  <c r="T88" i="5" s="1"/>
  <c r="Q64" i="5"/>
  <c r="Q40" i="5" s="1"/>
  <c r="P61" i="5"/>
  <c r="AC63" i="5"/>
  <c r="AD20" i="5"/>
  <c r="S39" i="5"/>
  <c r="S69" i="5" s="1"/>
  <c r="S71" i="5" s="1"/>
  <c r="S48" i="5"/>
  <c r="S49" i="5" s="1"/>
  <c r="S41" i="5"/>
  <c r="AB59" i="4"/>
  <c r="AB61" i="4" s="1"/>
  <c r="AB64" i="4" s="1"/>
  <c r="Y50" i="4"/>
  <c r="Y32" i="4" s="1"/>
  <c r="Y51" i="4"/>
  <c r="Z50" i="4"/>
  <c r="Z32" i="4" s="1"/>
  <c r="U51" i="4"/>
  <c r="AC63" i="4"/>
  <c r="AD20" i="4"/>
  <c r="AA39" i="4"/>
  <c r="AA48" i="4"/>
  <c r="AA49" i="4" s="1"/>
  <c r="W53" i="4"/>
  <c r="AC59" i="4"/>
  <c r="AC61" i="4" s="1"/>
  <c r="AC64" i="4" s="1"/>
  <c r="S39" i="4"/>
  <c r="S69" i="4" s="1"/>
  <c r="S71" i="4" s="1"/>
  <c r="S48" i="4"/>
  <c r="S49" i="4" s="1"/>
  <c r="S41" i="4"/>
  <c r="Q64" i="4"/>
  <c r="P61" i="4"/>
  <c r="Q40" i="4"/>
  <c r="R78" i="4"/>
  <c r="R100" i="4" s="1"/>
  <c r="R38" i="4"/>
  <c r="R65" i="4"/>
  <c r="R55" i="4" s="1"/>
  <c r="AE34" i="4"/>
  <c r="AD47" i="4"/>
  <c r="AD36" i="4"/>
  <c r="AE35" i="4" s="1"/>
  <c r="X51" i="4"/>
  <c r="V53" i="4"/>
  <c r="T75" i="4"/>
  <c r="T77" i="4" s="1"/>
  <c r="T79" i="4" s="1"/>
  <c r="T88" i="4" s="1"/>
  <c r="AJ30" i="4"/>
  <c r="AL22" i="4"/>
  <c r="T50" i="4"/>
  <c r="T32" i="4" s="1"/>
  <c r="Y20" i="3"/>
  <c r="Y63" i="3" s="1"/>
  <c r="U64" i="3"/>
  <c r="U40" i="3" s="1"/>
  <c r="T61" i="3"/>
  <c r="AI30" i="3"/>
  <c r="AK22" i="3"/>
  <c r="W59" i="3"/>
  <c r="W61" i="3" s="1"/>
  <c r="W64" i="3" s="1"/>
  <c r="V65" i="3"/>
  <c r="V40" i="3"/>
  <c r="V38" i="3"/>
  <c r="Y36" i="3"/>
  <c r="Z35" i="3" s="1"/>
  <c r="Z47" i="3" s="1"/>
  <c r="Z34" i="3"/>
  <c r="X37" i="3"/>
  <c r="U43" i="8" l="1"/>
  <c r="U56" i="8"/>
  <c r="AB38" i="8"/>
  <c r="AA40" i="8"/>
  <c r="AF34" i="8"/>
  <c r="AE47" i="8"/>
  <c r="AE36" i="8"/>
  <c r="AF35" i="8" s="1"/>
  <c r="AB65" i="8"/>
  <c r="R39" i="8"/>
  <c r="R69" i="8" s="1"/>
  <c r="R71" i="8" s="1"/>
  <c r="R48" i="8"/>
  <c r="R49" i="8" s="1"/>
  <c r="R41" i="8"/>
  <c r="S50" i="8"/>
  <c r="S32" i="8" s="1"/>
  <c r="S51" i="8"/>
  <c r="AD37" i="8"/>
  <c r="Z55" i="8"/>
  <c r="U52" i="8"/>
  <c r="U42" i="8" s="1"/>
  <c r="U44" i="8" s="1"/>
  <c r="S75" i="8"/>
  <c r="S77" i="8" s="1"/>
  <c r="S79" i="8" s="1"/>
  <c r="AC59" i="8"/>
  <c r="AC61" i="8" s="1"/>
  <c r="AC64" i="8" s="1"/>
  <c r="V43" i="8"/>
  <c r="V44" i="8" s="1"/>
  <c r="V56" i="8"/>
  <c r="X53" i="8"/>
  <c r="T53" i="8"/>
  <c r="AA48" i="8"/>
  <c r="AA49" i="8" s="1"/>
  <c r="AA39" i="8"/>
  <c r="AA41" i="8"/>
  <c r="Z50" i="8"/>
  <c r="Z32" i="8" s="1"/>
  <c r="Z51" i="8"/>
  <c r="AK22" i="8"/>
  <c r="AI30" i="8"/>
  <c r="T89" i="8"/>
  <c r="S88" i="8"/>
  <c r="AE20" i="8"/>
  <c r="AD63" i="8"/>
  <c r="Y53" i="8"/>
  <c r="Y52" i="8" s="1"/>
  <c r="Y42" i="8" s="1"/>
  <c r="P64" i="8"/>
  <c r="O61" i="8"/>
  <c r="AC65" i="8"/>
  <c r="Q78" i="8"/>
  <c r="Q100" i="8" s="1"/>
  <c r="Q38" i="8"/>
  <c r="P40" i="8"/>
  <c r="Q65" i="8"/>
  <c r="R94" i="8"/>
  <c r="R96" i="8" s="1"/>
  <c r="Q55" i="8"/>
  <c r="AK22" i="7"/>
  <c r="AI30" i="7"/>
  <c r="S41" i="6"/>
  <c r="Z55" i="6"/>
  <c r="X51" i="6"/>
  <c r="V43" i="6"/>
  <c r="V56" i="6"/>
  <c r="Y50" i="6"/>
  <c r="Y32" i="6" s="1"/>
  <c r="P64" i="6"/>
  <c r="P40" i="6" s="1"/>
  <c r="O61" i="6"/>
  <c r="U43" i="6"/>
  <c r="U44" i="6" s="1"/>
  <c r="U56" i="6"/>
  <c r="T89" i="6"/>
  <c r="S88" i="6"/>
  <c r="AB59" i="6"/>
  <c r="AB61" i="6" s="1"/>
  <c r="AB64" i="6" s="1"/>
  <c r="S75" i="6"/>
  <c r="S77" i="6" s="1"/>
  <c r="S79" i="6" s="1"/>
  <c r="S50" i="6"/>
  <c r="S32" i="6" s="1"/>
  <c r="AD47" i="6"/>
  <c r="AE34" i="6"/>
  <c r="AD36" i="6"/>
  <c r="AE35" i="6" s="1"/>
  <c r="W53" i="6"/>
  <c r="W52" i="6" s="1"/>
  <c r="W42" i="6" s="1"/>
  <c r="R94" i="6"/>
  <c r="R96" i="6" s="1"/>
  <c r="Q38" i="6"/>
  <c r="Q78" i="6"/>
  <c r="Q100" i="6" s="1"/>
  <c r="Q65" i="6"/>
  <c r="R39" i="6"/>
  <c r="R69" i="6" s="1"/>
  <c r="R71" i="6" s="1"/>
  <c r="R48" i="6"/>
  <c r="R49" i="6" s="1"/>
  <c r="R41" i="6"/>
  <c r="T51" i="6"/>
  <c r="V52" i="6"/>
  <c r="V42" i="6" s="1"/>
  <c r="Z40" i="6"/>
  <c r="AA38" i="6"/>
  <c r="AC59" i="6"/>
  <c r="AC61" i="6" s="1"/>
  <c r="AC64" i="6" s="1"/>
  <c r="AM22" i="6"/>
  <c r="Z48" i="6"/>
  <c r="Z49" i="6" s="1"/>
  <c r="Z39" i="6"/>
  <c r="Z41" i="6" s="1"/>
  <c r="AL30" i="6"/>
  <c r="AN23" i="6"/>
  <c r="AC63" i="6"/>
  <c r="AC65" i="6" s="1"/>
  <c r="AD20" i="6"/>
  <c r="AA41" i="5"/>
  <c r="AA50" i="5"/>
  <c r="AA32" i="5" s="1"/>
  <c r="R39" i="5"/>
  <c r="R69" i="5" s="1"/>
  <c r="R71" i="5" s="1"/>
  <c r="R48" i="5"/>
  <c r="R49" i="5" s="1"/>
  <c r="R41" i="5"/>
  <c r="AC59" i="5"/>
  <c r="AC61" i="5" s="1"/>
  <c r="AC64" i="5" s="1"/>
  <c r="AD63" i="5"/>
  <c r="AE20" i="5"/>
  <c r="AC65" i="5"/>
  <c r="AD37" i="5"/>
  <c r="S75" i="5"/>
  <c r="S77" i="5" s="1"/>
  <c r="S79" i="5" s="1"/>
  <c r="AM30" i="5"/>
  <c r="AO23" i="5"/>
  <c r="AE47" i="5"/>
  <c r="AE36" i="5"/>
  <c r="AF35" i="5" s="1"/>
  <c r="AF34" i="5"/>
  <c r="AE37" i="5"/>
  <c r="P64" i="5"/>
  <c r="O61" i="5"/>
  <c r="P40" i="5"/>
  <c r="Q78" i="5"/>
  <c r="Q100" i="5" s="1"/>
  <c r="Q38" i="5"/>
  <c r="Q65" i="5"/>
  <c r="Y52" i="5"/>
  <c r="Y42" i="5" s="1"/>
  <c r="Y44" i="5" s="1"/>
  <c r="Y56" i="5"/>
  <c r="X43" i="5"/>
  <c r="X56" i="5"/>
  <c r="T89" i="5"/>
  <c r="S88" i="5"/>
  <c r="AB48" i="5"/>
  <c r="AB49" i="5" s="1"/>
  <c r="AB39" i="5"/>
  <c r="R94" i="5"/>
  <c r="R96" i="5" s="1"/>
  <c r="Z50" i="5"/>
  <c r="Z32" i="5" s="1"/>
  <c r="S50" i="5"/>
  <c r="S32" i="5" s="1"/>
  <c r="T53" i="5"/>
  <c r="T52" i="5" s="1"/>
  <c r="T42" i="5" s="1"/>
  <c r="X52" i="5"/>
  <c r="X42" i="5" s="1"/>
  <c r="U53" i="5"/>
  <c r="U52" i="5" s="1"/>
  <c r="U42" i="5" s="1"/>
  <c r="R55" i="5"/>
  <c r="X53" i="4"/>
  <c r="X52" i="4" s="1"/>
  <c r="X42" i="4" s="1"/>
  <c r="AD37" i="4"/>
  <c r="W43" i="4"/>
  <c r="W56" i="4"/>
  <c r="AE47" i="4"/>
  <c r="AF34" i="4"/>
  <c r="AE36" i="4"/>
  <c r="AF35" i="4" s="1"/>
  <c r="V43" i="4"/>
  <c r="V56" i="4"/>
  <c r="AA50" i="4"/>
  <c r="AA32" i="4" s="1"/>
  <c r="AD63" i="4"/>
  <c r="AE20" i="4"/>
  <c r="U53" i="4"/>
  <c r="P64" i="4"/>
  <c r="O61" i="4"/>
  <c r="S50" i="4"/>
  <c r="S32" i="4" s="1"/>
  <c r="W52" i="4"/>
  <c r="W42" i="4" s="1"/>
  <c r="R94" i="4"/>
  <c r="R96" i="4" s="1"/>
  <c r="R39" i="4"/>
  <c r="R69" i="4" s="1"/>
  <c r="R71" i="4" s="1"/>
  <c r="R48" i="4"/>
  <c r="R49" i="4" s="1"/>
  <c r="T51" i="4"/>
  <c r="Z51" i="4"/>
  <c r="T89" i="4"/>
  <c r="S88" i="4"/>
  <c r="AC38" i="4"/>
  <c r="AB40" i="4"/>
  <c r="V52" i="4"/>
  <c r="V42" i="4" s="1"/>
  <c r="AC65" i="4"/>
  <c r="Y53" i="4"/>
  <c r="Y52" i="4" s="1"/>
  <c r="Y42" i="4" s="1"/>
  <c r="AK30" i="4"/>
  <c r="AM22" i="4"/>
  <c r="Q38" i="4"/>
  <c r="Q78" i="4"/>
  <c r="Q100" i="4" s="1"/>
  <c r="Q65" i="4"/>
  <c r="S75" i="4"/>
  <c r="S77" i="4" s="1"/>
  <c r="S79" i="4" s="1"/>
  <c r="AA40" i="4"/>
  <c r="AA41" i="4" s="1"/>
  <c r="AB38" i="4"/>
  <c r="AB65" i="4"/>
  <c r="V39" i="3"/>
  <c r="V48" i="3"/>
  <c r="V49" i="3" s="1"/>
  <c r="V50" i="3" s="1"/>
  <c r="V32" i="3" s="1"/>
  <c r="W38" i="3"/>
  <c r="W65" i="3"/>
  <c r="Z20" i="3"/>
  <c r="Z63" i="3" s="1"/>
  <c r="V41" i="3"/>
  <c r="Y37" i="3"/>
  <c r="X59" i="3"/>
  <c r="X61" i="3" s="1"/>
  <c r="X64" i="3" s="1"/>
  <c r="Y59" i="3"/>
  <c r="Y61" i="3" s="1"/>
  <c r="Y64" i="3" s="1"/>
  <c r="AJ30" i="3"/>
  <c r="AL22" i="3"/>
  <c r="U65" i="3"/>
  <c r="U38" i="3"/>
  <c r="U48" i="3" s="1"/>
  <c r="U49" i="3" s="1"/>
  <c r="U50" i="3" s="1"/>
  <c r="U32" i="3" s="1"/>
  <c r="S61" i="3"/>
  <c r="T64" i="3"/>
  <c r="Z36" i="3"/>
  <c r="AA35" i="3" s="1"/>
  <c r="AA47" i="3" s="1"/>
  <c r="AA34" i="3"/>
  <c r="AL22" i="8" l="1"/>
  <c r="AJ30" i="8"/>
  <c r="X43" i="8"/>
  <c r="X56" i="8"/>
  <c r="Z53" i="8"/>
  <c r="Z43" i="8" s="1"/>
  <c r="R50" i="8"/>
  <c r="R32" i="8" s="1"/>
  <c r="R51" i="8"/>
  <c r="T43" i="8"/>
  <c r="T56" i="8"/>
  <c r="AA55" i="8"/>
  <c r="X52" i="8"/>
  <c r="X42" i="8" s="1"/>
  <c r="X44" i="8" s="1"/>
  <c r="P78" i="8"/>
  <c r="P100" i="8" s="1"/>
  <c r="P38" i="8"/>
  <c r="O40" i="8"/>
  <c r="P65" i="8"/>
  <c r="AD65" i="8"/>
  <c r="AC38" i="8"/>
  <c r="AB40" i="8"/>
  <c r="AD59" i="8"/>
  <c r="AD61" i="8" s="1"/>
  <c r="AD64" i="8" s="1"/>
  <c r="R75" i="8"/>
  <c r="R77" i="8" s="1"/>
  <c r="AA50" i="8"/>
  <c r="AA32" i="8" s="1"/>
  <c r="Q48" i="8"/>
  <c r="Q49" i="8" s="1"/>
  <c r="Q39" i="8"/>
  <c r="Q69" i="8" s="1"/>
  <c r="Q71" i="8" s="1"/>
  <c r="Q41" i="8"/>
  <c r="O64" i="8"/>
  <c r="N61" i="8"/>
  <c r="S53" i="8"/>
  <c r="S52" i="8"/>
  <c r="S42" i="8" s="1"/>
  <c r="Q94" i="8"/>
  <c r="Q96" i="8" s="1"/>
  <c r="T52" i="8"/>
  <c r="T42" i="8" s="1"/>
  <c r="AB55" i="8"/>
  <c r="AF36" i="8"/>
  <c r="AG35" i="8" s="1"/>
  <c r="AG34" i="8"/>
  <c r="AF37" i="8"/>
  <c r="AF47" i="8"/>
  <c r="Y43" i="8"/>
  <c r="Y44" i="8" s="1"/>
  <c r="Y56" i="8"/>
  <c r="AE37" i="8"/>
  <c r="AF20" i="8"/>
  <c r="AE63" i="8"/>
  <c r="AB39" i="8"/>
  <c r="AB48" i="8"/>
  <c r="AB49" i="8" s="1"/>
  <c r="AB41" i="8"/>
  <c r="S89" i="8"/>
  <c r="R88" i="8"/>
  <c r="Z56" i="8"/>
  <c r="AJ30" i="7"/>
  <c r="AL22" i="7"/>
  <c r="AD63" i="6"/>
  <c r="AE20" i="6"/>
  <c r="R50" i="6"/>
  <c r="R32" i="6" s="1"/>
  <c r="R51" i="6"/>
  <c r="AO23" i="6"/>
  <c r="R75" i="6"/>
  <c r="R77" i="6" s="1"/>
  <c r="Q94" i="6"/>
  <c r="Q96" i="6" s="1"/>
  <c r="Q55" i="6"/>
  <c r="S89" i="6"/>
  <c r="R88" i="6"/>
  <c r="Q48" i="6"/>
  <c r="Q49" i="6" s="1"/>
  <c r="Q39" i="6"/>
  <c r="Q69" i="6" s="1"/>
  <c r="Q71" i="6" s="1"/>
  <c r="Q41" i="6"/>
  <c r="O64" i="6"/>
  <c r="N61" i="6"/>
  <c r="W43" i="6"/>
  <c r="W44" i="6" s="1"/>
  <c r="W56" i="6"/>
  <c r="AA48" i="6"/>
  <c r="AA49" i="6" s="1"/>
  <c r="AA39" i="6"/>
  <c r="T53" i="6"/>
  <c r="AB38" i="6"/>
  <c r="AA40" i="6"/>
  <c r="Y51" i="6"/>
  <c r="AF34" i="6"/>
  <c r="AE47" i="6"/>
  <c r="AE36" i="6"/>
  <c r="AF35" i="6" s="1"/>
  <c r="X53" i="6"/>
  <c r="AD37" i="6"/>
  <c r="V44" i="6"/>
  <c r="AB65" i="6"/>
  <c r="Z50" i="6"/>
  <c r="Z32" i="6" s="1"/>
  <c r="P78" i="6"/>
  <c r="P100" i="6" s="1"/>
  <c r="P38" i="6"/>
  <c r="P65" i="6"/>
  <c r="P55" i="6" s="1"/>
  <c r="AN22" i="6"/>
  <c r="AM30" i="6" s="1"/>
  <c r="AC38" i="6"/>
  <c r="AB40" i="6"/>
  <c r="S51" i="6"/>
  <c r="S51" i="5"/>
  <c r="S89" i="5"/>
  <c r="R88" i="5"/>
  <c r="AD59" i="5"/>
  <c r="AD61" i="5" s="1"/>
  <c r="AD64" i="5" s="1"/>
  <c r="AD65" i="5" s="1"/>
  <c r="U43" i="5"/>
  <c r="U44" i="5" s="1"/>
  <c r="U56" i="5"/>
  <c r="X44" i="5"/>
  <c r="Q94" i="5"/>
  <c r="Q96" i="5" s="1"/>
  <c r="R75" i="5"/>
  <c r="R77" i="5" s="1"/>
  <c r="AB50" i="5"/>
  <c r="AB32" i="5" s="1"/>
  <c r="AB55" i="5"/>
  <c r="AB40" i="5"/>
  <c r="AB41" i="5" s="1"/>
  <c r="AC38" i="5"/>
  <c r="Z51" i="5"/>
  <c r="P38" i="5"/>
  <c r="P78" i="5"/>
  <c r="P100" i="5" s="1"/>
  <c r="O40" i="5"/>
  <c r="P65" i="5"/>
  <c r="P55" i="5" s="1"/>
  <c r="Q55" i="5"/>
  <c r="AP23" i="5"/>
  <c r="AN30" i="5"/>
  <c r="AE63" i="5"/>
  <c r="AF20" i="5"/>
  <c r="T43" i="5"/>
  <c r="T44" i="5" s="1"/>
  <c r="T56" i="5"/>
  <c r="Q39" i="5"/>
  <c r="Q69" i="5" s="1"/>
  <c r="Q71" i="5" s="1"/>
  <c r="Q48" i="5"/>
  <c r="Q49" i="5" s="1"/>
  <c r="S53" i="5"/>
  <c r="S52" i="5" s="1"/>
  <c r="S42" i="5" s="1"/>
  <c r="R50" i="5"/>
  <c r="R32" i="5" s="1"/>
  <c r="R51" i="5"/>
  <c r="O64" i="5"/>
  <c r="N61" i="5"/>
  <c r="AE59" i="5"/>
  <c r="AE61" i="5" s="1"/>
  <c r="AE64" i="5" s="1"/>
  <c r="AA51" i="5"/>
  <c r="AF36" i="5"/>
  <c r="AG35" i="5" s="1"/>
  <c r="AG34" i="5"/>
  <c r="AF47" i="5"/>
  <c r="V44" i="4"/>
  <c r="R41" i="4"/>
  <c r="U56" i="4"/>
  <c r="U43" i="4"/>
  <c r="S89" i="4"/>
  <c r="R88" i="4"/>
  <c r="Z53" i="4"/>
  <c r="Z52" i="4" s="1"/>
  <c r="Z42" i="4" s="1"/>
  <c r="AB55" i="4"/>
  <c r="AA55" i="4"/>
  <c r="R50" i="4"/>
  <c r="R32" i="4" s="1"/>
  <c r="R51" i="4"/>
  <c r="P78" i="4"/>
  <c r="P100" i="4" s="1"/>
  <c r="P38" i="4"/>
  <c r="O40" i="4"/>
  <c r="P65" i="4"/>
  <c r="AF20" i="4"/>
  <c r="AE63" i="4"/>
  <c r="AC39" i="4"/>
  <c r="AC48" i="4"/>
  <c r="AC49" i="4" s="1"/>
  <c r="R75" i="4"/>
  <c r="R77" i="4" s="1"/>
  <c r="AE37" i="4"/>
  <c r="Q48" i="4"/>
  <c r="Q49" i="4" s="1"/>
  <c r="Q39" i="4"/>
  <c r="Q69" i="4" s="1"/>
  <c r="Q71" i="4" s="1"/>
  <c r="Q41" i="4"/>
  <c r="AD59" i="4"/>
  <c r="AD61" i="4" s="1"/>
  <c r="AD64" i="4" s="1"/>
  <c r="O64" i="4"/>
  <c r="N61" i="4"/>
  <c r="U52" i="4"/>
  <c r="U42" i="4" s="1"/>
  <c r="U44" i="4" s="1"/>
  <c r="AD65" i="4"/>
  <c r="AA51" i="4"/>
  <c r="AB39" i="4"/>
  <c r="AB41" i="4" s="1"/>
  <c r="AB48" i="4"/>
  <c r="AB49" i="4" s="1"/>
  <c r="T53" i="4"/>
  <c r="AF47" i="4"/>
  <c r="AG34" i="4"/>
  <c r="AF36" i="4"/>
  <c r="AG35" i="4" s="1"/>
  <c r="P40" i="4"/>
  <c r="W44" i="4"/>
  <c r="AL30" i="4"/>
  <c r="AN22" i="4"/>
  <c r="Y43" i="4"/>
  <c r="Y44" i="4" s="1"/>
  <c r="Y56" i="4"/>
  <c r="Q94" i="4"/>
  <c r="Q96" i="4" s="1"/>
  <c r="Q55" i="4"/>
  <c r="S51" i="4"/>
  <c r="X43" i="4"/>
  <c r="X44" i="4" s="1"/>
  <c r="X56" i="4"/>
  <c r="X40" i="3"/>
  <c r="Y38" i="3"/>
  <c r="X38" i="3"/>
  <c r="W40" i="3"/>
  <c r="X65" i="3"/>
  <c r="Y65" i="3"/>
  <c r="W39" i="3"/>
  <c r="W48" i="3"/>
  <c r="W49" i="3" s="1"/>
  <c r="W50" i="3" s="1"/>
  <c r="W32" i="3" s="1"/>
  <c r="W41" i="3"/>
  <c r="U39" i="3"/>
  <c r="U41" i="3" s="1"/>
  <c r="Z37" i="3"/>
  <c r="T65" i="3"/>
  <c r="T38" i="3"/>
  <c r="R61" i="3"/>
  <c r="S64" i="3"/>
  <c r="T40" i="3"/>
  <c r="AK30" i="3"/>
  <c r="AM22" i="3"/>
  <c r="AA20" i="3"/>
  <c r="AA63" i="3" s="1"/>
  <c r="AB34" i="3"/>
  <c r="AA36" i="3"/>
  <c r="AB35" i="3" s="1"/>
  <c r="AB47" i="3" s="1"/>
  <c r="AC55" i="8" l="1"/>
  <c r="O78" i="8"/>
  <c r="O100" i="8" s="1"/>
  <c r="O38" i="8"/>
  <c r="O65" i="8"/>
  <c r="AG20" i="8"/>
  <c r="AF63" i="8"/>
  <c r="AF65" i="8" s="1"/>
  <c r="Q50" i="8"/>
  <c r="Q32" i="8" s="1"/>
  <c r="Q51" i="8"/>
  <c r="R79" i="8"/>
  <c r="R98" i="8"/>
  <c r="R99" i="8" s="1"/>
  <c r="R101" i="8" s="1"/>
  <c r="P94" i="8"/>
  <c r="P96" i="8" s="1"/>
  <c r="O55" i="8"/>
  <c r="S44" i="8"/>
  <c r="N64" i="8"/>
  <c r="M61" i="8"/>
  <c r="Q75" i="8"/>
  <c r="Q77" i="8" s="1"/>
  <c r="Q79" i="8" s="1"/>
  <c r="AA51" i="8"/>
  <c r="AF59" i="8"/>
  <c r="AF61" i="8" s="1"/>
  <c r="AF64" i="8" s="1"/>
  <c r="Z52" i="8"/>
  <c r="Z42" i="8" s="1"/>
  <c r="Z44" i="8" s="1"/>
  <c r="AH34" i="8"/>
  <c r="AG36" i="8"/>
  <c r="AH35" i="8" s="1"/>
  <c r="AG47" i="8"/>
  <c r="T44" i="8"/>
  <c r="R89" i="8"/>
  <c r="Q88" i="8"/>
  <c r="P48" i="8"/>
  <c r="P49" i="8" s="1"/>
  <c r="P39" i="8"/>
  <c r="P69" i="8" s="1"/>
  <c r="P71" i="8" s="1"/>
  <c r="P41" i="8"/>
  <c r="S43" i="8"/>
  <c r="S56" i="8"/>
  <c r="AB50" i="8"/>
  <c r="AB32" i="8" s="1"/>
  <c r="AE59" i="8"/>
  <c r="AE61" i="8" s="1"/>
  <c r="AE64" i="8" s="1"/>
  <c r="AE65" i="8" s="1"/>
  <c r="R93" i="8"/>
  <c r="R97" i="8" s="1"/>
  <c r="R53" i="8"/>
  <c r="R52" i="8"/>
  <c r="R42" i="8" s="1"/>
  <c r="AC40" i="8"/>
  <c r="AD38" i="8"/>
  <c r="AK30" i="8"/>
  <c r="AM22" i="8"/>
  <c r="P55" i="8"/>
  <c r="AC39" i="8"/>
  <c r="AC48" i="8"/>
  <c r="AC49" i="8" s="1"/>
  <c r="AC41" i="8"/>
  <c r="AK30" i="7"/>
  <c r="AM22" i="7"/>
  <c r="AA41" i="6"/>
  <c r="N64" i="6"/>
  <c r="N40" i="6" s="1"/>
  <c r="M61" i="6"/>
  <c r="Q75" i="6"/>
  <c r="Q77" i="6" s="1"/>
  <c r="Q79" i="6" s="1"/>
  <c r="Q50" i="6"/>
  <c r="Q32" i="6" s="1"/>
  <c r="T43" i="6"/>
  <c r="T56" i="6"/>
  <c r="S53" i="6"/>
  <c r="AD59" i="6"/>
  <c r="AD61" i="6" s="1"/>
  <c r="AD64" i="6" s="1"/>
  <c r="AG34" i="6"/>
  <c r="AF36" i="6"/>
  <c r="AG35" i="6" s="1"/>
  <c r="AF37" i="6"/>
  <c r="AF47" i="6"/>
  <c r="AC39" i="6"/>
  <c r="AC48" i="6"/>
  <c r="AC49" i="6" s="1"/>
  <c r="AO22" i="6"/>
  <c r="AN30" i="6" s="1"/>
  <c r="P94" i="6"/>
  <c r="P96" i="6" s="1"/>
  <c r="P39" i="6"/>
  <c r="P69" i="6" s="1"/>
  <c r="P71" i="6" s="1"/>
  <c r="P48" i="6"/>
  <c r="P49" i="6" s="1"/>
  <c r="P41" i="6"/>
  <c r="AA50" i="6"/>
  <c r="AA32" i="6" s="1"/>
  <c r="AA51" i="6"/>
  <c r="AA55" i="6"/>
  <c r="O78" i="6"/>
  <c r="O100" i="6" s="1"/>
  <c r="O38" i="6"/>
  <c r="O65" i="6"/>
  <c r="O55" i="6" s="1"/>
  <c r="R89" i="6"/>
  <c r="Q88" i="6"/>
  <c r="R79" i="6"/>
  <c r="R98" i="6"/>
  <c r="R99" i="6" s="1"/>
  <c r="R101" i="6" s="1"/>
  <c r="T52" i="6"/>
  <c r="T42" i="6" s="1"/>
  <c r="O40" i="6"/>
  <c r="R53" i="6"/>
  <c r="R52" i="6" s="1"/>
  <c r="R42" i="6" s="1"/>
  <c r="R93" i="6"/>
  <c r="R97" i="6" s="1"/>
  <c r="Z51" i="6"/>
  <c r="AE63" i="6"/>
  <c r="AF20" i="6"/>
  <c r="AB55" i="6"/>
  <c r="X43" i="6"/>
  <c r="X56" i="6"/>
  <c r="X52" i="6"/>
  <c r="X42" i="6" s="1"/>
  <c r="AE37" i="6"/>
  <c r="Y53" i="6"/>
  <c r="Y52" i="6" s="1"/>
  <c r="Y42" i="6" s="1"/>
  <c r="AB48" i="6"/>
  <c r="AB49" i="6" s="1"/>
  <c r="AB39" i="6"/>
  <c r="AB41" i="6"/>
  <c r="AP23" i="6"/>
  <c r="AE65" i="5"/>
  <c r="AC55" i="5"/>
  <c r="AF37" i="5"/>
  <c r="P94" i="5"/>
  <c r="P96" i="5" s="1"/>
  <c r="AF63" i="5"/>
  <c r="AG20" i="5"/>
  <c r="AD55" i="5"/>
  <c r="AG47" i="5"/>
  <c r="AH34" i="5"/>
  <c r="AG36" i="5"/>
  <c r="AH35" i="5" s="1"/>
  <c r="N64" i="5"/>
  <c r="M61" i="5"/>
  <c r="O78" i="5"/>
  <c r="O100" i="5" s="1"/>
  <c r="N40" i="5"/>
  <c r="O38" i="5"/>
  <c r="O65" i="5"/>
  <c r="O55" i="5" s="1"/>
  <c r="R53" i="5"/>
  <c r="R52" i="5" s="1"/>
  <c r="R42" i="5" s="1"/>
  <c r="R93" i="5"/>
  <c r="R97" i="5" s="1"/>
  <c r="AD38" i="5"/>
  <c r="AC40" i="5"/>
  <c r="AC41" i="5" s="1"/>
  <c r="Z53" i="5"/>
  <c r="AC48" i="5"/>
  <c r="AC49" i="5" s="1"/>
  <c r="AC39" i="5"/>
  <c r="R89" i="5"/>
  <c r="Q88" i="5"/>
  <c r="AB51" i="5"/>
  <c r="R98" i="5"/>
  <c r="R99" i="5" s="1"/>
  <c r="R101" i="5" s="1"/>
  <c r="R79" i="5"/>
  <c r="AO30" i="5"/>
  <c r="AQ23" i="5"/>
  <c r="AA53" i="5"/>
  <c r="AA52" i="5" s="1"/>
  <c r="AA42" i="5" s="1"/>
  <c r="AE38" i="5"/>
  <c r="AD40" i="5"/>
  <c r="P39" i="5"/>
  <c r="P69" i="5" s="1"/>
  <c r="P71" i="5" s="1"/>
  <c r="P48" i="5"/>
  <c r="P49" i="5" s="1"/>
  <c r="S43" i="5"/>
  <c r="S44" i="5" s="1"/>
  <c r="S56" i="5"/>
  <c r="Q41" i="5"/>
  <c r="Q50" i="5"/>
  <c r="Q32" i="5" s="1"/>
  <c r="O78" i="4"/>
  <c r="O100" i="4" s="1"/>
  <c r="O38" i="4"/>
  <c r="O65" i="4"/>
  <c r="P94" i="4"/>
  <c r="P96" i="4" s="1"/>
  <c r="O55" i="4"/>
  <c r="AD38" i="4"/>
  <c r="AC40" i="4"/>
  <c r="AC41" i="4" s="1"/>
  <c r="AG47" i="4"/>
  <c r="AG36" i="4"/>
  <c r="AH35" i="4" s="1"/>
  <c r="AH34" i="4"/>
  <c r="AG20" i="4"/>
  <c r="AF63" i="4"/>
  <c r="AC55" i="4"/>
  <c r="N64" i="4"/>
  <c r="N40" i="4" s="1"/>
  <c r="M61" i="4"/>
  <c r="AM30" i="4"/>
  <c r="AO22" i="4"/>
  <c r="R89" i="4"/>
  <c r="Q88" i="4"/>
  <c r="AB50" i="4"/>
  <c r="AB32" i="4" s="1"/>
  <c r="AA53" i="4"/>
  <c r="AA43" i="4" s="1"/>
  <c r="AA52" i="4"/>
  <c r="AA42" i="4" s="1"/>
  <c r="AA44" i="4" s="1"/>
  <c r="P39" i="4"/>
  <c r="P69" i="4" s="1"/>
  <c r="P71" i="4" s="1"/>
  <c r="P48" i="4"/>
  <c r="P49" i="4" s="1"/>
  <c r="P41" i="4"/>
  <c r="R93" i="4"/>
  <c r="R97" i="4" s="1"/>
  <c r="R53" i="4"/>
  <c r="R52" i="4" s="1"/>
  <c r="R42" i="4" s="1"/>
  <c r="Q75" i="4"/>
  <c r="Q77" i="4" s="1"/>
  <c r="Q79" i="4" s="1"/>
  <c r="Q50" i="4"/>
  <c r="Q32" i="4" s="1"/>
  <c r="Q51" i="4"/>
  <c r="AE59" i="4"/>
  <c r="AE61" i="4" s="1"/>
  <c r="AE64" i="4" s="1"/>
  <c r="T43" i="4"/>
  <c r="T56" i="4"/>
  <c r="S53" i="4"/>
  <c r="P55" i="4"/>
  <c r="Z43" i="4"/>
  <c r="Z44" i="4" s="1"/>
  <c r="Z56" i="4"/>
  <c r="R79" i="4"/>
  <c r="R98" i="4"/>
  <c r="R99" i="4" s="1"/>
  <c r="R101" i="4" s="1"/>
  <c r="AF37" i="4"/>
  <c r="T52" i="4"/>
  <c r="T42" i="4" s="1"/>
  <c r="AC50" i="4"/>
  <c r="AC32" i="4" s="1"/>
  <c r="AC51" i="4"/>
  <c r="X48" i="3"/>
  <c r="X49" i="3" s="1"/>
  <c r="X50" i="3" s="1"/>
  <c r="X32" i="3" s="1"/>
  <c r="X39" i="3"/>
  <c r="X41" i="3"/>
  <c r="T39" i="3"/>
  <c r="T48" i="3"/>
  <c r="T49" i="3" s="1"/>
  <c r="T50" i="3" s="1"/>
  <c r="T32" i="3" s="1"/>
  <c r="Y48" i="3"/>
  <c r="Y49" i="3" s="1"/>
  <c r="Y50" i="3" s="1"/>
  <c r="Y32" i="3" s="1"/>
  <c r="Y39" i="3"/>
  <c r="AL30" i="3"/>
  <c r="AN22" i="3"/>
  <c r="AA37" i="3"/>
  <c r="S65" i="3"/>
  <c r="S38" i="3"/>
  <c r="Q61" i="3"/>
  <c r="R64" i="3"/>
  <c r="R40" i="3" s="1"/>
  <c r="S40" i="3"/>
  <c r="T41" i="3"/>
  <c r="Z59" i="3"/>
  <c r="Z61" i="3" s="1"/>
  <c r="Z64" i="3" s="1"/>
  <c r="AB36" i="3"/>
  <c r="AC35" i="3" s="1"/>
  <c r="AC47" i="3" s="1"/>
  <c r="AC34" i="3"/>
  <c r="AB20" i="3"/>
  <c r="AB63" i="3" s="1"/>
  <c r="AD55" i="8" l="1"/>
  <c r="AB51" i="8"/>
  <c r="AC51" i="8"/>
  <c r="AC50" i="8"/>
  <c r="AC32" i="8" s="1"/>
  <c r="AL30" i="8"/>
  <c r="AN22" i="8"/>
  <c r="AG37" i="8"/>
  <c r="R43" i="8"/>
  <c r="R44" i="8" s="1"/>
  <c r="R56" i="8"/>
  <c r="O48" i="8"/>
  <c r="O49" i="8" s="1"/>
  <c r="O39" i="8"/>
  <c r="O69" i="8" s="1"/>
  <c r="O71" i="8" s="1"/>
  <c r="O41" i="8"/>
  <c r="M64" i="8"/>
  <c r="M40" i="8" s="1"/>
  <c r="L61" i="8"/>
  <c r="Q53" i="8"/>
  <c r="Q93" i="8"/>
  <c r="Q97" i="8" s="1"/>
  <c r="Q98" i="8" s="1"/>
  <c r="Q99" i="8" s="1"/>
  <c r="Q101" i="8" s="1"/>
  <c r="AD39" i="8"/>
  <c r="AD48" i="8"/>
  <c r="AD49" i="8" s="1"/>
  <c r="AE55" i="8"/>
  <c r="O94" i="8"/>
  <c r="O96" i="8" s="1"/>
  <c r="AF38" i="8"/>
  <c r="AE40" i="8"/>
  <c r="N38" i="8"/>
  <c r="N78" i="8"/>
  <c r="N100" i="8" s="1"/>
  <c r="N65" i="8"/>
  <c r="P75" i="8"/>
  <c r="P77" i="8" s="1"/>
  <c r="P79" i="8" s="1"/>
  <c r="P51" i="8"/>
  <c r="P50" i="8"/>
  <c r="P32" i="8" s="1"/>
  <c r="Q89" i="8"/>
  <c r="P88" i="8"/>
  <c r="AH47" i="8"/>
  <c r="AI34" i="8"/>
  <c r="AH36" i="8"/>
  <c r="AI35" i="8" s="1"/>
  <c r="AH20" i="8"/>
  <c r="AG63" i="8"/>
  <c r="N40" i="8"/>
  <c r="AD40" i="8"/>
  <c r="AD41" i="8" s="1"/>
  <c r="AE38" i="8"/>
  <c r="AA53" i="8"/>
  <c r="AA52" i="8"/>
  <c r="AA42" i="8" s="1"/>
  <c r="AL30" i="7"/>
  <c r="AN22" i="7"/>
  <c r="X44" i="6"/>
  <c r="AB50" i="6"/>
  <c r="AB32" i="6" s="1"/>
  <c r="AG47" i="6"/>
  <c r="AH34" i="6"/>
  <c r="AG36" i="6"/>
  <c r="AH35" i="6" s="1"/>
  <c r="S43" i="6"/>
  <c r="S56" i="6"/>
  <c r="P50" i="6"/>
  <c r="P32" i="6" s="1"/>
  <c r="R43" i="6"/>
  <c r="R44" i="6" s="1"/>
  <c r="R56" i="6"/>
  <c r="Q51" i="6"/>
  <c r="AF59" i="6"/>
  <c r="AF61" i="6" s="1"/>
  <c r="AF64" i="6" s="1"/>
  <c r="Q89" i="6"/>
  <c r="P88" i="6"/>
  <c r="O94" i="6"/>
  <c r="O96" i="6" s="1"/>
  <c r="AE59" i="6"/>
  <c r="AE61" i="6" s="1"/>
  <c r="AE64" i="6" s="1"/>
  <c r="P75" i="6"/>
  <c r="P77" i="6" s="1"/>
  <c r="P79" i="6" s="1"/>
  <c r="M64" i="6"/>
  <c r="M40" i="6" s="1"/>
  <c r="L61" i="6"/>
  <c r="Y43" i="6"/>
  <c r="Y44" i="6" s="1"/>
  <c r="Y56" i="6"/>
  <c r="O48" i="6"/>
  <c r="O49" i="6" s="1"/>
  <c r="O39" i="6"/>
  <c r="O69" i="6" s="1"/>
  <c r="O71" i="6" s="1"/>
  <c r="AD38" i="6"/>
  <c r="AC40" i="6"/>
  <c r="AC41" i="6" s="1"/>
  <c r="Z53" i="6"/>
  <c r="Z52" i="6" s="1"/>
  <c r="Z42" i="6" s="1"/>
  <c r="AQ23" i="6"/>
  <c r="N78" i="6"/>
  <c r="N100" i="6" s="1"/>
  <c r="N38" i="6"/>
  <c r="N65" i="6"/>
  <c r="AD65" i="6"/>
  <c r="AA53" i="6"/>
  <c r="AA43" i="6" s="1"/>
  <c r="AG20" i="6"/>
  <c r="AF63" i="6"/>
  <c r="S52" i="6"/>
  <c r="S42" i="6" s="1"/>
  <c r="S44" i="6" s="1"/>
  <c r="T44" i="6"/>
  <c r="AP22" i="6"/>
  <c r="AC50" i="6"/>
  <c r="AC32" i="6" s="1"/>
  <c r="P41" i="5"/>
  <c r="AG37" i="5"/>
  <c r="AH47" i="5"/>
  <c r="AH36" i="5"/>
  <c r="AI35" i="5" s="1"/>
  <c r="AI34" i="5"/>
  <c r="AH37" i="5"/>
  <c r="Z43" i="5"/>
  <c r="Z56" i="5"/>
  <c r="P75" i="5"/>
  <c r="P50" i="5"/>
  <c r="P32" i="5" s="1"/>
  <c r="P51" i="5"/>
  <c r="AF59" i="5"/>
  <c r="AF61" i="5" s="1"/>
  <c r="AF64" i="5" s="1"/>
  <c r="AB53" i="5"/>
  <c r="AB52" i="5" s="1"/>
  <c r="AB42" i="5" s="1"/>
  <c r="Q51" i="5"/>
  <c r="Q75" i="5"/>
  <c r="Q77" i="5" s="1"/>
  <c r="Q79" i="5" s="1"/>
  <c r="AC50" i="5"/>
  <c r="AC32" i="5" s="1"/>
  <c r="R43" i="5"/>
  <c r="R44" i="5" s="1"/>
  <c r="R56" i="5"/>
  <c r="O94" i="5"/>
  <c r="O96" i="5" s="1"/>
  <c r="O48" i="5"/>
  <c r="O49" i="5" s="1"/>
  <c r="O39" i="5"/>
  <c r="O69" i="5" s="1"/>
  <c r="O71" i="5" s="1"/>
  <c r="M64" i="5"/>
  <c r="M40" i="5" s="1"/>
  <c r="L61" i="5"/>
  <c r="Q89" i="5"/>
  <c r="P88" i="5"/>
  <c r="AG63" i="5"/>
  <c r="AH20" i="5"/>
  <c r="Z52" i="5"/>
  <c r="Z42" i="5" s="1"/>
  <c r="AD39" i="5"/>
  <c r="AD48" i="5"/>
  <c r="AD49" i="5" s="1"/>
  <c r="AD41" i="5"/>
  <c r="AE39" i="5"/>
  <c r="AE48" i="5"/>
  <c r="AE49" i="5" s="1"/>
  <c r="AA43" i="5"/>
  <c r="AA44" i="5" s="1"/>
  <c r="AA56" i="5"/>
  <c r="AP30" i="5"/>
  <c r="AR23" i="5"/>
  <c r="N78" i="5"/>
  <c r="N100" i="5" s="1"/>
  <c r="N38" i="5"/>
  <c r="N65" i="5"/>
  <c r="T44" i="4"/>
  <c r="AF59" i="4"/>
  <c r="AF61" i="4" s="1"/>
  <c r="AF64" i="4" s="1"/>
  <c r="AG37" i="4"/>
  <c r="AF65" i="4"/>
  <c r="P75" i="4"/>
  <c r="P77" i="4" s="1"/>
  <c r="P79" i="4" s="1"/>
  <c r="AD39" i="4"/>
  <c r="AD48" i="4"/>
  <c r="AD49" i="4" s="1"/>
  <c r="AB51" i="4"/>
  <c r="AD40" i="4"/>
  <c r="AD41" i="4" s="1"/>
  <c r="AE38" i="4"/>
  <c r="AC53" i="4"/>
  <c r="AC43" i="4" s="1"/>
  <c r="AG63" i="4"/>
  <c r="AH20" i="4"/>
  <c r="AH36" i="4"/>
  <c r="AI35" i="4" s="1"/>
  <c r="AH47" i="4"/>
  <c r="AI34" i="4"/>
  <c r="S43" i="4"/>
  <c r="S56" i="4"/>
  <c r="S52" i="4"/>
  <c r="S42" i="4" s="1"/>
  <c r="S44" i="4" s="1"/>
  <c r="AN30" i="4"/>
  <c r="AP22" i="4"/>
  <c r="R43" i="4"/>
  <c r="R44" i="4" s="1"/>
  <c r="R56" i="4"/>
  <c r="P50" i="4"/>
  <c r="P32" i="4" s="1"/>
  <c r="Q89" i="4"/>
  <c r="P88" i="4"/>
  <c r="AA56" i="4"/>
  <c r="O94" i="4"/>
  <c r="O96" i="4" s="1"/>
  <c r="O48" i="4"/>
  <c r="O49" i="4" s="1"/>
  <c r="O39" i="4"/>
  <c r="O69" i="4" s="1"/>
  <c r="O71" i="4" s="1"/>
  <c r="Q93" i="4"/>
  <c r="Q97" i="4" s="1"/>
  <c r="Q98" i="4" s="1"/>
  <c r="Q99" i="4" s="1"/>
  <c r="Q101" i="4" s="1"/>
  <c r="Q53" i="4"/>
  <c r="Q52" i="4" s="1"/>
  <c r="Q42" i="4" s="1"/>
  <c r="M64" i="4"/>
  <c r="L61" i="4"/>
  <c r="N78" i="4"/>
  <c r="N100" i="4" s="1"/>
  <c r="N38" i="4"/>
  <c r="M40" i="4"/>
  <c r="N65" i="4"/>
  <c r="AE65" i="4"/>
  <c r="S39" i="3"/>
  <c r="S48" i="3"/>
  <c r="S49" i="3" s="1"/>
  <c r="S50" i="3" s="1"/>
  <c r="S32" i="3" s="1"/>
  <c r="Y40" i="3"/>
  <c r="Y41" i="3" s="1"/>
  <c r="Z38" i="3"/>
  <c r="Z65" i="3"/>
  <c r="AC20" i="3"/>
  <c r="AC63" i="3" s="1"/>
  <c r="AB37" i="3"/>
  <c r="R65" i="3"/>
  <c r="R38" i="3"/>
  <c r="R48" i="3" s="1"/>
  <c r="R49" i="3" s="1"/>
  <c r="R50" i="3" s="1"/>
  <c r="R32" i="3" s="1"/>
  <c r="P61" i="3"/>
  <c r="Q64" i="3"/>
  <c r="S41" i="3"/>
  <c r="AA59" i="3"/>
  <c r="AA61" i="3" s="1"/>
  <c r="AA64" i="3" s="1"/>
  <c r="AM30" i="3"/>
  <c r="AO22" i="3"/>
  <c r="AC36" i="3"/>
  <c r="AD35" i="3" s="1"/>
  <c r="AD47" i="3" s="1"/>
  <c r="AD34" i="3"/>
  <c r="L64" i="8" l="1"/>
  <c r="K61" i="8"/>
  <c r="N94" i="8"/>
  <c r="N96" i="8" s="1"/>
  <c r="AA43" i="8"/>
  <c r="AA44" i="8" s="1"/>
  <c r="AA56" i="8"/>
  <c r="AE39" i="8"/>
  <c r="AE48" i="8"/>
  <c r="AE49" i="8" s="1"/>
  <c r="AE41" i="8"/>
  <c r="AG65" i="8"/>
  <c r="AH37" i="8"/>
  <c r="P93" i="8"/>
  <c r="P97" i="8" s="1"/>
  <c r="P98" i="8" s="1"/>
  <c r="P99" i="8" s="1"/>
  <c r="P101" i="8" s="1"/>
  <c r="P53" i="8"/>
  <c r="P52" i="8"/>
  <c r="P42" i="8" s="1"/>
  <c r="O75" i="8"/>
  <c r="O77" i="8" s="1"/>
  <c r="O79" i="8" s="1"/>
  <c r="O51" i="8"/>
  <c r="O50" i="8"/>
  <c r="O32" i="8" s="1"/>
  <c r="AF39" i="8"/>
  <c r="AF48" i="8"/>
  <c r="AF49" i="8" s="1"/>
  <c r="AM30" i="8"/>
  <c r="AO22" i="8"/>
  <c r="AC53" i="8"/>
  <c r="P89" i="8"/>
  <c r="O88" i="8"/>
  <c r="Q43" i="8"/>
  <c r="Q56" i="8"/>
  <c r="L40" i="8"/>
  <c r="M38" i="8"/>
  <c r="M78" i="8"/>
  <c r="M100" i="8" s="1"/>
  <c r="M65" i="8"/>
  <c r="N48" i="8"/>
  <c r="N49" i="8" s="1"/>
  <c r="N39" i="8"/>
  <c r="N69" i="8" s="1"/>
  <c r="N71" i="8" s="1"/>
  <c r="N41" i="8"/>
  <c r="AG59" i="8"/>
  <c r="AG61" i="8" s="1"/>
  <c r="AG64" i="8" s="1"/>
  <c r="N55" i="8"/>
  <c r="AH63" i="8"/>
  <c r="AI20" i="8"/>
  <c r="AI36" i="8"/>
  <c r="AJ35" i="8" s="1"/>
  <c r="AJ34" i="8"/>
  <c r="AI37" i="8"/>
  <c r="AI47" i="8"/>
  <c r="AD50" i="8"/>
  <c r="AD32" i="8" s="1"/>
  <c r="AB53" i="8"/>
  <c r="Q52" i="8"/>
  <c r="Q42" i="8" s="1"/>
  <c r="Q44" i="8" s="1"/>
  <c r="AM30" i="7"/>
  <c r="AO22" i="7"/>
  <c r="O41" i="6"/>
  <c r="AA56" i="6"/>
  <c r="AC51" i="6"/>
  <c r="AC55" i="6"/>
  <c r="AD40" i="6"/>
  <c r="AE38" i="6"/>
  <c r="AG37" i="6"/>
  <c r="AH20" i="6"/>
  <c r="AG63" i="6"/>
  <c r="AD39" i="6"/>
  <c r="AD48" i="6"/>
  <c r="AD49" i="6" s="1"/>
  <c r="AD41" i="6"/>
  <c r="AF65" i="6"/>
  <c r="AA52" i="6"/>
  <c r="AA42" i="6" s="1"/>
  <c r="AA44" i="6" s="1"/>
  <c r="AQ22" i="6"/>
  <c r="Q53" i="6"/>
  <c r="Q93" i="6"/>
  <c r="Q97" i="6" s="1"/>
  <c r="Q98" i="6" s="1"/>
  <c r="Q99" i="6" s="1"/>
  <c r="Q101" i="6" s="1"/>
  <c r="P89" i="6"/>
  <c r="O88" i="6"/>
  <c r="AE40" i="6"/>
  <c r="AF38" i="6"/>
  <c r="P51" i="6"/>
  <c r="N94" i="6"/>
  <c r="N96" i="6" s="1"/>
  <c r="N39" i="6"/>
  <c r="N69" i="6" s="1"/>
  <c r="N71" i="6" s="1"/>
  <c r="N48" i="6"/>
  <c r="N49" i="6" s="1"/>
  <c r="N41" i="6"/>
  <c r="AR23" i="6"/>
  <c r="O75" i="6"/>
  <c r="O77" i="6" s="1"/>
  <c r="O79" i="6" s="1"/>
  <c r="O50" i="6"/>
  <c r="O32" i="6" s="1"/>
  <c r="AH36" i="6"/>
  <c r="AI35" i="6" s="1"/>
  <c r="AH47" i="6"/>
  <c r="AI34" i="6"/>
  <c r="AH37" i="6"/>
  <c r="AO30" i="6"/>
  <c r="N55" i="6"/>
  <c r="AC53" i="6"/>
  <c r="AC43" i="6" s="1"/>
  <c r="L64" i="6"/>
  <c r="K61" i="6"/>
  <c r="L40" i="6"/>
  <c r="M38" i="6"/>
  <c r="M78" i="6"/>
  <c r="M100" i="6" s="1"/>
  <c r="M65" i="6"/>
  <c r="AB51" i="6"/>
  <c r="Z43" i="6"/>
  <c r="Z44" i="6" s="1"/>
  <c r="Z56" i="6"/>
  <c r="AE65" i="6"/>
  <c r="O41" i="5"/>
  <c r="AC51" i="5"/>
  <c r="P89" i="5"/>
  <c r="O88" i="5"/>
  <c r="L64" i="5"/>
  <c r="K61" i="5"/>
  <c r="L40" i="5"/>
  <c r="M78" i="5"/>
  <c r="M100" i="5" s="1"/>
  <c r="M38" i="5"/>
  <c r="M65" i="5"/>
  <c r="P93" i="5"/>
  <c r="P97" i="5" s="1"/>
  <c r="P53" i="5"/>
  <c r="P52" i="5" s="1"/>
  <c r="P42" i="5" s="1"/>
  <c r="AS23" i="5"/>
  <c r="AQ30" i="5"/>
  <c r="O50" i="5"/>
  <c r="O32" i="5" s="1"/>
  <c r="N94" i="5"/>
  <c r="N96" i="5" s="1"/>
  <c r="M55" i="5"/>
  <c r="AB43" i="5"/>
  <c r="AB44" i="5" s="1"/>
  <c r="AB56" i="5"/>
  <c r="N55" i="5"/>
  <c r="AE50" i="5"/>
  <c r="AE32" i="5" s="1"/>
  <c r="AH59" i="5"/>
  <c r="AH61" i="5" s="1"/>
  <c r="AH64" i="5" s="1"/>
  <c r="AC53" i="5"/>
  <c r="AC52" i="5"/>
  <c r="AC42" i="5" s="1"/>
  <c r="AH63" i="5"/>
  <c r="AI20" i="5"/>
  <c r="N39" i="5"/>
  <c r="N69" i="5" s="1"/>
  <c r="N71" i="5" s="1"/>
  <c r="N48" i="5"/>
  <c r="N49" i="5" s="1"/>
  <c r="N41" i="5"/>
  <c r="Q93" i="5"/>
  <c r="Q97" i="5" s="1"/>
  <c r="Q98" i="5" s="1"/>
  <c r="Q99" i="5" s="1"/>
  <c r="Q101" i="5" s="1"/>
  <c r="Q53" i="5"/>
  <c r="AF38" i="5"/>
  <c r="AE40" i="5"/>
  <c r="AE41" i="5" s="1"/>
  <c r="O75" i="5"/>
  <c r="P77" i="5"/>
  <c r="P79" i="5" s="1"/>
  <c r="AD50" i="5"/>
  <c r="AD32" i="5" s="1"/>
  <c r="AF65" i="5"/>
  <c r="AI47" i="5"/>
  <c r="AI36" i="5"/>
  <c r="AJ35" i="5" s="1"/>
  <c r="AJ34" i="5"/>
  <c r="Z44" i="5"/>
  <c r="AG59" i="5"/>
  <c r="AG61" i="5" s="1"/>
  <c r="AG64" i="5" s="1"/>
  <c r="O41" i="4"/>
  <c r="AI36" i="4"/>
  <c r="AJ35" i="4" s="1"/>
  <c r="AI47" i="4"/>
  <c r="AI37" i="4"/>
  <c r="AJ34" i="4"/>
  <c r="AE48" i="4"/>
  <c r="AE49" i="4" s="1"/>
  <c r="AE39" i="4"/>
  <c r="N94" i="4"/>
  <c r="N96" i="4" s="1"/>
  <c r="N39" i="4"/>
  <c r="N69" i="4" s="1"/>
  <c r="N71" i="4" s="1"/>
  <c r="N48" i="4"/>
  <c r="N49" i="4" s="1"/>
  <c r="N41" i="4"/>
  <c r="P89" i="4"/>
  <c r="O88" i="4"/>
  <c r="AO30" i="4"/>
  <c r="AQ22" i="4"/>
  <c r="AD55" i="4"/>
  <c r="P51" i="4"/>
  <c r="AD50" i="4"/>
  <c r="AD32" i="4" s="1"/>
  <c r="AC52" i="4"/>
  <c r="AC42" i="4" s="1"/>
  <c r="AC44" i="4" s="1"/>
  <c r="AE55" i="4"/>
  <c r="AH37" i="4"/>
  <c r="AE40" i="4"/>
  <c r="AF38" i="4"/>
  <c r="AH63" i="4"/>
  <c r="AI20" i="4"/>
  <c r="AC56" i="4"/>
  <c r="AB53" i="4"/>
  <c r="AB52" i="4" s="1"/>
  <c r="AB42" i="4" s="1"/>
  <c r="L64" i="4"/>
  <c r="K61" i="4"/>
  <c r="M38" i="4"/>
  <c r="M78" i="4"/>
  <c r="M100" i="4" s="1"/>
  <c r="M65" i="4"/>
  <c r="M55" i="4" s="1"/>
  <c r="Q43" i="4"/>
  <c r="Q44" i="4" s="1"/>
  <c r="Q56" i="4"/>
  <c r="O75" i="4"/>
  <c r="O77" i="4" s="1"/>
  <c r="O79" i="4" s="1"/>
  <c r="AG59" i="4"/>
  <c r="AG61" i="4" s="1"/>
  <c r="AG64" i="4" s="1"/>
  <c r="AG65" i="4" s="1"/>
  <c r="O50" i="4"/>
  <c r="O32" i="4" s="1"/>
  <c r="N55" i="4"/>
  <c r="Z40" i="3"/>
  <c r="AA38" i="3"/>
  <c r="AA65" i="3"/>
  <c r="Z39" i="3"/>
  <c r="Z48" i="3"/>
  <c r="Z49" i="3" s="1"/>
  <c r="Z50" i="3" s="1"/>
  <c r="Z32" i="3" s="1"/>
  <c r="Z41" i="3"/>
  <c r="R39" i="3"/>
  <c r="R41" i="3" s="1"/>
  <c r="AP22" i="3"/>
  <c r="AN30" i="3"/>
  <c r="Q65" i="3"/>
  <c r="Q38" i="3"/>
  <c r="O61" i="3"/>
  <c r="P64" i="3"/>
  <c r="Q40" i="3"/>
  <c r="AB59" i="3"/>
  <c r="AB61" i="3" s="1"/>
  <c r="AB64" i="3" s="1"/>
  <c r="AE34" i="3"/>
  <c r="AD36" i="3"/>
  <c r="AE35" i="3" s="1"/>
  <c r="AE47" i="3" s="1"/>
  <c r="AC37" i="3"/>
  <c r="AD20" i="3"/>
  <c r="AD51" i="8" l="1"/>
  <c r="AJ36" i="8"/>
  <c r="AK35" i="8" s="1"/>
  <c r="AJ37" i="8"/>
  <c r="AK34" i="8"/>
  <c r="AJ47" i="8"/>
  <c r="M55" i="8"/>
  <c r="N75" i="8"/>
  <c r="N77" i="8" s="1"/>
  <c r="N79" i="8" s="1"/>
  <c r="P43" i="8"/>
  <c r="P44" i="8" s="1"/>
  <c r="P56" i="8"/>
  <c r="M48" i="8"/>
  <c r="M49" i="8" s="1"/>
  <c r="M39" i="8"/>
  <c r="M69" i="8" s="1"/>
  <c r="M71" i="8" s="1"/>
  <c r="M41" i="8"/>
  <c r="AF55" i="8"/>
  <c r="AE50" i="8"/>
  <c r="AE32" i="8" s="1"/>
  <c r="AI59" i="8"/>
  <c r="AI61" i="8" s="1"/>
  <c r="AI64" i="8" s="1"/>
  <c r="AN30" i="8"/>
  <c r="AP22" i="8"/>
  <c r="AI63" i="8"/>
  <c r="AI65" i="8" s="1"/>
  <c r="AJ20" i="8"/>
  <c r="AF40" i="8"/>
  <c r="AF41" i="8" s="1"/>
  <c r="AG38" i="8"/>
  <c r="L38" i="8"/>
  <c r="L78" i="8"/>
  <c r="L100" i="8" s="1"/>
  <c r="L65" i="8"/>
  <c r="O93" i="8"/>
  <c r="O97" i="8" s="1"/>
  <c r="O98" i="8" s="1"/>
  <c r="O99" i="8" s="1"/>
  <c r="O101" i="8" s="1"/>
  <c r="O53" i="8"/>
  <c r="O52" i="8" s="1"/>
  <c r="O42" i="8" s="1"/>
  <c r="N50" i="8"/>
  <c r="N32" i="8" s="1"/>
  <c r="M94" i="8"/>
  <c r="M96" i="8" s="1"/>
  <c r="AB43" i="8"/>
  <c r="AB56" i="8"/>
  <c r="AB52" i="8"/>
  <c r="AB42" i="8" s="1"/>
  <c r="AB44" i="8" s="1"/>
  <c r="AH59" i="8"/>
  <c r="AH61" i="8" s="1"/>
  <c r="AH64" i="8" s="1"/>
  <c r="O89" i="8"/>
  <c r="N88" i="8"/>
  <c r="AC43" i="8"/>
  <c r="AC56" i="8"/>
  <c r="AC52" i="8"/>
  <c r="AC42" i="8" s="1"/>
  <c r="AC44" i="8" s="1"/>
  <c r="AH65" i="8"/>
  <c r="AF50" i="8"/>
  <c r="AF32" i="8" s="1"/>
  <c r="AF51" i="8"/>
  <c r="K64" i="8"/>
  <c r="J61" i="8"/>
  <c r="AN30" i="7"/>
  <c r="AP22" i="7"/>
  <c r="AC52" i="6"/>
  <c r="AC42" i="6" s="1"/>
  <c r="AC44" i="6" s="1"/>
  <c r="O89" i="6"/>
  <c r="N88" i="6"/>
  <c r="Q43" i="6"/>
  <c r="Q56" i="6"/>
  <c r="O51" i="6"/>
  <c r="AB53" i="6"/>
  <c r="N75" i="6"/>
  <c r="N77" i="6" s="1"/>
  <c r="N79" i="6" s="1"/>
  <c r="AH63" i="6"/>
  <c r="AI20" i="6"/>
  <c r="M55" i="6"/>
  <c r="AG59" i="6"/>
  <c r="AG61" i="6" s="1"/>
  <c r="AG64" i="6" s="1"/>
  <c r="AD55" i="6"/>
  <c r="AH59" i="6"/>
  <c r="AH61" i="6" s="1"/>
  <c r="AH64" i="6" s="1"/>
  <c r="AD50" i="6"/>
  <c r="AD32" i="6" s="1"/>
  <c r="P53" i="6"/>
  <c r="P52" i="6" s="1"/>
  <c r="P42" i="6" s="1"/>
  <c r="P93" i="6"/>
  <c r="P97" i="6" s="1"/>
  <c r="P98" i="6" s="1"/>
  <c r="P99" i="6" s="1"/>
  <c r="P101" i="6" s="1"/>
  <c r="AI47" i="6"/>
  <c r="AI36" i="6"/>
  <c r="AJ35" i="6" s="1"/>
  <c r="AJ34" i="6"/>
  <c r="AR22" i="6"/>
  <c r="AE55" i="6"/>
  <c r="M39" i="6"/>
  <c r="M69" i="6" s="1"/>
  <c r="M71" i="6" s="1"/>
  <c r="M48" i="6"/>
  <c r="M49" i="6" s="1"/>
  <c r="M41" i="6"/>
  <c r="K64" i="6"/>
  <c r="J61" i="6"/>
  <c r="AF39" i="6"/>
  <c r="AF48" i="6"/>
  <c r="AF49" i="6" s="1"/>
  <c r="Q52" i="6"/>
  <c r="Q42" i="6" s="1"/>
  <c r="Q44" i="6" s="1"/>
  <c r="M94" i="6"/>
  <c r="M96" i="6" s="1"/>
  <c r="AP30" i="6"/>
  <c r="AS23" i="6"/>
  <c r="N50" i="6"/>
  <c r="N32" i="6" s="1"/>
  <c r="L38" i="6"/>
  <c r="L78" i="6"/>
  <c r="L100" i="6" s="1"/>
  <c r="L65" i="6"/>
  <c r="AE39" i="6"/>
  <c r="AE41" i="6" s="1"/>
  <c r="AE48" i="6"/>
  <c r="AE49" i="6" s="1"/>
  <c r="AC56" i="6"/>
  <c r="AD51" i="5"/>
  <c r="AH65" i="5"/>
  <c r="AE51" i="5"/>
  <c r="Q43" i="5"/>
  <c r="Q56" i="5"/>
  <c r="AG38" i="5"/>
  <c r="AF40" i="5"/>
  <c r="AR30" i="5"/>
  <c r="AT23" i="5"/>
  <c r="N75" i="5"/>
  <c r="N50" i="5"/>
  <c r="N32" i="5" s="1"/>
  <c r="O51" i="5"/>
  <c r="AJ36" i="5"/>
  <c r="AK35" i="5" s="1"/>
  <c r="AK34" i="5"/>
  <c r="AJ47" i="5"/>
  <c r="P43" i="5"/>
  <c r="P44" i="5" s="1"/>
  <c r="P56" i="5"/>
  <c r="AE55" i="5"/>
  <c r="AE53" i="5" s="1"/>
  <c r="AE43" i="5" s="1"/>
  <c r="AC43" i="5"/>
  <c r="AC44" i="5" s="1"/>
  <c r="AC56" i="5"/>
  <c r="AG40" i="5"/>
  <c r="AH38" i="5"/>
  <c r="O89" i="5"/>
  <c r="N88" i="5"/>
  <c r="Q52" i="5"/>
  <c r="Q42" i="5" s="1"/>
  <c r="Q44" i="5" s="1"/>
  <c r="AG65" i="5"/>
  <c r="AJ20" i="5"/>
  <c r="AI63" i="5"/>
  <c r="AI37" i="5"/>
  <c r="P98" i="5"/>
  <c r="P99" i="5" s="1"/>
  <c r="P101" i="5" s="1"/>
  <c r="AD53" i="5"/>
  <c r="M94" i="5"/>
  <c r="M96" i="5" s="1"/>
  <c r="M39" i="5"/>
  <c r="M69" i="5" s="1"/>
  <c r="M71" i="5" s="1"/>
  <c r="M48" i="5"/>
  <c r="M49" i="5" s="1"/>
  <c r="M41" i="5"/>
  <c r="K64" i="5"/>
  <c r="K40" i="5" s="1"/>
  <c r="J61" i="5"/>
  <c r="L38" i="5"/>
  <c r="L78" i="5"/>
  <c r="L100" i="5" s="1"/>
  <c r="L65" i="5"/>
  <c r="O77" i="5"/>
  <c r="O79" i="5" s="1"/>
  <c r="AF39" i="5"/>
  <c r="AF48" i="5"/>
  <c r="AF49" i="5" s="1"/>
  <c r="AD51" i="4"/>
  <c r="AE41" i="4"/>
  <c r="AF55" i="4"/>
  <c r="N75" i="4"/>
  <c r="N77" i="4" s="1"/>
  <c r="N79" i="4" s="1"/>
  <c r="AF48" i="4"/>
  <c r="AF49" i="4" s="1"/>
  <c r="AF39" i="4"/>
  <c r="O51" i="4"/>
  <c r="AP30" i="4"/>
  <c r="AR22" i="4"/>
  <c r="K64" i="4"/>
  <c r="J61" i="4"/>
  <c r="O89" i="4"/>
  <c r="N88" i="4"/>
  <c r="AH59" i="4"/>
  <c r="AH61" i="4" s="1"/>
  <c r="AH64" i="4" s="1"/>
  <c r="AH65" i="4" s="1"/>
  <c r="M94" i="4"/>
  <c r="M96" i="4" s="1"/>
  <c r="M39" i="4"/>
  <c r="M69" i="4" s="1"/>
  <c r="M71" i="4" s="1"/>
  <c r="M48" i="4"/>
  <c r="M49" i="4" s="1"/>
  <c r="M41" i="4"/>
  <c r="L78" i="4"/>
  <c r="L100" i="4" s="1"/>
  <c r="L38" i="4"/>
  <c r="L65" i="4"/>
  <c r="AI63" i="4"/>
  <c r="AJ20" i="4"/>
  <c r="N50" i="4"/>
  <c r="N32" i="4" s="1"/>
  <c r="AD53" i="4"/>
  <c r="AD43" i="4" s="1"/>
  <c r="P93" i="4"/>
  <c r="P97" i="4" s="1"/>
  <c r="P98" i="4" s="1"/>
  <c r="P99" i="4" s="1"/>
  <c r="P101" i="4" s="1"/>
  <c r="P53" i="4"/>
  <c r="AJ36" i="4"/>
  <c r="AK35" i="4" s="1"/>
  <c r="AJ37" i="4"/>
  <c r="AJ47" i="4"/>
  <c r="AK34" i="4"/>
  <c r="AB43" i="4"/>
  <c r="AB44" i="4" s="1"/>
  <c r="AB56" i="4"/>
  <c r="AF40" i="4"/>
  <c r="AG38" i="4"/>
  <c r="AE50" i="4"/>
  <c r="AE32" i="4" s="1"/>
  <c r="AI59" i="4"/>
  <c r="AI61" i="4" s="1"/>
  <c r="AI64" i="4" s="1"/>
  <c r="L40" i="4"/>
  <c r="Q39" i="3"/>
  <c r="Q48" i="3"/>
  <c r="Q49" i="3" s="1"/>
  <c r="Q50" i="3" s="1"/>
  <c r="Q32" i="3" s="1"/>
  <c r="AA40" i="3"/>
  <c r="AB38" i="3"/>
  <c r="AB65" i="3"/>
  <c r="AA48" i="3"/>
  <c r="AA49" i="3" s="1"/>
  <c r="AA50" i="3" s="1"/>
  <c r="AA32" i="3" s="1"/>
  <c r="AA39" i="3"/>
  <c r="AA41" i="3" s="1"/>
  <c r="AE20" i="3"/>
  <c r="AE63" i="3" s="1"/>
  <c r="AD63" i="3"/>
  <c r="AC59" i="3"/>
  <c r="AC61" i="3" s="1"/>
  <c r="AC64" i="3" s="1"/>
  <c r="P65" i="3"/>
  <c r="P38" i="3"/>
  <c r="P40" i="3"/>
  <c r="N61" i="3"/>
  <c r="O64" i="3"/>
  <c r="Q41" i="3"/>
  <c r="AQ22" i="3"/>
  <c r="AO30" i="3"/>
  <c r="AE36" i="3"/>
  <c r="AF35" i="3" s="1"/>
  <c r="AF47" i="3" s="1"/>
  <c r="AF34" i="3"/>
  <c r="AD37" i="3"/>
  <c r="J64" i="8" l="1"/>
  <c r="I61" i="8"/>
  <c r="M75" i="8"/>
  <c r="M77" i="8" s="1"/>
  <c r="M79" i="8" s="1"/>
  <c r="M50" i="8"/>
  <c r="M32" i="8" s="1"/>
  <c r="L48" i="8"/>
  <c r="L49" i="8" s="1"/>
  <c r="L39" i="8"/>
  <c r="L69" i="8" s="1"/>
  <c r="L71" i="8" s="1"/>
  <c r="L41" i="8"/>
  <c r="AG40" i="8"/>
  <c r="AG41" i="8" s="1"/>
  <c r="AH38" i="8"/>
  <c r="AO30" i="8"/>
  <c r="AQ22" i="8"/>
  <c r="AK36" i="8"/>
  <c r="AL35" i="8" s="1"/>
  <c r="AK47" i="8"/>
  <c r="AK37" i="8"/>
  <c r="AL34" i="8"/>
  <c r="O43" i="8"/>
  <c r="O44" i="8" s="1"/>
  <c r="O56" i="8"/>
  <c r="AF53" i="8"/>
  <c r="AF43" i="8" s="1"/>
  <c r="L94" i="8"/>
  <c r="L96" i="8" s="1"/>
  <c r="AG55" i="8"/>
  <c r="N89" i="8"/>
  <c r="M88" i="8"/>
  <c r="AJ63" i="8"/>
  <c r="AK20" i="8"/>
  <c r="AJ59" i="8"/>
  <c r="AJ61" i="8" s="1"/>
  <c r="AJ64" i="8" s="1"/>
  <c r="L55" i="8"/>
  <c r="AH40" i="8"/>
  <c r="AI38" i="8"/>
  <c r="N51" i="8"/>
  <c r="K78" i="8"/>
  <c r="K100" i="8" s="1"/>
  <c r="K38" i="8"/>
  <c r="J40" i="8"/>
  <c r="K65" i="8"/>
  <c r="K40" i="8"/>
  <c r="AG48" i="8"/>
  <c r="AG49" i="8" s="1"/>
  <c r="AG39" i="8"/>
  <c r="AH55" i="8"/>
  <c r="AD53" i="8"/>
  <c r="AD52" i="8" s="1"/>
  <c r="AD42" i="8" s="1"/>
  <c r="AE51" i="8"/>
  <c r="AO30" i="7"/>
  <c r="AQ22" i="7"/>
  <c r="AD51" i="6"/>
  <c r="AD53" i="6" s="1"/>
  <c r="AD43" i="6" s="1"/>
  <c r="AH65" i="6"/>
  <c r="AE50" i="6"/>
  <c r="AE32" i="6" s="1"/>
  <c r="M75" i="6"/>
  <c r="M77" i="6" s="1"/>
  <c r="M79" i="6" s="1"/>
  <c r="K78" i="6"/>
  <c r="K100" i="6" s="1"/>
  <c r="K38" i="6"/>
  <c r="K65" i="6"/>
  <c r="L94" i="6"/>
  <c r="L96" i="6" s="1"/>
  <c r="K55" i="6"/>
  <c r="L39" i="6"/>
  <c r="L69" i="6" s="1"/>
  <c r="L71" i="6" s="1"/>
  <c r="L48" i="6"/>
  <c r="L49" i="6" s="1"/>
  <c r="L41" i="6"/>
  <c r="N51" i="6"/>
  <c r="AJ47" i="6"/>
  <c r="AK34" i="6"/>
  <c r="AJ36" i="6"/>
  <c r="AK35" i="6" s="1"/>
  <c r="AF40" i="6"/>
  <c r="AF41" i="6" s="1"/>
  <c r="AG38" i="6"/>
  <c r="K40" i="6"/>
  <c r="AS22" i="6"/>
  <c r="AR30" i="6" s="1"/>
  <c r="AQ30" i="6"/>
  <c r="AT23" i="6"/>
  <c r="O53" i="6"/>
  <c r="O93" i="6"/>
  <c r="O97" i="6" s="1"/>
  <c r="O98" i="6" s="1"/>
  <c r="O99" i="6" s="1"/>
  <c r="O101" i="6" s="1"/>
  <c r="O52" i="6"/>
  <c r="O42" i="6" s="1"/>
  <c r="N89" i="6"/>
  <c r="M88" i="6"/>
  <c r="M50" i="6"/>
  <c r="M32" i="6" s="1"/>
  <c r="AB43" i="6"/>
  <c r="AB56" i="6"/>
  <c r="P43" i="6"/>
  <c r="P44" i="6" s="1"/>
  <c r="P56" i="6"/>
  <c r="J64" i="6"/>
  <c r="I61" i="6"/>
  <c r="AI63" i="6"/>
  <c r="AJ20" i="6"/>
  <c r="AG65" i="6"/>
  <c r="AI37" i="6"/>
  <c r="AB52" i="6"/>
  <c r="AB42" i="6" s="1"/>
  <c r="L55" i="6"/>
  <c r="AF50" i="6"/>
  <c r="AF32" i="6" s="1"/>
  <c r="AF51" i="6"/>
  <c r="AG40" i="6"/>
  <c r="AH38" i="6"/>
  <c r="AF41" i="5"/>
  <c r="AK47" i="5"/>
  <c r="AK36" i="5"/>
  <c r="AL35" i="5" s="1"/>
  <c r="AL34" i="5"/>
  <c r="AJ37" i="5"/>
  <c r="O93" i="5"/>
  <c r="O97" i="5" s="1"/>
  <c r="O98" i="5" s="1"/>
  <c r="O99" i="5" s="1"/>
  <c r="O101" i="5" s="1"/>
  <c r="O53" i="5"/>
  <c r="O52" i="5"/>
  <c r="O42" i="5" s="1"/>
  <c r="AE52" i="5"/>
  <c r="AE42" i="5" s="1"/>
  <c r="AE44" i="5" s="1"/>
  <c r="M50" i="5"/>
  <c r="M32" i="5" s="1"/>
  <c r="AK20" i="5"/>
  <c r="AJ63" i="5"/>
  <c r="AF55" i="5"/>
  <c r="N51" i="5"/>
  <c r="N89" i="5"/>
  <c r="M88" i="5"/>
  <c r="J64" i="5"/>
  <c r="I61" i="5"/>
  <c r="J40" i="5"/>
  <c r="K38" i="5"/>
  <c r="K78" i="5"/>
  <c r="K100" i="5" s="1"/>
  <c r="K65" i="5"/>
  <c r="AG55" i="5"/>
  <c r="AD43" i="5"/>
  <c r="AD56" i="5"/>
  <c r="AF50" i="5"/>
  <c r="AF32" i="5" s="1"/>
  <c r="AI59" i="5"/>
  <c r="AI61" i="5" s="1"/>
  <c r="AI64" i="5" s="1"/>
  <c r="AI65" i="5" s="1"/>
  <c r="L94" i="5"/>
  <c r="L96" i="5" s="1"/>
  <c r="K55" i="5"/>
  <c r="L39" i="5"/>
  <c r="L69" i="5" s="1"/>
  <c r="L71" i="5" s="1"/>
  <c r="L48" i="5"/>
  <c r="L49" i="5" s="1"/>
  <c r="N77" i="5"/>
  <c r="N79" i="5" s="1"/>
  <c r="M75" i="5"/>
  <c r="M77" i="5" s="1"/>
  <c r="M79" i="5" s="1"/>
  <c r="AH48" i="5"/>
  <c r="AH49" i="5" s="1"/>
  <c r="AH39" i="5"/>
  <c r="AS30" i="5"/>
  <c r="AU23" i="5"/>
  <c r="L55" i="5"/>
  <c r="AG48" i="5"/>
  <c r="AG49" i="5" s="1"/>
  <c r="AG39" i="5"/>
  <c r="AG41" i="5" s="1"/>
  <c r="AE56" i="5"/>
  <c r="AD52" i="5"/>
  <c r="AD42" i="5" s="1"/>
  <c r="AF41" i="4"/>
  <c r="J64" i="4"/>
  <c r="I61" i="4"/>
  <c r="N51" i="4"/>
  <c r="AI65" i="4"/>
  <c r="O53" i="4"/>
  <c r="O52" i="4" s="1"/>
  <c r="O42" i="4" s="1"/>
  <c r="O93" i="4"/>
  <c r="O97" i="4" s="1"/>
  <c r="O98" i="4" s="1"/>
  <c r="O99" i="4" s="1"/>
  <c r="O101" i="4" s="1"/>
  <c r="N89" i="4"/>
  <c r="M88" i="4"/>
  <c r="AD56" i="4"/>
  <c r="J40" i="4"/>
  <c r="K78" i="4"/>
  <c r="K100" i="4" s="1"/>
  <c r="K38" i="4"/>
  <c r="K65" i="4"/>
  <c r="K55" i="4" s="1"/>
  <c r="AK20" i="4"/>
  <c r="AJ63" i="4"/>
  <c r="AS22" i="4"/>
  <c r="AQ30" i="4"/>
  <c r="L48" i="4"/>
  <c r="L49" i="4" s="1"/>
  <c r="L39" i="4"/>
  <c r="L69" i="4" s="1"/>
  <c r="L71" i="4" s="1"/>
  <c r="AH40" i="4"/>
  <c r="AI38" i="4"/>
  <c r="M50" i="4"/>
  <c r="M32" i="4" s="1"/>
  <c r="K40" i="4"/>
  <c r="AG40" i="4"/>
  <c r="AH38" i="4"/>
  <c r="AD52" i="4"/>
  <c r="AD42" i="4" s="1"/>
  <c r="AD44" i="4" s="1"/>
  <c r="AG55" i="4"/>
  <c r="L94" i="4"/>
  <c r="L96" i="4" s="1"/>
  <c r="AE51" i="4"/>
  <c r="AG48" i="4"/>
  <c r="AG49" i="4" s="1"/>
  <c r="AG39" i="4"/>
  <c r="AG41" i="4" s="1"/>
  <c r="M75" i="4"/>
  <c r="M77" i="4" s="1"/>
  <c r="M79" i="4" s="1"/>
  <c r="AF50" i="4"/>
  <c r="AF32" i="4" s="1"/>
  <c r="L55" i="4"/>
  <c r="AJ59" i="4"/>
  <c r="AJ61" i="4" s="1"/>
  <c r="AJ64" i="4" s="1"/>
  <c r="AL34" i="4"/>
  <c r="AK47" i="4"/>
  <c r="AK36" i="4"/>
  <c r="AL35" i="4" s="1"/>
  <c r="P43" i="4"/>
  <c r="P56" i="4"/>
  <c r="P52" i="4"/>
  <c r="P42" i="4" s="1"/>
  <c r="P44" i="4" s="1"/>
  <c r="AC38" i="3"/>
  <c r="AB40" i="3"/>
  <c r="AC65" i="3"/>
  <c r="AB48" i="3"/>
  <c r="AB49" i="3" s="1"/>
  <c r="AB50" i="3" s="1"/>
  <c r="AB32" i="3" s="1"/>
  <c r="AB39" i="3"/>
  <c r="AB41" i="3"/>
  <c r="P39" i="3"/>
  <c r="P41" i="3" s="1"/>
  <c r="P48" i="3"/>
  <c r="P49" i="3" s="1"/>
  <c r="P50" i="3" s="1"/>
  <c r="P32" i="3" s="1"/>
  <c r="AD59" i="3"/>
  <c r="AD61" i="3" s="1"/>
  <c r="AD64" i="3" s="1"/>
  <c r="AR22" i="3"/>
  <c r="AP30" i="3"/>
  <c r="AE37" i="3"/>
  <c r="O65" i="3"/>
  <c r="O38" i="3"/>
  <c r="M61" i="3"/>
  <c r="N64" i="3"/>
  <c r="O40" i="3"/>
  <c r="AF36" i="3"/>
  <c r="AG35" i="3" s="1"/>
  <c r="AG47" i="3" s="1"/>
  <c r="AG34" i="3"/>
  <c r="AF20" i="3"/>
  <c r="AF63" i="3" s="1"/>
  <c r="AM34" i="8" l="1"/>
  <c r="AL37" i="8"/>
  <c r="AL36" i="8"/>
  <c r="AM35" i="8" s="1"/>
  <c r="AL47" i="8"/>
  <c r="AE53" i="8"/>
  <c r="AE52" i="8"/>
  <c r="AE42" i="8" s="1"/>
  <c r="M89" i="8"/>
  <c r="L88" i="8"/>
  <c r="L50" i="8"/>
  <c r="L32" i="8" s="1"/>
  <c r="K55" i="8"/>
  <c r="M51" i="8"/>
  <c r="N93" i="8"/>
  <c r="N97" i="8" s="1"/>
  <c r="N98" i="8" s="1"/>
  <c r="N99" i="8" s="1"/>
  <c r="N101" i="8" s="1"/>
  <c r="N53" i="8"/>
  <c r="AI39" i="8"/>
  <c r="AI41" i="8" s="1"/>
  <c r="AI48" i="8"/>
  <c r="AI49" i="8" s="1"/>
  <c r="AJ38" i="8"/>
  <c r="AI40" i="8"/>
  <c r="AD43" i="8"/>
  <c r="AD44" i="8" s="1"/>
  <c r="AD56" i="8"/>
  <c r="AH39" i="8"/>
  <c r="AH48" i="8"/>
  <c r="AH49" i="8" s="1"/>
  <c r="AH41" i="8"/>
  <c r="L75" i="8"/>
  <c r="L77" i="8" s="1"/>
  <c r="L79" i="8" s="1"/>
  <c r="AG50" i="8"/>
  <c r="AG32" i="8" s="1"/>
  <c r="K48" i="8"/>
  <c r="K49" i="8" s="1"/>
  <c r="K39" i="8"/>
  <c r="K69" i="8" s="1"/>
  <c r="K71" i="8" s="1"/>
  <c r="K41" i="8"/>
  <c r="J38" i="8"/>
  <c r="I40" i="8"/>
  <c r="J78" i="8"/>
  <c r="J100" i="8" s="1"/>
  <c r="J65" i="8"/>
  <c r="AK59" i="8"/>
  <c r="AK61" i="8" s="1"/>
  <c r="AK64" i="8" s="1"/>
  <c r="AP30" i="8"/>
  <c r="AR22" i="8"/>
  <c r="AK63" i="8"/>
  <c r="AK65" i="8" s="1"/>
  <c r="AL20" i="8"/>
  <c r="AJ65" i="8"/>
  <c r="J55" i="8"/>
  <c r="K94" i="8"/>
  <c r="K96" i="8" s="1"/>
  <c r="AF52" i="8"/>
  <c r="AF42" i="8" s="1"/>
  <c r="AF44" i="8" s="1"/>
  <c r="I64" i="8"/>
  <c r="H61" i="8"/>
  <c r="AF56" i="8"/>
  <c r="AP30" i="7"/>
  <c r="AR22" i="7"/>
  <c r="AE51" i="6"/>
  <c r="AE53" i="6" s="1"/>
  <c r="AD56" i="6"/>
  <c r="AJ37" i="6"/>
  <c r="AB44" i="6"/>
  <c r="M89" i="6"/>
  <c r="L88" i="6"/>
  <c r="L75" i="6"/>
  <c r="L77" i="6" s="1"/>
  <c r="L79" i="6" s="1"/>
  <c r="O56" i="6"/>
  <c r="O43" i="6"/>
  <c r="O44" i="6" s="1"/>
  <c r="M51" i="6"/>
  <c r="L50" i="6"/>
  <c r="L32" i="6" s="1"/>
  <c r="L51" i="6"/>
  <c r="AJ63" i="6"/>
  <c r="AK20" i="6"/>
  <c r="AS30" i="6"/>
  <c r="AU23" i="6"/>
  <c r="AJ59" i="6"/>
  <c r="AJ61" i="6" s="1"/>
  <c r="AJ64" i="6" s="1"/>
  <c r="AI59" i="6"/>
  <c r="AI61" i="6" s="1"/>
  <c r="AI64" i="6" s="1"/>
  <c r="AI65" i="6" s="1"/>
  <c r="AF55" i="6"/>
  <c r="J38" i="6"/>
  <c r="J78" i="6"/>
  <c r="J100" i="6" s="1"/>
  <c r="J65" i="6"/>
  <c r="J55" i="6" s="1"/>
  <c r="K48" i="6"/>
  <c r="K49" i="6" s="1"/>
  <c r="K39" i="6"/>
  <c r="K69" i="6" s="1"/>
  <c r="K71" i="6" s="1"/>
  <c r="K41" i="6"/>
  <c r="AT22" i="6"/>
  <c r="N53" i="6"/>
  <c r="N93" i="6"/>
  <c r="N97" i="6" s="1"/>
  <c r="N98" i="6" s="1"/>
  <c r="N99" i="6" s="1"/>
  <c r="N101" i="6" s="1"/>
  <c r="I64" i="6"/>
  <c r="I40" i="6" s="1"/>
  <c r="H61" i="6"/>
  <c r="K94" i="6"/>
  <c r="K96" i="6" s="1"/>
  <c r="AD52" i="6"/>
  <c r="AD42" i="6" s="1"/>
  <c r="AD44" i="6" s="1"/>
  <c r="J40" i="6"/>
  <c r="AG39" i="6"/>
  <c r="AG48" i="6"/>
  <c r="AG49" i="6" s="1"/>
  <c r="AG41" i="6"/>
  <c r="AH39" i="6"/>
  <c r="AH48" i="6"/>
  <c r="AH49" i="6" s="1"/>
  <c r="AG55" i="6"/>
  <c r="AL34" i="6"/>
  <c r="AK47" i="6"/>
  <c r="AK36" i="6"/>
  <c r="AL35" i="6" s="1"/>
  <c r="AK37" i="6"/>
  <c r="AD44" i="5"/>
  <c r="AH55" i="5"/>
  <c r="AL20" i="5"/>
  <c r="AK63" i="5"/>
  <c r="AF51" i="5"/>
  <c r="AT30" i="5"/>
  <c r="AV23" i="5"/>
  <c r="AG50" i="5"/>
  <c r="AG32" i="5" s="1"/>
  <c r="O43" i="5"/>
  <c r="O44" i="5" s="1"/>
  <c r="O56" i="5"/>
  <c r="AH50" i="5"/>
  <c r="AH32" i="5" s="1"/>
  <c r="AJ59" i="5"/>
  <c r="AJ61" i="5" s="1"/>
  <c r="AJ64" i="5" s="1"/>
  <c r="AJ65" i="5" s="1"/>
  <c r="K39" i="5"/>
  <c r="K69" i="5" s="1"/>
  <c r="K71" i="5" s="1"/>
  <c r="K48" i="5"/>
  <c r="K49" i="5" s="1"/>
  <c r="K41" i="5"/>
  <c r="J38" i="5"/>
  <c r="J78" i="5"/>
  <c r="J100" i="5" s="1"/>
  <c r="J65" i="5"/>
  <c r="L50" i="5"/>
  <c r="L32" i="5" s="1"/>
  <c r="N93" i="5"/>
  <c r="N97" i="5" s="1"/>
  <c r="N98" i="5" s="1"/>
  <c r="N99" i="5" s="1"/>
  <c r="N101" i="5" s="1"/>
  <c r="N53" i="5"/>
  <c r="N52" i="5" s="1"/>
  <c r="N42" i="5" s="1"/>
  <c r="AH40" i="5"/>
  <c r="AH41" i="5" s="1"/>
  <c r="AI38" i="5"/>
  <c r="M51" i="5"/>
  <c r="K94" i="5"/>
  <c r="K96" i="5" s="1"/>
  <c r="AL47" i="5"/>
  <c r="AM34" i="5"/>
  <c r="AL36" i="5"/>
  <c r="AM35" i="5" s="1"/>
  <c r="I64" i="5"/>
  <c r="H61" i="5"/>
  <c r="AK37" i="5"/>
  <c r="L41" i="5"/>
  <c r="M89" i="5"/>
  <c r="L88" i="5"/>
  <c r="L41" i="4"/>
  <c r="AJ65" i="4"/>
  <c r="AE53" i="4"/>
  <c r="AE52" i="4" s="1"/>
  <c r="AE42" i="4" s="1"/>
  <c r="AI55" i="4"/>
  <c r="K94" i="4"/>
  <c r="K96" i="4" s="1"/>
  <c r="AH48" i="4"/>
  <c r="AH49" i="4" s="1"/>
  <c r="AH39" i="4"/>
  <c r="AH41" i="4"/>
  <c r="AJ38" i="4"/>
  <c r="AI40" i="4"/>
  <c r="M89" i="4"/>
  <c r="L88" i="4"/>
  <c r="O43" i="4"/>
  <c r="O44" i="4" s="1"/>
  <c r="O56" i="4"/>
  <c r="AG50" i="4"/>
  <c r="AG32" i="4" s="1"/>
  <c r="AL47" i="4"/>
  <c r="AM34" i="4"/>
  <c r="AL36" i="4"/>
  <c r="AM35" i="4" s="1"/>
  <c r="M51" i="4"/>
  <c r="AI48" i="4"/>
  <c r="AI49" i="4" s="1"/>
  <c r="AI39" i="4"/>
  <c r="L75" i="4"/>
  <c r="L77" i="4" s="1"/>
  <c r="L79" i="4" s="1"/>
  <c r="L50" i="4"/>
  <c r="L32" i="4" s="1"/>
  <c r="AT22" i="4"/>
  <c r="AR30" i="4"/>
  <c r="AL20" i="4"/>
  <c r="AK63" i="4"/>
  <c r="K48" i="4"/>
  <c r="K49" i="4" s="1"/>
  <c r="K39" i="4"/>
  <c r="K69" i="4" s="1"/>
  <c r="K71" i="4" s="1"/>
  <c r="K41" i="4"/>
  <c r="AK37" i="4"/>
  <c r="AH55" i="4"/>
  <c r="N93" i="4"/>
  <c r="N97" i="4" s="1"/>
  <c r="N98" i="4" s="1"/>
  <c r="N99" i="4" s="1"/>
  <c r="N101" i="4" s="1"/>
  <c r="N53" i="4"/>
  <c r="AF51" i="4"/>
  <c r="I64" i="4"/>
  <c r="H61" i="4"/>
  <c r="I40" i="4"/>
  <c r="J78" i="4"/>
  <c r="J100" i="4" s="1"/>
  <c r="J38" i="4"/>
  <c r="J65" i="4"/>
  <c r="O39" i="3"/>
  <c r="O48" i="3"/>
  <c r="O49" i="3" s="1"/>
  <c r="O50" i="3" s="1"/>
  <c r="O32" i="3" s="1"/>
  <c r="AC40" i="3"/>
  <c r="AD38" i="3"/>
  <c r="AD65" i="3"/>
  <c r="AC48" i="3"/>
  <c r="AC49" i="3" s="1"/>
  <c r="AC50" i="3" s="1"/>
  <c r="AC32" i="3" s="1"/>
  <c r="AC39" i="3"/>
  <c r="AC41" i="3"/>
  <c r="AG20" i="3"/>
  <c r="AG63" i="3" s="1"/>
  <c r="N38" i="3"/>
  <c r="N65" i="3"/>
  <c r="O41" i="3"/>
  <c r="L61" i="3"/>
  <c r="M64" i="3"/>
  <c r="M40" i="3" s="1"/>
  <c r="N40" i="3"/>
  <c r="AE59" i="3"/>
  <c r="AE61" i="3" s="1"/>
  <c r="AE64" i="3" s="1"/>
  <c r="AQ30" i="3"/>
  <c r="AS22" i="3"/>
  <c r="AG36" i="3"/>
  <c r="AH35" i="3" s="1"/>
  <c r="AH47" i="3" s="1"/>
  <c r="AH34" i="3"/>
  <c r="AF37" i="3"/>
  <c r="I78" i="8" l="1"/>
  <c r="I100" i="8" s="1"/>
  <c r="I38" i="8"/>
  <c r="H40" i="8"/>
  <c r="I65" i="8"/>
  <c r="L89" i="8"/>
  <c r="K88" i="8"/>
  <c r="AJ55" i="8"/>
  <c r="AN34" i="8"/>
  <c r="AM36" i="8"/>
  <c r="AN35" i="8" s="1"/>
  <c r="AM47" i="8"/>
  <c r="AM37" i="8"/>
  <c r="J48" i="8"/>
  <c r="J49" i="8" s="1"/>
  <c r="J39" i="8"/>
  <c r="J69" i="8" s="1"/>
  <c r="J71" i="8" s="1"/>
  <c r="K75" i="8"/>
  <c r="K77" i="8" s="1"/>
  <c r="K79" i="8" s="1"/>
  <c r="H64" i="8"/>
  <c r="G61" i="8"/>
  <c r="M53" i="8"/>
  <c r="M93" i="8"/>
  <c r="M97" i="8" s="1"/>
  <c r="M98" i="8" s="1"/>
  <c r="M99" i="8" s="1"/>
  <c r="M101" i="8" s="1"/>
  <c r="AG51" i="8"/>
  <c r="L51" i="8"/>
  <c r="AI55" i="8"/>
  <c r="AQ30" i="8"/>
  <c r="AS22" i="8"/>
  <c r="AH50" i="8"/>
  <c r="AH32" i="8" s="1"/>
  <c r="AL59" i="8"/>
  <c r="AL61" i="8" s="1"/>
  <c r="AL64" i="8" s="1"/>
  <c r="I55" i="8"/>
  <c r="J94" i="8"/>
  <c r="J96" i="8" s="1"/>
  <c r="N43" i="8"/>
  <c r="N56" i="8"/>
  <c r="N52" i="8"/>
  <c r="N42" i="8" s="1"/>
  <c r="N44" i="8" s="1"/>
  <c r="K50" i="8"/>
  <c r="K32" i="8" s="1"/>
  <c r="AL63" i="8"/>
  <c r="AM20" i="8"/>
  <c r="AE43" i="8"/>
  <c r="AE44" i="8" s="1"/>
  <c r="AE56" i="8"/>
  <c r="AJ40" i="8"/>
  <c r="AK38" i="8"/>
  <c r="AJ48" i="8"/>
  <c r="AJ49" i="8" s="1"/>
  <c r="AJ39" i="8"/>
  <c r="AJ41" i="8"/>
  <c r="AI50" i="8"/>
  <c r="AI32" i="8" s="1"/>
  <c r="AQ30" i="7"/>
  <c r="AS22" i="7"/>
  <c r="AE52" i="6"/>
  <c r="AE42" i="6" s="1"/>
  <c r="AK59" i="6"/>
  <c r="AK61" i="6" s="1"/>
  <c r="AK64" i="6" s="1"/>
  <c r="AH50" i="6"/>
  <c r="AH32" i="6" s="1"/>
  <c r="N43" i="6"/>
  <c r="N56" i="6"/>
  <c r="AU22" i="6"/>
  <c r="L53" i="6"/>
  <c r="L52" i="6" s="1"/>
  <c r="L42" i="6" s="1"/>
  <c r="L93" i="6"/>
  <c r="L97" i="6" s="1"/>
  <c r="AG50" i="6"/>
  <c r="AG32" i="6" s="1"/>
  <c r="J39" i="6"/>
  <c r="J69" i="6" s="1"/>
  <c r="J71" i="6" s="1"/>
  <c r="J48" i="6"/>
  <c r="J49" i="6" s="1"/>
  <c r="J41" i="6"/>
  <c r="AI40" i="6"/>
  <c r="AJ38" i="6"/>
  <c r="AV23" i="6"/>
  <c r="I38" i="6"/>
  <c r="I78" i="6"/>
  <c r="I100" i="6" s="1"/>
  <c r="H40" i="6"/>
  <c r="I65" i="6"/>
  <c r="AF53" i="6"/>
  <c r="AE43" i="6"/>
  <c r="AE44" i="6" s="1"/>
  <c r="AE56" i="6"/>
  <c r="AK63" i="6"/>
  <c r="AL20" i="6"/>
  <c r="K75" i="6"/>
  <c r="K77" i="6" s="1"/>
  <c r="K79" i="6" s="1"/>
  <c r="K50" i="6"/>
  <c r="K32" i="6" s="1"/>
  <c r="K51" i="6"/>
  <c r="J94" i="6"/>
  <c r="J96" i="6" s="1"/>
  <c r="H64" i="6"/>
  <c r="G61" i="6"/>
  <c r="N52" i="6"/>
  <c r="N42" i="6" s="1"/>
  <c r="AH40" i="6"/>
  <c r="AH41" i="6" s="1"/>
  <c r="AI38" i="6"/>
  <c r="AL47" i="6"/>
  <c r="AL36" i="6"/>
  <c r="AM35" i="6" s="1"/>
  <c r="AM34" i="6"/>
  <c r="AL37" i="6"/>
  <c r="AJ65" i="6"/>
  <c r="M53" i="6"/>
  <c r="M93" i="6"/>
  <c r="M97" i="6" s="1"/>
  <c r="M98" i="6" s="1"/>
  <c r="M99" i="6" s="1"/>
  <c r="M101" i="6" s="1"/>
  <c r="AH55" i="6"/>
  <c r="L89" i="6"/>
  <c r="K88" i="6"/>
  <c r="AI48" i="5"/>
  <c r="AI49" i="5" s="1"/>
  <c r="AI39" i="5"/>
  <c r="L89" i="5"/>
  <c r="K88" i="5"/>
  <c r="AG51" i="5"/>
  <c r="L75" i="5"/>
  <c r="L77" i="5" s="1"/>
  <c r="L79" i="5" s="1"/>
  <c r="I38" i="5"/>
  <c r="I78" i="5"/>
  <c r="I100" i="5" s="1"/>
  <c r="I65" i="5"/>
  <c r="AH51" i="5"/>
  <c r="N43" i="5"/>
  <c r="N44" i="5" s="1"/>
  <c r="N56" i="5"/>
  <c r="AI55" i="5"/>
  <c r="L51" i="5"/>
  <c r="AU30" i="5"/>
  <c r="AW23" i="5"/>
  <c r="J39" i="5"/>
  <c r="J69" i="5" s="1"/>
  <c r="J71" i="5" s="1"/>
  <c r="J48" i="5"/>
  <c r="J49" i="5" s="1"/>
  <c r="J41" i="5"/>
  <c r="AN34" i="5"/>
  <c r="AM36" i="5"/>
  <c r="AN35" i="5" s="1"/>
  <c r="AM47" i="5"/>
  <c r="AM37" i="5"/>
  <c r="K75" i="5"/>
  <c r="M93" i="5"/>
  <c r="M97" i="5" s="1"/>
  <c r="M98" i="5" s="1"/>
  <c r="M99" i="5" s="1"/>
  <c r="M101" i="5" s="1"/>
  <c r="M53" i="5"/>
  <c r="M52" i="5" s="1"/>
  <c r="M42" i="5" s="1"/>
  <c r="AK59" i="5"/>
  <c r="AK61" i="5" s="1"/>
  <c r="AK64" i="5" s="1"/>
  <c r="AK65" i="5" s="1"/>
  <c r="H64" i="5"/>
  <c r="G61" i="5"/>
  <c r="J94" i="5"/>
  <c r="J96" i="5" s="1"/>
  <c r="I55" i="5"/>
  <c r="AF53" i="5"/>
  <c r="AF52" i="5" s="1"/>
  <c r="AF42" i="5" s="1"/>
  <c r="I40" i="5"/>
  <c r="AL37" i="5"/>
  <c r="AL63" i="5"/>
  <c r="AM20" i="5"/>
  <c r="K50" i="5"/>
  <c r="K32" i="5" s="1"/>
  <c r="J55" i="5"/>
  <c r="AJ38" i="5"/>
  <c r="AI40" i="5"/>
  <c r="AI41" i="5" s="1"/>
  <c r="AI41" i="4"/>
  <c r="AL63" i="4"/>
  <c r="AM20" i="4"/>
  <c r="J48" i="4"/>
  <c r="J49" i="4" s="1"/>
  <c r="J39" i="4"/>
  <c r="J69" i="4" s="1"/>
  <c r="J71" i="4" s="1"/>
  <c r="J41" i="4"/>
  <c r="H64" i="4"/>
  <c r="G61" i="4"/>
  <c r="AH50" i="4"/>
  <c r="AH32" i="4" s="1"/>
  <c r="J55" i="4"/>
  <c r="L89" i="4"/>
  <c r="K88" i="4"/>
  <c r="AJ39" i="4"/>
  <c r="AJ48" i="4"/>
  <c r="AJ49" i="4" s="1"/>
  <c r="J94" i="4"/>
  <c r="J96" i="4" s="1"/>
  <c r="N43" i="4"/>
  <c r="N56" i="4"/>
  <c r="AI50" i="4"/>
  <c r="AI32" i="4" s="1"/>
  <c r="M93" i="4"/>
  <c r="M97" i="4" s="1"/>
  <c r="M98" i="4" s="1"/>
  <c r="M99" i="4" s="1"/>
  <c r="M101" i="4" s="1"/>
  <c r="M53" i="4"/>
  <c r="N52" i="4"/>
  <c r="N42" i="4" s="1"/>
  <c r="AM47" i="4"/>
  <c r="AM36" i="4"/>
  <c r="AN35" i="4" s="1"/>
  <c r="AN34" i="4"/>
  <c r="AM37" i="4"/>
  <c r="AE43" i="4"/>
  <c r="AE44" i="4" s="1"/>
  <c r="AE56" i="4"/>
  <c r="AG51" i="4"/>
  <c r="AU22" i="4"/>
  <c r="AS30" i="4"/>
  <c r="L51" i="4"/>
  <c r="I78" i="4"/>
  <c r="I100" i="4" s="1"/>
  <c r="I38" i="4"/>
  <c r="I65" i="4"/>
  <c r="I55" i="4" s="1"/>
  <c r="AF53" i="4"/>
  <c r="AF52" i="4" s="1"/>
  <c r="AF42" i="4" s="1"/>
  <c r="AK59" i="4"/>
  <c r="AK61" i="4" s="1"/>
  <c r="AK64" i="4" s="1"/>
  <c r="AL37" i="4"/>
  <c r="K75" i="4"/>
  <c r="K77" i="4" s="1"/>
  <c r="K79" i="4" s="1"/>
  <c r="K50" i="4"/>
  <c r="K32" i="4" s="1"/>
  <c r="N39" i="3"/>
  <c r="N48" i="3"/>
  <c r="N49" i="3" s="1"/>
  <c r="N50" i="3" s="1"/>
  <c r="N32" i="3" s="1"/>
  <c r="AD40" i="3"/>
  <c r="AE38" i="3"/>
  <c r="AE65" i="3"/>
  <c r="AD39" i="3"/>
  <c r="AD48" i="3"/>
  <c r="AD49" i="3" s="1"/>
  <c r="AD50" i="3" s="1"/>
  <c r="AD32" i="3" s="1"/>
  <c r="AD41" i="3"/>
  <c r="AH20" i="3"/>
  <c r="AH63" i="3" s="1"/>
  <c r="AG37" i="3"/>
  <c r="AF59" i="3"/>
  <c r="AF61" i="3" s="1"/>
  <c r="AF64" i="3" s="1"/>
  <c r="AG59" i="3"/>
  <c r="AG61" i="3" s="1"/>
  <c r="AG64" i="3" s="1"/>
  <c r="AR30" i="3"/>
  <c r="AT22" i="3"/>
  <c r="M65" i="3"/>
  <c r="M38" i="3"/>
  <c r="M48" i="3" s="1"/>
  <c r="M49" i="3" s="1"/>
  <c r="M50" i="3" s="1"/>
  <c r="M32" i="3" s="1"/>
  <c r="K61" i="3"/>
  <c r="L64" i="3"/>
  <c r="N41" i="3"/>
  <c r="AH36" i="3"/>
  <c r="AI35" i="3" s="1"/>
  <c r="AI47" i="3" s="1"/>
  <c r="AI34" i="3"/>
  <c r="J41" i="8" l="1"/>
  <c r="AI51" i="8"/>
  <c r="AK48" i="8"/>
  <c r="AK49" i="8" s="1"/>
  <c r="AK39" i="8"/>
  <c r="AM63" i="8"/>
  <c r="AN20" i="8"/>
  <c r="K89" i="8"/>
  <c r="J88" i="8"/>
  <c r="K51" i="8"/>
  <c r="AK40" i="8"/>
  <c r="AK41" i="8" s="1"/>
  <c r="AL38" i="8"/>
  <c r="J50" i="8"/>
  <c r="J32" i="8" s="1"/>
  <c r="AH51" i="8"/>
  <c r="AJ50" i="8"/>
  <c r="AJ32" i="8" s="1"/>
  <c r="AJ51" i="8"/>
  <c r="AN37" i="8"/>
  <c r="AN36" i="8"/>
  <c r="AO35" i="8" s="1"/>
  <c r="AO34" i="8"/>
  <c r="AN47" i="8"/>
  <c r="L93" i="8"/>
  <c r="L97" i="8" s="1"/>
  <c r="L98" i="8" s="1"/>
  <c r="L99" i="8" s="1"/>
  <c r="L101" i="8" s="1"/>
  <c r="L53" i="8"/>
  <c r="L52" i="8"/>
  <c r="L42" i="8" s="1"/>
  <c r="I94" i="8"/>
  <c r="I96" i="8" s="1"/>
  <c r="G64" i="8"/>
  <c r="F61" i="8"/>
  <c r="AM59" i="8"/>
  <c r="AM61" i="8" s="1"/>
  <c r="AM64" i="8" s="1"/>
  <c r="AR30" i="8"/>
  <c r="AT22" i="8"/>
  <c r="AL65" i="8"/>
  <c r="AG53" i="8"/>
  <c r="M43" i="8"/>
  <c r="M56" i="8"/>
  <c r="M52" i="8"/>
  <c r="M42" i="8" s="1"/>
  <c r="M44" i="8" s="1"/>
  <c r="I39" i="8"/>
  <c r="I69" i="8" s="1"/>
  <c r="I71" i="8" s="1"/>
  <c r="I48" i="8"/>
  <c r="I49" i="8" s="1"/>
  <c r="I41" i="8"/>
  <c r="H78" i="8"/>
  <c r="H100" i="8" s="1"/>
  <c r="H38" i="8"/>
  <c r="H65" i="8"/>
  <c r="AT22" i="7"/>
  <c r="AR30" i="7"/>
  <c r="AK65" i="6"/>
  <c r="AJ55" i="6" s="1"/>
  <c r="J75" i="6"/>
  <c r="J77" i="6" s="1"/>
  <c r="J79" i="6" s="1"/>
  <c r="K53" i="6"/>
  <c r="K52" i="6" s="1"/>
  <c r="K42" i="6" s="1"/>
  <c r="K93" i="6"/>
  <c r="K97" i="6" s="1"/>
  <c r="AG51" i="6"/>
  <c r="L98" i="6"/>
  <c r="L99" i="6" s="1"/>
  <c r="L101" i="6" s="1"/>
  <c r="AV22" i="6"/>
  <c r="AU30" i="6" s="1"/>
  <c r="AL59" i="6"/>
  <c r="AL61" i="6" s="1"/>
  <c r="AL64" i="6" s="1"/>
  <c r="AT30" i="6"/>
  <c r="J50" i="6"/>
  <c r="J32" i="6" s="1"/>
  <c r="J51" i="6"/>
  <c r="L43" i="6"/>
  <c r="L44" i="6" s="1"/>
  <c r="L56" i="6"/>
  <c r="I94" i="6"/>
  <c r="I96" i="6" s="1"/>
  <c r="AI39" i="6"/>
  <c r="AI41" i="6" s="1"/>
  <c r="AI48" i="6"/>
  <c r="AI49" i="6" s="1"/>
  <c r="AH51" i="6"/>
  <c r="H38" i="6"/>
  <c r="H78" i="6"/>
  <c r="H100" i="6" s="1"/>
  <c r="H65" i="6"/>
  <c r="H55" i="6" s="1"/>
  <c r="AJ40" i="6"/>
  <c r="AK38" i="6"/>
  <c r="K89" i="6"/>
  <c r="J88" i="6"/>
  <c r="M43" i="6"/>
  <c r="M56" i="6"/>
  <c r="AI55" i="6"/>
  <c r="AM47" i="6"/>
  <c r="AM36" i="6"/>
  <c r="AN35" i="6" s="1"/>
  <c r="AN34" i="6"/>
  <c r="N44" i="6"/>
  <c r="I55" i="6"/>
  <c r="AL63" i="6"/>
  <c r="AM20" i="6"/>
  <c r="M52" i="6"/>
  <c r="M42" i="6" s="1"/>
  <c r="AF52" i="6"/>
  <c r="AF42" i="6" s="1"/>
  <c r="AF43" i="6"/>
  <c r="I39" i="6"/>
  <c r="I69" i="6" s="1"/>
  <c r="I71" i="6" s="1"/>
  <c r="I48" i="6"/>
  <c r="I49" i="6" s="1"/>
  <c r="AW23" i="6"/>
  <c r="G64" i="6"/>
  <c r="F61" i="6"/>
  <c r="AJ39" i="6"/>
  <c r="AJ48" i="6"/>
  <c r="AJ49" i="6" s="1"/>
  <c r="AF56" i="6"/>
  <c r="K77" i="5"/>
  <c r="K79" i="5" s="1"/>
  <c r="AJ55" i="5"/>
  <c r="H38" i="5"/>
  <c r="H78" i="5"/>
  <c r="H100" i="5" s="1"/>
  <c r="H65" i="5"/>
  <c r="M43" i="5"/>
  <c r="M44" i="5" s="1"/>
  <c r="M56" i="5"/>
  <c r="H40" i="5"/>
  <c r="AL59" i="5"/>
  <c r="AL61" i="5" s="1"/>
  <c r="AL64" i="5" s="1"/>
  <c r="AJ39" i="5"/>
  <c r="AJ48" i="5"/>
  <c r="AJ49" i="5" s="1"/>
  <c r="AJ41" i="5"/>
  <c r="AH53" i="5"/>
  <c r="AH52" i="5" s="1"/>
  <c r="AH42" i="5" s="1"/>
  <c r="K51" i="5"/>
  <c r="I39" i="5"/>
  <c r="I69" i="5" s="1"/>
  <c r="I71" i="5" s="1"/>
  <c r="I48" i="5"/>
  <c r="I49" i="5" s="1"/>
  <c r="I41" i="5"/>
  <c r="AM59" i="5"/>
  <c r="AM61" i="5" s="1"/>
  <c r="AM64" i="5" s="1"/>
  <c r="AG53" i="5"/>
  <c r="K89" i="5"/>
  <c r="J88" i="5"/>
  <c r="J75" i="5"/>
  <c r="J50" i="5"/>
  <c r="J32" i="5" s="1"/>
  <c r="J51" i="5"/>
  <c r="AX23" i="5"/>
  <c r="AV30" i="5"/>
  <c r="L93" i="5"/>
  <c r="L97" i="5" s="1"/>
  <c r="L98" i="5" s="1"/>
  <c r="L99" i="5" s="1"/>
  <c r="L101" i="5" s="1"/>
  <c r="L53" i="5"/>
  <c r="G64" i="5"/>
  <c r="G40" i="5" s="1"/>
  <c r="F61" i="5"/>
  <c r="AJ40" i="5"/>
  <c r="AK38" i="5"/>
  <c r="I94" i="5"/>
  <c r="I96" i="5" s="1"/>
  <c r="H55" i="5"/>
  <c r="AN20" i="5"/>
  <c r="AM63" i="5"/>
  <c r="AN36" i="5"/>
  <c r="AO35" i="5" s="1"/>
  <c r="AO34" i="5"/>
  <c r="AN47" i="5"/>
  <c r="AF43" i="5"/>
  <c r="AF44" i="5" s="1"/>
  <c r="AF56" i="5"/>
  <c r="AI50" i="5"/>
  <c r="AI32" i="5" s="1"/>
  <c r="AI51" i="5"/>
  <c r="N44" i="4"/>
  <c r="AM59" i="4"/>
  <c r="AM61" i="4" s="1"/>
  <c r="AM64" i="4" s="1"/>
  <c r="G64" i="4"/>
  <c r="F61" i="4"/>
  <c r="AG53" i="4"/>
  <c r="AG52" i="4" s="1"/>
  <c r="AG42" i="4" s="1"/>
  <c r="AL59" i="4"/>
  <c r="AL61" i="4" s="1"/>
  <c r="AL64" i="4" s="1"/>
  <c r="I94" i="4"/>
  <c r="I96" i="4" s="1"/>
  <c r="AJ50" i="4"/>
  <c r="AJ32" i="4" s="1"/>
  <c r="AO34" i="4"/>
  <c r="AN36" i="4"/>
  <c r="AO35" i="4" s="1"/>
  <c r="AN47" i="4"/>
  <c r="AH51" i="4"/>
  <c r="H38" i="4"/>
  <c r="H78" i="4"/>
  <c r="H100" i="4" s="1"/>
  <c r="H65" i="4"/>
  <c r="H55" i="4" s="1"/>
  <c r="I48" i="4"/>
  <c r="I49" i="4" s="1"/>
  <c r="I39" i="4"/>
  <c r="I69" i="4" s="1"/>
  <c r="I71" i="4" s="1"/>
  <c r="I41" i="4"/>
  <c r="J50" i="4"/>
  <c r="J32" i="4" s="1"/>
  <c r="K51" i="4"/>
  <c r="K89" i="4"/>
  <c r="J88" i="4"/>
  <c r="AK38" i="4"/>
  <c r="AJ40" i="4"/>
  <c r="AJ41" i="4" s="1"/>
  <c r="M43" i="4"/>
  <c r="M56" i="4"/>
  <c r="M52" i="4"/>
  <c r="M42" i="4" s="1"/>
  <c r="H40" i="4"/>
  <c r="AI51" i="4"/>
  <c r="L93" i="4"/>
  <c r="L97" i="4" s="1"/>
  <c r="L98" i="4" s="1"/>
  <c r="L99" i="4" s="1"/>
  <c r="L101" i="4" s="1"/>
  <c r="L53" i="4"/>
  <c r="AK65" i="4"/>
  <c r="AF43" i="4"/>
  <c r="AF44" i="4" s="1"/>
  <c r="AF56" i="4"/>
  <c r="J75" i="4"/>
  <c r="J77" i="4" s="1"/>
  <c r="J79" i="4" s="1"/>
  <c r="AM63" i="4"/>
  <c r="AM65" i="4" s="1"/>
  <c r="AN20" i="4"/>
  <c r="AL65" i="4"/>
  <c r="AV22" i="4"/>
  <c r="AT30" i="4"/>
  <c r="AE40" i="3"/>
  <c r="AF38" i="3"/>
  <c r="AF65" i="3"/>
  <c r="AE39" i="3"/>
  <c r="AE48" i="3"/>
  <c r="AE49" i="3" s="1"/>
  <c r="AE50" i="3" s="1"/>
  <c r="AE32" i="3" s="1"/>
  <c r="AE41" i="3"/>
  <c r="AG38" i="3"/>
  <c r="AF40" i="3"/>
  <c r="AG65" i="3"/>
  <c r="M39" i="3"/>
  <c r="M41" i="3" s="1"/>
  <c r="AH37" i="3"/>
  <c r="AH59" i="3"/>
  <c r="AH61" i="3" s="1"/>
  <c r="AH64" i="3" s="1"/>
  <c r="AI20" i="3"/>
  <c r="AI63" i="3" s="1"/>
  <c r="L65" i="3"/>
  <c r="L38" i="3"/>
  <c r="L40" i="3"/>
  <c r="J61" i="3"/>
  <c r="K64" i="3"/>
  <c r="AU22" i="3"/>
  <c r="AS30" i="3"/>
  <c r="AJ34" i="3"/>
  <c r="AI36" i="3"/>
  <c r="AJ35" i="3" s="1"/>
  <c r="AJ47" i="3" s="1"/>
  <c r="AH53" i="8" l="1"/>
  <c r="AH52" i="8" s="1"/>
  <c r="AH42" i="8" s="1"/>
  <c r="AL48" i="8"/>
  <c r="AL49" i="8" s="1"/>
  <c r="AL39" i="8"/>
  <c r="AL41" i="8" s="1"/>
  <c r="H94" i="8"/>
  <c r="H96" i="8" s="1"/>
  <c r="G55" i="8"/>
  <c r="K93" i="8"/>
  <c r="K97" i="8" s="1"/>
  <c r="K98" i="8" s="1"/>
  <c r="K99" i="8" s="1"/>
  <c r="K101" i="8" s="1"/>
  <c r="K53" i="8"/>
  <c r="H55" i="8"/>
  <c r="L43" i="8"/>
  <c r="L44" i="8" s="1"/>
  <c r="L56" i="8"/>
  <c r="AN59" i="8"/>
  <c r="AN61" i="8" s="1"/>
  <c r="AN64" i="8" s="1"/>
  <c r="AK55" i="8"/>
  <c r="AM38" i="8"/>
  <c r="AL40" i="8"/>
  <c r="H39" i="8"/>
  <c r="H69" i="8" s="1"/>
  <c r="H71" i="8" s="1"/>
  <c r="H48" i="8"/>
  <c r="H49" i="8" s="1"/>
  <c r="H41" i="8"/>
  <c r="J89" i="8"/>
  <c r="I88" i="8"/>
  <c r="AM65" i="8"/>
  <c r="I50" i="8"/>
  <c r="I32" i="8" s="1"/>
  <c r="AG43" i="8"/>
  <c r="AG56" i="8"/>
  <c r="J75" i="8"/>
  <c r="J77" i="8" s="1"/>
  <c r="J79" i="8" s="1"/>
  <c r="AJ53" i="8"/>
  <c r="AJ52" i="8" s="1"/>
  <c r="AJ42" i="8" s="1"/>
  <c r="AU22" i="8"/>
  <c r="AS30" i="8"/>
  <c r="J51" i="8"/>
  <c r="F64" i="8"/>
  <c r="E61" i="8"/>
  <c r="F40" i="8"/>
  <c r="G38" i="8"/>
  <c r="G78" i="8"/>
  <c r="G100" i="8" s="1"/>
  <c r="G65" i="8"/>
  <c r="G40" i="8"/>
  <c r="AN63" i="8"/>
  <c r="AO20" i="8"/>
  <c r="I75" i="8"/>
  <c r="AK50" i="8"/>
  <c r="AK32" i="8" s="1"/>
  <c r="AK51" i="8"/>
  <c r="AI53" i="8"/>
  <c r="AG52" i="8"/>
  <c r="AG42" i="8" s="1"/>
  <c r="AG44" i="8" s="1"/>
  <c r="AO36" i="8"/>
  <c r="AP35" i="8" s="1"/>
  <c r="AO47" i="8"/>
  <c r="AP34" i="8"/>
  <c r="AU22" i="7"/>
  <c r="AS30" i="7"/>
  <c r="AJ41" i="6"/>
  <c r="I41" i="6"/>
  <c r="I75" i="6" s="1"/>
  <c r="I77" i="6" s="1"/>
  <c r="I79" i="6" s="1"/>
  <c r="G38" i="6"/>
  <c r="G78" i="6"/>
  <c r="G100" i="6" s="1"/>
  <c r="G65" i="6"/>
  <c r="F64" i="6"/>
  <c r="F40" i="6" s="1"/>
  <c r="E61" i="6"/>
  <c r="AX23" i="6"/>
  <c r="AK40" i="6"/>
  <c r="AL38" i="6"/>
  <c r="M44" i="6"/>
  <c r="AN47" i="6"/>
  <c r="AO34" i="6"/>
  <c r="AN36" i="6"/>
  <c r="AO35" i="6" s="1"/>
  <c r="J93" i="6"/>
  <c r="J97" i="6" s="1"/>
  <c r="J53" i="6"/>
  <c r="J89" i="6"/>
  <c r="I88" i="6"/>
  <c r="AK48" i="6"/>
  <c r="AK49" i="6" s="1"/>
  <c r="AK39" i="6"/>
  <c r="AW22" i="6"/>
  <c r="AV30" i="6" s="1"/>
  <c r="AG53" i="6"/>
  <c r="AH53" i="6"/>
  <c r="AH52" i="6" s="1"/>
  <c r="AH42" i="6" s="1"/>
  <c r="K43" i="6"/>
  <c r="K44" i="6" s="1"/>
  <c r="K56" i="6"/>
  <c r="I50" i="6"/>
  <c r="I32" i="6" s="1"/>
  <c r="I51" i="6"/>
  <c r="H94" i="6"/>
  <c r="H96" i="6" s="1"/>
  <c r="K98" i="6"/>
  <c r="K99" i="6" s="1"/>
  <c r="K101" i="6" s="1"/>
  <c r="AM37" i="6"/>
  <c r="AF44" i="6"/>
  <c r="AM63" i="6"/>
  <c r="AN20" i="6"/>
  <c r="AL65" i="6"/>
  <c r="G40" i="6"/>
  <c r="H39" i="6"/>
  <c r="H69" i="6" s="1"/>
  <c r="H71" i="6" s="1"/>
  <c r="H48" i="6"/>
  <c r="H49" i="6" s="1"/>
  <c r="H41" i="6"/>
  <c r="AJ50" i="6"/>
  <c r="AJ32" i="6" s="1"/>
  <c r="AI50" i="6"/>
  <c r="AI32" i="6" s="1"/>
  <c r="J77" i="5"/>
  <c r="J79" i="5" s="1"/>
  <c r="AN37" i="5"/>
  <c r="AM65" i="5"/>
  <c r="L43" i="5"/>
  <c r="L56" i="5"/>
  <c r="AO36" i="5"/>
  <c r="AP35" i="5" s="1"/>
  <c r="AO37" i="5"/>
  <c r="AP34" i="5"/>
  <c r="AO47" i="5"/>
  <c r="AG43" i="5"/>
  <c r="AG56" i="5"/>
  <c r="AH44" i="5"/>
  <c r="AN59" i="5"/>
  <c r="AN61" i="5" s="1"/>
  <c r="AN64" i="5" s="1"/>
  <c r="AL38" i="5"/>
  <c r="AK40" i="5"/>
  <c r="AL65" i="5"/>
  <c r="J89" i="5"/>
  <c r="I88" i="5"/>
  <c r="AG52" i="5"/>
  <c r="AG42" i="5" s="1"/>
  <c r="AG44" i="5" s="1"/>
  <c r="AM38" i="5"/>
  <c r="AL40" i="5"/>
  <c r="H39" i="5"/>
  <c r="H69" i="5" s="1"/>
  <c r="H71" i="5" s="1"/>
  <c r="H48" i="5"/>
  <c r="H49" i="5" s="1"/>
  <c r="H41" i="5"/>
  <c r="F64" i="5"/>
  <c r="E61" i="5"/>
  <c r="K93" i="5"/>
  <c r="K97" i="5" s="1"/>
  <c r="K98" i="5" s="1"/>
  <c r="K99" i="5" s="1"/>
  <c r="K101" i="5" s="1"/>
  <c r="K53" i="5"/>
  <c r="L52" i="5"/>
  <c r="L42" i="5" s="1"/>
  <c r="L44" i="5" s="1"/>
  <c r="AJ50" i="5"/>
  <c r="AJ32" i="5" s="1"/>
  <c r="AY23" i="5"/>
  <c r="AW30" i="5"/>
  <c r="J93" i="5"/>
  <c r="J97" i="5" s="1"/>
  <c r="J98" i="5" s="1"/>
  <c r="J99" i="5" s="1"/>
  <c r="J101" i="5" s="1"/>
  <c r="J53" i="5"/>
  <c r="AN63" i="5"/>
  <c r="AO20" i="5"/>
  <c r="G55" i="5"/>
  <c r="H94" i="5"/>
  <c r="H96" i="5" s="1"/>
  <c r="I75" i="5"/>
  <c r="I77" i="5" s="1"/>
  <c r="I79" i="5" s="1"/>
  <c r="AK48" i="5"/>
  <c r="AK49" i="5" s="1"/>
  <c r="AK39" i="5"/>
  <c r="I50" i="5"/>
  <c r="I32" i="5" s="1"/>
  <c r="I51" i="5"/>
  <c r="AI53" i="5"/>
  <c r="G78" i="5"/>
  <c r="G100" i="5" s="1"/>
  <c r="G38" i="5"/>
  <c r="F40" i="5"/>
  <c r="G65" i="5"/>
  <c r="AH43" i="5"/>
  <c r="AH56" i="5"/>
  <c r="M44" i="4"/>
  <c r="AJ51" i="4"/>
  <c r="AK55" i="4"/>
  <c r="J89" i="4"/>
  <c r="I88" i="4"/>
  <c r="AI53" i="4"/>
  <c r="AI52" i="4"/>
  <c r="AI42" i="4" s="1"/>
  <c r="AO47" i="4"/>
  <c r="AO36" i="4"/>
  <c r="AP35" i="4" s="1"/>
  <c r="AO37" i="4"/>
  <c r="AP34" i="4"/>
  <c r="AK48" i="4"/>
  <c r="AK49" i="4" s="1"/>
  <c r="AK39" i="4"/>
  <c r="AK41" i="4"/>
  <c r="K53" i="4"/>
  <c r="K52" i="4" s="1"/>
  <c r="K42" i="4" s="1"/>
  <c r="K93" i="4"/>
  <c r="K97" i="4" s="1"/>
  <c r="K98" i="4" s="1"/>
  <c r="K99" i="4" s="1"/>
  <c r="K101" i="4" s="1"/>
  <c r="J51" i="4"/>
  <c r="L43" i="4"/>
  <c r="L56" i="4"/>
  <c r="AU30" i="4"/>
  <c r="AW22" i="4"/>
  <c r="AL55" i="4"/>
  <c r="I75" i="4"/>
  <c r="I77" i="4" s="1"/>
  <c r="I79" i="4" s="1"/>
  <c r="AG43" i="4"/>
  <c r="AG44" i="4" s="1"/>
  <c r="AG56" i="4"/>
  <c r="AM38" i="4"/>
  <c r="AL40" i="4"/>
  <c r="AH53" i="4"/>
  <c r="AH52" i="4" s="1"/>
  <c r="AH42" i="4" s="1"/>
  <c r="AN37" i="4"/>
  <c r="AN63" i="4"/>
  <c r="AO20" i="4"/>
  <c r="AL38" i="4"/>
  <c r="AK40" i="4"/>
  <c r="AJ55" i="4"/>
  <c r="I50" i="4"/>
  <c r="I32" i="4" s="1"/>
  <c r="I51" i="4"/>
  <c r="F64" i="4"/>
  <c r="F40" i="4" s="1"/>
  <c r="E61" i="4"/>
  <c r="H94" i="4"/>
  <c r="H96" i="4" s="1"/>
  <c r="G78" i="4"/>
  <c r="G100" i="4" s="1"/>
  <c r="G38" i="4"/>
  <c r="G65" i="4"/>
  <c r="G55" i="4" s="1"/>
  <c r="G40" i="4"/>
  <c r="L52" i="4"/>
  <c r="L42" i="4" s="1"/>
  <c r="H39" i="4"/>
  <c r="H69" i="4" s="1"/>
  <c r="H71" i="4" s="1"/>
  <c r="H48" i="4"/>
  <c r="H49" i="4" s="1"/>
  <c r="H41" i="4"/>
  <c r="AG39" i="3"/>
  <c r="AG48" i="3"/>
  <c r="AG49" i="3" s="1"/>
  <c r="AG50" i="3" s="1"/>
  <c r="AG32" i="3" s="1"/>
  <c r="L39" i="3"/>
  <c r="L48" i="3"/>
  <c r="L49" i="3" s="1"/>
  <c r="L50" i="3" s="1"/>
  <c r="L32" i="3" s="1"/>
  <c r="AH38" i="3"/>
  <c r="AG40" i="3"/>
  <c r="AG41" i="3" s="1"/>
  <c r="AH65" i="3"/>
  <c r="AF39" i="3"/>
  <c r="AF48" i="3"/>
  <c r="AF49" i="3" s="1"/>
  <c r="AF50" i="3" s="1"/>
  <c r="AF32" i="3" s="1"/>
  <c r="AF41" i="3"/>
  <c r="L41" i="3"/>
  <c r="K38" i="3"/>
  <c r="K65" i="3"/>
  <c r="AV22" i="3"/>
  <c r="AT30" i="3"/>
  <c r="I61" i="3"/>
  <c r="J64" i="3"/>
  <c r="K40" i="3"/>
  <c r="AK34" i="3"/>
  <c r="AJ36" i="3"/>
  <c r="AK35" i="3" s="1"/>
  <c r="AK47" i="3" s="1"/>
  <c r="AI37" i="3"/>
  <c r="AJ20" i="3"/>
  <c r="AJ63" i="3" s="1"/>
  <c r="K43" i="8" l="1"/>
  <c r="K56" i="8"/>
  <c r="AK56" i="8"/>
  <c r="AI43" i="8"/>
  <c r="AI56" i="8"/>
  <c r="AN38" i="8"/>
  <c r="AM40" i="8"/>
  <c r="AN65" i="8"/>
  <c r="G94" i="8"/>
  <c r="G96" i="8" s="1"/>
  <c r="F55" i="8"/>
  <c r="I89" i="8"/>
  <c r="H88" i="8"/>
  <c r="AM39" i="8"/>
  <c r="AM48" i="8"/>
  <c r="AM49" i="8" s="1"/>
  <c r="AM41" i="8"/>
  <c r="AI52" i="8"/>
  <c r="AI42" i="8" s="1"/>
  <c r="AK53" i="8"/>
  <c r="AK43" i="8" s="1"/>
  <c r="AK52" i="8"/>
  <c r="AK42" i="8" s="1"/>
  <c r="AK44" i="8" s="1"/>
  <c r="I77" i="8"/>
  <c r="I79" i="8" s="1"/>
  <c r="AO63" i="8"/>
  <c r="AP20" i="8"/>
  <c r="G48" i="8"/>
  <c r="G49" i="8" s="1"/>
  <c r="G39" i="8"/>
  <c r="G69" i="8" s="1"/>
  <c r="G71" i="8" s="1"/>
  <c r="G41" i="8"/>
  <c r="AL50" i="8"/>
  <c r="AL32" i="8" s="1"/>
  <c r="AL51" i="8"/>
  <c r="E64" i="8"/>
  <c r="D61" i="8"/>
  <c r="J53" i="8"/>
  <c r="J93" i="8"/>
  <c r="J97" i="8" s="1"/>
  <c r="J98" i="8" s="1"/>
  <c r="J99" i="8" s="1"/>
  <c r="J101" i="8" s="1"/>
  <c r="AP47" i="8"/>
  <c r="AP36" i="8"/>
  <c r="AQ35" i="8" s="1"/>
  <c r="AQ34" i="8"/>
  <c r="AT30" i="8"/>
  <c r="AV22" i="8"/>
  <c r="AJ43" i="8"/>
  <c r="AJ44" i="8" s="1"/>
  <c r="AJ56" i="8"/>
  <c r="K52" i="8"/>
  <c r="K42" i="8" s="1"/>
  <c r="K44" i="8" s="1"/>
  <c r="I51" i="8"/>
  <c r="AL55" i="8"/>
  <c r="H75" i="8"/>
  <c r="H77" i="8" s="1"/>
  <c r="H79" i="8" s="1"/>
  <c r="H50" i="8"/>
  <c r="H32" i="8" s="1"/>
  <c r="AH43" i="8"/>
  <c r="AH44" i="8" s="1"/>
  <c r="AH56" i="8"/>
  <c r="AO37" i="8"/>
  <c r="E40" i="8"/>
  <c r="F38" i="8"/>
  <c r="F78" i="8"/>
  <c r="F100" i="8" s="1"/>
  <c r="F65" i="8"/>
  <c r="AV22" i="7"/>
  <c r="AT30" i="7"/>
  <c r="AK41" i="6"/>
  <c r="AI51" i="6"/>
  <c r="AO36" i="6"/>
  <c r="AP35" i="6" s="1"/>
  <c r="AP34" i="6"/>
  <c r="AO47" i="6"/>
  <c r="AK55" i="6"/>
  <c r="G39" i="6"/>
  <c r="G69" i="6" s="1"/>
  <c r="G71" i="6" s="1"/>
  <c r="G48" i="6"/>
  <c r="G49" i="6" s="1"/>
  <c r="G41" i="6"/>
  <c r="I93" i="6"/>
  <c r="I97" i="6" s="1"/>
  <c r="I53" i="6"/>
  <c r="I52" i="6" s="1"/>
  <c r="I42" i="6" s="1"/>
  <c r="AJ51" i="6"/>
  <c r="H75" i="6"/>
  <c r="H77" i="6" s="1"/>
  <c r="H79" i="6" s="1"/>
  <c r="H50" i="6"/>
  <c r="H32" i="6" s="1"/>
  <c r="AH43" i="6"/>
  <c r="AH44" i="6" s="1"/>
  <c r="AH56" i="6"/>
  <c r="AX22" i="6"/>
  <c r="AW30" i="6" s="1"/>
  <c r="F55" i="6"/>
  <c r="G94" i="6"/>
  <c r="G96" i="6" s="1"/>
  <c r="J56" i="6"/>
  <c r="J43" i="6"/>
  <c r="AN37" i="6"/>
  <c r="AG43" i="6"/>
  <c r="AG56" i="6"/>
  <c r="AG52" i="6"/>
  <c r="AG42" i="6" s="1"/>
  <c r="AN63" i="6"/>
  <c r="AO20" i="6"/>
  <c r="F38" i="6"/>
  <c r="F78" i="6"/>
  <c r="F100" i="6" s="1"/>
  <c r="F65" i="6"/>
  <c r="J98" i="6"/>
  <c r="J99" i="6" s="1"/>
  <c r="J101" i="6" s="1"/>
  <c r="AL48" i="6"/>
  <c r="AL49" i="6" s="1"/>
  <c r="AL39" i="6"/>
  <c r="AY23" i="6"/>
  <c r="E64" i="6"/>
  <c r="E40" i="6" s="1"/>
  <c r="D61" i="6"/>
  <c r="AK50" i="6"/>
  <c r="AK32" i="6" s="1"/>
  <c r="AM59" i="6"/>
  <c r="AM61" i="6" s="1"/>
  <c r="AM64" i="6" s="1"/>
  <c r="AM65" i="6" s="1"/>
  <c r="I89" i="6"/>
  <c r="H88" i="6"/>
  <c r="G55" i="6"/>
  <c r="J52" i="6"/>
  <c r="J42" i="6" s="1"/>
  <c r="J44" i="6" s="1"/>
  <c r="AK41" i="5"/>
  <c r="AI43" i="5"/>
  <c r="AI56" i="5"/>
  <c r="I53" i="5"/>
  <c r="I52" i="5"/>
  <c r="I42" i="5" s="1"/>
  <c r="I93" i="5"/>
  <c r="I97" i="5" s="1"/>
  <c r="I98" i="5" s="1"/>
  <c r="I99" i="5" s="1"/>
  <c r="I101" i="5" s="1"/>
  <c r="J43" i="5"/>
  <c r="J56" i="5"/>
  <c r="G48" i="5"/>
  <c r="G49" i="5" s="1"/>
  <c r="G39" i="5"/>
  <c r="G69" i="5" s="1"/>
  <c r="G71" i="5" s="1"/>
  <c r="G41" i="5"/>
  <c r="AL48" i="5"/>
  <c r="AL49" i="5" s="1"/>
  <c r="AL39" i="5"/>
  <c r="AL41" i="5"/>
  <c r="K43" i="5"/>
  <c r="K56" i="5"/>
  <c r="I89" i="5"/>
  <c r="H88" i="5"/>
  <c r="J52" i="5"/>
  <c r="J42" i="5" s="1"/>
  <c r="AI52" i="5"/>
  <c r="AI42" i="5" s="1"/>
  <c r="AJ51" i="5"/>
  <c r="AN38" i="5"/>
  <c r="AM40" i="5"/>
  <c r="E64" i="5"/>
  <c r="D61" i="5"/>
  <c r="AO59" i="5"/>
  <c r="AO61" i="5" s="1"/>
  <c r="AO64" i="5" s="1"/>
  <c r="H75" i="5"/>
  <c r="H77" i="5" s="1"/>
  <c r="H79" i="5" s="1"/>
  <c r="H50" i="5"/>
  <c r="H32" i="5" s="1"/>
  <c r="H51" i="5"/>
  <c r="AN65" i="5"/>
  <c r="AK55" i="5"/>
  <c r="AX30" i="5"/>
  <c r="AZ23" i="5"/>
  <c r="AK50" i="5"/>
  <c r="AK32" i="5" s="1"/>
  <c r="K52" i="5"/>
  <c r="K42" i="5" s="1"/>
  <c r="F78" i="5"/>
  <c r="F100" i="5" s="1"/>
  <c r="F38" i="5"/>
  <c r="F65" i="5"/>
  <c r="F55" i="5" s="1"/>
  <c r="AP47" i="5"/>
  <c r="AQ34" i="5"/>
  <c r="AP36" i="5"/>
  <c r="AQ35" i="5" s="1"/>
  <c r="AO63" i="5"/>
  <c r="AP20" i="5"/>
  <c r="G94" i="5"/>
  <c r="G96" i="5" s="1"/>
  <c r="AL55" i="5"/>
  <c r="AM39" i="5"/>
  <c r="AM41" i="5" s="1"/>
  <c r="AM48" i="5"/>
  <c r="AM49" i="5" s="1"/>
  <c r="L44" i="4"/>
  <c r="AO63" i="4"/>
  <c r="AP20" i="4"/>
  <c r="H50" i="4"/>
  <c r="H32" i="4" s="1"/>
  <c r="AM48" i="4"/>
  <c r="AM49" i="4" s="1"/>
  <c r="AM39" i="4"/>
  <c r="K43" i="4"/>
  <c r="K44" i="4" s="1"/>
  <c r="K56" i="4"/>
  <c r="AK50" i="4"/>
  <c r="AK32" i="4" s="1"/>
  <c r="AO59" i="4"/>
  <c r="AO61" i="4" s="1"/>
  <c r="AO64" i="4" s="1"/>
  <c r="E64" i="4"/>
  <c r="D61" i="4"/>
  <c r="F78" i="4"/>
  <c r="F100" i="4" s="1"/>
  <c r="F38" i="4"/>
  <c r="E40" i="4"/>
  <c r="F65" i="4"/>
  <c r="F55" i="4" s="1"/>
  <c r="I93" i="4"/>
  <c r="I97" i="4" s="1"/>
  <c r="I98" i="4" s="1"/>
  <c r="I99" i="4" s="1"/>
  <c r="I101" i="4" s="1"/>
  <c r="I53" i="4"/>
  <c r="AJ56" i="4"/>
  <c r="AN59" i="4"/>
  <c r="AN61" i="4" s="1"/>
  <c r="AN64" i="4" s="1"/>
  <c r="AH43" i="4"/>
  <c r="AH44" i="4" s="1"/>
  <c r="AH56" i="4"/>
  <c r="AI43" i="4"/>
  <c r="AI44" i="4" s="1"/>
  <c r="AI56" i="4"/>
  <c r="AV30" i="4"/>
  <c r="AX22" i="4"/>
  <c r="I89" i="4"/>
  <c r="H88" i="4"/>
  <c r="H75" i="4"/>
  <c r="H77" i="4" s="1"/>
  <c r="H79" i="4" s="1"/>
  <c r="G94" i="4"/>
  <c r="G96" i="4" s="1"/>
  <c r="G39" i="4"/>
  <c r="G69" i="4" s="1"/>
  <c r="G71" i="4" s="1"/>
  <c r="G48" i="4"/>
  <c r="G49" i="4" s="1"/>
  <c r="G41" i="4"/>
  <c r="AP36" i="4"/>
  <c r="AQ35" i="4" s="1"/>
  <c r="AP37" i="4"/>
  <c r="AQ34" i="4"/>
  <c r="AP47" i="4"/>
  <c r="AL48" i="4"/>
  <c r="AL49" i="4" s="1"/>
  <c r="AL39" i="4"/>
  <c r="AL41" i="4" s="1"/>
  <c r="J53" i="4"/>
  <c r="J93" i="4"/>
  <c r="J97" i="4" s="1"/>
  <c r="J98" i="4" s="1"/>
  <c r="J99" i="4" s="1"/>
  <c r="J101" i="4" s="1"/>
  <c r="AJ53" i="4"/>
  <c r="AJ43" i="4" s="1"/>
  <c r="AH39" i="3"/>
  <c r="AH48" i="3"/>
  <c r="AH49" i="3" s="1"/>
  <c r="AH50" i="3" s="1"/>
  <c r="AH32" i="3" s="1"/>
  <c r="K39" i="3"/>
  <c r="K48" i="3"/>
  <c r="K49" i="3" s="1"/>
  <c r="K50" i="3" s="1"/>
  <c r="K32" i="3" s="1"/>
  <c r="AK20" i="3"/>
  <c r="AK63" i="3" s="1"/>
  <c r="J65" i="3"/>
  <c r="J38" i="3"/>
  <c r="AI59" i="3"/>
  <c r="AI61" i="3" s="1"/>
  <c r="AI64" i="3" s="1"/>
  <c r="AJ37" i="3"/>
  <c r="H61" i="3"/>
  <c r="I64" i="3"/>
  <c r="AW22" i="3"/>
  <c r="AU30" i="3"/>
  <c r="J40" i="3"/>
  <c r="K41" i="3"/>
  <c r="AL34" i="3"/>
  <c r="AK36" i="3"/>
  <c r="AL35" i="3" s="1"/>
  <c r="AL47" i="3" s="1"/>
  <c r="J43" i="8" l="1"/>
  <c r="J56" i="8"/>
  <c r="F48" i="8"/>
  <c r="F49" i="8" s="1"/>
  <c r="F39" i="8"/>
  <c r="F69" i="8" s="1"/>
  <c r="F71" i="8" s="1"/>
  <c r="F41" i="8"/>
  <c r="H89" i="8"/>
  <c r="G88" i="8"/>
  <c r="H51" i="8"/>
  <c r="I93" i="8"/>
  <c r="I97" i="8" s="1"/>
  <c r="I98" i="8" s="1"/>
  <c r="I99" i="8" s="1"/>
  <c r="I101" i="8" s="1"/>
  <c r="I53" i="8"/>
  <c r="I52" i="8"/>
  <c r="I42" i="8" s="1"/>
  <c r="AO59" i="8"/>
  <c r="AO61" i="8" s="1"/>
  <c r="AO64" i="8" s="1"/>
  <c r="D64" i="8"/>
  <c r="C61" i="8"/>
  <c r="C64" i="8" s="1"/>
  <c r="E78" i="8"/>
  <c r="E100" i="8" s="1"/>
  <c r="E38" i="8"/>
  <c r="E65" i="8"/>
  <c r="G51" i="8"/>
  <c r="G50" i="8"/>
  <c r="G32" i="8" s="1"/>
  <c r="E55" i="8"/>
  <c r="F94" i="8"/>
  <c r="F96" i="8" s="1"/>
  <c r="AP37" i="8"/>
  <c r="AQ47" i="8"/>
  <c r="AQ36" i="8"/>
  <c r="AR35" i="8" s="1"/>
  <c r="AR34" i="8"/>
  <c r="AQ37" i="8"/>
  <c r="AM50" i="8"/>
  <c r="AM32" i="8" s="1"/>
  <c r="J52" i="8"/>
  <c r="J42" i="8" s="1"/>
  <c r="J44" i="8" s="1"/>
  <c r="AL53" i="8"/>
  <c r="AL43" i="8" s="1"/>
  <c r="AL52" i="8"/>
  <c r="AL42" i="8" s="1"/>
  <c r="AL44" i="8" s="1"/>
  <c r="AM55" i="8"/>
  <c r="G75" i="8"/>
  <c r="G77" i="8" s="1"/>
  <c r="G79" i="8" s="1"/>
  <c r="AN39" i="8"/>
  <c r="AN48" i="8"/>
  <c r="AN49" i="8" s="1"/>
  <c r="AP63" i="8"/>
  <c r="AQ20" i="8"/>
  <c r="AU30" i="8"/>
  <c r="AW22" i="8"/>
  <c r="AI44" i="8"/>
  <c r="AU30" i="7"/>
  <c r="AW22" i="7"/>
  <c r="AG44" i="6"/>
  <c r="AO37" i="6"/>
  <c r="I98" i="6"/>
  <c r="I99" i="6" s="1"/>
  <c r="I101" i="6" s="1"/>
  <c r="F48" i="6"/>
  <c r="F49" i="6" s="1"/>
  <c r="F39" i="6"/>
  <c r="F69" i="6" s="1"/>
  <c r="F71" i="6" s="1"/>
  <c r="AO63" i="6"/>
  <c r="AP20" i="6"/>
  <c r="AL40" i="6"/>
  <c r="AL41" i="6" s="1"/>
  <c r="AM38" i="6"/>
  <c r="AK51" i="6"/>
  <c r="D64" i="6"/>
  <c r="C61" i="6"/>
  <c r="E78" i="6"/>
  <c r="E100" i="6" s="1"/>
  <c r="E38" i="6"/>
  <c r="D40" i="6"/>
  <c r="E65" i="6"/>
  <c r="AP36" i="6"/>
  <c r="AQ35" i="6" s="1"/>
  <c r="AQ34" i="6"/>
  <c r="AP47" i="6"/>
  <c r="AJ53" i="6"/>
  <c r="G75" i="6"/>
  <c r="G77" i="6" s="1"/>
  <c r="G79" i="6" s="1"/>
  <c r="AO59" i="6"/>
  <c r="AO61" i="6" s="1"/>
  <c r="AO64" i="6" s="1"/>
  <c r="AL50" i="6"/>
  <c r="AL32" i="6" s="1"/>
  <c r="AY22" i="6"/>
  <c r="AX30" i="6" s="1"/>
  <c r="AI53" i="6"/>
  <c r="AI52" i="6"/>
  <c r="AI42" i="6" s="1"/>
  <c r="AL55" i="6"/>
  <c r="I43" i="6"/>
  <c r="I44" i="6" s="1"/>
  <c r="I56" i="6"/>
  <c r="G50" i="6"/>
  <c r="G32" i="6" s="1"/>
  <c r="G51" i="6"/>
  <c r="H51" i="6"/>
  <c r="H89" i="6"/>
  <c r="G88" i="6"/>
  <c r="AN59" i="6"/>
  <c r="AN61" i="6" s="1"/>
  <c r="AN64" i="6" s="1"/>
  <c r="AZ23" i="6"/>
  <c r="F94" i="6"/>
  <c r="F96" i="6" s="1"/>
  <c r="AO65" i="5"/>
  <c r="AM55" i="5"/>
  <c r="H89" i="5"/>
  <c r="G88" i="5"/>
  <c r="AL50" i="5"/>
  <c r="AL32" i="5" s="1"/>
  <c r="F48" i="5"/>
  <c r="F49" i="5" s="1"/>
  <c r="F39" i="5"/>
  <c r="F69" i="5" s="1"/>
  <c r="F71" i="5" s="1"/>
  <c r="F41" i="5"/>
  <c r="AM50" i="5"/>
  <c r="AM32" i="5" s="1"/>
  <c r="H93" i="5"/>
  <c r="H97" i="5" s="1"/>
  <c r="H98" i="5" s="1"/>
  <c r="H99" i="5" s="1"/>
  <c r="H101" i="5" s="1"/>
  <c r="H53" i="5"/>
  <c r="H52" i="5" s="1"/>
  <c r="H42" i="5" s="1"/>
  <c r="AN40" i="5"/>
  <c r="AO38" i="5"/>
  <c r="D64" i="5"/>
  <c r="D40" i="5" s="1"/>
  <c r="C61" i="5"/>
  <c r="F94" i="5"/>
  <c r="F96" i="5" s="1"/>
  <c r="I43" i="5"/>
  <c r="I44" i="5" s="1"/>
  <c r="I56" i="5"/>
  <c r="AK51" i="5"/>
  <c r="AI44" i="5"/>
  <c r="AQ20" i="5"/>
  <c r="AP63" i="5"/>
  <c r="AN55" i="5"/>
  <c r="AR34" i="5"/>
  <c r="AQ47" i="5"/>
  <c r="AQ36" i="5"/>
  <c r="AR35" i="5" s="1"/>
  <c r="G75" i="5"/>
  <c r="G77" i="5" s="1"/>
  <c r="G79" i="5" s="1"/>
  <c r="AP37" i="5"/>
  <c r="G50" i="5"/>
  <c r="G32" i="5" s="1"/>
  <c r="E78" i="5"/>
  <c r="E100" i="5" s="1"/>
  <c r="E38" i="5"/>
  <c r="E65" i="5"/>
  <c r="E40" i="5"/>
  <c r="K44" i="5"/>
  <c r="AN48" i="5"/>
  <c r="AN49" i="5" s="1"/>
  <c r="AN39" i="5"/>
  <c r="AJ53" i="5"/>
  <c r="AJ52" i="5" s="1"/>
  <c r="AJ42" i="5" s="1"/>
  <c r="AY30" i="5"/>
  <c r="BA23" i="5"/>
  <c r="J44" i="5"/>
  <c r="AK51" i="4"/>
  <c r="AM50" i="4"/>
  <c r="AM32" i="4" s="1"/>
  <c r="AP59" i="4"/>
  <c r="AP61" i="4" s="1"/>
  <c r="AP64" i="4" s="1"/>
  <c r="AN38" i="4"/>
  <c r="AM40" i="4"/>
  <c r="AM41" i="4" s="1"/>
  <c r="H51" i="4"/>
  <c r="AW30" i="4"/>
  <c r="AY22" i="4"/>
  <c r="AL50" i="4"/>
  <c r="AL32" i="4" s="1"/>
  <c r="AQ36" i="4"/>
  <c r="AR35" i="4" s="1"/>
  <c r="AQ47" i="4"/>
  <c r="AR34" i="4"/>
  <c r="AJ52" i="4"/>
  <c r="AJ42" i="4" s="1"/>
  <c r="AJ44" i="4" s="1"/>
  <c r="AO65" i="4"/>
  <c r="G75" i="4"/>
  <c r="G77" i="4" s="1"/>
  <c r="G79" i="4" s="1"/>
  <c r="I56" i="4"/>
  <c r="I43" i="4"/>
  <c r="F94" i="4"/>
  <c r="F96" i="4" s="1"/>
  <c r="AN65" i="4"/>
  <c r="F39" i="4"/>
  <c r="F69" i="4" s="1"/>
  <c r="F71" i="4" s="1"/>
  <c r="F48" i="4"/>
  <c r="F49" i="4" s="1"/>
  <c r="D64" i="4"/>
  <c r="D40" i="4" s="1"/>
  <c r="C61" i="4"/>
  <c r="C64" i="4" s="1"/>
  <c r="J43" i="4"/>
  <c r="J56" i="4"/>
  <c r="AN40" i="4"/>
  <c r="AO38" i="4"/>
  <c r="G50" i="4"/>
  <c r="G32" i="4" s="1"/>
  <c r="I52" i="4"/>
  <c r="I42" i="4" s="1"/>
  <c r="AP63" i="4"/>
  <c r="AQ20" i="4"/>
  <c r="J52" i="4"/>
  <c r="J42" i="4" s="1"/>
  <c r="H89" i="4"/>
  <c r="G88" i="4"/>
  <c r="E78" i="4"/>
  <c r="E100" i="4" s="1"/>
  <c r="E38" i="4"/>
  <c r="E65" i="4"/>
  <c r="AI38" i="3"/>
  <c r="AH40" i="3"/>
  <c r="AH41" i="3" s="1"/>
  <c r="AI65" i="3"/>
  <c r="J48" i="3"/>
  <c r="J49" i="3" s="1"/>
  <c r="J39" i="3"/>
  <c r="AK37" i="3"/>
  <c r="I65" i="3"/>
  <c r="I38" i="3"/>
  <c r="AX22" i="3"/>
  <c r="AV30" i="3"/>
  <c r="G61" i="3"/>
  <c r="H64" i="3"/>
  <c r="AJ59" i="3"/>
  <c r="AJ61" i="3" s="1"/>
  <c r="AJ64" i="3" s="1"/>
  <c r="I40" i="3"/>
  <c r="J41" i="3"/>
  <c r="AM34" i="3"/>
  <c r="AL36" i="3"/>
  <c r="AM35" i="3" s="1"/>
  <c r="AM47" i="3" s="1"/>
  <c r="AL20" i="3"/>
  <c r="AL63" i="3" s="1"/>
  <c r="C78" i="8" l="1"/>
  <c r="C100" i="8" s="1"/>
  <c r="C38" i="8"/>
  <c r="C65" i="8"/>
  <c r="C94" i="8" s="1"/>
  <c r="C96" i="8" s="1"/>
  <c r="D38" i="8"/>
  <c r="D78" i="8"/>
  <c r="D100" i="8" s="1"/>
  <c r="C40" i="8"/>
  <c r="D65" i="8"/>
  <c r="AO38" i="8"/>
  <c r="AN40" i="8"/>
  <c r="AN41" i="8" s="1"/>
  <c r="AO65" i="8"/>
  <c r="I56" i="8"/>
  <c r="I43" i="8"/>
  <c r="I44" i="8" s="1"/>
  <c r="AV30" i="8"/>
  <c r="AX22" i="8"/>
  <c r="AM51" i="8"/>
  <c r="AQ59" i="8"/>
  <c r="AQ61" i="8" s="1"/>
  <c r="AQ64" i="8" s="1"/>
  <c r="AP59" i="8"/>
  <c r="AP61" i="8" s="1"/>
  <c r="AP64" i="8" s="1"/>
  <c r="G89" i="8"/>
  <c r="F88" i="8"/>
  <c r="G93" i="8"/>
  <c r="G97" i="8" s="1"/>
  <c r="G53" i="8"/>
  <c r="G52" i="8"/>
  <c r="G42" i="8" s="1"/>
  <c r="E48" i="8"/>
  <c r="E49" i="8" s="1"/>
  <c r="E39" i="8"/>
  <c r="E69" i="8" s="1"/>
  <c r="E71" i="8" s="1"/>
  <c r="E41" i="8"/>
  <c r="AR47" i="8"/>
  <c r="AR36" i="8"/>
  <c r="AS35" i="8" s="1"/>
  <c r="AS34" i="8"/>
  <c r="H93" i="8"/>
  <c r="H97" i="8" s="1"/>
  <c r="H98" i="8" s="1"/>
  <c r="H99" i="8" s="1"/>
  <c r="H101" i="8" s="1"/>
  <c r="H53" i="8"/>
  <c r="H52" i="8"/>
  <c r="H42" i="8" s="1"/>
  <c r="AQ63" i="8"/>
  <c r="AR20" i="8"/>
  <c r="AN50" i="8"/>
  <c r="AN32" i="8" s="1"/>
  <c r="AN51" i="8"/>
  <c r="F75" i="8"/>
  <c r="F77" i="8" s="1"/>
  <c r="F79" i="8" s="1"/>
  <c r="AL56" i="8"/>
  <c r="E94" i="8"/>
  <c r="E96" i="8" s="1"/>
  <c r="D55" i="8"/>
  <c r="F50" i="8"/>
  <c r="F32" i="8" s="1"/>
  <c r="D40" i="8"/>
  <c r="AV30" i="7"/>
  <c r="AX22" i="7"/>
  <c r="F41" i="6"/>
  <c r="AP37" i="6"/>
  <c r="G93" i="6"/>
  <c r="G97" i="6" s="1"/>
  <c r="G53" i="6"/>
  <c r="E39" i="6"/>
  <c r="E69" i="6" s="1"/>
  <c r="E71" i="6" s="1"/>
  <c r="E48" i="6"/>
  <c r="E49" i="6" s="1"/>
  <c r="E41" i="6"/>
  <c r="C62" i="6"/>
  <c r="C64" i="6"/>
  <c r="AM39" i="6"/>
  <c r="AM48" i="6"/>
  <c r="AM49" i="6" s="1"/>
  <c r="AQ20" i="6"/>
  <c r="AP63" i="6"/>
  <c r="F75" i="6"/>
  <c r="F77" i="6" s="1"/>
  <c r="F79" i="6" s="1"/>
  <c r="AP59" i="6"/>
  <c r="AP61" i="6" s="1"/>
  <c r="AP64" i="6" s="1"/>
  <c r="E94" i="6"/>
  <c r="E96" i="6" s="1"/>
  <c r="D38" i="6"/>
  <c r="D78" i="6"/>
  <c r="D100" i="6" s="1"/>
  <c r="D65" i="6"/>
  <c r="D55" i="6" s="1"/>
  <c r="E55" i="6"/>
  <c r="AL51" i="6"/>
  <c r="BA23" i="6"/>
  <c r="AJ43" i="6"/>
  <c r="AJ56" i="6"/>
  <c r="AQ47" i="6"/>
  <c r="AR34" i="6"/>
  <c r="AQ36" i="6"/>
  <c r="AR35" i="6" s="1"/>
  <c r="AK53" i="6"/>
  <c r="AK52" i="6" s="1"/>
  <c r="AK42" i="6" s="1"/>
  <c r="AO65" i="6"/>
  <c r="AJ52" i="6"/>
  <c r="AJ42" i="6" s="1"/>
  <c r="AJ44" i="6" s="1"/>
  <c r="F50" i="6"/>
  <c r="F32" i="6" s="1"/>
  <c r="F51" i="6"/>
  <c r="AI43" i="6"/>
  <c r="AI44" i="6" s="1"/>
  <c r="AI56" i="6"/>
  <c r="AZ22" i="6"/>
  <c r="AY30" i="6" s="1"/>
  <c r="AN40" i="6"/>
  <c r="AO38" i="6"/>
  <c r="AM40" i="6"/>
  <c r="AM41" i="6" s="1"/>
  <c r="AN38" i="6"/>
  <c r="AN65" i="6"/>
  <c r="G89" i="6"/>
  <c r="F88" i="6"/>
  <c r="H93" i="6"/>
  <c r="H97" i="6" s="1"/>
  <c r="H98" i="6" s="1"/>
  <c r="H99" i="6" s="1"/>
  <c r="H101" i="6" s="1"/>
  <c r="H53" i="6"/>
  <c r="H52" i="6" s="1"/>
  <c r="H42" i="6" s="1"/>
  <c r="C64" i="5"/>
  <c r="C62" i="5"/>
  <c r="AN41" i="5"/>
  <c r="AZ30" i="5"/>
  <c r="BB23" i="5"/>
  <c r="AO48" i="5"/>
  <c r="AO49" i="5" s="1"/>
  <c r="AO39" i="5"/>
  <c r="AR47" i="5"/>
  <c r="AS34" i="5"/>
  <c r="AR36" i="5"/>
  <c r="AS35" i="5" s="1"/>
  <c r="AQ37" i="5"/>
  <c r="AM51" i="5"/>
  <c r="E94" i="5"/>
  <c r="E96" i="5" s="1"/>
  <c r="H43" i="5"/>
  <c r="H44" i="5" s="1"/>
  <c r="H56" i="5"/>
  <c r="F75" i="5"/>
  <c r="F77" i="5" s="1"/>
  <c r="F79" i="5" s="1"/>
  <c r="F50" i="5"/>
  <c r="F32" i="5" s="1"/>
  <c r="F51" i="5"/>
  <c r="AK53" i="5"/>
  <c r="E48" i="5"/>
  <c r="E49" i="5" s="1"/>
  <c r="E39" i="5"/>
  <c r="E69" i="5" s="1"/>
  <c r="E71" i="5" s="1"/>
  <c r="E41" i="5"/>
  <c r="G89" i="5"/>
  <c r="F88" i="5"/>
  <c r="AP59" i="5"/>
  <c r="AP61" i="5" s="1"/>
  <c r="AP64" i="5" s="1"/>
  <c r="C65" i="5"/>
  <c r="C94" i="5" s="1"/>
  <c r="C96" i="5" s="1"/>
  <c r="C78" i="5"/>
  <c r="C100" i="5" s="1"/>
  <c r="C38" i="5"/>
  <c r="AJ43" i="5"/>
  <c r="AJ44" i="5" s="1"/>
  <c r="AJ56" i="5"/>
  <c r="AN50" i="5"/>
  <c r="AN32" i="5" s="1"/>
  <c r="AQ63" i="5"/>
  <c r="AR20" i="5"/>
  <c r="AL51" i="5"/>
  <c r="E55" i="5"/>
  <c r="G51" i="5"/>
  <c r="D78" i="5"/>
  <c r="D100" i="5" s="1"/>
  <c r="C40" i="5"/>
  <c r="D38" i="5"/>
  <c r="D65" i="5"/>
  <c r="D55" i="5" s="1"/>
  <c r="G51" i="4"/>
  <c r="F41" i="4"/>
  <c r="AR47" i="4"/>
  <c r="AR36" i="4"/>
  <c r="AS35" i="4" s="1"/>
  <c r="AS34" i="4"/>
  <c r="AR37" i="4"/>
  <c r="AX30" i="4"/>
  <c r="AZ22" i="4"/>
  <c r="E39" i="4"/>
  <c r="E69" i="4" s="1"/>
  <c r="E71" i="4" s="1"/>
  <c r="E48" i="4"/>
  <c r="E49" i="4" s="1"/>
  <c r="E41" i="4"/>
  <c r="G93" i="4"/>
  <c r="G97" i="4" s="1"/>
  <c r="G53" i="4"/>
  <c r="C78" i="4"/>
  <c r="C100" i="4" s="1"/>
  <c r="C38" i="4"/>
  <c r="C65" i="4"/>
  <c r="C94" i="4" s="1"/>
  <c r="C96" i="4" s="1"/>
  <c r="AL51" i="4"/>
  <c r="G89" i="4"/>
  <c r="F88" i="4"/>
  <c r="AO48" i="4"/>
  <c r="AO49" i="4" s="1"/>
  <c r="AO39" i="4"/>
  <c r="AP38" i="4"/>
  <c r="AO40" i="4"/>
  <c r="D78" i="4"/>
  <c r="D100" i="4" s="1"/>
  <c r="C40" i="4"/>
  <c r="D38" i="4"/>
  <c r="D65" i="4"/>
  <c r="F50" i="4"/>
  <c r="F32" i="4" s="1"/>
  <c r="E94" i="4"/>
  <c r="E96" i="4" s="1"/>
  <c r="D55" i="4"/>
  <c r="AM55" i="4"/>
  <c r="E55" i="4"/>
  <c r="AN48" i="4"/>
  <c r="AN49" i="4" s="1"/>
  <c r="AN39" i="4"/>
  <c r="AN41" i="4" s="1"/>
  <c r="I44" i="4"/>
  <c r="AN55" i="4"/>
  <c r="AM51" i="4"/>
  <c r="AQ37" i="4"/>
  <c r="F75" i="4"/>
  <c r="F77" i="4" s="1"/>
  <c r="F79" i="4" s="1"/>
  <c r="H53" i="4"/>
  <c r="H52" i="4" s="1"/>
  <c r="H42" i="4" s="1"/>
  <c r="H93" i="4"/>
  <c r="H97" i="4" s="1"/>
  <c r="H98" i="4" s="1"/>
  <c r="H99" i="4" s="1"/>
  <c r="H101" i="4" s="1"/>
  <c r="J44" i="4"/>
  <c r="AQ63" i="4"/>
  <c r="AR20" i="4"/>
  <c r="AP65" i="4"/>
  <c r="AK53" i="4"/>
  <c r="J50" i="3"/>
  <c r="J32" i="3" s="1"/>
  <c r="AJ38" i="3"/>
  <c r="AI40" i="3"/>
  <c r="AJ65" i="3"/>
  <c r="AI39" i="3"/>
  <c r="AI48" i="3"/>
  <c r="AI49" i="3" s="1"/>
  <c r="AI50" i="3" s="1"/>
  <c r="AI32" i="3" s="1"/>
  <c r="AI41" i="3"/>
  <c r="I48" i="3"/>
  <c r="I49" i="3" s="1"/>
  <c r="I39" i="3"/>
  <c r="AM20" i="3"/>
  <c r="AM63" i="3" s="1"/>
  <c r="F61" i="3"/>
  <c r="G64" i="3"/>
  <c r="AW30" i="3"/>
  <c r="AY22" i="3"/>
  <c r="H65" i="3"/>
  <c r="H38" i="3"/>
  <c r="G40" i="3"/>
  <c r="H40" i="3"/>
  <c r="I41" i="3"/>
  <c r="AK59" i="3"/>
  <c r="AK61" i="3" s="1"/>
  <c r="AK64" i="3" s="1"/>
  <c r="AN34" i="3"/>
  <c r="AM36" i="3"/>
  <c r="AN35" i="3" s="1"/>
  <c r="AN47" i="3" s="1"/>
  <c r="AL37" i="3"/>
  <c r="AP40" i="8" l="1"/>
  <c r="AQ38" i="8"/>
  <c r="AR63" i="8"/>
  <c r="AS20" i="8"/>
  <c r="H43" i="8"/>
  <c r="H44" i="8" s="1"/>
  <c r="H56" i="8"/>
  <c r="AW30" i="8"/>
  <c r="AY22" i="8"/>
  <c r="F51" i="8"/>
  <c r="AN55" i="8"/>
  <c r="AN53" i="8" s="1"/>
  <c r="E75" i="8"/>
  <c r="E77" i="8" s="1"/>
  <c r="E79" i="8" s="1"/>
  <c r="E50" i="8"/>
  <c r="E32" i="8" s="1"/>
  <c r="E51" i="8"/>
  <c r="G43" i="8"/>
  <c r="G44" i="8" s="1"/>
  <c r="G56" i="8"/>
  <c r="D48" i="8"/>
  <c r="D49" i="8" s="1"/>
  <c r="D39" i="8"/>
  <c r="D69" i="8" s="1"/>
  <c r="D71" i="8" s="1"/>
  <c r="D41" i="8"/>
  <c r="AO40" i="8"/>
  <c r="AP38" i="8"/>
  <c r="AQ65" i="8"/>
  <c r="AM53" i="8"/>
  <c r="AS47" i="8"/>
  <c r="AS36" i="8"/>
  <c r="AT35" i="8" s="1"/>
  <c r="AS37" i="8"/>
  <c r="AT34" i="8"/>
  <c r="AR37" i="8"/>
  <c r="AO48" i="8"/>
  <c r="AO49" i="8" s="1"/>
  <c r="AO39" i="8"/>
  <c r="AO41" i="8"/>
  <c r="D94" i="8"/>
  <c r="D96" i="8" s="1"/>
  <c r="C55" i="8"/>
  <c r="G98" i="8"/>
  <c r="G99" i="8" s="1"/>
  <c r="G101" i="8" s="1"/>
  <c r="F89" i="8"/>
  <c r="E88" i="8"/>
  <c r="C39" i="8"/>
  <c r="C69" i="8" s="1"/>
  <c r="C71" i="8" s="1"/>
  <c r="C48" i="8"/>
  <c r="C49" i="8" s="1"/>
  <c r="C41" i="8"/>
  <c r="AP65" i="8"/>
  <c r="AW30" i="7"/>
  <c r="AY22" i="7"/>
  <c r="AN48" i="6"/>
  <c r="AN49" i="6" s="1"/>
  <c r="AN39" i="6"/>
  <c r="AN41" i="6" s="1"/>
  <c r="AO48" i="6"/>
  <c r="AO49" i="6" s="1"/>
  <c r="AO39" i="6"/>
  <c r="AN55" i="6"/>
  <c r="AK43" i="6"/>
  <c r="AK44" i="6" s="1"/>
  <c r="AK56" i="6"/>
  <c r="AM55" i="6"/>
  <c r="AM50" i="6"/>
  <c r="AM32" i="6" s="1"/>
  <c r="C38" i="6"/>
  <c r="C65" i="6"/>
  <c r="C94" i="6" s="1"/>
  <c r="C96" i="6" s="1"/>
  <c r="C78" i="6"/>
  <c r="C100" i="6" s="1"/>
  <c r="E75" i="6"/>
  <c r="E77" i="6" s="1"/>
  <c r="E79" i="6" s="1"/>
  <c r="G43" i="6"/>
  <c r="G56" i="6"/>
  <c r="H43" i="6"/>
  <c r="H44" i="6" s="1"/>
  <c r="H56" i="6"/>
  <c r="AP65" i="6"/>
  <c r="BA22" i="6"/>
  <c r="AZ30" i="6" s="1"/>
  <c r="F53" i="6"/>
  <c r="F52" i="6" s="1"/>
  <c r="F42" i="6" s="1"/>
  <c r="F93" i="6"/>
  <c r="F97" i="6" s="1"/>
  <c r="D48" i="6"/>
  <c r="D49" i="6" s="1"/>
  <c r="D39" i="6"/>
  <c r="D69" i="6" s="1"/>
  <c r="D71" i="6" s="1"/>
  <c r="D41" i="6"/>
  <c r="G52" i="6"/>
  <c r="G42" i="6" s="1"/>
  <c r="AP38" i="6"/>
  <c r="AO40" i="6"/>
  <c r="AO41" i="6" s="1"/>
  <c r="F89" i="6"/>
  <c r="E88" i="6"/>
  <c r="AR47" i="6"/>
  <c r="AR36" i="6"/>
  <c r="AS35" i="6" s="1"/>
  <c r="AS34" i="6"/>
  <c r="AQ37" i="6"/>
  <c r="AQ63" i="6"/>
  <c r="AR20" i="6"/>
  <c r="BB23" i="6"/>
  <c r="AL53" i="6"/>
  <c r="E50" i="6"/>
  <c r="E32" i="6" s="1"/>
  <c r="D94" i="6"/>
  <c r="D96" i="6" s="1"/>
  <c r="C40" i="6"/>
  <c r="G98" i="6"/>
  <c r="G99" i="6" s="1"/>
  <c r="G101" i="6" s="1"/>
  <c r="C39" i="5"/>
  <c r="C69" i="5" s="1"/>
  <c r="C48" i="5"/>
  <c r="C49" i="5" s="1"/>
  <c r="C41" i="5"/>
  <c r="AP38" i="5"/>
  <c r="AO40" i="5"/>
  <c r="AO41" i="5" s="1"/>
  <c r="D48" i="5"/>
  <c r="D49" i="5" s="1"/>
  <c r="D39" i="5"/>
  <c r="D69" i="5" s="1"/>
  <c r="D71" i="5" s="1"/>
  <c r="D41" i="5"/>
  <c r="AS47" i="5"/>
  <c r="AT34" i="5"/>
  <c r="AS36" i="5"/>
  <c r="AT35" i="5" s="1"/>
  <c r="G93" i="5"/>
  <c r="G97" i="5" s="1"/>
  <c r="G98" i="5" s="1"/>
  <c r="G99" i="5" s="1"/>
  <c r="G101" i="5" s="1"/>
  <c r="G53" i="5"/>
  <c r="G52" i="5" s="1"/>
  <c r="G42" i="5" s="1"/>
  <c r="AR37" i="5"/>
  <c r="C55" i="5"/>
  <c r="D94" i="5"/>
  <c r="D96" i="5" s="1"/>
  <c r="F89" i="5"/>
  <c r="E88" i="5"/>
  <c r="E75" i="5"/>
  <c r="E77" i="5" s="1"/>
  <c r="E79" i="5" s="1"/>
  <c r="E50" i="5"/>
  <c r="E32" i="5" s="1"/>
  <c r="AL53" i="5"/>
  <c r="AR63" i="5"/>
  <c r="AS20" i="5"/>
  <c r="AO50" i="5"/>
  <c r="AO32" i="5" s="1"/>
  <c r="AN51" i="5"/>
  <c r="AM53" i="5"/>
  <c r="AM52" i="5" s="1"/>
  <c r="AM42" i="5" s="1"/>
  <c r="AQ59" i="5"/>
  <c r="AQ61" i="5" s="1"/>
  <c r="AQ64" i="5" s="1"/>
  <c r="AK43" i="5"/>
  <c r="AK56" i="5"/>
  <c r="AK52" i="5"/>
  <c r="AK42" i="5" s="1"/>
  <c r="AK44" i="5" s="1"/>
  <c r="F53" i="5"/>
  <c r="F52" i="5" s="1"/>
  <c r="F42" i="5" s="1"/>
  <c r="F93" i="5"/>
  <c r="F97" i="5" s="1"/>
  <c r="AP65" i="5"/>
  <c r="BA30" i="5"/>
  <c r="BC23" i="5"/>
  <c r="G98" i="4"/>
  <c r="G99" i="4" s="1"/>
  <c r="G101" i="4" s="1"/>
  <c r="AO41" i="4"/>
  <c r="AO50" i="4"/>
  <c r="AO32" i="4" s="1"/>
  <c r="AO51" i="4"/>
  <c r="AL53" i="4"/>
  <c r="AS20" i="4"/>
  <c r="AR63" i="4"/>
  <c r="G56" i="4"/>
  <c r="G43" i="4"/>
  <c r="E75" i="4"/>
  <c r="E77" i="4" s="1"/>
  <c r="E79" i="4" s="1"/>
  <c r="AK43" i="4"/>
  <c r="AK56" i="4"/>
  <c r="E50" i="4"/>
  <c r="E32" i="4" s="1"/>
  <c r="AN50" i="4"/>
  <c r="AN32" i="4" s="1"/>
  <c r="AK52" i="4"/>
  <c r="AK42" i="4" s="1"/>
  <c r="AK44" i="4" s="1"/>
  <c r="F51" i="4"/>
  <c r="AO55" i="4"/>
  <c r="H43" i="4"/>
  <c r="H44" i="4" s="1"/>
  <c r="H56" i="4"/>
  <c r="C55" i="4"/>
  <c r="D94" i="4"/>
  <c r="D96" i="4" s="1"/>
  <c r="D48" i="4"/>
  <c r="D49" i="4" s="1"/>
  <c r="D39" i="4"/>
  <c r="D69" i="4" s="1"/>
  <c r="D71" i="4" s="1"/>
  <c r="D41" i="4"/>
  <c r="AS36" i="4"/>
  <c r="AT35" i="4" s="1"/>
  <c r="AS47" i="4"/>
  <c r="AT34" i="4"/>
  <c r="F89" i="4"/>
  <c r="E88" i="4"/>
  <c r="C48" i="4"/>
  <c r="C49" i="4" s="1"/>
  <c r="C39" i="4"/>
  <c r="C69" i="4" s="1"/>
  <c r="G52" i="4"/>
  <c r="G42" i="4" s="1"/>
  <c r="AQ59" i="4"/>
  <c r="AQ61" i="4" s="1"/>
  <c r="AQ64" i="4" s="1"/>
  <c r="AY30" i="4"/>
  <c r="BA22" i="4"/>
  <c r="AM53" i="4"/>
  <c r="AM43" i="4" s="1"/>
  <c r="AP48" i="4"/>
  <c r="AP49" i="4" s="1"/>
  <c r="AP39" i="4"/>
  <c r="AR59" i="4"/>
  <c r="AR61" i="4" s="1"/>
  <c r="AR64" i="4" s="1"/>
  <c r="I50" i="3"/>
  <c r="I32" i="3" s="1"/>
  <c r="AJ39" i="3"/>
  <c r="AJ48" i="3"/>
  <c r="AJ49" i="3" s="1"/>
  <c r="AJ50" i="3" s="1"/>
  <c r="AJ32" i="3" s="1"/>
  <c r="AK38" i="3"/>
  <c r="AJ40" i="3"/>
  <c r="AJ41" i="3" s="1"/>
  <c r="AK65" i="3"/>
  <c r="H48" i="3"/>
  <c r="H49" i="3" s="1"/>
  <c r="H39" i="3"/>
  <c r="AL59" i="3"/>
  <c r="AL61" i="3" s="1"/>
  <c r="AL64" i="3" s="1"/>
  <c r="H41" i="3"/>
  <c r="AZ22" i="3"/>
  <c r="AX30" i="3"/>
  <c r="G65" i="3"/>
  <c r="G38" i="3"/>
  <c r="E61" i="3"/>
  <c r="F64" i="3"/>
  <c r="AN36" i="3"/>
  <c r="AO35" i="3" s="1"/>
  <c r="AO47" i="3" s="1"/>
  <c r="AO34" i="3"/>
  <c r="AM37" i="3"/>
  <c r="AN20" i="3"/>
  <c r="AN52" i="8" l="1"/>
  <c r="AN42" i="8" s="1"/>
  <c r="AN43" i="8"/>
  <c r="AO50" i="8"/>
  <c r="AO32" i="8" s="1"/>
  <c r="AR59" i="8"/>
  <c r="AR61" i="8" s="1"/>
  <c r="AR64" i="8" s="1"/>
  <c r="C75" i="8"/>
  <c r="AZ22" i="8"/>
  <c r="AX30" i="8"/>
  <c r="C50" i="8"/>
  <c r="C32" i="8" s="1"/>
  <c r="C51" i="8"/>
  <c r="E89" i="8"/>
  <c r="D88" i="8"/>
  <c r="AP55" i="8"/>
  <c r="AO55" i="8"/>
  <c r="AM43" i="8"/>
  <c r="AM56" i="8"/>
  <c r="AN56" i="8"/>
  <c r="F53" i="8"/>
  <c r="F93" i="8"/>
  <c r="F97" i="8" s="1"/>
  <c r="F98" i="8" s="1"/>
  <c r="F99" i="8" s="1"/>
  <c r="F101" i="8" s="1"/>
  <c r="F52" i="8"/>
  <c r="F42" i="8" s="1"/>
  <c r="AM52" i="8"/>
  <c r="AM42" i="8" s="1"/>
  <c r="AM44" i="8" s="1"/>
  <c r="D50" i="8"/>
  <c r="D32" i="8" s="1"/>
  <c r="AQ39" i="8"/>
  <c r="AQ48" i="8"/>
  <c r="AQ49" i="8" s="1"/>
  <c r="E93" i="8"/>
  <c r="E97" i="8" s="1"/>
  <c r="E98" i="8" s="1"/>
  <c r="E99" i="8" s="1"/>
  <c r="E101" i="8" s="1"/>
  <c r="E53" i="8"/>
  <c r="AS59" i="8"/>
  <c r="AS61" i="8" s="1"/>
  <c r="AS64" i="8" s="1"/>
  <c r="AT37" i="8"/>
  <c r="AT47" i="8"/>
  <c r="AT36" i="8"/>
  <c r="AU35" i="8" s="1"/>
  <c r="AU34" i="8"/>
  <c r="AP48" i="8"/>
  <c r="AP49" i="8" s="1"/>
  <c r="AP39" i="8"/>
  <c r="AP41" i="8"/>
  <c r="D75" i="8"/>
  <c r="D77" i="8" s="1"/>
  <c r="D79" i="8" s="1"/>
  <c r="AS63" i="8"/>
  <c r="AT20" i="8"/>
  <c r="AX30" i="7"/>
  <c r="AZ22" i="7"/>
  <c r="E51" i="6"/>
  <c r="E53" i="6" s="1"/>
  <c r="E52" i="6" s="1"/>
  <c r="E42" i="6" s="1"/>
  <c r="G44" i="6"/>
  <c r="F98" i="6"/>
  <c r="F99" i="6" s="1"/>
  <c r="F101" i="6" s="1"/>
  <c r="AL43" i="6"/>
  <c r="AL56" i="6"/>
  <c r="D75" i="6"/>
  <c r="D77" i="6" s="1"/>
  <c r="D79" i="6" s="1"/>
  <c r="BC23" i="6"/>
  <c r="AL52" i="6"/>
  <c r="AL42" i="6" s="1"/>
  <c r="AL44" i="6" s="1"/>
  <c r="AR63" i="6"/>
  <c r="AS20" i="6"/>
  <c r="AQ65" i="6"/>
  <c r="AN50" i="6"/>
  <c r="AN32" i="6" s="1"/>
  <c r="AP48" i="6"/>
  <c r="AP49" i="6" s="1"/>
  <c r="AP39" i="6"/>
  <c r="C55" i="6"/>
  <c r="D50" i="6"/>
  <c r="D32" i="6" s="1"/>
  <c r="D51" i="6"/>
  <c r="AO55" i="6"/>
  <c r="AS47" i="6"/>
  <c r="AS36" i="6"/>
  <c r="AT35" i="6" s="1"/>
  <c r="AT34" i="6"/>
  <c r="C48" i="6"/>
  <c r="C49" i="6" s="1"/>
  <c r="C39" i="6"/>
  <c r="C69" i="6" s="1"/>
  <c r="C71" i="6" s="1"/>
  <c r="C41" i="6"/>
  <c r="AM51" i="6"/>
  <c r="F43" i="6"/>
  <c r="F44" i="6" s="1"/>
  <c r="F56" i="6"/>
  <c r="BB22" i="6"/>
  <c r="BA30" i="6" s="1"/>
  <c r="AQ59" i="6"/>
  <c r="AQ61" i="6" s="1"/>
  <c r="AQ64" i="6" s="1"/>
  <c r="AO50" i="6"/>
  <c r="AO32" i="6" s="1"/>
  <c r="AO51" i="6"/>
  <c r="AR37" i="6"/>
  <c r="E89" i="6"/>
  <c r="D88" i="6"/>
  <c r="E51" i="5"/>
  <c r="AR59" i="5"/>
  <c r="AR61" i="5" s="1"/>
  <c r="AR64" i="5" s="1"/>
  <c r="AN53" i="5"/>
  <c r="AN52" i="5"/>
  <c r="AN42" i="5" s="1"/>
  <c r="AU34" i="5"/>
  <c r="AT47" i="5"/>
  <c r="AT36" i="5"/>
  <c r="AU35" i="5" s="1"/>
  <c r="AT37" i="5"/>
  <c r="F98" i="5"/>
  <c r="F99" i="5" s="1"/>
  <c r="F101" i="5" s="1"/>
  <c r="AQ38" i="5"/>
  <c r="AP40" i="5"/>
  <c r="AM43" i="5"/>
  <c r="AM44" i="5" s="1"/>
  <c r="AM56" i="5"/>
  <c r="G43" i="5"/>
  <c r="G44" i="5" s="1"/>
  <c r="G56" i="5"/>
  <c r="AO51" i="5"/>
  <c r="AS37" i="5"/>
  <c r="BD23" i="5"/>
  <c r="BB30" i="5"/>
  <c r="D75" i="5"/>
  <c r="D77" i="5" s="1"/>
  <c r="D79" i="5" s="1"/>
  <c r="AO55" i="5"/>
  <c r="E53" i="5"/>
  <c r="E93" i="5"/>
  <c r="E97" i="5" s="1"/>
  <c r="AQ65" i="5"/>
  <c r="C50" i="5"/>
  <c r="C32" i="5" s="1"/>
  <c r="C51" i="5"/>
  <c r="AS63" i="5"/>
  <c r="AT20" i="5"/>
  <c r="AR65" i="5"/>
  <c r="AL43" i="5"/>
  <c r="AL56" i="5"/>
  <c r="AL52" i="5"/>
  <c r="AL42" i="5" s="1"/>
  <c r="D50" i="5"/>
  <c r="D32" i="5" s="1"/>
  <c r="F43" i="5"/>
  <c r="F44" i="5" s="1"/>
  <c r="F56" i="5"/>
  <c r="AP39" i="5"/>
  <c r="AP48" i="5"/>
  <c r="AP49" i="5" s="1"/>
  <c r="E89" i="5"/>
  <c r="D88" i="5"/>
  <c r="C75" i="5"/>
  <c r="C71" i="5"/>
  <c r="E51" i="4"/>
  <c r="C41" i="4"/>
  <c r="AP50" i="4"/>
  <c r="AP32" i="4" s="1"/>
  <c r="AP51" i="4"/>
  <c r="E93" i="4"/>
  <c r="E97" i="4" s="1"/>
  <c r="E53" i="4"/>
  <c r="AP40" i="4"/>
  <c r="AP41" i="4" s="1"/>
  <c r="AQ38" i="4"/>
  <c r="AT47" i="4"/>
  <c r="AT36" i="4"/>
  <c r="AU35" i="4" s="1"/>
  <c r="AU34" i="4"/>
  <c r="BB22" i="4"/>
  <c r="AZ30" i="4"/>
  <c r="AS63" i="4"/>
  <c r="AT20" i="4"/>
  <c r="AO56" i="4"/>
  <c r="AQ40" i="4"/>
  <c r="AR38" i="4"/>
  <c r="AS37" i="4"/>
  <c r="D75" i="4"/>
  <c r="D77" i="4" s="1"/>
  <c r="D79" i="4" s="1"/>
  <c r="D50" i="4"/>
  <c r="D32" i="4" s="1"/>
  <c r="AR65" i="4"/>
  <c r="AL43" i="4"/>
  <c r="AL56" i="4"/>
  <c r="C71" i="4"/>
  <c r="AO53" i="4"/>
  <c r="AO43" i="4" s="1"/>
  <c r="AN51" i="4"/>
  <c r="AM52" i="4"/>
  <c r="AM42" i="4" s="1"/>
  <c r="AM44" i="4" s="1"/>
  <c r="G44" i="4"/>
  <c r="C75" i="4"/>
  <c r="AQ65" i="4"/>
  <c r="AL52" i="4"/>
  <c r="AL42" i="4" s="1"/>
  <c r="AL44" i="4" s="1"/>
  <c r="AM56" i="4"/>
  <c r="C50" i="4"/>
  <c r="C32" i="4" s="1"/>
  <c r="C51" i="4"/>
  <c r="E89" i="4"/>
  <c r="D88" i="4"/>
  <c r="F93" i="4"/>
  <c r="F97" i="4" s="1"/>
  <c r="F98" i="4" s="1"/>
  <c r="F99" i="4" s="1"/>
  <c r="F101" i="4" s="1"/>
  <c r="F53" i="4"/>
  <c r="F52" i="4" s="1"/>
  <c r="F42" i="4" s="1"/>
  <c r="H50" i="3"/>
  <c r="H32" i="3" s="1"/>
  <c r="AK40" i="3"/>
  <c r="AL38" i="3"/>
  <c r="AL65" i="3"/>
  <c r="AK39" i="3"/>
  <c r="AK48" i="3"/>
  <c r="AK49" i="3" s="1"/>
  <c r="AK50" i="3" s="1"/>
  <c r="AK32" i="3" s="1"/>
  <c r="AK41" i="3"/>
  <c r="AO20" i="3"/>
  <c r="AO63" i="3" s="1"/>
  <c r="AN63" i="3"/>
  <c r="G48" i="3"/>
  <c r="G49" i="3" s="1"/>
  <c r="G39" i="3"/>
  <c r="AM59" i="3"/>
  <c r="AM61" i="3" s="1"/>
  <c r="AM64" i="3" s="1"/>
  <c r="G41" i="3"/>
  <c r="F65" i="3"/>
  <c r="F38" i="3"/>
  <c r="D61" i="3"/>
  <c r="E64" i="3"/>
  <c r="F40" i="3"/>
  <c r="BA22" i="3"/>
  <c r="AY30" i="3"/>
  <c r="AO36" i="3"/>
  <c r="AP35" i="3" s="1"/>
  <c r="AP47" i="3" s="1"/>
  <c r="AP34" i="3"/>
  <c r="AN37" i="3"/>
  <c r="AT59" i="8" l="1"/>
  <c r="AT61" i="8" s="1"/>
  <c r="AT64" i="8" s="1"/>
  <c r="D89" i="8"/>
  <c r="C88" i="8"/>
  <c r="C89" i="8" s="1"/>
  <c r="AQ50" i="8"/>
  <c r="AQ32" i="8" s="1"/>
  <c r="AQ51" i="8"/>
  <c r="E43" i="8"/>
  <c r="E56" i="8"/>
  <c r="D51" i="8"/>
  <c r="AO51" i="8"/>
  <c r="AY30" i="8"/>
  <c r="BA22" i="8"/>
  <c r="AT63" i="8"/>
  <c r="AT65" i="8" s="1"/>
  <c r="AU20" i="8"/>
  <c r="C77" i="8"/>
  <c r="C79" i="8" s="1"/>
  <c r="AR38" i="8"/>
  <c r="AQ40" i="8"/>
  <c r="AQ41" i="8" s="1"/>
  <c r="AU47" i="8"/>
  <c r="AU36" i="8"/>
  <c r="AV35" i="8" s="1"/>
  <c r="AV34" i="8"/>
  <c r="AR40" i="8"/>
  <c r="AS38" i="8"/>
  <c r="E52" i="8"/>
  <c r="E42" i="8" s="1"/>
  <c r="E44" i="8" s="1"/>
  <c r="C53" i="8"/>
  <c r="C93" i="8"/>
  <c r="C97" i="8" s="1"/>
  <c r="AS65" i="8"/>
  <c r="F43" i="8"/>
  <c r="F44" i="8" s="1"/>
  <c r="F56" i="8"/>
  <c r="AP50" i="8"/>
  <c r="AP32" i="8" s="1"/>
  <c r="AR65" i="8"/>
  <c r="AN44" i="8"/>
  <c r="AY30" i="7"/>
  <c r="BA22" i="7"/>
  <c r="E93" i="6"/>
  <c r="E97" i="6" s="1"/>
  <c r="E98" i="6" s="1"/>
  <c r="E99" i="6" s="1"/>
  <c r="E101" i="6" s="1"/>
  <c r="D89" i="6"/>
  <c r="C88" i="6"/>
  <c r="C89" i="6" s="1"/>
  <c r="AR59" i="6"/>
  <c r="AR61" i="6" s="1"/>
  <c r="AR64" i="6" s="1"/>
  <c r="AN51" i="6"/>
  <c r="C50" i="6"/>
  <c r="C32" i="6" s="1"/>
  <c r="AS37" i="6"/>
  <c r="AM53" i="6"/>
  <c r="AM52" i="6" s="1"/>
  <c r="AM42" i="6" s="1"/>
  <c r="AP55" i="6"/>
  <c r="AR65" i="6"/>
  <c r="AT36" i="6"/>
  <c r="AU35" i="6" s="1"/>
  <c r="AT47" i="6"/>
  <c r="AU34" i="6"/>
  <c r="BD23" i="6"/>
  <c r="AO53" i="6"/>
  <c r="AO43" i="6" s="1"/>
  <c r="AP50" i="6"/>
  <c r="AP32" i="6" s="1"/>
  <c r="C75" i="6"/>
  <c r="C77" i="6" s="1"/>
  <c r="C79" i="6" s="1"/>
  <c r="AS63" i="6"/>
  <c r="AT20" i="6"/>
  <c r="E43" i="6"/>
  <c r="E44" i="6" s="1"/>
  <c r="E56" i="6"/>
  <c r="D93" i="6"/>
  <c r="D97" i="6" s="1"/>
  <c r="D98" i="6" s="1"/>
  <c r="D99" i="6" s="1"/>
  <c r="D101" i="6" s="1"/>
  <c r="D53" i="6"/>
  <c r="D52" i="6" s="1"/>
  <c r="D42" i="6" s="1"/>
  <c r="AQ38" i="6"/>
  <c r="AP40" i="6"/>
  <c r="AP41" i="6" s="1"/>
  <c r="BC22" i="6"/>
  <c r="AP41" i="5"/>
  <c r="C77" i="5"/>
  <c r="C79" i="5" s="1"/>
  <c r="AO53" i="5"/>
  <c r="AO43" i="5" s="1"/>
  <c r="AO52" i="5"/>
  <c r="AO42" i="5" s="1"/>
  <c r="AO44" i="5" s="1"/>
  <c r="E43" i="5"/>
  <c r="E56" i="5"/>
  <c r="AS59" i="5"/>
  <c r="AS61" i="5" s="1"/>
  <c r="AS64" i="5" s="1"/>
  <c r="AQ39" i="5"/>
  <c r="AQ48" i="5"/>
  <c r="AQ49" i="5" s="1"/>
  <c r="AP55" i="5"/>
  <c r="AT59" i="5"/>
  <c r="AT61" i="5" s="1"/>
  <c r="AT64" i="5" s="1"/>
  <c r="E52" i="5"/>
  <c r="E42" i="5" s="1"/>
  <c r="E44" i="5" s="1"/>
  <c r="E98" i="5"/>
  <c r="E99" i="5" s="1"/>
  <c r="E101" i="5" s="1"/>
  <c r="AP50" i="5"/>
  <c r="AP32" i="5" s="1"/>
  <c r="AN44" i="5"/>
  <c r="AO56" i="5"/>
  <c r="AQ40" i="5"/>
  <c r="AQ41" i="5" s="1"/>
  <c r="AR38" i="5"/>
  <c r="D51" i="5"/>
  <c r="AQ55" i="5"/>
  <c r="AU20" i="5"/>
  <c r="AT63" i="5"/>
  <c r="C93" i="5"/>
  <c r="C97" i="5" s="1"/>
  <c r="C53" i="5"/>
  <c r="C52" i="5" s="1"/>
  <c r="C42" i="5" s="1"/>
  <c r="D89" i="5"/>
  <c r="C88" i="5"/>
  <c r="C89" i="5" s="1"/>
  <c r="AU36" i="5"/>
  <c r="AV35" i="5" s="1"/>
  <c r="AV34" i="5"/>
  <c r="AU37" i="5"/>
  <c r="AU47" i="5"/>
  <c r="AN43" i="5"/>
  <c r="AN56" i="5"/>
  <c r="AL44" i="5"/>
  <c r="BE23" i="5"/>
  <c r="BC30" i="5"/>
  <c r="C77" i="4"/>
  <c r="C79" i="4" s="1"/>
  <c r="AP55" i="4"/>
  <c r="AT63" i="4"/>
  <c r="AU20" i="4"/>
  <c r="AN53" i="4"/>
  <c r="AQ39" i="4"/>
  <c r="AQ48" i="4"/>
  <c r="AQ49" i="4" s="1"/>
  <c r="AQ41" i="4"/>
  <c r="AQ55" i="4"/>
  <c r="BC22" i="4"/>
  <c r="BA30" i="4"/>
  <c r="AO52" i="4"/>
  <c r="AO42" i="4" s="1"/>
  <c r="AO44" i="4" s="1"/>
  <c r="E43" i="4"/>
  <c r="E56" i="4"/>
  <c r="E52" i="4"/>
  <c r="E42" i="4" s="1"/>
  <c r="D51" i="4"/>
  <c r="D89" i="4"/>
  <c r="C88" i="4"/>
  <c r="C89" i="4" s="1"/>
  <c r="AS59" i="4"/>
  <c r="AS61" i="4" s="1"/>
  <c r="AS64" i="4" s="1"/>
  <c r="AS65" i="4" s="1"/>
  <c r="AP53" i="4"/>
  <c r="AP43" i="4" s="1"/>
  <c r="AV34" i="4"/>
  <c r="AU47" i="4"/>
  <c r="AU36" i="4"/>
  <c r="AV35" i="4" s="1"/>
  <c r="AT37" i="4"/>
  <c r="F43" i="4"/>
  <c r="F44" i="4" s="1"/>
  <c r="F56" i="4"/>
  <c r="E98" i="4"/>
  <c r="E99" i="4" s="1"/>
  <c r="E101" i="4" s="1"/>
  <c r="C53" i="4"/>
  <c r="C93" i="4"/>
  <c r="C97" i="4" s="1"/>
  <c r="C52" i="4"/>
  <c r="C42" i="4" s="1"/>
  <c r="AR39" i="4"/>
  <c r="AR48" i="4"/>
  <c r="AR49" i="4" s="1"/>
  <c r="G50" i="3"/>
  <c r="G32" i="3" s="1"/>
  <c r="AM38" i="3"/>
  <c r="AL40" i="3"/>
  <c r="AM65" i="3"/>
  <c r="AP20" i="3"/>
  <c r="AP63" i="3" s="1"/>
  <c r="AL39" i="3"/>
  <c r="AL48" i="3"/>
  <c r="AL49" i="3" s="1"/>
  <c r="AL50" i="3" s="1"/>
  <c r="AL32" i="3" s="1"/>
  <c r="AL41" i="3"/>
  <c r="F39" i="3"/>
  <c r="F48" i="3"/>
  <c r="F49" i="3" s="1"/>
  <c r="AO37" i="3"/>
  <c r="AZ30" i="3"/>
  <c r="BB22" i="3"/>
  <c r="E65" i="3"/>
  <c r="E38" i="3"/>
  <c r="F41" i="3"/>
  <c r="AN59" i="3"/>
  <c r="AN61" i="3" s="1"/>
  <c r="AN64" i="3" s="1"/>
  <c r="AO59" i="3"/>
  <c r="AO61" i="3" s="1"/>
  <c r="AO64" i="3" s="1"/>
  <c r="C61" i="3"/>
  <c r="C64" i="3" s="1"/>
  <c r="D64" i="3"/>
  <c r="D40" i="3" s="1"/>
  <c r="E40" i="3"/>
  <c r="AP36" i="3"/>
  <c r="AQ35" i="3" s="1"/>
  <c r="AQ47" i="3" s="1"/>
  <c r="AQ34" i="3"/>
  <c r="AS55" i="8" l="1"/>
  <c r="BB22" i="8"/>
  <c r="AZ30" i="8"/>
  <c r="AR55" i="8"/>
  <c r="C43" i="8"/>
  <c r="C56" i="8"/>
  <c r="AQ55" i="8"/>
  <c r="AP51" i="8"/>
  <c r="D93" i="8"/>
  <c r="D97" i="8" s="1"/>
  <c r="D98" i="8" s="1"/>
  <c r="D99" i="8" s="1"/>
  <c r="D101" i="8" s="1"/>
  <c r="D53" i="8"/>
  <c r="D52" i="8"/>
  <c r="D42" i="8" s="1"/>
  <c r="C52" i="8"/>
  <c r="C42" i="8" s="1"/>
  <c r="C44" i="8" s="1"/>
  <c r="AV47" i="8"/>
  <c r="AV36" i="8"/>
  <c r="AW35" i="8" s="1"/>
  <c r="AW34" i="8"/>
  <c r="AV20" i="8"/>
  <c r="AU63" i="8"/>
  <c r="AO53" i="8"/>
  <c r="AO52" i="8"/>
  <c r="AO42" i="8" s="1"/>
  <c r="AS48" i="8"/>
  <c r="AS49" i="8" s="1"/>
  <c r="AS39" i="8"/>
  <c r="AQ53" i="8"/>
  <c r="AQ43" i="8" s="1"/>
  <c r="AQ52" i="8"/>
  <c r="AQ42" i="8" s="1"/>
  <c r="AQ44" i="8" s="1"/>
  <c r="AU37" i="8"/>
  <c r="AR48" i="8"/>
  <c r="AR49" i="8" s="1"/>
  <c r="AR39" i="8"/>
  <c r="AR41" i="8"/>
  <c r="AS40" i="8"/>
  <c r="AS41" i="8" s="1"/>
  <c r="AT38" i="8"/>
  <c r="AZ30" i="7"/>
  <c r="BB22" i="7"/>
  <c r="AO52" i="6"/>
  <c r="AO42" i="6" s="1"/>
  <c r="AO44" i="6" s="1"/>
  <c r="AO56" i="6"/>
  <c r="BE23" i="6"/>
  <c r="AQ48" i="6"/>
  <c r="AQ49" i="6" s="1"/>
  <c r="AQ39" i="6"/>
  <c r="AT37" i="6"/>
  <c r="AS59" i="6"/>
  <c r="AS61" i="6" s="1"/>
  <c r="AS64" i="6" s="1"/>
  <c r="AS65" i="6" s="1"/>
  <c r="AN53" i="6"/>
  <c r="AU47" i="6"/>
  <c r="AU36" i="6"/>
  <c r="AV35" i="6" s="1"/>
  <c r="AV34" i="6"/>
  <c r="AQ55" i="6"/>
  <c r="AM43" i="6"/>
  <c r="AM44" i="6" s="1"/>
  <c r="AM56" i="6"/>
  <c r="C51" i="6"/>
  <c r="BD22" i="6"/>
  <c r="D43" i="6"/>
  <c r="D44" i="6" s="1"/>
  <c r="D56" i="6"/>
  <c r="AU20" i="6"/>
  <c r="AT63" i="6"/>
  <c r="AR38" i="6"/>
  <c r="AQ40" i="6"/>
  <c r="AP51" i="6"/>
  <c r="BB30" i="6"/>
  <c r="AT65" i="5"/>
  <c r="AU59" i="5"/>
  <c r="AU61" i="5" s="1"/>
  <c r="AU64" i="5" s="1"/>
  <c r="AV36" i="5"/>
  <c r="AW35" i="5" s="1"/>
  <c r="AW34" i="5"/>
  <c r="AV47" i="5"/>
  <c r="C43" i="5"/>
  <c r="C44" i="5" s="1"/>
  <c r="C56" i="5"/>
  <c r="AU63" i="5"/>
  <c r="AU65" i="5" s="1"/>
  <c r="AV20" i="5"/>
  <c r="AR40" i="5"/>
  <c r="AS38" i="5"/>
  <c r="D93" i="5"/>
  <c r="D97" i="5" s="1"/>
  <c r="D98" i="5" s="1"/>
  <c r="D99" i="5" s="1"/>
  <c r="D101" i="5" s="1"/>
  <c r="D53" i="5"/>
  <c r="AR39" i="5"/>
  <c r="AR48" i="5"/>
  <c r="AR49" i="5" s="1"/>
  <c r="AS65" i="5"/>
  <c r="AS40" i="5"/>
  <c r="AT38" i="5"/>
  <c r="AQ50" i="5"/>
  <c r="AQ32" i="5" s="1"/>
  <c r="BD30" i="5"/>
  <c r="BF23" i="5"/>
  <c r="AP51" i="5"/>
  <c r="C43" i="4"/>
  <c r="C56" i="4"/>
  <c r="BD22" i="4"/>
  <c r="BB30" i="4"/>
  <c r="AT59" i="4"/>
  <c r="AT61" i="4" s="1"/>
  <c r="AT64" i="4" s="1"/>
  <c r="AT65" i="4" s="1"/>
  <c r="AU37" i="4"/>
  <c r="AV47" i="4"/>
  <c r="AW34" i="4"/>
  <c r="AV36" i="4"/>
  <c r="AW35" i="4" s="1"/>
  <c r="AP52" i="4"/>
  <c r="AP42" i="4" s="1"/>
  <c r="AP44" i="4" s="1"/>
  <c r="C44" i="4"/>
  <c r="AN43" i="4"/>
  <c r="AN56" i="4"/>
  <c r="AN52" i="4"/>
  <c r="AN42" i="4" s="1"/>
  <c r="AU63" i="4"/>
  <c r="AV20" i="4"/>
  <c r="D53" i="4"/>
  <c r="D52" i="4" s="1"/>
  <c r="D42" i="4" s="1"/>
  <c r="D93" i="4"/>
  <c r="D97" i="4" s="1"/>
  <c r="D98" i="4" s="1"/>
  <c r="D99" i="4" s="1"/>
  <c r="D101" i="4" s="1"/>
  <c r="AQ50" i="4"/>
  <c r="AQ32" i="4" s="1"/>
  <c r="AR55" i="4"/>
  <c r="AS38" i="4"/>
  <c r="AR40" i="4"/>
  <c r="AR41" i="4" s="1"/>
  <c r="AP56" i="4"/>
  <c r="AR50" i="4"/>
  <c r="AR32" i="4" s="1"/>
  <c r="AR51" i="4"/>
  <c r="E44" i="4"/>
  <c r="F50" i="3"/>
  <c r="F32" i="3" s="1"/>
  <c r="AO38" i="3"/>
  <c r="AN40" i="3"/>
  <c r="AN38" i="3"/>
  <c r="AM40" i="3"/>
  <c r="AO65" i="3"/>
  <c r="AN65" i="3"/>
  <c r="AM39" i="3"/>
  <c r="AM48" i="3"/>
  <c r="AM49" i="3" s="1"/>
  <c r="AM50" i="3" s="1"/>
  <c r="AM32" i="3" s="1"/>
  <c r="AM41" i="3"/>
  <c r="E48" i="3"/>
  <c r="E49" i="3" s="1"/>
  <c r="E39" i="3"/>
  <c r="E41" i="3" s="1"/>
  <c r="AP37" i="3"/>
  <c r="C38" i="3"/>
  <c r="C65" i="3"/>
  <c r="BA30" i="3"/>
  <c r="BC22" i="3"/>
  <c r="AP59" i="3"/>
  <c r="AP61" i="3" s="1"/>
  <c r="AP64" i="3" s="1"/>
  <c r="D65" i="3"/>
  <c r="D38" i="3"/>
  <c r="C40" i="3"/>
  <c r="AQ36" i="3"/>
  <c r="AR35" i="3" s="1"/>
  <c r="AR47" i="3" s="1"/>
  <c r="AR34" i="3"/>
  <c r="AQ20" i="3"/>
  <c r="AQ63" i="3" s="1"/>
  <c r="AT48" i="8" l="1"/>
  <c r="AT49" i="8" s="1"/>
  <c r="AT39" i="8"/>
  <c r="AR50" i="8"/>
  <c r="AR32" i="8" s="1"/>
  <c r="AR51" i="8"/>
  <c r="AQ56" i="8"/>
  <c r="AW47" i="8"/>
  <c r="AW36" i="8"/>
  <c r="AX35" i="8" s="1"/>
  <c r="AX34" i="8"/>
  <c r="D44" i="8"/>
  <c r="AU59" i="8"/>
  <c r="AU61" i="8" s="1"/>
  <c r="AU64" i="8" s="1"/>
  <c r="AP53" i="8"/>
  <c r="AP52" i="8" s="1"/>
  <c r="AP42" i="8" s="1"/>
  <c r="AS50" i="8"/>
  <c r="AS32" i="8" s="1"/>
  <c r="AS51" i="8"/>
  <c r="AO43" i="8"/>
  <c r="AO44" i="8" s="1"/>
  <c r="AO56" i="8"/>
  <c r="AW20" i="8"/>
  <c r="AV63" i="8"/>
  <c r="D43" i="8"/>
  <c r="D56" i="8"/>
  <c r="C98" i="8"/>
  <c r="C99" i="8" s="1"/>
  <c r="C101" i="8" s="1"/>
  <c r="BC22" i="8"/>
  <c r="BA30" i="8"/>
  <c r="AV37" i="8"/>
  <c r="BC22" i="7"/>
  <c r="BA30" i="7"/>
  <c r="AQ41" i="6"/>
  <c r="AR55" i="6"/>
  <c r="AN43" i="6"/>
  <c r="AN56" i="6"/>
  <c r="AP53" i="6"/>
  <c r="AP52" i="6" s="1"/>
  <c r="AP42" i="6" s="1"/>
  <c r="AN52" i="6"/>
  <c r="AN42" i="6" s="1"/>
  <c r="AN44" i="6" s="1"/>
  <c r="AS38" i="6"/>
  <c r="AR40" i="6"/>
  <c r="AT59" i="6"/>
  <c r="AT61" i="6" s="1"/>
  <c r="AT64" i="6" s="1"/>
  <c r="AU63" i="6"/>
  <c r="AV20" i="6"/>
  <c r="BE22" i="6"/>
  <c r="BD30" i="6" s="1"/>
  <c r="C53" i="6"/>
  <c r="C93" i="6"/>
  <c r="C97" i="6" s="1"/>
  <c r="C98" i="6" s="1"/>
  <c r="C99" i="6" s="1"/>
  <c r="C101" i="6" s="1"/>
  <c r="C52" i="6"/>
  <c r="C42" i="6" s="1"/>
  <c r="AV36" i="6"/>
  <c r="AW35" i="6" s="1"/>
  <c r="AW34" i="6"/>
  <c r="AV47" i="6"/>
  <c r="AU37" i="6"/>
  <c r="AR39" i="6"/>
  <c r="AR48" i="6"/>
  <c r="AR49" i="6" s="1"/>
  <c r="AQ50" i="6"/>
  <c r="AQ32" i="6" s="1"/>
  <c r="BC30" i="6"/>
  <c r="BF23" i="6"/>
  <c r="AQ51" i="5"/>
  <c r="AR41" i="5"/>
  <c r="AV63" i="5"/>
  <c r="AW20" i="5"/>
  <c r="BG23" i="5"/>
  <c r="BF30" i="5" s="1"/>
  <c r="BE30" i="5"/>
  <c r="D43" i="5"/>
  <c r="D56" i="5"/>
  <c r="AS48" i="5"/>
  <c r="AS49" i="5" s="1"/>
  <c r="AS39" i="5"/>
  <c r="AS41" i="5"/>
  <c r="AT55" i="5"/>
  <c r="AQ53" i="5"/>
  <c r="AQ52" i="5" s="1"/>
  <c r="AQ42" i="5" s="1"/>
  <c r="AV37" i="5"/>
  <c r="AR50" i="5"/>
  <c r="AR32" i="5" s="1"/>
  <c r="D52" i="5"/>
  <c r="D42" i="5" s="1"/>
  <c r="D44" i="5" s="1"/>
  <c r="AP53" i="5"/>
  <c r="AP52" i="5" s="1"/>
  <c r="AP42" i="5" s="1"/>
  <c r="AW47" i="5"/>
  <c r="AW36" i="5"/>
  <c r="AX35" i="5" s="1"/>
  <c r="AX34" i="5"/>
  <c r="C98" i="5"/>
  <c r="C99" i="5" s="1"/>
  <c r="C101" i="5" s="1"/>
  <c r="AT48" i="5"/>
  <c r="AT49" i="5" s="1"/>
  <c r="AT39" i="5"/>
  <c r="AU38" i="5"/>
  <c r="AT40" i="5"/>
  <c r="AT41" i="5" s="1"/>
  <c r="AR55" i="5"/>
  <c r="AS55" i="5"/>
  <c r="AQ51" i="4"/>
  <c r="C98" i="4"/>
  <c r="C99" i="4" s="1"/>
  <c r="C101" i="4" s="1"/>
  <c r="AS55" i="4"/>
  <c r="AR53" i="4"/>
  <c r="AR43" i="4" s="1"/>
  <c r="AS39" i="4"/>
  <c r="AS48" i="4"/>
  <c r="AS49" i="4" s="1"/>
  <c r="AQ53" i="4"/>
  <c r="AX34" i="4"/>
  <c r="AW36" i="4"/>
  <c r="AX35" i="4" s="1"/>
  <c r="AW47" i="4"/>
  <c r="AV37" i="4"/>
  <c r="AR56" i="4"/>
  <c r="AU59" i="4"/>
  <c r="AU61" i="4" s="1"/>
  <c r="AU64" i="4" s="1"/>
  <c r="AU65" i="4" s="1"/>
  <c r="AT38" i="4"/>
  <c r="AS40" i="4"/>
  <c r="AS41" i="4" s="1"/>
  <c r="D43" i="4"/>
  <c r="D44" i="4" s="1"/>
  <c r="D56" i="4"/>
  <c r="AV63" i="4"/>
  <c r="AW20" i="4"/>
  <c r="BE22" i="4"/>
  <c r="BC30" i="4"/>
  <c r="AN44" i="4"/>
  <c r="E50" i="3"/>
  <c r="E32" i="3" s="1"/>
  <c r="AP38" i="3"/>
  <c r="AO40" i="3"/>
  <c r="AP65" i="3"/>
  <c r="AN48" i="3"/>
  <c r="AN49" i="3" s="1"/>
  <c r="AN50" i="3" s="1"/>
  <c r="AN32" i="3" s="1"/>
  <c r="AN39" i="3"/>
  <c r="AN41" i="3" s="1"/>
  <c r="AO39" i="3"/>
  <c r="AO48" i="3"/>
  <c r="AO49" i="3" s="1"/>
  <c r="AO50" i="3" s="1"/>
  <c r="AO32" i="3" s="1"/>
  <c r="AO41" i="3"/>
  <c r="D48" i="3"/>
  <c r="D49" i="3" s="1"/>
  <c r="D39" i="3"/>
  <c r="C39" i="3"/>
  <c r="C41" i="3" s="1"/>
  <c r="C48" i="3"/>
  <c r="C49" i="3" s="1"/>
  <c r="AR20" i="3"/>
  <c r="AR63" i="3" s="1"/>
  <c r="AQ37" i="3"/>
  <c r="AQ59" i="3" s="1"/>
  <c r="AQ61" i="3" s="1"/>
  <c r="AQ64" i="3" s="1"/>
  <c r="D41" i="3"/>
  <c r="BB30" i="3"/>
  <c r="BD22" i="3"/>
  <c r="AR36" i="3"/>
  <c r="AS35" i="3" s="1"/>
  <c r="AS47" i="3" s="1"/>
  <c r="AS34" i="3"/>
  <c r="AS53" i="8" l="1"/>
  <c r="AS52" i="8"/>
  <c r="AS42" i="8" s="1"/>
  <c r="AT40" i="8"/>
  <c r="AT41" i="8" s="1"/>
  <c r="AU38" i="8"/>
  <c r="AW37" i="8"/>
  <c r="AP43" i="8"/>
  <c r="AP44" i="8" s="1"/>
  <c r="AP56" i="8"/>
  <c r="AV59" i="8"/>
  <c r="AV61" i="8" s="1"/>
  <c r="AV64" i="8" s="1"/>
  <c r="BD22" i="8"/>
  <c r="BB30" i="8"/>
  <c r="AR53" i="8"/>
  <c r="AV65" i="8"/>
  <c r="AT50" i="8"/>
  <c r="AT32" i="8" s="1"/>
  <c r="AX37" i="8"/>
  <c r="AX47" i="8"/>
  <c r="AX36" i="8"/>
  <c r="AY35" i="8" s="1"/>
  <c r="AY34" i="8"/>
  <c r="AX20" i="8"/>
  <c r="AW63" i="8"/>
  <c r="AU65" i="8"/>
  <c r="BD22" i="7"/>
  <c r="BB30" i="7"/>
  <c r="AR41" i="6"/>
  <c r="BG23" i="6"/>
  <c r="AQ51" i="6"/>
  <c r="AR50" i="6"/>
  <c r="AR32" i="6" s="1"/>
  <c r="AV63" i="6"/>
  <c r="AW20" i="6"/>
  <c r="AT38" i="6"/>
  <c r="AS40" i="6"/>
  <c r="AT65" i="6"/>
  <c r="BF22" i="6"/>
  <c r="AS39" i="6"/>
  <c r="AS48" i="6"/>
  <c r="AS49" i="6" s="1"/>
  <c r="AS41" i="6"/>
  <c r="AU59" i="6"/>
  <c r="AU61" i="6" s="1"/>
  <c r="AU64" i="6" s="1"/>
  <c r="AU65" i="6" s="1"/>
  <c r="AV37" i="6"/>
  <c r="C43" i="6"/>
  <c r="C44" i="6" s="1"/>
  <c r="C56" i="6"/>
  <c r="AP43" i="6"/>
  <c r="AP44" i="6" s="1"/>
  <c r="AP56" i="6"/>
  <c r="AW36" i="6"/>
  <c r="AX35" i="6" s="1"/>
  <c r="AW47" i="6"/>
  <c r="AX34" i="6"/>
  <c r="AV59" i="5"/>
  <c r="AV61" i="5" s="1"/>
  <c r="AV64" i="5" s="1"/>
  <c r="AR51" i="5"/>
  <c r="AU48" i="5"/>
  <c r="AU49" i="5" s="1"/>
  <c r="AU39" i="5"/>
  <c r="AS50" i="5"/>
  <c r="AS32" i="5" s="1"/>
  <c r="AV65" i="5"/>
  <c r="AP43" i="5"/>
  <c r="AP44" i="5" s="1"/>
  <c r="AP56" i="5"/>
  <c r="AQ43" i="5"/>
  <c r="AQ44" i="5" s="1"/>
  <c r="AQ56" i="5"/>
  <c r="AT50" i="5"/>
  <c r="AT32" i="5" s="1"/>
  <c r="AX47" i="5"/>
  <c r="AX36" i="5"/>
  <c r="AY35" i="5" s="1"/>
  <c r="AY34" i="5"/>
  <c r="AW37" i="5"/>
  <c r="AW63" i="5"/>
  <c r="AX20" i="5"/>
  <c r="AW37" i="4"/>
  <c r="AV59" i="4"/>
  <c r="AV61" i="4" s="1"/>
  <c r="AV64" i="4" s="1"/>
  <c r="AT55" i="4"/>
  <c r="AW59" i="4"/>
  <c r="AW61" i="4" s="1"/>
  <c r="AW64" i="4" s="1"/>
  <c r="AQ43" i="4"/>
  <c r="AQ56" i="4"/>
  <c r="BD30" i="4"/>
  <c r="BF22" i="4"/>
  <c r="AS50" i="4"/>
  <c r="AS32" i="4" s="1"/>
  <c r="AS51" i="4"/>
  <c r="AX47" i="4"/>
  <c r="AX36" i="4"/>
  <c r="AY35" i="4" s="1"/>
  <c r="AX37" i="4"/>
  <c r="AY34" i="4"/>
  <c r="AQ52" i="4"/>
  <c r="AQ42" i="4" s="1"/>
  <c r="AQ44" i="4" s="1"/>
  <c r="AX20" i="4"/>
  <c r="AW63" i="4"/>
  <c r="AV65" i="4"/>
  <c r="AR52" i="4"/>
  <c r="AR42" i="4" s="1"/>
  <c r="AR44" i="4" s="1"/>
  <c r="AT39" i="4"/>
  <c r="AT48" i="4"/>
  <c r="AT49" i="4" s="1"/>
  <c r="AU38" i="4"/>
  <c r="AT40" i="4"/>
  <c r="C50" i="3"/>
  <c r="C32" i="3" s="1"/>
  <c r="C51" i="3"/>
  <c r="D50" i="3"/>
  <c r="D32" i="3" s="1"/>
  <c r="AQ38" i="3"/>
  <c r="AP40" i="3"/>
  <c r="AS20" i="3"/>
  <c r="AS63" i="3" s="1"/>
  <c r="AQ65" i="3"/>
  <c r="AP39" i="3"/>
  <c r="AP48" i="3"/>
  <c r="AP49" i="3" s="1"/>
  <c r="AP50" i="3" s="1"/>
  <c r="AP32" i="3" s="1"/>
  <c r="AP41" i="3"/>
  <c r="AR37" i="3"/>
  <c r="AR59" i="3" s="1"/>
  <c r="AR61" i="3" s="1"/>
  <c r="AR64" i="3" s="1"/>
  <c r="BC30" i="3"/>
  <c r="BE22" i="3"/>
  <c r="AS36" i="3"/>
  <c r="AT35" i="3" s="1"/>
  <c r="AT47" i="3" s="1"/>
  <c r="AT34" i="3"/>
  <c r="AX59" i="8" l="1"/>
  <c r="AX61" i="8" s="1"/>
  <c r="AX64" i="8" s="1"/>
  <c r="AU55" i="8"/>
  <c r="AT51" i="8"/>
  <c r="AR43" i="8"/>
  <c r="AR56" i="8"/>
  <c r="AU40" i="8"/>
  <c r="AU41" i="8" s="1"/>
  <c r="AV38" i="8"/>
  <c r="AS43" i="8"/>
  <c r="AS44" i="8" s="1"/>
  <c r="AS56" i="8"/>
  <c r="AR52" i="8"/>
  <c r="AR42" i="8" s="1"/>
  <c r="AR44" i="8" s="1"/>
  <c r="BE22" i="8"/>
  <c r="BC30" i="8"/>
  <c r="AT55" i="8"/>
  <c r="AW59" i="8"/>
  <c r="AW61" i="8" s="1"/>
  <c r="AW64" i="8" s="1"/>
  <c r="AW65" i="8" s="1"/>
  <c r="AU48" i="8"/>
  <c r="AU49" i="8" s="1"/>
  <c r="AU39" i="8"/>
  <c r="AX63" i="8"/>
  <c r="AX65" i="8" s="1"/>
  <c r="AY20" i="8"/>
  <c r="AY36" i="8"/>
  <c r="AZ35" i="8" s="1"/>
  <c r="AZ34" i="8"/>
  <c r="AY47" i="8"/>
  <c r="BE22" i="7"/>
  <c r="BC30" i="7"/>
  <c r="AW37" i="6"/>
  <c r="AW59" i="6" s="1"/>
  <c r="AW61" i="6" s="1"/>
  <c r="AW64" i="6" s="1"/>
  <c r="BG22" i="6"/>
  <c r="BF30" i="6" s="1"/>
  <c r="AY34" i="6"/>
  <c r="AX36" i="6"/>
  <c r="AY35" i="6" s="1"/>
  <c r="AX47" i="6"/>
  <c r="AS50" i="6"/>
  <c r="AS32" i="6" s="1"/>
  <c r="AT55" i="6"/>
  <c r="AW63" i="6"/>
  <c r="AX20" i="6"/>
  <c r="AR51" i="6"/>
  <c r="AT40" i="6"/>
  <c r="AU38" i="6"/>
  <c r="AS55" i="6"/>
  <c r="AT39" i="6"/>
  <c r="AT48" i="6"/>
  <c r="AT49" i="6" s="1"/>
  <c r="AV59" i="6"/>
  <c r="AV61" i="6" s="1"/>
  <c r="AV64" i="6" s="1"/>
  <c r="AQ53" i="6"/>
  <c r="BE30" i="6"/>
  <c r="AU55" i="5"/>
  <c r="AS51" i="5"/>
  <c r="AX63" i="5"/>
  <c r="AY20" i="5"/>
  <c r="AW59" i="5"/>
  <c r="AW61" i="5" s="1"/>
  <c r="AW64" i="5" s="1"/>
  <c r="AY47" i="5"/>
  <c r="AY36" i="5"/>
  <c r="AZ35" i="5" s="1"/>
  <c r="AZ34" i="5"/>
  <c r="AU50" i="5"/>
  <c r="AU32" i="5" s="1"/>
  <c r="AR53" i="5"/>
  <c r="AR52" i="5" s="1"/>
  <c r="AR42" i="5" s="1"/>
  <c r="AV38" i="5"/>
  <c r="AU40" i="5"/>
  <c r="AU41" i="5" s="1"/>
  <c r="AX37" i="5"/>
  <c r="AT51" i="5"/>
  <c r="AT41" i="4"/>
  <c r="AS53" i="4"/>
  <c r="AS52" i="4" s="1"/>
  <c r="AS42" i="4" s="1"/>
  <c r="AX59" i="4"/>
  <c r="AX61" i="4" s="1"/>
  <c r="AX64" i="4" s="1"/>
  <c r="AY47" i="4"/>
  <c r="AY36" i="4"/>
  <c r="AZ35" i="4" s="1"/>
  <c r="AZ34" i="4"/>
  <c r="BE30" i="4"/>
  <c r="BG22" i="4"/>
  <c r="BF30" i="4" s="1"/>
  <c r="AT50" i="4"/>
  <c r="AT32" i="4" s="1"/>
  <c r="AT51" i="4"/>
  <c r="AY20" i="4"/>
  <c r="AX63" i="4"/>
  <c r="AX65" i="4" s="1"/>
  <c r="AU48" i="4"/>
  <c r="AU49" i="4" s="1"/>
  <c r="AU39" i="4"/>
  <c r="AV40" i="4"/>
  <c r="AW38" i="4"/>
  <c r="AU55" i="4"/>
  <c r="AW65" i="4"/>
  <c r="AU40" i="4"/>
  <c r="AV38" i="4"/>
  <c r="AR38" i="3"/>
  <c r="AQ40" i="3"/>
  <c r="AQ39" i="3"/>
  <c r="AQ41" i="3" s="1"/>
  <c r="AQ48" i="3"/>
  <c r="AQ49" i="3" s="1"/>
  <c r="AQ50" i="3" s="1"/>
  <c r="AQ32" i="3" s="1"/>
  <c r="AR65" i="3"/>
  <c r="AS37" i="3"/>
  <c r="AS59" i="3" s="1"/>
  <c r="AS61" i="3" s="1"/>
  <c r="AS64" i="3" s="1"/>
  <c r="BD30" i="3"/>
  <c r="BF22" i="3"/>
  <c r="AT36" i="3"/>
  <c r="AU35" i="3" s="1"/>
  <c r="AU47" i="3" s="1"/>
  <c r="AU34" i="3"/>
  <c r="AT37" i="3"/>
  <c r="AT20" i="3"/>
  <c r="AV55" i="8" l="1"/>
  <c r="BF22" i="8"/>
  <c r="BD30" i="8"/>
  <c r="AZ36" i="8"/>
  <c r="BA35" i="8" s="1"/>
  <c r="BA34" i="8"/>
  <c r="AZ47" i="8"/>
  <c r="AZ37" i="8"/>
  <c r="AT53" i="8"/>
  <c r="AT43" i="8" s="1"/>
  <c r="AW38" i="8"/>
  <c r="AV40" i="8"/>
  <c r="AV39" i="8"/>
  <c r="AV48" i="8"/>
  <c r="AV49" i="8" s="1"/>
  <c r="AV41" i="8"/>
  <c r="AY37" i="8"/>
  <c r="AY63" i="8"/>
  <c r="AZ20" i="8"/>
  <c r="AW55" i="8"/>
  <c r="AU50" i="8"/>
  <c r="AU32" i="8" s="1"/>
  <c r="AX38" i="8"/>
  <c r="AW40" i="8"/>
  <c r="BF22" i="7"/>
  <c r="BD30" i="7"/>
  <c r="AT41" i="6"/>
  <c r="AW65" i="6"/>
  <c r="AW38" i="6"/>
  <c r="AV40" i="6"/>
  <c r="AR53" i="6"/>
  <c r="AQ43" i="6"/>
  <c r="AQ56" i="6"/>
  <c r="AV38" i="6"/>
  <c r="AU40" i="6"/>
  <c r="AV65" i="6"/>
  <c r="AT50" i="6"/>
  <c r="AT32" i="6" s="1"/>
  <c r="AX37" i="6"/>
  <c r="AU48" i="6"/>
  <c r="AU49" i="6" s="1"/>
  <c r="AU39" i="6"/>
  <c r="AU41" i="6"/>
  <c r="AX63" i="6"/>
  <c r="AY20" i="6"/>
  <c r="AQ52" i="6"/>
  <c r="AQ42" i="6" s="1"/>
  <c r="AS51" i="6"/>
  <c r="AY36" i="6"/>
  <c r="AZ35" i="6" s="1"/>
  <c r="AY47" i="6"/>
  <c r="AZ34" i="6"/>
  <c r="AU51" i="5"/>
  <c r="AV48" i="5"/>
  <c r="AV49" i="5" s="1"/>
  <c r="AV39" i="5"/>
  <c r="AY37" i="5"/>
  <c r="AW38" i="5"/>
  <c r="AV40" i="5"/>
  <c r="AV41" i="5" s="1"/>
  <c r="AX59" i="5"/>
  <c r="AX61" i="5" s="1"/>
  <c r="AX64" i="5" s="1"/>
  <c r="AR43" i="5"/>
  <c r="AR44" i="5" s="1"/>
  <c r="AR56" i="5"/>
  <c r="AU53" i="5"/>
  <c r="AU43" i="5" s="1"/>
  <c r="AZ36" i="5"/>
  <c r="BA35" i="5" s="1"/>
  <c r="BA34" i="5"/>
  <c r="AZ47" i="5"/>
  <c r="AZ37" i="5"/>
  <c r="AW65" i="5"/>
  <c r="AY63" i="5"/>
  <c r="AZ20" i="5"/>
  <c r="AS53" i="5"/>
  <c r="AS52" i="5" s="1"/>
  <c r="AS42" i="5" s="1"/>
  <c r="AT53" i="5"/>
  <c r="AU41" i="4"/>
  <c r="AU50" i="4"/>
  <c r="AU32" i="4" s="1"/>
  <c r="AT53" i="4"/>
  <c r="AZ47" i="4"/>
  <c r="BA34" i="4"/>
  <c r="AZ36" i="4"/>
  <c r="BA35" i="4" s="1"/>
  <c r="AW55" i="4"/>
  <c r="AV39" i="4"/>
  <c r="AV48" i="4"/>
  <c r="AV49" i="4" s="1"/>
  <c r="AV41" i="4"/>
  <c r="AY63" i="4"/>
  <c r="AZ20" i="4"/>
  <c r="AY37" i="4"/>
  <c r="AV55" i="4"/>
  <c r="AX38" i="4"/>
  <c r="AW40" i="4"/>
  <c r="AS43" i="4"/>
  <c r="AS44" i="4" s="1"/>
  <c r="AS56" i="4"/>
  <c r="AW39" i="4"/>
  <c r="AW41" i="4" s="1"/>
  <c r="AW48" i="4"/>
  <c r="AW49" i="4" s="1"/>
  <c r="AR40" i="3"/>
  <c r="AS38" i="3"/>
  <c r="AS65" i="3"/>
  <c r="AU20" i="3"/>
  <c r="AU63" i="3" s="1"/>
  <c r="AT63" i="3"/>
  <c r="AR48" i="3"/>
  <c r="AR49" i="3" s="1"/>
  <c r="AR50" i="3" s="1"/>
  <c r="AR32" i="3" s="1"/>
  <c r="AR39" i="3"/>
  <c r="AR41" i="3"/>
  <c r="AT59" i="3"/>
  <c r="AT61" i="3" s="1"/>
  <c r="AT64" i="3" s="1"/>
  <c r="BG22" i="3"/>
  <c r="BF30" i="3" s="1"/>
  <c r="BE30" i="3"/>
  <c r="AV34" i="3"/>
  <c r="AU36" i="3"/>
  <c r="AV35" i="3" s="1"/>
  <c r="AV47" i="3" s="1"/>
  <c r="AY59" i="8" l="1"/>
  <c r="AY61" i="8" s="1"/>
  <c r="AY64" i="8" s="1"/>
  <c r="AV50" i="8"/>
  <c r="AV32" i="8" s="1"/>
  <c r="AW48" i="8"/>
  <c r="AW49" i="8" s="1"/>
  <c r="AW39" i="8"/>
  <c r="AW41" i="8"/>
  <c r="AZ59" i="8"/>
  <c r="AZ61" i="8" s="1"/>
  <c r="AZ64" i="8" s="1"/>
  <c r="BA36" i="8"/>
  <c r="BB35" i="8" s="1"/>
  <c r="BB34" i="8"/>
  <c r="BA37" i="8"/>
  <c r="BA47" i="8"/>
  <c r="AT52" i="8"/>
  <c r="AT42" i="8" s="1"/>
  <c r="AT44" i="8" s="1"/>
  <c r="AX39" i="8"/>
  <c r="AX48" i="8"/>
  <c r="AX49" i="8" s="1"/>
  <c r="AT56" i="8"/>
  <c r="AU51" i="8"/>
  <c r="BG22" i="8"/>
  <c r="BF30" i="8" s="1"/>
  <c r="BE30" i="8"/>
  <c r="AZ63" i="8"/>
  <c r="BA20" i="8"/>
  <c r="AY65" i="8"/>
  <c r="BE30" i="7"/>
  <c r="BG22" i="7"/>
  <c r="BF30" i="7" s="1"/>
  <c r="AY37" i="6"/>
  <c r="AY59" i="6" s="1"/>
  <c r="AY61" i="6" s="1"/>
  <c r="AY64" i="6" s="1"/>
  <c r="AX59" i="6"/>
  <c r="AX61" i="6" s="1"/>
  <c r="AX64" i="6" s="1"/>
  <c r="AX65" i="6" s="1"/>
  <c r="AT51" i="6"/>
  <c r="AQ44" i="6"/>
  <c r="AU50" i="6"/>
  <c r="AU32" i="6" s="1"/>
  <c r="AU51" i="6"/>
  <c r="AU55" i="6"/>
  <c r="AV39" i="6"/>
  <c r="AV48" i="6"/>
  <c r="AV49" i="6" s="1"/>
  <c r="AV41" i="6"/>
  <c r="AV55" i="6"/>
  <c r="AZ47" i="6"/>
  <c r="AZ36" i="6"/>
  <c r="BA35" i="6" s="1"/>
  <c r="BA34" i="6"/>
  <c r="AZ20" i="6"/>
  <c r="AY63" i="6"/>
  <c r="AW48" i="6"/>
  <c r="AW49" i="6" s="1"/>
  <c r="AW39" i="6"/>
  <c r="AR43" i="6"/>
  <c r="AR56" i="6"/>
  <c r="AR52" i="6"/>
  <c r="AR42" i="6" s="1"/>
  <c r="AS53" i="6"/>
  <c r="AS52" i="6"/>
  <c r="AS42" i="6" s="1"/>
  <c r="AU52" i="5"/>
  <c r="AU42" i="5" s="1"/>
  <c r="AU44" i="5" s="1"/>
  <c r="BA36" i="5"/>
  <c r="BB35" i="5" s="1"/>
  <c r="BA47" i="5"/>
  <c r="BB34" i="5"/>
  <c r="AZ59" i="5"/>
  <c r="AZ61" i="5" s="1"/>
  <c r="AZ64" i="5" s="1"/>
  <c r="AW40" i="5"/>
  <c r="AX38" i="5"/>
  <c r="AT43" i="5"/>
  <c r="AT56" i="5"/>
  <c r="AY59" i="5"/>
  <c r="AY61" i="5" s="1"/>
  <c r="AY64" i="5" s="1"/>
  <c r="AX65" i="5"/>
  <c r="AU56" i="5"/>
  <c r="AT52" i="5"/>
  <c r="AT42" i="5" s="1"/>
  <c r="AT44" i="5" s="1"/>
  <c r="AW48" i="5"/>
  <c r="AW49" i="5" s="1"/>
  <c r="AW39" i="5"/>
  <c r="AW41" i="5" s="1"/>
  <c r="AS43" i="5"/>
  <c r="AS44" i="5" s="1"/>
  <c r="AS56" i="5"/>
  <c r="AZ63" i="5"/>
  <c r="BA20" i="5"/>
  <c r="AV50" i="5"/>
  <c r="AV32" i="5" s="1"/>
  <c r="AV55" i="5"/>
  <c r="AZ63" i="4"/>
  <c r="BA20" i="4"/>
  <c r="AV50" i="4"/>
  <c r="AV32" i="4" s="1"/>
  <c r="AV51" i="4"/>
  <c r="BA47" i="4"/>
  <c r="BB34" i="4"/>
  <c r="BA36" i="4"/>
  <c r="BB35" i="4" s="1"/>
  <c r="AZ37" i="4"/>
  <c r="AY59" i="4"/>
  <c r="AY61" i="4" s="1"/>
  <c r="AY64" i="4" s="1"/>
  <c r="AW50" i="4"/>
  <c r="AW32" i="4" s="1"/>
  <c r="AW51" i="4"/>
  <c r="AT43" i="4"/>
  <c r="AT56" i="4"/>
  <c r="AT52" i="4"/>
  <c r="AT42" i="4" s="1"/>
  <c r="AX48" i="4"/>
  <c r="AX49" i="4" s="1"/>
  <c r="AX39" i="4"/>
  <c r="AU51" i="4"/>
  <c r="AS40" i="3"/>
  <c r="AT38" i="3"/>
  <c r="AT65" i="3"/>
  <c r="AS39" i="3"/>
  <c r="AS48" i="3"/>
  <c r="AS49" i="3" s="1"/>
  <c r="AS50" i="3" s="1"/>
  <c r="AS32" i="3" s="1"/>
  <c r="AS41" i="3"/>
  <c r="AV36" i="3"/>
  <c r="AW35" i="3" s="1"/>
  <c r="AW47" i="3" s="1"/>
  <c r="AW34" i="3"/>
  <c r="AU37" i="3"/>
  <c r="AV20" i="3"/>
  <c r="AV63" i="3" s="1"/>
  <c r="AZ65" i="8" l="1"/>
  <c r="AZ38" i="8"/>
  <c r="AY40" i="8"/>
  <c r="AW50" i="8"/>
  <c r="AW32" i="8" s="1"/>
  <c r="AX40" i="8"/>
  <c r="AX41" i="8" s="1"/>
  <c r="AY38" i="8"/>
  <c r="AX50" i="8"/>
  <c r="AX32" i="8" s="1"/>
  <c r="BA59" i="8"/>
  <c r="BA61" i="8" s="1"/>
  <c r="BA64" i="8" s="1"/>
  <c r="BB47" i="8"/>
  <c r="BB36" i="8"/>
  <c r="BC35" i="8" s="1"/>
  <c r="BC34" i="8"/>
  <c r="BB37" i="8"/>
  <c r="AX55" i="8"/>
  <c r="BB20" i="8"/>
  <c r="BA63" i="8"/>
  <c r="BA65" i="8" s="1"/>
  <c r="AV51" i="8"/>
  <c r="AU53" i="8"/>
  <c r="AU52" i="8" s="1"/>
  <c r="AU42" i="8" s="1"/>
  <c r="AR44" i="6"/>
  <c r="AW55" i="6"/>
  <c r="AY65" i="6"/>
  <c r="AV50" i="6"/>
  <c r="AV32" i="6" s="1"/>
  <c r="AV51" i="6"/>
  <c r="AU53" i="6"/>
  <c r="AU43" i="6" s="1"/>
  <c r="AX40" i="6"/>
  <c r="AY38" i="6"/>
  <c r="AX38" i="6"/>
  <c r="AW40" i="6"/>
  <c r="AW41" i="6" s="1"/>
  <c r="BB34" i="6"/>
  <c r="BA47" i="6"/>
  <c r="BA36" i="6"/>
  <c r="BB35" i="6" s="1"/>
  <c r="AS43" i="6"/>
  <c r="AS44" i="6" s="1"/>
  <c r="AS56" i="6"/>
  <c r="AW50" i="6"/>
  <c r="AW32" i="6" s="1"/>
  <c r="AT53" i="6"/>
  <c r="AT52" i="6" s="1"/>
  <c r="AT42" i="6" s="1"/>
  <c r="BA20" i="6"/>
  <c r="AZ63" i="6"/>
  <c r="AZ37" i="6"/>
  <c r="AV51" i="5"/>
  <c r="AW50" i="5"/>
  <c r="AW32" i="5" s="1"/>
  <c r="AW51" i="5"/>
  <c r="AX40" i="5"/>
  <c r="AY38" i="5"/>
  <c r="AZ38" i="5"/>
  <c r="AY40" i="5"/>
  <c r="AZ65" i="5"/>
  <c r="BA37" i="5"/>
  <c r="AW55" i="5"/>
  <c r="AX39" i="5"/>
  <c r="AX48" i="5"/>
  <c r="AX49" i="5" s="1"/>
  <c r="AX41" i="5"/>
  <c r="AY65" i="5"/>
  <c r="AV53" i="5"/>
  <c r="AV43" i="5" s="1"/>
  <c r="BA63" i="5"/>
  <c r="BB20" i="5"/>
  <c r="BB47" i="5"/>
  <c r="BB36" i="5"/>
  <c r="BC35" i="5" s="1"/>
  <c r="BC34" i="5"/>
  <c r="AW53" i="4"/>
  <c r="AW52" i="4" s="1"/>
  <c r="AW42" i="4" s="1"/>
  <c r="BB36" i="4"/>
  <c r="BC35" i="4" s="1"/>
  <c r="BC34" i="4"/>
  <c r="BB47" i="4"/>
  <c r="AX40" i="4"/>
  <c r="AX41" i="4" s="1"/>
  <c r="AY38" i="4"/>
  <c r="AU53" i="4"/>
  <c r="AZ59" i="4"/>
  <c r="AZ61" i="4" s="1"/>
  <c r="AZ64" i="4" s="1"/>
  <c r="BA37" i="4"/>
  <c r="AV53" i="4"/>
  <c r="AV52" i="4" s="1"/>
  <c r="AV42" i="4" s="1"/>
  <c r="BA63" i="4"/>
  <c r="BB20" i="4"/>
  <c r="AX50" i="4"/>
  <c r="AX32" i="4" s="1"/>
  <c r="AT44" i="4"/>
  <c r="AY65" i="4"/>
  <c r="AT39" i="3"/>
  <c r="AT48" i="3"/>
  <c r="AT49" i="3" s="1"/>
  <c r="AT50" i="3" s="1"/>
  <c r="AT32" i="3" s="1"/>
  <c r="AW20" i="3"/>
  <c r="AW63" i="3" s="1"/>
  <c r="AV37" i="3"/>
  <c r="AU59" i="3"/>
  <c r="AU61" i="3" s="1"/>
  <c r="AU64" i="3" s="1"/>
  <c r="AV59" i="3"/>
  <c r="AV61" i="3" s="1"/>
  <c r="AV64" i="3" s="1"/>
  <c r="AW36" i="3"/>
  <c r="AX35" i="3" s="1"/>
  <c r="AX47" i="3" s="1"/>
  <c r="AX34" i="3"/>
  <c r="BB59" i="8" l="1"/>
  <c r="BB61" i="8" s="1"/>
  <c r="BB64" i="8" s="1"/>
  <c r="BC20" i="8"/>
  <c r="BB63" i="8"/>
  <c r="BB65" i="8" s="1"/>
  <c r="AU43" i="8"/>
  <c r="AU44" i="8" s="1"/>
  <c r="AU56" i="8"/>
  <c r="AV53" i="8"/>
  <c r="AV52" i="8" s="1"/>
  <c r="AV42" i="8" s="1"/>
  <c r="AZ55" i="8"/>
  <c r="BD34" i="8"/>
  <c r="BC36" i="8"/>
  <c r="BD35" i="8" s="1"/>
  <c r="BC47" i="8"/>
  <c r="AZ40" i="8"/>
  <c r="AZ41" i="8" s="1"/>
  <c r="BA38" i="8"/>
  <c r="AX51" i="8"/>
  <c r="AY39" i="8"/>
  <c r="AY48" i="8"/>
  <c r="AY49" i="8" s="1"/>
  <c r="AY41" i="8"/>
  <c r="AW51" i="8"/>
  <c r="AZ39" i="8"/>
  <c r="AZ48" i="8"/>
  <c r="AZ49" i="8" s="1"/>
  <c r="AY55" i="8"/>
  <c r="AW51" i="6"/>
  <c r="BA37" i="6"/>
  <c r="AU52" i="6"/>
  <c r="AU42" i="6" s="1"/>
  <c r="AU44" i="6" s="1"/>
  <c r="BA59" i="6"/>
  <c r="BA61" i="6" s="1"/>
  <c r="BA64" i="6" s="1"/>
  <c r="AZ59" i="6"/>
  <c r="AZ61" i="6" s="1"/>
  <c r="AZ64" i="6" s="1"/>
  <c r="AZ65" i="6" s="1"/>
  <c r="AX48" i="6"/>
  <c r="AX49" i="6" s="1"/>
  <c r="AX39" i="6"/>
  <c r="AX41" i="6"/>
  <c r="AV53" i="6"/>
  <c r="AV52" i="6" s="1"/>
  <c r="AV42" i="6" s="1"/>
  <c r="BB20" i="6"/>
  <c r="BA63" i="6"/>
  <c r="AU56" i="6"/>
  <c r="BC34" i="6"/>
  <c r="BB36" i="6"/>
  <c r="BC35" i="6" s="1"/>
  <c r="BB47" i="6"/>
  <c r="AY39" i="6"/>
  <c r="AY48" i="6"/>
  <c r="AY49" i="6" s="1"/>
  <c r="AX55" i="6"/>
  <c r="AT43" i="6"/>
  <c r="AT44" i="6" s="1"/>
  <c r="AT56" i="6"/>
  <c r="AW53" i="6"/>
  <c r="AW43" i="6" s="1"/>
  <c r="AW52" i="6"/>
  <c r="AW42" i="6" s="1"/>
  <c r="AW44" i="6" s="1"/>
  <c r="BC20" i="5"/>
  <c r="BB63" i="5"/>
  <c r="AV52" i="5"/>
  <c r="AV42" i="5" s="1"/>
  <c r="AV44" i="5" s="1"/>
  <c r="BA59" i="5"/>
  <c r="BA61" i="5" s="1"/>
  <c r="BA64" i="5" s="1"/>
  <c r="BB37" i="5"/>
  <c r="AX55" i="5"/>
  <c r="AX50" i="5"/>
  <c r="AX32" i="5" s="1"/>
  <c r="AV56" i="5"/>
  <c r="AY55" i="5"/>
  <c r="AZ39" i="5"/>
  <c r="AZ48" i="5"/>
  <c r="AZ49" i="5" s="1"/>
  <c r="AY48" i="5"/>
  <c r="AY49" i="5" s="1"/>
  <c r="AY39" i="5"/>
  <c r="AY41" i="5"/>
  <c r="BC47" i="5"/>
  <c r="BC36" i="5"/>
  <c r="BD35" i="5" s="1"/>
  <c r="BD34" i="5"/>
  <c r="AW53" i="5"/>
  <c r="AW43" i="5" s="1"/>
  <c r="BB37" i="4"/>
  <c r="BB63" i="4"/>
  <c r="BC20" i="4"/>
  <c r="AZ38" i="4"/>
  <c r="AY40" i="4"/>
  <c r="AY48" i="4"/>
  <c r="AY49" i="4" s="1"/>
  <c r="AY39" i="4"/>
  <c r="AY41" i="4"/>
  <c r="AV43" i="4"/>
  <c r="AV44" i="4" s="1"/>
  <c r="AV56" i="4"/>
  <c r="AU43" i="4"/>
  <c r="AU56" i="4"/>
  <c r="AW44" i="4"/>
  <c r="BA59" i="4"/>
  <c r="BA61" i="4" s="1"/>
  <c r="BA64" i="4" s="1"/>
  <c r="BA65" i="4" s="1"/>
  <c r="AZ65" i="4"/>
  <c r="AU52" i="4"/>
  <c r="AU42" i="4" s="1"/>
  <c r="AU44" i="4" s="1"/>
  <c r="BB59" i="4"/>
  <c r="BB61" i="4" s="1"/>
  <c r="BB64" i="4" s="1"/>
  <c r="AX55" i="4"/>
  <c r="BC47" i="4"/>
  <c r="BD34" i="4"/>
  <c r="BC36" i="4"/>
  <c r="BD35" i="4" s="1"/>
  <c r="AX51" i="4"/>
  <c r="AW43" i="4"/>
  <c r="AW56" i="4"/>
  <c r="AU40" i="3"/>
  <c r="AV38" i="3"/>
  <c r="AT40" i="3"/>
  <c r="AT41" i="3" s="1"/>
  <c r="AU38" i="3"/>
  <c r="AU65" i="3"/>
  <c r="AV65" i="3"/>
  <c r="AW37" i="3"/>
  <c r="AW59" i="3" s="1"/>
  <c r="AW61" i="3" s="1"/>
  <c r="AW64" i="3" s="1"/>
  <c r="AW65" i="3" s="1"/>
  <c r="AX36" i="3"/>
  <c r="AY35" i="3" s="1"/>
  <c r="AY47" i="3" s="1"/>
  <c r="AY34" i="3"/>
  <c r="AX20" i="3"/>
  <c r="BC37" i="8" l="1"/>
  <c r="BB38" i="8"/>
  <c r="BA40" i="8"/>
  <c r="BE34" i="8"/>
  <c r="BD36" i="8"/>
  <c r="BE35" i="8" s="1"/>
  <c r="BD47" i="8"/>
  <c r="AZ50" i="8"/>
  <c r="AZ32" i="8" s="1"/>
  <c r="AZ51" i="8"/>
  <c r="BA39" i="8"/>
  <c r="BA48" i="8"/>
  <c r="BA49" i="8" s="1"/>
  <c r="BA41" i="8"/>
  <c r="AV43" i="8"/>
  <c r="AV44" i="8" s="1"/>
  <c r="AV56" i="8"/>
  <c r="AW53" i="8"/>
  <c r="AW52" i="8"/>
  <c r="AW42" i="8" s="1"/>
  <c r="BA55" i="8"/>
  <c r="BD20" i="8"/>
  <c r="BC63" i="8"/>
  <c r="AY50" i="8"/>
  <c r="AY32" i="8" s="1"/>
  <c r="AX53" i="8"/>
  <c r="AX52" i="8"/>
  <c r="AX42" i="8" s="1"/>
  <c r="AW56" i="6"/>
  <c r="BA65" i="6"/>
  <c r="AY55" i="6"/>
  <c r="BD34" i="6"/>
  <c r="BC36" i="6"/>
  <c r="BD35" i="6" s="1"/>
  <c r="BC47" i="6"/>
  <c r="BC37" i="6"/>
  <c r="AZ55" i="6"/>
  <c r="BB63" i="6"/>
  <c r="BC20" i="6"/>
  <c r="AV43" i="6"/>
  <c r="AV44" i="6" s="1"/>
  <c r="AV56" i="6"/>
  <c r="BB37" i="6"/>
  <c r="AX50" i="6"/>
  <c r="AX32" i="6" s="1"/>
  <c r="AZ38" i="6"/>
  <c r="AY40" i="6"/>
  <c r="AY41" i="6" s="1"/>
  <c r="AZ40" i="6"/>
  <c r="BA38" i="6"/>
  <c r="AY50" i="6"/>
  <c r="AY32" i="6" s="1"/>
  <c r="AX51" i="5"/>
  <c r="AW56" i="5"/>
  <c r="AZ50" i="5"/>
  <c r="AZ32" i="5" s="1"/>
  <c r="AW52" i="5"/>
  <c r="AW42" i="5" s="1"/>
  <c r="AW44" i="5" s="1"/>
  <c r="BD47" i="5"/>
  <c r="BE34" i="5"/>
  <c r="BD36" i="5"/>
  <c r="BE35" i="5" s="1"/>
  <c r="AY50" i="5"/>
  <c r="AY32" i="5" s="1"/>
  <c r="AY51" i="5"/>
  <c r="AX53" i="5"/>
  <c r="AX43" i="5" s="1"/>
  <c r="BB59" i="5"/>
  <c r="BB61" i="5" s="1"/>
  <c r="BB64" i="5" s="1"/>
  <c r="BA38" i="5"/>
  <c r="AZ40" i="5"/>
  <c r="AZ41" i="5" s="1"/>
  <c r="BC37" i="5"/>
  <c r="BA65" i="5"/>
  <c r="BD20" i="5"/>
  <c r="BC63" i="5"/>
  <c r="AZ55" i="4"/>
  <c r="BA38" i="4"/>
  <c r="AZ40" i="4"/>
  <c r="BC37" i="4"/>
  <c r="AY55" i="4"/>
  <c r="BB38" i="4"/>
  <c r="BA40" i="4"/>
  <c r="AX53" i="4"/>
  <c r="AX43" i="4" s="1"/>
  <c r="BD36" i="4"/>
  <c r="BE35" i="4" s="1"/>
  <c r="BD47" i="4"/>
  <c r="BE34" i="4"/>
  <c r="BD37" i="4"/>
  <c r="AY50" i="4"/>
  <c r="AY32" i="4" s="1"/>
  <c r="AY51" i="4"/>
  <c r="AX56" i="4"/>
  <c r="AZ39" i="4"/>
  <c r="AZ48" i="4"/>
  <c r="AZ49" i="4" s="1"/>
  <c r="BD20" i="4"/>
  <c r="BC63" i="4"/>
  <c r="BB65" i="4"/>
  <c r="AY20" i="3"/>
  <c r="AY63" i="3" s="1"/>
  <c r="AX63" i="3"/>
  <c r="AX37" i="3"/>
  <c r="AW38" i="3"/>
  <c r="AV40" i="3"/>
  <c r="AU39" i="3"/>
  <c r="AU48" i="3"/>
  <c r="AU49" i="3" s="1"/>
  <c r="AU50" i="3" s="1"/>
  <c r="AU32" i="3" s="1"/>
  <c r="AU41" i="3"/>
  <c r="AV39" i="3"/>
  <c r="AV48" i="3"/>
  <c r="AV49" i="3" s="1"/>
  <c r="AV50" i="3" s="1"/>
  <c r="AV32" i="3" s="1"/>
  <c r="AV41" i="3"/>
  <c r="AX59" i="3"/>
  <c r="AX61" i="3" s="1"/>
  <c r="AX64" i="3" s="1"/>
  <c r="AY36" i="3"/>
  <c r="AZ35" i="3" s="1"/>
  <c r="AZ47" i="3" s="1"/>
  <c r="AZ34" i="3"/>
  <c r="AY37" i="3"/>
  <c r="AX43" i="8" l="1"/>
  <c r="AX56" i="8"/>
  <c r="AY51" i="8"/>
  <c r="BE20" i="8"/>
  <c r="BD63" i="8"/>
  <c r="BA50" i="8"/>
  <c r="BA32" i="8" s="1"/>
  <c r="AZ53" i="8"/>
  <c r="AZ52" i="8"/>
  <c r="AZ42" i="8" s="1"/>
  <c r="AX44" i="8"/>
  <c r="BE36" i="8"/>
  <c r="BF35" i="8" s="1"/>
  <c r="BE37" i="8"/>
  <c r="BF34" i="8"/>
  <c r="BE47" i="8"/>
  <c r="BD37" i="8"/>
  <c r="BB39" i="8"/>
  <c r="BB48" i="8"/>
  <c r="BB49" i="8" s="1"/>
  <c r="BC59" i="8"/>
  <c r="BC61" i="8" s="1"/>
  <c r="BC64" i="8" s="1"/>
  <c r="BC65" i="8" s="1"/>
  <c r="AW43" i="8"/>
  <c r="AW44" i="8" s="1"/>
  <c r="AW56" i="8"/>
  <c r="AY51" i="6"/>
  <c r="AY53" i="6" s="1"/>
  <c r="AY43" i="6" s="1"/>
  <c r="AX51" i="6"/>
  <c r="AX53" i="6" s="1"/>
  <c r="AX52" i="6" s="1"/>
  <c r="AX42" i="6" s="1"/>
  <c r="BB59" i="6"/>
  <c r="BB61" i="6" s="1"/>
  <c r="BB64" i="6" s="1"/>
  <c r="BC63" i="6"/>
  <c r="BD20" i="6"/>
  <c r="BA39" i="6"/>
  <c r="BA48" i="6"/>
  <c r="BA49" i="6" s="1"/>
  <c r="AZ39" i="6"/>
  <c r="AZ48" i="6"/>
  <c r="AZ49" i="6" s="1"/>
  <c r="AZ41" i="6"/>
  <c r="BC59" i="6"/>
  <c r="BC61" i="6" s="1"/>
  <c r="BC64" i="6" s="1"/>
  <c r="BB65" i="6"/>
  <c r="BD47" i="6"/>
  <c r="BD36" i="6"/>
  <c r="BE35" i="6" s="1"/>
  <c r="BE34" i="6"/>
  <c r="AX56" i="5"/>
  <c r="BB38" i="5"/>
  <c r="BA40" i="5"/>
  <c r="AX52" i="5"/>
  <c r="AX42" i="5" s="1"/>
  <c r="AX44" i="5" s="1"/>
  <c r="AY53" i="5"/>
  <c r="AY52" i="5" s="1"/>
  <c r="AY42" i="5" s="1"/>
  <c r="BE47" i="5"/>
  <c r="BE36" i="5"/>
  <c r="BF35" i="5" s="1"/>
  <c r="BF34" i="5"/>
  <c r="BB65" i="5"/>
  <c r="BC59" i="5"/>
  <c r="BC61" i="5" s="1"/>
  <c r="BC64" i="5" s="1"/>
  <c r="BC65" i="5" s="1"/>
  <c r="BA39" i="5"/>
  <c r="BA48" i="5"/>
  <c r="BA49" i="5" s="1"/>
  <c r="BA41" i="5"/>
  <c r="BD37" i="5"/>
  <c r="BE20" i="5"/>
  <c r="BD63" i="5"/>
  <c r="AZ55" i="5"/>
  <c r="AZ51" i="5"/>
  <c r="AZ41" i="4"/>
  <c r="BD59" i="4"/>
  <c r="BD61" i="4" s="1"/>
  <c r="BD64" i="4" s="1"/>
  <c r="BE36" i="4"/>
  <c r="BF35" i="4" s="1"/>
  <c r="BE47" i="4"/>
  <c r="BF34" i="4"/>
  <c r="BE37" i="4"/>
  <c r="AX52" i="4"/>
  <c r="AX42" i="4" s="1"/>
  <c r="AX44" i="4" s="1"/>
  <c r="BC59" i="4"/>
  <c r="BC61" i="4" s="1"/>
  <c r="BC64" i="4" s="1"/>
  <c r="AY53" i="4"/>
  <c r="AY43" i="4" s="1"/>
  <c r="BB39" i="4"/>
  <c r="BB48" i="4"/>
  <c r="BB49" i="4" s="1"/>
  <c r="AY56" i="4"/>
  <c r="BA55" i="4"/>
  <c r="BC65" i="4"/>
  <c r="BE20" i="4"/>
  <c r="BD63" i="4"/>
  <c r="BA48" i="4"/>
  <c r="BA49" i="4" s="1"/>
  <c r="BA39" i="4"/>
  <c r="BA41" i="4" s="1"/>
  <c r="AZ50" i="4"/>
  <c r="AZ32" i="4" s="1"/>
  <c r="AX38" i="3"/>
  <c r="AW40" i="3"/>
  <c r="AW39" i="3"/>
  <c r="AW41" i="3" s="1"/>
  <c r="AW48" i="3"/>
  <c r="AW49" i="3" s="1"/>
  <c r="AW50" i="3" s="1"/>
  <c r="AW32" i="3" s="1"/>
  <c r="AX65" i="3"/>
  <c r="AY59" i="3"/>
  <c r="AY61" i="3" s="1"/>
  <c r="AY64" i="3" s="1"/>
  <c r="AZ20" i="3"/>
  <c r="AZ63" i="3" s="1"/>
  <c r="AZ36" i="3"/>
  <c r="BA35" i="3" s="1"/>
  <c r="BA47" i="3" s="1"/>
  <c r="AZ37" i="3"/>
  <c r="BA34" i="3"/>
  <c r="BB55" i="8" l="1"/>
  <c r="BB50" i="8"/>
  <c r="BB32" i="8" s="1"/>
  <c r="BB51" i="8"/>
  <c r="BF36" i="8"/>
  <c r="BF47" i="8"/>
  <c r="BF37" i="8"/>
  <c r="BF20" i="8"/>
  <c r="BE63" i="8"/>
  <c r="AY53" i="8"/>
  <c r="BD59" i="8"/>
  <c r="BD61" i="8" s="1"/>
  <c r="BD64" i="8" s="1"/>
  <c r="BD65" i="8" s="1"/>
  <c r="BE59" i="8"/>
  <c r="BE61" i="8" s="1"/>
  <c r="BE64" i="8" s="1"/>
  <c r="AZ43" i="8"/>
  <c r="AZ44" i="8" s="1"/>
  <c r="AZ56" i="8"/>
  <c r="BA51" i="8"/>
  <c r="BB40" i="8"/>
  <c r="BB41" i="8" s="1"/>
  <c r="BC38" i="8"/>
  <c r="BA55" i="6"/>
  <c r="BC38" i="6"/>
  <c r="BB40" i="6"/>
  <c r="AY52" i="6"/>
  <c r="AY42" i="6" s="1"/>
  <c r="AY44" i="6" s="1"/>
  <c r="AX43" i="6"/>
  <c r="AX44" i="6" s="1"/>
  <c r="AX56" i="6"/>
  <c r="AZ50" i="6"/>
  <c r="AZ32" i="6" s="1"/>
  <c r="BA50" i="6"/>
  <c r="BA32" i="6" s="1"/>
  <c r="BF34" i="6"/>
  <c r="BE36" i="6"/>
  <c r="BF35" i="6" s="1"/>
  <c r="BE47" i="6"/>
  <c r="BE37" i="6"/>
  <c r="AY56" i="6"/>
  <c r="BD63" i="6"/>
  <c r="BE20" i="6"/>
  <c r="BC65" i="6"/>
  <c r="BD37" i="6"/>
  <c r="BB38" i="6"/>
  <c r="BA40" i="6"/>
  <c r="BA41" i="6" s="1"/>
  <c r="BE37" i="5"/>
  <c r="BE63" i="5"/>
  <c r="BF20" i="5"/>
  <c r="BD59" i="5"/>
  <c r="BD61" i="5" s="1"/>
  <c r="BD64" i="5" s="1"/>
  <c r="BA50" i="5"/>
  <c r="BA32" i="5" s="1"/>
  <c r="BB40" i="5"/>
  <c r="BC38" i="5"/>
  <c r="BA55" i="5"/>
  <c r="BE59" i="5"/>
  <c r="BE61" i="5" s="1"/>
  <c r="BE64" i="5" s="1"/>
  <c r="BB39" i="5"/>
  <c r="BB48" i="5"/>
  <c r="BB49" i="5" s="1"/>
  <c r="BB41" i="5"/>
  <c r="BB55" i="5"/>
  <c r="BF47" i="5"/>
  <c r="BF36" i="5"/>
  <c r="BF37" i="5" s="1"/>
  <c r="AY43" i="5"/>
  <c r="AY44" i="5" s="1"/>
  <c r="AY56" i="5"/>
  <c r="AZ53" i="5"/>
  <c r="AZ43" i="5" s="1"/>
  <c r="BD65" i="5"/>
  <c r="AZ51" i="4"/>
  <c r="BB55" i="4"/>
  <c r="BB40" i="4"/>
  <c r="BB41" i="4" s="1"/>
  <c r="BC38" i="4"/>
  <c r="AZ53" i="4"/>
  <c r="AZ52" i="4" s="1"/>
  <c r="AZ42" i="4" s="1"/>
  <c r="BC40" i="4"/>
  <c r="BD38" i="4"/>
  <c r="BB50" i="4"/>
  <c r="BB32" i="4" s="1"/>
  <c r="AY52" i="4"/>
  <c r="AY42" i="4" s="1"/>
  <c r="AY44" i="4" s="1"/>
  <c r="BE59" i="4"/>
  <c r="BE61" i="4" s="1"/>
  <c r="BE64" i="4" s="1"/>
  <c r="BF47" i="4"/>
  <c r="BF36" i="4"/>
  <c r="BF37" i="4" s="1"/>
  <c r="BA50" i="4"/>
  <c r="BA32" i="4" s="1"/>
  <c r="BD65" i="4"/>
  <c r="BE63" i="4"/>
  <c r="BF20" i="4"/>
  <c r="AY38" i="3"/>
  <c r="AX40" i="3"/>
  <c r="AY65" i="3"/>
  <c r="AX39" i="3"/>
  <c r="AX48" i="3"/>
  <c r="AX49" i="3" s="1"/>
  <c r="AX50" i="3" s="1"/>
  <c r="AX32" i="3" s="1"/>
  <c r="AX41" i="3"/>
  <c r="AZ59" i="3"/>
  <c r="AZ61" i="3" s="1"/>
  <c r="AZ64" i="3" s="1"/>
  <c r="BA36" i="3"/>
  <c r="BB35" i="3" s="1"/>
  <c r="BB47" i="3" s="1"/>
  <c r="BB34" i="3"/>
  <c r="BA20" i="3"/>
  <c r="BC55" i="8" l="1"/>
  <c r="BE65" i="8"/>
  <c r="BE38" i="8"/>
  <c r="BD40" i="8"/>
  <c r="AY43" i="8"/>
  <c r="AY56" i="8"/>
  <c r="BG20" i="8"/>
  <c r="BF63" i="8"/>
  <c r="BF59" i="8"/>
  <c r="BF61" i="8" s="1"/>
  <c r="BF64" i="8" s="1"/>
  <c r="BB53" i="8"/>
  <c r="BB43" i="8" s="1"/>
  <c r="BC39" i="8"/>
  <c r="BC48" i="8"/>
  <c r="BC49" i="8" s="1"/>
  <c r="BC41" i="8"/>
  <c r="BA53" i="8"/>
  <c r="BA52" i="8" s="1"/>
  <c r="BA42" i="8" s="1"/>
  <c r="BB56" i="8"/>
  <c r="BD38" i="8"/>
  <c r="BC40" i="8"/>
  <c r="AY52" i="8"/>
  <c r="AY42" i="8" s="1"/>
  <c r="AZ51" i="6"/>
  <c r="AZ53" i="6"/>
  <c r="AZ52" i="6"/>
  <c r="AZ42" i="6" s="1"/>
  <c r="BF47" i="6"/>
  <c r="BF36" i="6"/>
  <c r="BF37" i="6" s="1"/>
  <c r="BA51" i="6"/>
  <c r="BE59" i="6"/>
  <c r="BE61" i="6" s="1"/>
  <c r="BE64" i="6" s="1"/>
  <c r="BC48" i="6"/>
  <c r="BC49" i="6" s="1"/>
  <c r="BC39" i="6"/>
  <c r="BB39" i="6"/>
  <c r="BB48" i="6"/>
  <c r="BB49" i="6" s="1"/>
  <c r="BB41" i="6"/>
  <c r="BD59" i="6"/>
  <c r="BD61" i="6" s="1"/>
  <c r="BD64" i="6" s="1"/>
  <c r="BB55" i="6"/>
  <c r="BE63" i="6"/>
  <c r="BF20" i="6"/>
  <c r="AZ56" i="5"/>
  <c r="BF59" i="5"/>
  <c r="BF61" i="5" s="1"/>
  <c r="BF64" i="5" s="1"/>
  <c r="BD40" i="5"/>
  <c r="BE38" i="5"/>
  <c r="BC48" i="5"/>
  <c r="BC49" i="5" s="1"/>
  <c r="BC39" i="5"/>
  <c r="BE65" i="5"/>
  <c r="BB50" i="5"/>
  <c r="BB32" i="5" s="1"/>
  <c r="BC55" i="5"/>
  <c r="AZ52" i="5"/>
  <c r="AZ42" i="5" s="1"/>
  <c r="AZ44" i="5" s="1"/>
  <c r="BA51" i="5"/>
  <c r="BC40" i="5"/>
  <c r="BC41" i="5" s="1"/>
  <c r="BD38" i="5"/>
  <c r="BG20" i="5"/>
  <c r="BF63" i="5"/>
  <c r="BF65" i="5" s="1"/>
  <c r="BF59" i="4"/>
  <c r="BF61" i="4" s="1"/>
  <c r="BF64" i="4" s="1"/>
  <c r="BD39" i="4"/>
  <c r="BD48" i="4"/>
  <c r="BD49" i="4" s="1"/>
  <c r="BE38" i="4"/>
  <c r="BD40" i="4"/>
  <c r="BD41" i="4" s="1"/>
  <c r="BC48" i="4"/>
  <c r="BC49" i="4" s="1"/>
  <c r="BC39" i="4"/>
  <c r="BC41" i="4"/>
  <c r="BF63" i="4"/>
  <c r="BF65" i="4" s="1"/>
  <c r="BG20" i="4"/>
  <c r="BC55" i="4"/>
  <c r="BB51" i="4"/>
  <c r="AZ43" i="4"/>
  <c r="AZ44" i="4" s="1"/>
  <c r="AZ56" i="4"/>
  <c r="BE65" i="4"/>
  <c r="BA51" i="4"/>
  <c r="BA37" i="3"/>
  <c r="BB20" i="3"/>
  <c r="BB63" i="3" s="1"/>
  <c r="BA63" i="3"/>
  <c r="AZ38" i="3"/>
  <c r="AY40" i="3"/>
  <c r="AY39" i="3"/>
  <c r="AY48" i="3"/>
  <c r="AY49" i="3" s="1"/>
  <c r="AY50" i="3" s="1"/>
  <c r="AY32" i="3" s="1"/>
  <c r="AY41" i="3"/>
  <c r="AZ65" i="3"/>
  <c r="BA59" i="3"/>
  <c r="BA61" i="3" s="1"/>
  <c r="BA64" i="3" s="1"/>
  <c r="BB36" i="3"/>
  <c r="BC35" i="3" s="1"/>
  <c r="BC47" i="3" s="1"/>
  <c r="BC34" i="3"/>
  <c r="BC50" i="8" l="1"/>
  <c r="BC32" i="8" s="1"/>
  <c r="BB52" i="8"/>
  <c r="BB42" i="8" s="1"/>
  <c r="BB44" i="8" s="1"/>
  <c r="BF65" i="8"/>
  <c r="BD55" i="8"/>
  <c r="BA43" i="8"/>
  <c r="BA44" i="8" s="1"/>
  <c r="BA56" i="8"/>
  <c r="BF38" i="8"/>
  <c r="BF40" i="8"/>
  <c r="BE40" i="8"/>
  <c r="BE48" i="8"/>
  <c r="BE49" i="8" s="1"/>
  <c r="BE39" i="8"/>
  <c r="BE41" i="8"/>
  <c r="AY44" i="8"/>
  <c r="BD48" i="8"/>
  <c r="BD49" i="8" s="1"/>
  <c r="BD39" i="8"/>
  <c r="BD41" i="8" s="1"/>
  <c r="BF59" i="6"/>
  <c r="BF61" i="6" s="1"/>
  <c r="BF64" i="6" s="1"/>
  <c r="BD40" i="6"/>
  <c r="BE38" i="6"/>
  <c r="BB50" i="6"/>
  <c r="BB32" i="6" s="1"/>
  <c r="BF63" i="6"/>
  <c r="BG20" i="6"/>
  <c r="AZ43" i="6"/>
  <c r="AZ44" i="6" s="1"/>
  <c r="AZ56" i="6"/>
  <c r="BC40" i="6"/>
  <c r="BC41" i="6" s="1"/>
  <c r="BD38" i="6"/>
  <c r="BC50" i="6"/>
  <c r="BC32" i="6" s="1"/>
  <c r="BA53" i="6"/>
  <c r="BA52" i="6" s="1"/>
  <c r="BA42" i="6" s="1"/>
  <c r="BD65" i="6"/>
  <c r="BE65" i="6"/>
  <c r="BB51" i="5"/>
  <c r="BA53" i="5"/>
  <c r="BA52" i="5" s="1"/>
  <c r="BA42" i="5" s="1"/>
  <c r="BB53" i="5"/>
  <c r="BB52" i="5" s="1"/>
  <c r="BB42" i="5" s="1"/>
  <c r="BD39" i="5"/>
  <c r="BD48" i="5"/>
  <c r="BD49" i="5" s="1"/>
  <c r="BD41" i="5"/>
  <c r="BD55" i="5"/>
  <c r="BC50" i="5"/>
  <c r="BC32" i="5" s="1"/>
  <c r="BE39" i="5"/>
  <c r="BE48" i="5"/>
  <c r="BE49" i="5" s="1"/>
  <c r="BE55" i="5"/>
  <c r="BF40" i="5"/>
  <c r="BE40" i="5"/>
  <c r="BE41" i="5" s="1"/>
  <c r="BF38" i="5"/>
  <c r="BD50" i="4"/>
  <c r="BD32" i="4" s="1"/>
  <c r="BB53" i="4"/>
  <c r="BE55" i="4"/>
  <c r="BC50" i="4"/>
  <c r="BC32" i="4" s="1"/>
  <c r="BE39" i="4"/>
  <c r="BE48" i="4"/>
  <c r="BE49" i="4" s="1"/>
  <c r="BA53" i="4"/>
  <c r="BA52" i="4" s="1"/>
  <c r="BA42" i="4" s="1"/>
  <c r="BD55" i="4"/>
  <c r="BF40" i="4"/>
  <c r="BE40" i="4"/>
  <c r="BE41" i="4" s="1"/>
  <c r="BF38" i="4"/>
  <c r="BA38" i="3"/>
  <c r="AZ40" i="3"/>
  <c r="AZ39" i="3"/>
  <c r="AZ48" i="3"/>
  <c r="AZ49" i="3" s="1"/>
  <c r="AZ50" i="3" s="1"/>
  <c r="AZ32" i="3" s="1"/>
  <c r="AZ41" i="3"/>
  <c r="BA65" i="3"/>
  <c r="BB37" i="3"/>
  <c r="BB59" i="3" s="1"/>
  <c r="BB61" i="3" s="1"/>
  <c r="BB64" i="3" s="1"/>
  <c r="BC36" i="3"/>
  <c r="BD35" i="3" s="1"/>
  <c r="BD47" i="3" s="1"/>
  <c r="BD34" i="3"/>
  <c r="BC20" i="3"/>
  <c r="BE50" i="8" l="1"/>
  <c r="BE32" i="8" s="1"/>
  <c r="BF39" i="8"/>
  <c r="BF48" i="8"/>
  <c r="BF49" i="8" s="1"/>
  <c r="BF41" i="8"/>
  <c r="BE55" i="8"/>
  <c r="BC51" i="8"/>
  <c r="BD50" i="8"/>
  <c r="BD32" i="8" s="1"/>
  <c r="BF65" i="6"/>
  <c r="BE55" i="6" s="1"/>
  <c r="BD48" i="6"/>
  <c r="BD49" i="6" s="1"/>
  <c r="BD39" i="6"/>
  <c r="BD41" i="6"/>
  <c r="BA43" i="6"/>
  <c r="BA44" i="6" s="1"/>
  <c r="BA56" i="6"/>
  <c r="BC51" i="6"/>
  <c r="BB51" i="6"/>
  <c r="BF40" i="6"/>
  <c r="BE40" i="6"/>
  <c r="BF38" i="6"/>
  <c r="BC55" i="6"/>
  <c r="BE48" i="6"/>
  <c r="BE49" i="6" s="1"/>
  <c r="BE39" i="6"/>
  <c r="BE41" i="6"/>
  <c r="BD55" i="6"/>
  <c r="BC51" i="5"/>
  <c r="BE50" i="5"/>
  <c r="BE32" i="5" s="1"/>
  <c r="BC53" i="5"/>
  <c r="BD50" i="5"/>
  <c r="BD32" i="5" s="1"/>
  <c r="BD51" i="5"/>
  <c r="BB43" i="5"/>
  <c r="BB44" i="5" s="1"/>
  <c r="BB56" i="5"/>
  <c r="BA43" i="5"/>
  <c r="BA44" i="5" s="1"/>
  <c r="BA56" i="5"/>
  <c r="BF39" i="5"/>
  <c r="BF41" i="5" s="1"/>
  <c r="BF48" i="5"/>
  <c r="BF49" i="5" s="1"/>
  <c r="BB43" i="4"/>
  <c r="BB56" i="4"/>
  <c r="BA43" i="4"/>
  <c r="BA44" i="4" s="1"/>
  <c r="BA56" i="4"/>
  <c r="BE50" i="4"/>
  <c r="BE32" i="4" s="1"/>
  <c r="BC51" i="4"/>
  <c r="BB52" i="4"/>
  <c r="BB42" i="4" s="1"/>
  <c r="BB44" i="4" s="1"/>
  <c r="BD51" i="4"/>
  <c r="BF48" i="4"/>
  <c r="BF49" i="4" s="1"/>
  <c r="BF39" i="4"/>
  <c r="BF41" i="4" s="1"/>
  <c r="BD20" i="3"/>
  <c r="BD63" i="3" s="1"/>
  <c r="BC63" i="3"/>
  <c r="BB38" i="3"/>
  <c r="BA40" i="3"/>
  <c r="BB65" i="3"/>
  <c r="BA39" i="3"/>
  <c r="BA48" i="3"/>
  <c r="BA49" i="3" s="1"/>
  <c r="BA50" i="3" s="1"/>
  <c r="BA32" i="3" s="1"/>
  <c r="BA41" i="3"/>
  <c r="BE34" i="3"/>
  <c r="BD36" i="3"/>
  <c r="BE35" i="3" s="1"/>
  <c r="BE47" i="3" s="1"/>
  <c r="BC37" i="3"/>
  <c r="BC53" i="8" l="1"/>
  <c r="BD51" i="8"/>
  <c r="BF50" i="8"/>
  <c r="BF32" i="8" s="1"/>
  <c r="BE51" i="8"/>
  <c r="BE50" i="6"/>
  <c r="BE32" i="6" s="1"/>
  <c r="BE51" i="6"/>
  <c r="BF39" i="6"/>
  <c r="BF41" i="6" s="1"/>
  <c r="BF48" i="6"/>
  <c r="BF49" i="6" s="1"/>
  <c r="BB53" i="6"/>
  <c r="BB52" i="6" s="1"/>
  <c r="BB42" i="6" s="1"/>
  <c r="BD50" i="6"/>
  <c r="BD32" i="6" s="1"/>
  <c r="BC53" i="6"/>
  <c r="BC43" i="6" s="1"/>
  <c r="BF50" i="5"/>
  <c r="BF32" i="5" s="1"/>
  <c r="BD53" i="5"/>
  <c r="BC43" i="5"/>
  <c r="BC56" i="5"/>
  <c r="BC52" i="5"/>
  <c r="BC42" i="5" s="1"/>
  <c r="BC44" i="5" s="1"/>
  <c r="BE51" i="5"/>
  <c r="BF50" i="4"/>
  <c r="BF32" i="4" s="1"/>
  <c r="BD53" i="4"/>
  <c r="BD52" i="4"/>
  <c r="BD42" i="4" s="1"/>
  <c r="BC53" i="4"/>
  <c r="BE51" i="4"/>
  <c r="BB39" i="3"/>
  <c r="BB48" i="3"/>
  <c r="BB49" i="3" s="1"/>
  <c r="BB50" i="3" s="1"/>
  <c r="BB32" i="3" s="1"/>
  <c r="BC59" i="3"/>
  <c r="BC61" i="3" s="1"/>
  <c r="BC64" i="3" s="1"/>
  <c r="BD37" i="3"/>
  <c r="BF34" i="3"/>
  <c r="BE36" i="3"/>
  <c r="BF35" i="3" s="1"/>
  <c r="BF47" i="3" s="1"/>
  <c r="BE20" i="3"/>
  <c r="BE63" i="3" s="1"/>
  <c r="BC43" i="8" l="1"/>
  <c r="BC56" i="8"/>
  <c r="BE53" i="8"/>
  <c r="BE52" i="8"/>
  <c r="BE42" i="8" s="1"/>
  <c r="BF51" i="8"/>
  <c r="BD53" i="8"/>
  <c r="BC52" i="8"/>
  <c r="BC42" i="8" s="1"/>
  <c r="BC44" i="8" s="1"/>
  <c r="BC56" i="6"/>
  <c r="BC52" i="6"/>
  <c r="BC42" i="6" s="1"/>
  <c r="BC44" i="6" s="1"/>
  <c r="BD51" i="6"/>
  <c r="BB43" i="6"/>
  <c r="BB44" i="6" s="1"/>
  <c r="BB56" i="6"/>
  <c r="BF50" i="6"/>
  <c r="BF32" i="6" s="1"/>
  <c r="BE53" i="6"/>
  <c r="BE53" i="5"/>
  <c r="BD43" i="5"/>
  <c r="BD56" i="5"/>
  <c r="BD52" i="5"/>
  <c r="BD42" i="5" s="1"/>
  <c r="BD44" i="5" s="1"/>
  <c r="BF51" i="5"/>
  <c r="BC43" i="4"/>
  <c r="BC56" i="4"/>
  <c r="BE53" i="4"/>
  <c r="BE52" i="4"/>
  <c r="BE42" i="4" s="1"/>
  <c r="BC52" i="4"/>
  <c r="BC42" i="4" s="1"/>
  <c r="BC44" i="4" s="1"/>
  <c r="BD43" i="4"/>
  <c r="BD44" i="4" s="1"/>
  <c r="BD56" i="4"/>
  <c r="BF51" i="4"/>
  <c r="BB40" i="3"/>
  <c r="BC38" i="3"/>
  <c r="BC65" i="3"/>
  <c r="BB41" i="3"/>
  <c r="BF20" i="3"/>
  <c r="BF63" i="3" s="1"/>
  <c r="BD59" i="3"/>
  <c r="BD61" i="3" s="1"/>
  <c r="BD64" i="3" s="1"/>
  <c r="BF36" i="3"/>
  <c r="BF37" i="3" s="1"/>
  <c r="BE37" i="3"/>
  <c r="BD43" i="8" l="1"/>
  <c r="BD56" i="8"/>
  <c r="BD52" i="8"/>
  <c r="BD42" i="8" s="1"/>
  <c r="BD44" i="8" s="1"/>
  <c r="BF53" i="8"/>
  <c r="BF52" i="8" s="1"/>
  <c r="BE43" i="8"/>
  <c r="BE44" i="8" s="1"/>
  <c r="BE56" i="8"/>
  <c r="BE43" i="6"/>
  <c r="BE56" i="6"/>
  <c r="BD53" i="6"/>
  <c r="BE52" i="6"/>
  <c r="BE42" i="6" s="1"/>
  <c r="BF51" i="6"/>
  <c r="BF53" i="5"/>
  <c r="BF52" i="5" s="1"/>
  <c r="BE43" i="5"/>
  <c r="BE56" i="5"/>
  <c r="BE52" i="5"/>
  <c r="BE42" i="5" s="1"/>
  <c r="BE44" i="5" s="1"/>
  <c r="BF53" i="4"/>
  <c r="BF52" i="4" s="1"/>
  <c r="BE43" i="4"/>
  <c r="BE44" i="4" s="1"/>
  <c r="BE56" i="4"/>
  <c r="BC40" i="3"/>
  <c r="BD38" i="3"/>
  <c r="BD65" i="3"/>
  <c r="BC39" i="3"/>
  <c r="BC48" i="3"/>
  <c r="BC49" i="3" s="1"/>
  <c r="BC50" i="3" s="1"/>
  <c r="BC32" i="3" s="1"/>
  <c r="BC41" i="3"/>
  <c r="BE59" i="3"/>
  <c r="BE61" i="3" s="1"/>
  <c r="BE64" i="3" s="1"/>
  <c r="BF59" i="3"/>
  <c r="BF61" i="3" s="1"/>
  <c r="BF64" i="3" s="1"/>
  <c r="BE44" i="6" l="1"/>
  <c r="BF53" i="6"/>
  <c r="BF52" i="6" s="1"/>
  <c r="BD43" i="6"/>
  <c r="BD56" i="6"/>
  <c r="BD52" i="6"/>
  <c r="BD42" i="6" s="1"/>
  <c r="BD40" i="3"/>
  <c r="BE38" i="3"/>
  <c r="BE65" i="3"/>
  <c r="BF40" i="3"/>
  <c r="BE40" i="3"/>
  <c r="BF38" i="3"/>
  <c r="BF65" i="3"/>
  <c r="BD39" i="3"/>
  <c r="BD48" i="3"/>
  <c r="BD49" i="3" s="1"/>
  <c r="BD50" i="3" s="1"/>
  <c r="BD32" i="3" s="1"/>
  <c r="BD41" i="3"/>
  <c r="BD44" i="6" l="1"/>
  <c r="BF39" i="3"/>
  <c r="BF48" i="3"/>
  <c r="BF49" i="3" s="1"/>
  <c r="BF50" i="3" s="1"/>
  <c r="BF32" i="3" s="1"/>
  <c r="BF41" i="3"/>
  <c r="BE39" i="3"/>
  <c r="BE48" i="3"/>
  <c r="BE49" i="3" s="1"/>
  <c r="BE50" i="3" s="1"/>
  <c r="BE32" i="3" s="1"/>
  <c r="BE41" i="3"/>
  <c r="H37" i="7"/>
  <c r="H59" i="7" s="1"/>
  <c r="I63" i="7"/>
  <c r="I84" i="7" s="1"/>
  <c r="I86" i="7" s="1"/>
  <c r="I34" i="7"/>
  <c r="H30" i="7"/>
  <c r="H36" i="7" s="1"/>
  <c r="I20" i="7" s="1"/>
  <c r="I35" i="7" l="1"/>
  <c r="I83" i="7" l="1"/>
  <c r="I87" i="7" s="1"/>
  <c r="J34" i="7"/>
  <c r="I47" i="7"/>
  <c r="I36" i="7"/>
  <c r="J35" i="7" l="1"/>
  <c r="J20" i="7"/>
  <c r="I37" i="7"/>
  <c r="I59" i="7" l="1"/>
  <c r="J63" i="7"/>
  <c r="J47" i="7"/>
  <c r="K34" i="7"/>
  <c r="J36" i="7"/>
  <c r="K35" i="7" s="1"/>
  <c r="J83" i="7"/>
  <c r="J37" i="7" l="1"/>
  <c r="K47" i="7"/>
  <c r="K36" i="7"/>
  <c r="L35" i="7" s="1"/>
  <c r="K83" i="7"/>
  <c r="L34" i="7"/>
  <c r="K20" i="7"/>
  <c r="J84" i="7"/>
  <c r="J86" i="7" s="1"/>
  <c r="J87" i="7" s="1"/>
  <c r="K63" i="7" l="1"/>
  <c r="L20" i="7"/>
  <c r="L83" i="7"/>
  <c r="L47" i="7"/>
  <c r="M34" i="7"/>
  <c r="L36" i="7"/>
  <c r="M35" i="7" s="1"/>
  <c r="J59" i="7"/>
  <c r="K37" i="7"/>
  <c r="M83" i="7" l="1"/>
  <c r="M47" i="7"/>
  <c r="M36" i="7"/>
  <c r="N35" i="7" s="1"/>
  <c r="N34" i="7"/>
  <c r="K84" i="7"/>
  <c r="K86" i="7" s="1"/>
  <c r="K87" i="7" s="1"/>
  <c r="K59" i="7"/>
  <c r="L37" i="7"/>
  <c r="M20" i="7"/>
  <c r="L63" i="7"/>
  <c r="L84" i="7" l="1"/>
  <c r="L86" i="7" s="1"/>
  <c r="L87" i="7" s="1"/>
  <c r="L59" i="7"/>
  <c r="M37" i="7"/>
  <c r="M63" i="7"/>
  <c r="N20" i="7"/>
  <c r="N36" i="7"/>
  <c r="O35" i="7" s="1"/>
  <c r="N37" i="7"/>
  <c r="O34" i="7"/>
  <c r="N47" i="7"/>
  <c r="N83" i="7"/>
  <c r="P34" i="7" l="1"/>
  <c r="O47" i="7"/>
  <c r="O36" i="7"/>
  <c r="P35" i="7" s="1"/>
  <c r="O83" i="7"/>
  <c r="O37" i="7"/>
  <c r="O20" i="7"/>
  <c r="N63" i="7"/>
  <c r="M59" i="7"/>
  <c r="N59" i="7"/>
  <c r="M84" i="7"/>
  <c r="M86" i="7" s="1"/>
  <c r="M87" i="7" s="1"/>
  <c r="P20" i="7" l="1"/>
  <c r="O63" i="7"/>
  <c r="N84" i="7"/>
  <c r="N86" i="7" s="1"/>
  <c r="N87" i="7" s="1"/>
  <c r="O59" i="7"/>
  <c r="Q34" i="7"/>
  <c r="P83" i="7"/>
  <c r="P47" i="7"/>
  <c r="P36" i="7"/>
  <c r="Q35" i="7" s="1"/>
  <c r="Q36" i="7" l="1"/>
  <c r="R35" i="7" s="1"/>
  <c r="Q83" i="7"/>
  <c r="Q37" i="7"/>
  <c r="Q47" i="7"/>
  <c r="R34" i="7"/>
  <c r="O84" i="7"/>
  <c r="O86" i="7" s="1"/>
  <c r="O87" i="7" s="1"/>
  <c r="P37" i="7"/>
  <c r="P63" i="7"/>
  <c r="Q20" i="7"/>
  <c r="P84" i="7" l="1"/>
  <c r="P86" i="7" s="1"/>
  <c r="P87" i="7" s="1"/>
  <c r="R20" i="7"/>
  <c r="Q63" i="7"/>
  <c r="P59" i="7"/>
  <c r="Q59" i="7"/>
  <c r="R83" i="7"/>
  <c r="R47" i="7"/>
  <c r="S34" i="7"/>
  <c r="R36" i="7"/>
  <c r="S35" i="7" s="1"/>
  <c r="S47" i="7" l="1"/>
  <c r="S36" i="7"/>
  <c r="T35" i="7" s="1"/>
  <c r="S83" i="7"/>
  <c r="T34" i="7"/>
  <c r="S37" i="7"/>
  <c r="R37" i="7"/>
  <c r="Q84" i="7"/>
  <c r="Q86" i="7" s="1"/>
  <c r="Q87" i="7" s="1"/>
  <c r="S20" i="7"/>
  <c r="R63" i="7"/>
  <c r="S59" i="7" l="1"/>
  <c r="T36" i="7"/>
  <c r="U35" i="7" s="1"/>
  <c r="T47" i="7"/>
  <c r="U34" i="7"/>
  <c r="T83" i="7"/>
  <c r="T37" i="7"/>
  <c r="R84" i="7"/>
  <c r="R86" i="7" s="1"/>
  <c r="R87" i="7" s="1"/>
  <c r="S63" i="7"/>
  <c r="T20" i="7"/>
  <c r="R59" i="7"/>
  <c r="U20" i="7" l="1"/>
  <c r="T63" i="7"/>
  <c r="S84" i="7"/>
  <c r="S86" i="7" s="1"/>
  <c r="S87" i="7" s="1"/>
  <c r="T59" i="7"/>
  <c r="U36" i="7"/>
  <c r="V35" i="7" s="1"/>
  <c r="U37" i="7"/>
  <c r="V34" i="7"/>
  <c r="U47" i="7"/>
  <c r="U59" i="7" l="1"/>
  <c r="V20" i="7"/>
  <c r="U63" i="7"/>
  <c r="V47" i="7"/>
  <c r="V36" i="7"/>
  <c r="W35" i="7" s="1"/>
  <c r="W34" i="7"/>
  <c r="V37" i="7"/>
  <c r="T84" i="7"/>
  <c r="T86" i="7" s="1"/>
  <c r="T87" i="7" s="1"/>
  <c r="U88" i="7" s="1"/>
  <c r="V59" i="7" l="1"/>
  <c r="V61" i="7" s="1"/>
  <c r="V64" i="7" s="1"/>
  <c r="W36" i="7"/>
  <c r="X35" i="7" s="1"/>
  <c r="X34" i="7"/>
  <c r="W37" i="7"/>
  <c r="W47" i="7"/>
  <c r="V63" i="7"/>
  <c r="V65" i="7" s="1"/>
  <c r="W20" i="7"/>
  <c r="W59" i="7" l="1"/>
  <c r="W61" i="7" s="1"/>
  <c r="W64" i="7" s="1"/>
  <c r="Y34" i="7"/>
  <c r="X47" i="7"/>
  <c r="X36" i="7"/>
  <c r="Y35" i="7" s="1"/>
  <c r="U61" i="7"/>
  <c r="X20" i="7"/>
  <c r="W63" i="7"/>
  <c r="W65" i="7" s="1"/>
  <c r="V38" i="7"/>
  <c r="U64" i="7" l="1"/>
  <c r="T61" i="7"/>
  <c r="X37" i="7"/>
  <c r="V48" i="7"/>
  <c r="V49" i="7" s="1"/>
  <c r="V39" i="7"/>
  <c r="V69" i="7" s="1"/>
  <c r="V55" i="7"/>
  <c r="X63" i="7"/>
  <c r="Y20" i="7"/>
  <c r="Y47" i="7"/>
  <c r="Z34" i="7"/>
  <c r="Y36" i="7"/>
  <c r="Z35" i="7" s="1"/>
  <c r="V40" i="7"/>
  <c r="V41" i="7" s="1"/>
  <c r="W38" i="7"/>
  <c r="Z47" i="7" l="1"/>
  <c r="AA34" i="7"/>
  <c r="Z36" i="7"/>
  <c r="AA35" i="7" s="1"/>
  <c r="Y37" i="7"/>
  <c r="T64" i="7"/>
  <c r="S61" i="7"/>
  <c r="W39" i="7"/>
  <c r="W69" i="7" s="1"/>
  <c r="W71" i="7" s="1"/>
  <c r="V71" i="7" s="1"/>
  <c r="W48" i="7"/>
  <c r="W49" i="7" s="1"/>
  <c r="Z20" i="7"/>
  <c r="Y63" i="7"/>
  <c r="V50" i="7"/>
  <c r="V32" i="7" s="1"/>
  <c r="X59" i="7"/>
  <c r="X61" i="7" s="1"/>
  <c r="X64" i="7" s="1"/>
  <c r="U38" i="7"/>
  <c r="U65" i="7"/>
  <c r="U40" i="7"/>
  <c r="V51" i="7" l="1"/>
  <c r="T78" i="7"/>
  <c r="T38" i="7"/>
  <c r="T65" i="7"/>
  <c r="Y59" i="7"/>
  <c r="Y61" i="7" s="1"/>
  <c r="Y64" i="7" s="1"/>
  <c r="T55" i="7"/>
  <c r="U55" i="7"/>
  <c r="X38" i="7"/>
  <c r="W40" i="7"/>
  <c r="W41" i="7" s="1"/>
  <c r="Z63" i="7"/>
  <c r="AA20" i="7"/>
  <c r="W50" i="7"/>
  <c r="W32" i="7" s="1"/>
  <c r="S64" i="7"/>
  <c r="S40" i="7" s="1"/>
  <c r="R61" i="7"/>
  <c r="X65" i="7"/>
  <c r="AA47" i="7"/>
  <c r="AA36" i="7"/>
  <c r="AB35" i="7" s="1"/>
  <c r="AB34" i="7"/>
  <c r="T40" i="7"/>
  <c r="Z37" i="7"/>
  <c r="U48" i="7"/>
  <c r="U49" i="7" s="1"/>
  <c r="U39" i="7"/>
  <c r="U69" i="7" s="1"/>
  <c r="U71" i="7" s="1"/>
  <c r="U41" i="7"/>
  <c r="U50" i="7" l="1"/>
  <c r="U32" i="7" s="1"/>
  <c r="W51" i="7"/>
  <c r="AB20" i="7"/>
  <c r="AA63" i="7"/>
  <c r="X39" i="7"/>
  <c r="X48" i="7"/>
  <c r="X49" i="7" s="1"/>
  <c r="X40" i="7"/>
  <c r="X41" i="7" s="1"/>
  <c r="Y38" i="7"/>
  <c r="AB36" i="7"/>
  <c r="AC35" i="7" s="1"/>
  <c r="AC34" i="7"/>
  <c r="AB37" i="7"/>
  <c r="AB47" i="7"/>
  <c r="AA37" i="7"/>
  <c r="W55" i="7"/>
  <c r="Y65" i="7"/>
  <c r="S78" i="7"/>
  <c r="S38" i="7"/>
  <c r="S65" i="7"/>
  <c r="Z59" i="7"/>
  <c r="Z61" i="7" s="1"/>
  <c r="Z64" i="7" s="1"/>
  <c r="S55" i="7"/>
  <c r="T39" i="7"/>
  <c r="T69" i="7" s="1"/>
  <c r="T71" i="7" s="1"/>
  <c r="T48" i="7"/>
  <c r="T49" i="7" s="1"/>
  <c r="T41" i="7"/>
  <c r="R64" i="7"/>
  <c r="Q61" i="7"/>
  <c r="V53" i="7"/>
  <c r="V52" i="7" s="1"/>
  <c r="V42" i="7" s="1"/>
  <c r="AC47" i="7" l="1"/>
  <c r="AC36" i="7"/>
  <c r="AD35" i="7" s="1"/>
  <c r="AD34" i="7"/>
  <c r="AC37" i="7"/>
  <c r="V43" i="7"/>
  <c r="V44" i="7" s="1"/>
  <c r="V56" i="7"/>
  <c r="AA59" i="7"/>
  <c r="AA61" i="7" s="1"/>
  <c r="AA64" i="7" s="1"/>
  <c r="Q40" i="7"/>
  <c r="R78" i="7"/>
  <c r="R100" i="7" s="1"/>
  <c r="R38" i="7"/>
  <c r="R65" i="7"/>
  <c r="R55" i="7" s="1"/>
  <c r="T75" i="7"/>
  <c r="T77" i="7" s="1"/>
  <c r="T79" i="7" s="1"/>
  <c r="T88" i="7" s="1"/>
  <c r="Y40" i="7"/>
  <c r="Y41" i="7" s="1"/>
  <c r="Z38" i="7"/>
  <c r="Z65" i="7"/>
  <c r="Q64" i="7"/>
  <c r="P61" i="7"/>
  <c r="AB59" i="7"/>
  <c r="AB61" i="7" s="1"/>
  <c r="AB64" i="7" s="1"/>
  <c r="T50" i="7"/>
  <c r="T32" i="7" s="1"/>
  <c r="Y48" i="7"/>
  <c r="Y49" i="7" s="1"/>
  <c r="Y39" i="7"/>
  <c r="X50" i="7"/>
  <c r="X32" i="7" s="1"/>
  <c r="X51" i="7"/>
  <c r="AA65" i="7"/>
  <c r="AB63" i="7"/>
  <c r="AB65" i="7" s="1"/>
  <c r="AC20" i="7"/>
  <c r="W53" i="7"/>
  <c r="W43" i="7" s="1"/>
  <c r="R40" i="7"/>
  <c r="S39" i="7"/>
  <c r="S69" i="7" s="1"/>
  <c r="S71" i="7" s="1"/>
  <c r="S48" i="7"/>
  <c r="S49" i="7" s="1"/>
  <c r="S41" i="7"/>
  <c r="U51" i="7"/>
  <c r="X55" i="7"/>
  <c r="Z39" i="7" l="1"/>
  <c r="Z48" i="7"/>
  <c r="Z49" i="7" s="1"/>
  <c r="AC63" i="7"/>
  <c r="AC65" i="7" s="1"/>
  <c r="AD20" i="7"/>
  <c r="W52" i="7"/>
  <c r="W42" i="7" s="1"/>
  <c r="W44" i="7" s="1"/>
  <c r="AA38" i="7"/>
  <c r="Z40" i="7"/>
  <c r="Z41" i="7" s="1"/>
  <c r="R94" i="7"/>
  <c r="R96" i="7" s="1"/>
  <c r="T89" i="7"/>
  <c r="S88" i="7"/>
  <c r="AA55" i="7"/>
  <c r="Z55" i="7"/>
  <c r="X53" i="7"/>
  <c r="X43" i="7" s="1"/>
  <c r="AC59" i="7"/>
  <c r="AC61" i="7" s="1"/>
  <c r="AC64" i="7" s="1"/>
  <c r="T51" i="7"/>
  <c r="U53" i="7"/>
  <c r="S50" i="7"/>
  <c r="S32" i="7" s="1"/>
  <c r="S51" i="7"/>
  <c r="P64" i="7"/>
  <c r="O61" i="7"/>
  <c r="Q38" i="7"/>
  <c r="P40" i="7"/>
  <c r="Q78" i="7"/>
  <c r="Q100" i="7" s="1"/>
  <c r="Q65" i="7"/>
  <c r="Q55" i="7" s="1"/>
  <c r="R48" i="7"/>
  <c r="R49" i="7" s="1"/>
  <c r="R39" i="7"/>
  <c r="R69" i="7" s="1"/>
  <c r="R71" i="7" s="1"/>
  <c r="R41" i="7"/>
  <c r="Y50" i="7"/>
  <c r="Y32" i="7" s="1"/>
  <c r="AD36" i="7"/>
  <c r="AE35" i="7" s="1"/>
  <c r="AD47" i="7"/>
  <c r="AE34" i="7"/>
  <c r="AA40" i="7"/>
  <c r="AB38" i="7"/>
  <c r="S75" i="7"/>
  <c r="S77" i="7" s="1"/>
  <c r="S79" i="7" s="1"/>
  <c r="W56" i="7"/>
  <c r="Y55" i="7"/>
  <c r="S89" i="7" l="1"/>
  <c r="R88" i="7"/>
  <c r="O64" i="7"/>
  <c r="N61" i="7"/>
  <c r="AB55" i="7"/>
  <c r="R75" i="7"/>
  <c r="R77" i="7" s="1"/>
  <c r="R50" i="7"/>
  <c r="R32" i="7" s="1"/>
  <c r="P55" i="7"/>
  <c r="Q94" i="7"/>
  <c r="Q96" i="7" s="1"/>
  <c r="Q39" i="7"/>
  <c r="Q69" i="7" s="1"/>
  <c r="Q71" i="7" s="1"/>
  <c r="Q48" i="7"/>
  <c r="Q49" i="7" s="1"/>
  <c r="Q41" i="7"/>
  <c r="P38" i="7"/>
  <c r="P78" i="7"/>
  <c r="P100" i="7" s="1"/>
  <c r="P65" i="7"/>
  <c r="AA48" i="7"/>
  <c r="AA49" i="7" s="1"/>
  <c r="AA39" i="7"/>
  <c r="AA41" i="7"/>
  <c r="U43" i="7"/>
  <c r="U56" i="7"/>
  <c r="T53" i="7"/>
  <c r="T52" i="7" s="1"/>
  <c r="T42" i="7" s="1"/>
  <c r="AB40" i="7"/>
  <c r="AB41" i="7" s="1"/>
  <c r="AC38" i="7"/>
  <c r="AD37" i="7"/>
  <c r="Y51" i="7"/>
  <c r="S53" i="7"/>
  <c r="AB39" i="7"/>
  <c r="AB48" i="7"/>
  <c r="AB49" i="7" s="1"/>
  <c r="AE20" i="7"/>
  <c r="AD63" i="7"/>
  <c r="U52" i="7"/>
  <c r="U42" i="7" s="1"/>
  <c r="Z50" i="7"/>
  <c r="Z32" i="7" s="1"/>
  <c r="AE36" i="7"/>
  <c r="AF35" i="7" s="1"/>
  <c r="AE47" i="7"/>
  <c r="AF34" i="7"/>
  <c r="X56" i="7"/>
  <c r="X52" i="7"/>
  <c r="X42" i="7" s="1"/>
  <c r="X44" i="7" s="1"/>
  <c r="S43" i="7" l="1"/>
  <c r="S56" i="7"/>
  <c r="AD59" i="7"/>
  <c r="AD61" i="7" s="1"/>
  <c r="AD64" i="7" s="1"/>
  <c r="AC39" i="7"/>
  <c r="AC48" i="7"/>
  <c r="AC49" i="7" s="1"/>
  <c r="R98" i="7"/>
  <c r="R99" i="7" s="1"/>
  <c r="R101" i="7" s="1"/>
  <c r="R79" i="7"/>
  <c r="R51" i="7"/>
  <c r="AG34" i="7"/>
  <c r="AF36" i="7"/>
  <c r="AG35" i="7" s="1"/>
  <c r="AF47" i="7"/>
  <c r="AF37" i="7"/>
  <c r="AE37" i="7"/>
  <c r="N64" i="7"/>
  <c r="N40" i="7" s="1"/>
  <c r="M61" i="7"/>
  <c r="S52" i="7"/>
  <c r="S42" i="7" s="1"/>
  <c r="S44" i="7" s="1"/>
  <c r="Q50" i="7"/>
  <c r="Q32" i="7" s="1"/>
  <c r="Q51" i="7"/>
  <c r="Y53" i="7"/>
  <c r="Y52" i="7"/>
  <c r="Y42" i="7" s="1"/>
  <c r="Z51" i="7"/>
  <c r="U44" i="7"/>
  <c r="AD65" i="7"/>
  <c r="AA50" i="7"/>
  <c r="AA32" i="7" s="1"/>
  <c r="AA51" i="7"/>
  <c r="AF20" i="7"/>
  <c r="AE63" i="7"/>
  <c r="AB50" i="7"/>
  <c r="AB32" i="7" s="1"/>
  <c r="Q75" i="7"/>
  <c r="Q77" i="7" s="1"/>
  <c r="Q79" i="7" s="1"/>
  <c r="T43" i="7"/>
  <c r="T44" i="7" s="1"/>
  <c r="T56" i="7"/>
  <c r="O38" i="7"/>
  <c r="O78" i="7"/>
  <c r="O100" i="7" s="1"/>
  <c r="O65" i="7"/>
  <c r="R89" i="7"/>
  <c r="Q88" i="7"/>
  <c r="P94" i="7"/>
  <c r="P96" i="7" s="1"/>
  <c r="O55" i="7"/>
  <c r="O40" i="7"/>
  <c r="P39" i="7"/>
  <c r="P69" i="7" s="1"/>
  <c r="P71" i="7" s="1"/>
  <c r="P48" i="7"/>
  <c r="P49" i="7" s="1"/>
  <c r="P41" i="7"/>
  <c r="AE59" i="7" l="1"/>
  <c r="AE61" i="7" s="1"/>
  <c r="AE64" i="7" s="1"/>
  <c r="P75" i="7"/>
  <c r="P77" i="7" s="1"/>
  <c r="P79" i="7" s="1"/>
  <c r="P50" i="7"/>
  <c r="P32" i="7" s="1"/>
  <c r="M64" i="7"/>
  <c r="L61" i="7"/>
  <c r="AG47" i="7"/>
  <c r="AG36" i="7"/>
  <c r="AH35" i="7" s="1"/>
  <c r="AH34" i="7"/>
  <c r="O94" i="7"/>
  <c r="O96" i="7" s="1"/>
  <c r="AF59" i="7"/>
  <c r="AF61" i="7" s="1"/>
  <c r="AF64" i="7" s="1"/>
  <c r="AB51" i="7"/>
  <c r="R93" i="7"/>
  <c r="R97" i="7" s="1"/>
  <c r="R53" i="7"/>
  <c r="AC50" i="7"/>
  <c r="AC32" i="7" s="1"/>
  <c r="Z53" i="7"/>
  <c r="Z52" i="7"/>
  <c r="Z42" i="7" s="1"/>
  <c r="O39" i="7"/>
  <c r="O69" i="7" s="1"/>
  <c r="O71" i="7" s="1"/>
  <c r="O48" i="7"/>
  <c r="O49" i="7" s="1"/>
  <c r="O41" i="7"/>
  <c r="Q93" i="7"/>
  <c r="Q97" i="7" s="1"/>
  <c r="Q98" i="7" s="1"/>
  <c r="Q99" i="7" s="1"/>
  <c r="Q101" i="7" s="1"/>
  <c r="Q53" i="7"/>
  <c r="Q52" i="7" s="1"/>
  <c r="Q42" i="7" s="1"/>
  <c r="M40" i="7"/>
  <c r="N78" i="7"/>
  <c r="N100" i="7" s="1"/>
  <c r="N38" i="7"/>
  <c r="N65" i="7"/>
  <c r="AE65" i="7"/>
  <c r="AF63" i="7"/>
  <c r="AF65" i="7" s="1"/>
  <c r="AG20" i="7"/>
  <c r="AA53" i="7"/>
  <c r="AC55" i="7"/>
  <c r="Q89" i="7"/>
  <c r="P88" i="7"/>
  <c r="AC40" i="7"/>
  <c r="AC41" i="7" s="1"/>
  <c r="AD38" i="7"/>
  <c r="Y43" i="7"/>
  <c r="Y44" i="7" s="1"/>
  <c r="Y56" i="7"/>
  <c r="AF38" i="7" l="1"/>
  <c r="AE40" i="7"/>
  <c r="N39" i="7"/>
  <c r="N69" i="7" s="1"/>
  <c r="N71" i="7" s="1"/>
  <c r="N48" i="7"/>
  <c r="N49" i="7" s="1"/>
  <c r="N41" i="7"/>
  <c r="AH47" i="7"/>
  <c r="AI34" i="7"/>
  <c r="AH36" i="7"/>
  <c r="AI35" i="7" s="1"/>
  <c r="O50" i="7"/>
  <c r="O32" i="7" s="1"/>
  <c r="AE55" i="7"/>
  <c r="AD55" i="7"/>
  <c r="M55" i="7"/>
  <c r="N94" i="7"/>
  <c r="N96" i="7" s="1"/>
  <c r="AG37" i="7"/>
  <c r="M38" i="7"/>
  <c r="M78" i="7"/>
  <c r="M100" i="7" s="1"/>
  <c r="M65" i="7"/>
  <c r="P51" i="7"/>
  <c r="R43" i="7"/>
  <c r="R56" i="7"/>
  <c r="AE38" i="7"/>
  <c r="AD40" i="7"/>
  <c r="AB53" i="7"/>
  <c r="N55" i="7"/>
  <c r="Q56" i="7"/>
  <c r="Q43" i="7"/>
  <c r="Q44" i="7" s="1"/>
  <c r="O75" i="7"/>
  <c r="O77" i="7" s="1"/>
  <c r="O79" i="7" s="1"/>
  <c r="AD48" i="7"/>
  <c r="AD49" i="7" s="1"/>
  <c r="AD39" i="7"/>
  <c r="AD41" i="7" s="1"/>
  <c r="L64" i="7"/>
  <c r="K61" i="7"/>
  <c r="P89" i="7"/>
  <c r="O88" i="7"/>
  <c r="Z43" i="7"/>
  <c r="Z44" i="7" s="1"/>
  <c r="Z56" i="7"/>
  <c r="AA43" i="7"/>
  <c r="AA56" i="7"/>
  <c r="AC51" i="7"/>
  <c r="AA52" i="7"/>
  <c r="AA42" i="7" s="1"/>
  <c r="AA44" i="7" s="1"/>
  <c r="AH20" i="7"/>
  <c r="AG63" i="7"/>
  <c r="R52" i="7"/>
  <c r="R42" i="7" s="1"/>
  <c r="R44" i="7" s="1"/>
  <c r="AB43" i="7" l="1"/>
  <c r="AB56" i="7"/>
  <c r="AB52" i="7"/>
  <c r="AB42" i="7" s="1"/>
  <c r="AB44" i="7" s="1"/>
  <c r="AC53" i="7"/>
  <c r="AE48" i="7"/>
  <c r="AE49" i="7" s="1"/>
  <c r="AE39" i="7"/>
  <c r="AE41" i="7"/>
  <c r="O89" i="7"/>
  <c r="N88" i="7"/>
  <c r="AG59" i="7"/>
  <c r="AG61" i="7" s="1"/>
  <c r="AG64" i="7" s="1"/>
  <c r="AI36" i="7"/>
  <c r="AJ35" i="7" s="1"/>
  <c r="AJ34" i="7"/>
  <c r="AI37" i="7"/>
  <c r="AI47" i="7"/>
  <c r="AH37" i="7"/>
  <c r="N50" i="7"/>
  <c r="N32" i="7" s="1"/>
  <c r="K64" i="7"/>
  <c r="J61" i="7"/>
  <c r="M94" i="7"/>
  <c r="M96" i="7" s="1"/>
  <c r="L38" i="7"/>
  <c r="L78" i="7"/>
  <c r="L100" i="7" s="1"/>
  <c r="K40" i="7"/>
  <c r="L65" i="7"/>
  <c r="M39" i="7"/>
  <c r="M69" i="7" s="1"/>
  <c r="M71" i="7" s="1"/>
  <c r="M48" i="7"/>
  <c r="M49" i="7" s="1"/>
  <c r="M41" i="7"/>
  <c r="AF39" i="7"/>
  <c r="AF48" i="7"/>
  <c r="AF49" i="7" s="1"/>
  <c r="AD50" i="7"/>
  <c r="AD32" i="7" s="1"/>
  <c r="AI20" i="7"/>
  <c r="AH63" i="7"/>
  <c r="O51" i="7"/>
  <c r="P93" i="7"/>
  <c r="P97" i="7" s="1"/>
  <c r="P98" i="7" s="1"/>
  <c r="P99" i="7" s="1"/>
  <c r="P101" i="7" s="1"/>
  <c r="P53" i="7"/>
  <c r="N75" i="7"/>
  <c r="N77" i="7" s="1"/>
  <c r="N79" i="7" s="1"/>
  <c r="L40" i="7"/>
  <c r="AF50" i="7" l="1"/>
  <c r="AF32" i="7" s="1"/>
  <c r="AF51" i="7"/>
  <c r="M75" i="7"/>
  <c r="M77" i="7" s="1"/>
  <c r="M79" i="7" s="1"/>
  <c r="AC43" i="7"/>
  <c r="AC56" i="7"/>
  <c r="AI59" i="7"/>
  <c r="AI61" i="7" s="1"/>
  <c r="AI64" i="7" s="1"/>
  <c r="AG38" i="7"/>
  <c r="AF40" i="7"/>
  <c r="AF41" i="7" s="1"/>
  <c r="N89" i="7"/>
  <c r="M88" i="7"/>
  <c r="K55" i="7"/>
  <c r="L94" i="7"/>
  <c r="L96" i="7" s="1"/>
  <c r="P43" i="7"/>
  <c r="P56" i="7"/>
  <c r="AH65" i="7"/>
  <c r="AJ47" i="7"/>
  <c r="AK34" i="7"/>
  <c r="AJ36" i="7"/>
  <c r="AK35" i="7" s="1"/>
  <c r="AJ37" i="7"/>
  <c r="AE50" i="7"/>
  <c r="AE32" i="7" s="1"/>
  <c r="AE51" i="7"/>
  <c r="J64" i="7"/>
  <c r="I61" i="7"/>
  <c r="AH59" i="7"/>
  <c r="AH61" i="7" s="1"/>
  <c r="AH64" i="7" s="1"/>
  <c r="AG65" i="7"/>
  <c r="M50" i="7"/>
  <c r="M32" i="7" s="1"/>
  <c r="L48" i="7"/>
  <c r="L49" i="7" s="1"/>
  <c r="L39" i="7"/>
  <c r="L69" i="7" s="1"/>
  <c r="L71" i="7" s="1"/>
  <c r="L41" i="7"/>
  <c r="AC52" i="7"/>
  <c r="AC42" i="7" s="1"/>
  <c r="AC44" i="7" s="1"/>
  <c r="L55" i="7"/>
  <c r="P52" i="7"/>
  <c r="P42" i="7" s="1"/>
  <c r="P44" i="7" s="1"/>
  <c r="O52" i="7"/>
  <c r="O42" i="7" s="1"/>
  <c r="O53" i="7"/>
  <c r="O93" i="7"/>
  <c r="O97" i="7" s="1"/>
  <c r="O98" i="7" s="1"/>
  <c r="O99" i="7" s="1"/>
  <c r="O101" i="7" s="1"/>
  <c r="K38" i="7"/>
  <c r="K78" i="7"/>
  <c r="K100" i="7" s="1"/>
  <c r="K65" i="7"/>
  <c r="N51" i="7"/>
  <c r="AI63" i="7"/>
  <c r="AJ20" i="7"/>
  <c r="AD51" i="7"/>
  <c r="AG55" i="7" l="1"/>
  <c r="AF55" i="7"/>
  <c r="AG39" i="7"/>
  <c r="AG48" i="7"/>
  <c r="AG49" i="7" s="1"/>
  <c r="M51" i="7"/>
  <c r="AH40" i="7"/>
  <c r="AI38" i="7"/>
  <c r="N93" i="7"/>
  <c r="N97" i="7" s="1"/>
  <c r="N98" i="7" s="1"/>
  <c r="N99" i="7" s="1"/>
  <c r="N101" i="7" s="1"/>
  <c r="N53" i="7"/>
  <c r="N52" i="7" s="1"/>
  <c r="N42" i="7" s="1"/>
  <c r="AE53" i="7"/>
  <c r="AE52" i="7"/>
  <c r="AE42" i="7" s="1"/>
  <c r="AJ59" i="7"/>
  <c r="AJ61" i="7" s="1"/>
  <c r="AJ64" i="7" s="1"/>
  <c r="AK20" i="7"/>
  <c r="AJ63" i="7"/>
  <c r="AI65" i="7"/>
  <c r="J38" i="7"/>
  <c r="J78" i="7"/>
  <c r="J100" i="7" s="1"/>
  <c r="J65" i="7"/>
  <c r="K94" i="7"/>
  <c r="K96" i="7" s="1"/>
  <c r="J55" i="7"/>
  <c r="K48" i="7"/>
  <c r="K49" i="7" s="1"/>
  <c r="K39" i="7"/>
  <c r="K69" i="7" s="1"/>
  <c r="K71" i="7" s="1"/>
  <c r="K41" i="7"/>
  <c r="AK36" i="7"/>
  <c r="AL35" i="7" s="1"/>
  <c r="AK47" i="7"/>
  <c r="AK37" i="7"/>
  <c r="AL34" i="7"/>
  <c r="AF53" i="7"/>
  <c r="AF43" i="7" s="1"/>
  <c r="L75" i="7"/>
  <c r="L77" i="7" s="1"/>
  <c r="L79" i="7" s="1"/>
  <c r="L50" i="7"/>
  <c r="L32" i="7" s="1"/>
  <c r="M89" i="7"/>
  <c r="L88" i="7"/>
  <c r="AD53" i="7"/>
  <c r="AG40" i="7"/>
  <c r="AG41" i="7" s="1"/>
  <c r="AH38" i="7"/>
  <c r="I64" i="7"/>
  <c r="I40" i="7" s="1"/>
  <c r="H61" i="7"/>
  <c r="J40" i="7"/>
  <c r="O43" i="7"/>
  <c r="O44" i="7" s="1"/>
  <c r="O56" i="7"/>
  <c r="AF52" i="7" l="1"/>
  <c r="AF42" i="7" s="1"/>
  <c r="AF44" i="7" s="1"/>
  <c r="AI48" i="7"/>
  <c r="AI49" i="7" s="1"/>
  <c r="AI39" i="7"/>
  <c r="AD43" i="7"/>
  <c r="AD56" i="7"/>
  <c r="AI40" i="7"/>
  <c r="AI41" i="7" s="1"/>
  <c r="AJ38" i="7"/>
  <c r="AE43" i="7"/>
  <c r="AE44" i="7" s="1"/>
  <c r="AE56" i="7"/>
  <c r="AD52" i="7"/>
  <c r="AD42" i="7" s="1"/>
  <c r="AD44" i="7" s="1"/>
  <c r="L89" i="7"/>
  <c r="K88" i="7"/>
  <c r="N43" i="7"/>
  <c r="N44" i="7" s="1"/>
  <c r="N56" i="7"/>
  <c r="K75" i="7"/>
  <c r="K77" i="7" s="1"/>
  <c r="K79" i="7" s="1"/>
  <c r="H64" i="7"/>
  <c r="G61" i="7"/>
  <c r="K50" i="7"/>
  <c r="K32" i="7" s="1"/>
  <c r="J48" i="7"/>
  <c r="J49" i="7" s="1"/>
  <c r="J39" i="7"/>
  <c r="J69" i="7" s="1"/>
  <c r="J71" i="7" s="1"/>
  <c r="J41" i="7"/>
  <c r="L51" i="7"/>
  <c r="AK59" i="7"/>
  <c r="AK61" i="7" s="1"/>
  <c r="AK64" i="7" s="1"/>
  <c r="AM34" i="7"/>
  <c r="AL36" i="7"/>
  <c r="AM35" i="7" s="1"/>
  <c r="AL37" i="7"/>
  <c r="AL47" i="7"/>
  <c r="H40" i="7"/>
  <c r="I38" i="7"/>
  <c r="I78" i="7"/>
  <c r="I100" i="7" s="1"/>
  <c r="I65" i="7"/>
  <c r="AH39" i="7"/>
  <c r="AH48" i="7"/>
  <c r="AH49" i="7" s="1"/>
  <c r="AH41" i="7"/>
  <c r="M93" i="7"/>
  <c r="M97" i="7" s="1"/>
  <c r="M98" i="7" s="1"/>
  <c r="M99" i="7" s="1"/>
  <c r="M101" i="7" s="1"/>
  <c r="M53" i="7"/>
  <c r="M52" i="7" s="1"/>
  <c r="M42" i="7" s="1"/>
  <c r="J94" i="7"/>
  <c r="J96" i="7" s="1"/>
  <c r="AG50" i="7"/>
  <c r="AG32" i="7" s="1"/>
  <c r="AG51" i="7"/>
  <c r="AH55" i="7"/>
  <c r="AF56" i="7"/>
  <c r="AJ65" i="7"/>
  <c r="AK63" i="7"/>
  <c r="AK65" i="7" s="1"/>
  <c r="AL20" i="7"/>
  <c r="K89" i="7" l="1"/>
  <c r="J88" i="7"/>
  <c r="I94" i="7"/>
  <c r="I96" i="7" s="1"/>
  <c r="I39" i="7"/>
  <c r="I69" i="7" s="1"/>
  <c r="I71" i="7" s="1"/>
  <c r="I48" i="7"/>
  <c r="I49" i="7" s="1"/>
  <c r="I41" i="7"/>
  <c r="AN34" i="7"/>
  <c r="AM36" i="7"/>
  <c r="AN35" i="7" s="1"/>
  <c r="AM37" i="7"/>
  <c r="AM47" i="7"/>
  <c r="AJ39" i="7"/>
  <c r="AJ48" i="7"/>
  <c r="AJ49" i="7" s="1"/>
  <c r="AJ41" i="7"/>
  <c r="L53" i="7"/>
  <c r="L52" i="7" s="1"/>
  <c r="L42" i="7" s="1"/>
  <c r="L93" i="7"/>
  <c r="L97" i="7" s="1"/>
  <c r="L98" i="7" s="1"/>
  <c r="L99" i="7" s="1"/>
  <c r="L101" i="7" s="1"/>
  <c r="AJ55" i="7"/>
  <c r="AI55" i="7"/>
  <c r="I55" i="7"/>
  <c r="J50" i="7"/>
  <c r="J32" i="7" s="1"/>
  <c r="AI50" i="7"/>
  <c r="AI32" i="7" s="1"/>
  <c r="AI51" i="7"/>
  <c r="F61" i="7"/>
  <c r="G64" i="7"/>
  <c r="AL63" i="7"/>
  <c r="AM20" i="7"/>
  <c r="J75" i="7"/>
  <c r="J77" i="7" s="1"/>
  <c r="J79" i="7" s="1"/>
  <c r="AL59" i="7"/>
  <c r="AL61" i="7" s="1"/>
  <c r="AL64" i="7" s="1"/>
  <c r="AG53" i="7"/>
  <c r="AJ40" i="7"/>
  <c r="AK38" i="7"/>
  <c r="M43" i="7"/>
  <c r="M44" i="7" s="1"/>
  <c r="M56" i="7"/>
  <c r="K51" i="7"/>
  <c r="AH50" i="7"/>
  <c r="AH32" i="7" s="1"/>
  <c r="H78" i="7"/>
  <c r="H100" i="7" s="1"/>
  <c r="H65" i="7"/>
  <c r="H38" i="7"/>
  <c r="G40" i="7"/>
  <c r="AM59" i="7" l="1"/>
  <c r="AM61" i="7" s="1"/>
  <c r="AM64" i="7" s="1"/>
  <c r="AL38" i="7"/>
  <c r="AK40" i="7"/>
  <c r="AN47" i="7"/>
  <c r="AN36" i="7"/>
  <c r="AO35" i="7" s="1"/>
  <c r="AO34" i="7"/>
  <c r="AN37" i="7"/>
  <c r="AH51" i="7"/>
  <c r="AJ50" i="7"/>
  <c r="AJ32" i="7" s="1"/>
  <c r="AJ51" i="7"/>
  <c r="AN20" i="7"/>
  <c r="AM63" i="7"/>
  <c r="AM65" i="7" s="1"/>
  <c r="H48" i="7"/>
  <c r="H49" i="7" s="1"/>
  <c r="H39" i="7"/>
  <c r="H69" i="7" s="1"/>
  <c r="H71" i="7" s="1"/>
  <c r="H41" i="7"/>
  <c r="H55" i="7"/>
  <c r="E61" i="7"/>
  <c r="F64" i="7"/>
  <c r="AI53" i="7"/>
  <c r="AI43" i="7" s="1"/>
  <c r="AI52" i="7"/>
  <c r="AI42" i="7" s="1"/>
  <c r="AI44" i="7" s="1"/>
  <c r="I50" i="7"/>
  <c r="I32" i="7" s="1"/>
  <c r="I51" i="7"/>
  <c r="K53" i="7"/>
  <c r="K93" i="7"/>
  <c r="K97" i="7" s="1"/>
  <c r="K98" i="7" s="1"/>
  <c r="K99" i="7" s="1"/>
  <c r="K101" i="7" s="1"/>
  <c r="J89" i="7"/>
  <c r="I88" i="7"/>
  <c r="L43" i="7"/>
  <c r="L44" i="7" s="1"/>
  <c r="L56" i="7"/>
  <c r="AL65" i="7"/>
  <c r="F40" i="7"/>
  <c r="G38" i="7"/>
  <c r="G65" i="7"/>
  <c r="G78" i="7"/>
  <c r="G100" i="7" s="1"/>
  <c r="G55" i="7"/>
  <c r="H94" i="7"/>
  <c r="H96" i="7" s="1"/>
  <c r="I75" i="7"/>
  <c r="I77" i="7" s="1"/>
  <c r="I79" i="7" s="1"/>
  <c r="J51" i="7"/>
  <c r="AK48" i="7"/>
  <c r="AK49" i="7" s="1"/>
  <c r="AK39" i="7"/>
  <c r="AK41" i="7"/>
  <c r="AI56" i="7"/>
  <c r="AG43" i="7"/>
  <c r="AG56" i="7"/>
  <c r="AG52" i="7"/>
  <c r="AG42" i="7" s="1"/>
  <c r="AG44" i="7" s="1"/>
  <c r="G39" i="7" l="1"/>
  <c r="G69" i="7" s="1"/>
  <c r="G71" i="7" s="1"/>
  <c r="G48" i="7"/>
  <c r="G49" i="7" s="1"/>
  <c r="G41" i="7"/>
  <c r="AL55" i="7"/>
  <c r="K43" i="7"/>
  <c r="K56" i="7"/>
  <c r="H75" i="7"/>
  <c r="H77" i="7" s="1"/>
  <c r="H79" i="7" s="1"/>
  <c r="K52" i="7"/>
  <c r="K42" i="7" s="1"/>
  <c r="K44" i="7" s="1"/>
  <c r="I93" i="7"/>
  <c r="I97" i="7" s="1"/>
  <c r="I98" i="7" s="1"/>
  <c r="I99" i="7" s="1"/>
  <c r="I101" i="7" s="1"/>
  <c r="I53" i="7"/>
  <c r="I52" i="7" s="1"/>
  <c r="I42" i="7" s="1"/>
  <c r="AL39" i="7"/>
  <c r="AL48" i="7"/>
  <c r="AL49" i="7" s="1"/>
  <c r="AL41" i="7"/>
  <c r="H50" i="7"/>
  <c r="H32" i="7" s="1"/>
  <c r="H51" i="7"/>
  <c r="AK55" i="7"/>
  <c r="AJ53" i="7"/>
  <c r="AJ52" i="7"/>
  <c r="AJ42" i="7" s="1"/>
  <c r="AH53" i="7"/>
  <c r="AN59" i="7"/>
  <c r="AN61" i="7" s="1"/>
  <c r="AN64" i="7" s="1"/>
  <c r="AO47" i="7"/>
  <c r="AP34" i="7"/>
  <c r="AO36" i="7"/>
  <c r="AP35" i="7" s="1"/>
  <c r="AK50" i="7"/>
  <c r="AK32" i="7" s="1"/>
  <c r="AM38" i="7"/>
  <c r="AL40" i="7"/>
  <c r="E64" i="7"/>
  <c r="D61" i="7"/>
  <c r="F55" i="7"/>
  <c r="G94" i="7"/>
  <c r="G96" i="7" s="1"/>
  <c r="AN63" i="7"/>
  <c r="AO20" i="7"/>
  <c r="H88" i="7"/>
  <c r="I89" i="7"/>
  <c r="J53" i="7"/>
  <c r="J93" i="7"/>
  <c r="J97" i="7" s="1"/>
  <c r="J98" i="7" s="1"/>
  <c r="J99" i="7" s="1"/>
  <c r="J101" i="7" s="1"/>
  <c r="F78" i="7"/>
  <c r="F100" i="7" s="1"/>
  <c r="F65" i="7"/>
  <c r="F38" i="7"/>
  <c r="AK51" i="7" l="1"/>
  <c r="C61" i="7"/>
  <c r="C64" i="7" s="1"/>
  <c r="D64" i="7"/>
  <c r="AL50" i="7"/>
  <c r="AL32" i="7" s="1"/>
  <c r="F48" i="7"/>
  <c r="F49" i="7" s="1"/>
  <c r="F39" i="7"/>
  <c r="F69" i="7" s="1"/>
  <c r="F71" i="7" s="1"/>
  <c r="AO37" i="7"/>
  <c r="AN38" i="7"/>
  <c r="AM40" i="7"/>
  <c r="AN65" i="7"/>
  <c r="I43" i="7"/>
  <c r="I44" i="7" s="1"/>
  <c r="I56" i="7"/>
  <c r="E55" i="7"/>
  <c r="F94" i="7"/>
  <c r="F96" i="7" s="1"/>
  <c r="J43" i="7"/>
  <c r="J56" i="7"/>
  <c r="AH43" i="7"/>
  <c r="AH56" i="7"/>
  <c r="G50" i="7"/>
  <c r="G32" i="7" s="1"/>
  <c r="H93" i="7"/>
  <c r="H97" i="7" s="1"/>
  <c r="H98" i="7" s="1"/>
  <c r="H99" i="7" s="1"/>
  <c r="H101" i="7" s="1"/>
  <c r="H53" i="7"/>
  <c r="H52" i="7"/>
  <c r="H42" i="7" s="1"/>
  <c r="E78" i="7"/>
  <c r="E100" i="7" s="1"/>
  <c r="E38" i="7"/>
  <c r="E65" i="7"/>
  <c r="D40" i="7"/>
  <c r="AM48" i="7"/>
  <c r="AM49" i="7" s="1"/>
  <c r="AM39" i="7"/>
  <c r="AM41" i="7"/>
  <c r="E40" i="7"/>
  <c r="AP36" i="7"/>
  <c r="AQ35" i="7" s="1"/>
  <c r="AP47" i="7"/>
  <c r="AQ34" i="7"/>
  <c r="J52" i="7"/>
  <c r="J42" i="7" s="1"/>
  <c r="J44" i="7" s="1"/>
  <c r="AH52" i="7"/>
  <c r="AH42" i="7" s="1"/>
  <c r="AH44" i="7" s="1"/>
  <c r="H89" i="7"/>
  <c r="G88" i="7"/>
  <c r="AO63" i="7"/>
  <c r="AP20" i="7"/>
  <c r="AJ43" i="7"/>
  <c r="AJ44" i="7" s="1"/>
  <c r="AJ56" i="7"/>
  <c r="G75" i="7"/>
  <c r="G77" i="7" s="1"/>
  <c r="G79" i="7" s="1"/>
  <c r="AO59" i="7" l="1"/>
  <c r="AO61" i="7" s="1"/>
  <c r="AO64" i="7" s="1"/>
  <c r="F41" i="7"/>
  <c r="AM50" i="7"/>
  <c r="AM32" i="7" s="1"/>
  <c r="AM51" i="7"/>
  <c r="D55" i="7"/>
  <c r="E94" i="7"/>
  <c r="E96" i="7" s="1"/>
  <c r="H43" i="7"/>
  <c r="H56" i="7"/>
  <c r="F88" i="7"/>
  <c r="G89" i="7"/>
  <c r="G51" i="7"/>
  <c r="E39" i="7"/>
  <c r="E69" i="7" s="1"/>
  <c r="E71" i="7" s="1"/>
  <c r="E41" i="7"/>
  <c r="E48" i="7"/>
  <c r="E49" i="7" s="1"/>
  <c r="H44" i="7"/>
  <c r="D38" i="7"/>
  <c r="D78" i="7"/>
  <c r="D100" i="7" s="1"/>
  <c r="D65" i="7"/>
  <c r="C40" i="7"/>
  <c r="C78" i="7"/>
  <c r="C100" i="7" s="1"/>
  <c r="C65" i="7"/>
  <c r="C94" i="7" s="1"/>
  <c r="C96" i="7" s="1"/>
  <c r="C38" i="7"/>
  <c r="AK53" i="7"/>
  <c r="AP37" i="7"/>
  <c r="AQ36" i="7"/>
  <c r="AR35" i="7" s="1"/>
  <c r="AR34" i="7"/>
  <c r="AQ47" i="7"/>
  <c r="AQ37" i="7"/>
  <c r="AM55" i="7"/>
  <c r="AN48" i="7"/>
  <c r="AN49" i="7" s="1"/>
  <c r="AN39" i="7"/>
  <c r="AQ20" i="7"/>
  <c r="AP63" i="7"/>
  <c r="AO65" i="7"/>
  <c r="F50" i="7"/>
  <c r="F32" i="7" s="1"/>
  <c r="F51" i="7"/>
  <c r="AL51" i="7"/>
  <c r="E50" i="7" l="1"/>
  <c r="E32" i="7" s="1"/>
  <c r="AQ63" i="7"/>
  <c r="AR20" i="7"/>
  <c r="G93" i="7"/>
  <c r="G97" i="7" s="1"/>
  <c r="G98" i="7" s="1"/>
  <c r="G99" i="7" s="1"/>
  <c r="G101" i="7" s="1"/>
  <c r="G53" i="7"/>
  <c r="G52" i="7"/>
  <c r="G42" i="7" s="1"/>
  <c r="AN50" i="7"/>
  <c r="AN32" i="7" s="1"/>
  <c r="AN51" i="7"/>
  <c r="AK43" i="7"/>
  <c r="AK56" i="7"/>
  <c r="AK52" i="7"/>
  <c r="AK42" i="7" s="1"/>
  <c r="AK44" i="7" s="1"/>
  <c r="AM53" i="7"/>
  <c r="AM43" i="7" s="1"/>
  <c r="E75" i="7"/>
  <c r="E77" i="7" s="1"/>
  <c r="E79" i="7" s="1"/>
  <c r="AP59" i="7"/>
  <c r="AP61" i="7" s="1"/>
  <c r="AP64" i="7" s="1"/>
  <c r="C39" i="7"/>
  <c r="C69" i="7" s="1"/>
  <c r="C71" i="7" s="1"/>
  <c r="C48" i="7"/>
  <c r="C49" i="7" s="1"/>
  <c r="F53" i="7"/>
  <c r="F93" i="7"/>
  <c r="F97" i="7" s="1"/>
  <c r="F98" i="7" s="1"/>
  <c r="F99" i="7" s="1"/>
  <c r="F101" i="7" s="1"/>
  <c r="F75" i="7"/>
  <c r="F77" i="7" s="1"/>
  <c r="F79" i="7" s="1"/>
  <c r="AO38" i="7"/>
  <c r="AN40" i="7"/>
  <c r="AN41" i="7" s="1"/>
  <c r="AQ59" i="7"/>
  <c r="AQ61" i="7" s="1"/>
  <c r="AQ64" i="7" s="1"/>
  <c r="E88" i="7"/>
  <c r="F89" i="7"/>
  <c r="AR36" i="7"/>
  <c r="AS35" i="7" s="1"/>
  <c r="AS34" i="7"/>
  <c r="AR47" i="7"/>
  <c r="AR37" i="7"/>
  <c r="AL53" i="7"/>
  <c r="D94" i="7"/>
  <c r="D96" i="7" s="1"/>
  <c r="C55" i="7"/>
  <c r="AN55" i="7"/>
  <c r="D39" i="7"/>
  <c r="D69" i="7" s="1"/>
  <c r="D71" i="7" s="1"/>
  <c r="D48" i="7"/>
  <c r="D49" i="7" s="1"/>
  <c r="D41" i="7"/>
  <c r="AP38" i="7" l="1"/>
  <c r="AO40" i="7"/>
  <c r="E89" i="7"/>
  <c r="D88" i="7"/>
  <c r="AR59" i="7"/>
  <c r="AR61" i="7" s="1"/>
  <c r="AR64" i="7" s="1"/>
  <c r="AT34" i="7"/>
  <c r="AS36" i="7"/>
  <c r="AT35" i="7" s="1"/>
  <c r="AS47" i="7"/>
  <c r="AS37" i="7"/>
  <c r="AQ38" i="7"/>
  <c r="AP40" i="7"/>
  <c r="AO39" i="7"/>
  <c r="AO48" i="7"/>
  <c r="AO49" i="7" s="1"/>
  <c r="AO41" i="7"/>
  <c r="AM52" i="7"/>
  <c r="AM42" i="7" s="1"/>
  <c r="AM44" i="7" s="1"/>
  <c r="D50" i="7"/>
  <c r="D32" i="7" s="1"/>
  <c r="D51" i="7"/>
  <c r="AN53" i="7"/>
  <c r="AN43" i="7" s="1"/>
  <c r="AL43" i="7"/>
  <c r="AL56" i="7"/>
  <c r="AM56" i="7"/>
  <c r="AP65" i="7"/>
  <c r="G56" i="7"/>
  <c r="G43" i="7"/>
  <c r="F56" i="7"/>
  <c r="F43" i="7"/>
  <c r="C41" i="7"/>
  <c r="D75" i="7"/>
  <c r="D77" i="7" s="1"/>
  <c r="D79" i="7" s="1"/>
  <c r="G44" i="7"/>
  <c r="AR63" i="7"/>
  <c r="AR65" i="7" s="1"/>
  <c r="AS20" i="7"/>
  <c r="F52" i="7"/>
  <c r="F42" i="7" s="1"/>
  <c r="F44" i="7" s="1"/>
  <c r="AQ65" i="7"/>
  <c r="AL52" i="7"/>
  <c r="AL42" i="7" s="1"/>
  <c r="AL44" i="7" s="1"/>
  <c r="C50" i="7"/>
  <c r="C32" i="7" s="1"/>
  <c r="E51" i="7"/>
  <c r="AS63" i="7" l="1"/>
  <c r="AT20" i="7"/>
  <c r="D53" i="7"/>
  <c r="D52" i="7"/>
  <c r="D42" i="7" s="1"/>
  <c r="D93" i="7"/>
  <c r="D97" i="7" s="1"/>
  <c r="AO50" i="7"/>
  <c r="AO32" i="7" s="1"/>
  <c r="AP55" i="7"/>
  <c r="AN56" i="7"/>
  <c r="AQ40" i="7"/>
  <c r="AQ41" i="7" s="1"/>
  <c r="AR38" i="7"/>
  <c r="AO55" i="7"/>
  <c r="D89" i="7"/>
  <c r="C88" i="7"/>
  <c r="C89" i="7" s="1"/>
  <c r="C51" i="7"/>
  <c r="AN52" i="7"/>
  <c r="AN42" i="7" s="1"/>
  <c r="AN44" i="7" s="1"/>
  <c r="AQ55" i="7"/>
  <c r="C75" i="7"/>
  <c r="C77" i="7" s="1"/>
  <c r="C79" i="7" s="1"/>
  <c r="AQ39" i="7"/>
  <c r="AQ48" i="7"/>
  <c r="AQ49" i="7" s="1"/>
  <c r="AS59" i="7"/>
  <c r="AS61" i="7" s="1"/>
  <c r="AS64" i="7" s="1"/>
  <c r="AT47" i="7"/>
  <c r="AU34" i="7"/>
  <c r="AT36" i="7"/>
  <c r="AU35" i="7" s="1"/>
  <c r="E93" i="7"/>
  <c r="E97" i="7" s="1"/>
  <c r="E98" i="7" s="1"/>
  <c r="E99" i="7" s="1"/>
  <c r="E101" i="7" s="1"/>
  <c r="E53" i="7"/>
  <c r="AP39" i="7"/>
  <c r="AP48" i="7"/>
  <c r="AP49" i="7" s="1"/>
  <c r="AP41" i="7"/>
  <c r="AP50" i="7" l="1"/>
  <c r="AP32" i="7" s="1"/>
  <c r="AU36" i="7"/>
  <c r="AV35" i="7" s="1"/>
  <c r="AU47" i="7"/>
  <c r="AU37" i="7"/>
  <c r="AV34" i="7"/>
  <c r="AT37" i="7"/>
  <c r="AS38" i="7"/>
  <c r="AR40" i="7"/>
  <c r="AR41" i="7" s="1"/>
  <c r="AO51" i="7"/>
  <c r="E43" i="7"/>
  <c r="E56" i="7"/>
  <c r="E52" i="7"/>
  <c r="E42" i="7" s="1"/>
  <c r="E44" i="7" s="1"/>
  <c r="D44" i="7"/>
  <c r="AU20" i="7"/>
  <c r="AT63" i="7"/>
  <c r="C53" i="7"/>
  <c r="C52" i="7"/>
  <c r="C42" i="7" s="1"/>
  <c r="C93" i="7"/>
  <c r="C97" i="7" s="1"/>
  <c r="AR39" i="7"/>
  <c r="AR48" i="7"/>
  <c r="AR49" i="7" s="1"/>
  <c r="AQ50" i="7"/>
  <c r="AQ32" i="7" s="1"/>
  <c r="D98" i="7"/>
  <c r="D99" i="7" s="1"/>
  <c r="D101" i="7" s="1"/>
  <c r="D43" i="7"/>
  <c r="D56" i="7"/>
  <c r="AS65" i="7"/>
  <c r="AR55" i="7" l="1"/>
  <c r="AT59" i="7"/>
  <c r="AT61" i="7" s="1"/>
  <c r="AT64" i="7" s="1"/>
  <c r="AU59" i="7"/>
  <c r="AU61" i="7" s="1"/>
  <c r="AU64" i="7" s="1"/>
  <c r="AU63" i="7"/>
  <c r="AU65" i="7" s="1"/>
  <c r="AV20" i="7"/>
  <c r="AQ51" i="7"/>
  <c r="C44" i="7"/>
  <c r="AO53" i="7"/>
  <c r="AO52" i="7" s="1"/>
  <c r="AO42" i="7" s="1"/>
  <c r="AS39" i="7"/>
  <c r="AS48" i="7"/>
  <c r="AS49" i="7" s="1"/>
  <c r="AV36" i="7"/>
  <c r="AW35" i="7" s="1"/>
  <c r="AV47" i="7"/>
  <c r="AW34" i="7"/>
  <c r="AR50" i="7"/>
  <c r="AR32" i="7" s="1"/>
  <c r="AR51" i="7"/>
  <c r="C98" i="7"/>
  <c r="C99" i="7" s="1"/>
  <c r="C101" i="7" s="1"/>
  <c r="AP51" i="7"/>
  <c r="C43" i="7"/>
  <c r="C56" i="7"/>
  <c r="AQ53" i="7" l="1"/>
  <c r="AQ52" i="7" s="1"/>
  <c r="AQ42" i="7" s="1"/>
  <c r="AS50" i="7"/>
  <c r="AS32" i="7" s="1"/>
  <c r="AS51" i="7"/>
  <c r="AV63" i="7"/>
  <c r="AW20" i="7"/>
  <c r="AT40" i="7"/>
  <c r="AU38" i="7"/>
  <c r="AS40" i="7"/>
  <c r="AS41" i="7" s="1"/>
  <c r="AT38" i="7"/>
  <c r="AR53" i="7"/>
  <c r="AR43" i="7" s="1"/>
  <c r="AX34" i="7"/>
  <c r="AW47" i="7"/>
  <c r="AW36" i="7"/>
  <c r="AX35" i="7" s="1"/>
  <c r="AO43" i="7"/>
  <c r="AO44" i="7" s="1"/>
  <c r="AO56" i="7"/>
  <c r="AP53" i="7"/>
  <c r="AT65" i="7"/>
  <c r="AV37" i="7"/>
  <c r="AW63" i="7" l="1"/>
  <c r="AX20" i="7"/>
  <c r="AR52" i="7"/>
  <c r="AR42" i="7" s="1"/>
  <c r="AR44" i="7" s="1"/>
  <c r="AT39" i="7"/>
  <c r="AT48" i="7"/>
  <c r="AT49" i="7" s="1"/>
  <c r="AT41" i="7"/>
  <c r="AV59" i="7"/>
  <c r="AV61" i="7" s="1"/>
  <c r="AV64" i="7" s="1"/>
  <c r="AS53" i="7"/>
  <c r="AS43" i="7" s="1"/>
  <c r="AP43" i="7"/>
  <c r="AP56" i="7"/>
  <c r="AX36" i="7"/>
  <c r="AY35" i="7" s="1"/>
  <c r="AX47" i="7"/>
  <c r="AY34" i="7"/>
  <c r="AW37" i="7"/>
  <c r="AR56" i="7"/>
  <c r="AU39" i="7"/>
  <c r="AU48" i="7"/>
  <c r="AU49" i="7" s="1"/>
  <c r="AS55" i="7"/>
  <c r="AP52" i="7"/>
  <c r="AP42" i="7" s="1"/>
  <c r="AQ43" i="7"/>
  <c r="AQ44" i="7" s="1"/>
  <c r="AQ56" i="7"/>
  <c r="AT55" i="7"/>
  <c r="AW59" i="7" l="1"/>
  <c r="AW61" i="7" s="1"/>
  <c r="AW64" i="7" s="1"/>
  <c r="AX37" i="7"/>
  <c r="AS52" i="7"/>
  <c r="AS42" i="7" s="1"/>
  <c r="AS44" i="7" s="1"/>
  <c r="AU40" i="7"/>
  <c r="AU41" i="7" s="1"/>
  <c r="AV38" i="7"/>
  <c r="AY20" i="7"/>
  <c r="AX63" i="7"/>
  <c r="AZ34" i="7"/>
  <c r="AY36" i="7"/>
  <c r="AZ35" i="7" s="1"/>
  <c r="AY47" i="7"/>
  <c r="AY37" i="7"/>
  <c r="AP44" i="7"/>
  <c r="AT50" i="7"/>
  <c r="AT32" i="7" s="1"/>
  <c r="AS56" i="7"/>
  <c r="AV65" i="7"/>
  <c r="AU50" i="7"/>
  <c r="AU32" i="7" s="1"/>
  <c r="AW65" i="7"/>
  <c r="AU55" i="7" l="1"/>
  <c r="AY59" i="7"/>
  <c r="AY61" i="7" s="1"/>
  <c r="AY64" i="7" s="1"/>
  <c r="AZ20" i="7"/>
  <c r="AY63" i="7"/>
  <c r="AY65" i="7" s="1"/>
  <c r="AV48" i="7"/>
  <c r="AV49" i="7" s="1"/>
  <c r="AV39" i="7"/>
  <c r="AV41" i="7"/>
  <c r="AV40" i="7"/>
  <c r="AW38" i="7"/>
  <c r="AT51" i="7"/>
  <c r="AZ36" i="7"/>
  <c r="BA35" i="7" s="1"/>
  <c r="BA34" i="7"/>
  <c r="AZ47" i="7"/>
  <c r="AX65" i="7"/>
  <c r="AV55" i="7"/>
  <c r="AX59" i="7"/>
  <c r="AX61" i="7" s="1"/>
  <c r="AX64" i="7" s="1"/>
  <c r="AU51" i="7"/>
  <c r="AW55" i="7" l="1"/>
  <c r="BB34" i="7"/>
  <c r="BA47" i="7"/>
  <c r="BA36" i="7"/>
  <c r="BB35" i="7" s="1"/>
  <c r="BA37" i="7"/>
  <c r="AZ37" i="7"/>
  <c r="AV50" i="7"/>
  <c r="AV32" i="7" s="1"/>
  <c r="AZ63" i="7"/>
  <c r="BA20" i="7"/>
  <c r="AX40" i="7"/>
  <c r="AY38" i="7"/>
  <c r="AT53" i="7"/>
  <c r="AW39" i="7"/>
  <c r="AW48" i="7"/>
  <c r="AW49" i="7" s="1"/>
  <c r="AW41" i="7"/>
  <c r="AX55" i="7"/>
  <c r="AU53" i="7"/>
  <c r="AU43" i="7" s="1"/>
  <c r="AU52" i="7"/>
  <c r="AU42" i="7" s="1"/>
  <c r="AU44" i="7" s="1"/>
  <c r="AW40" i="7"/>
  <c r="AX38" i="7"/>
  <c r="AU56" i="7"/>
  <c r="AT43" i="7" l="1"/>
  <c r="AT56" i="7"/>
  <c r="AY39" i="7"/>
  <c r="AY48" i="7"/>
  <c r="AY49" i="7" s="1"/>
  <c r="AW50" i="7"/>
  <c r="AW32" i="7" s="1"/>
  <c r="AW51" i="7"/>
  <c r="AT52" i="7"/>
  <c r="AT42" i="7" s="1"/>
  <c r="AT44" i="7" s="1"/>
  <c r="BA63" i="7"/>
  <c r="BB20" i="7"/>
  <c r="AZ59" i="7"/>
  <c r="AZ61" i="7" s="1"/>
  <c r="AZ64" i="7" s="1"/>
  <c r="BA59" i="7"/>
  <c r="BA61" i="7" s="1"/>
  <c r="BA64" i="7" s="1"/>
  <c r="AZ65" i="7"/>
  <c r="AV51" i="7"/>
  <c r="AX39" i="7"/>
  <c r="AX41" i="7" s="1"/>
  <c r="AX48" i="7"/>
  <c r="AX49" i="7" s="1"/>
  <c r="BB47" i="7"/>
  <c r="BB36" i="7"/>
  <c r="BC35" i="7" s="1"/>
  <c r="BC34" i="7"/>
  <c r="AV53" i="7" l="1"/>
  <c r="AV52" i="7"/>
  <c r="AV42" i="7" s="1"/>
  <c r="AY55" i="7"/>
  <c r="BA38" i="7"/>
  <c r="AZ40" i="7"/>
  <c r="BC20" i="7"/>
  <c r="BB63" i="7"/>
  <c r="BA65" i="7"/>
  <c r="AW53" i="7"/>
  <c r="AW52" i="7" s="1"/>
  <c r="AW42" i="7" s="1"/>
  <c r="AX50" i="7"/>
  <c r="AX32" i="7" s="1"/>
  <c r="AZ38" i="7"/>
  <c r="AY40" i="7"/>
  <c r="AY41" i="7" s="1"/>
  <c r="AY50" i="7"/>
  <c r="AY32" i="7" s="1"/>
  <c r="BC36" i="7"/>
  <c r="BD35" i="7" s="1"/>
  <c r="BD34" i="7"/>
  <c r="BC47" i="7"/>
  <c r="BB37" i="7"/>
  <c r="BE34" i="7" l="1"/>
  <c r="BD47" i="7"/>
  <c r="BD36" i="7"/>
  <c r="BE35" i="7" s="1"/>
  <c r="BD37" i="7"/>
  <c r="AY51" i="7"/>
  <c r="AW43" i="7"/>
  <c r="AW44" i="7" s="1"/>
  <c r="AW56" i="7"/>
  <c r="AZ55" i="7"/>
  <c r="BD20" i="7"/>
  <c r="BC63" i="7"/>
  <c r="BA39" i="7"/>
  <c r="BA48" i="7"/>
  <c r="BA49" i="7" s="1"/>
  <c r="BB59" i="7"/>
  <c r="BB61" i="7" s="1"/>
  <c r="BB64" i="7" s="1"/>
  <c r="BB65" i="7" s="1"/>
  <c r="BC37" i="7"/>
  <c r="AZ39" i="7"/>
  <c r="AZ48" i="7"/>
  <c r="AZ49" i="7" s="1"/>
  <c r="AZ41" i="7"/>
  <c r="AX51" i="7"/>
  <c r="AV43" i="7"/>
  <c r="AV44" i="7" s="1"/>
  <c r="AV56" i="7"/>
  <c r="BA55" i="7" l="1"/>
  <c r="BC59" i="7"/>
  <c r="BC61" i="7" s="1"/>
  <c r="BC64" i="7" s="1"/>
  <c r="BC65" i="7"/>
  <c r="BE36" i="7"/>
  <c r="BF35" i="7" s="1"/>
  <c r="BF34" i="7"/>
  <c r="BE47" i="7"/>
  <c r="BD59" i="7"/>
  <c r="BD61" i="7" s="1"/>
  <c r="BD64" i="7" s="1"/>
  <c r="BB38" i="7"/>
  <c r="BA40" i="7"/>
  <c r="BA41" i="7" s="1"/>
  <c r="BA50" i="7"/>
  <c r="BA32" i="7" s="1"/>
  <c r="BE20" i="7"/>
  <c r="BD63" i="7"/>
  <c r="BD65" i="7" s="1"/>
  <c r="AY53" i="7"/>
  <c r="AX53" i="7"/>
  <c r="AX52" i="7" s="1"/>
  <c r="AX42" i="7" s="1"/>
  <c r="AZ50" i="7"/>
  <c r="AZ32" i="7" s="1"/>
  <c r="AZ51" i="7"/>
  <c r="BC55" i="7" l="1"/>
  <c r="BE37" i="7"/>
  <c r="BA51" i="7"/>
  <c r="BB39" i="7"/>
  <c r="BB48" i="7"/>
  <c r="BB49" i="7" s="1"/>
  <c r="BB41" i="7"/>
  <c r="AZ53" i="7"/>
  <c r="BB55" i="7"/>
  <c r="BF20" i="7"/>
  <c r="BE63" i="7"/>
  <c r="BD38" i="7"/>
  <c r="BC40" i="7"/>
  <c r="BF36" i="7"/>
  <c r="BF37" i="7" s="1"/>
  <c r="BF47" i="7"/>
  <c r="AX43" i="7"/>
  <c r="AX44" i="7" s="1"/>
  <c r="AX56" i="7"/>
  <c r="BB40" i="7"/>
  <c r="BC38" i="7"/>
  <c r="AY43" i="7"/>
  <c r="AY56" i="7"/>
  <c r="AY52" i="7"/>
  <c r="AY42" i="7" s="1"/>
  <c r="AY44" i="7" s="1"/>
  <c r="BF59" i="7" l="1"/>
  <c r="BF61" i="7" s="1"/>
  <c r="BF64" i="7" s="1"/>
  <c r="AZ43" i="7"/>
  <c r="AZ56" i="7"/>
  <c r="BB50" i="7"/>
  <c r="BB32" i="7" s="1"/>
  <c r="BB51" i="7"/>
  <c r="BC39" i="7"/>
  <c r="BC48" i="7"/>
  <c r="BC49" i="7" s="1"/>
  <c r="BC41" i="7"/>
  <c r="BD39" i="7"/>
  <c r="BD48" i="7"/>
  <c r="BD49" i="7" s="1"/>
  <c r="BG20" i="7"/>
  <c r="BF63" i="7"/>
  <c r="BF65" i="7" s="1"/>
  <c r="AZ52" i="7"/>
  <c r="AZ42" i="7" s="1"/>
  <c r="AZ44" i="7" s="1"/>
  <c r="BA53" i="7"/>
  <c r="BE59" i="7"/>
  <c r="BE61" i="7" s="1"/>
  <c r="BE64" i="7" s="1"/>
  <c r="BD50" i="7" l="1"/>
  <c r="BD32" i="7" s="1"/>
  <c r="BC50" i="7"/>
  <c r="BC32" i="7" s="1"/>
  <c r="BB53" i="7"/>
  <c r="BB52" i="7" s="1"/>
  <c r="BB42" i="7" s="1"/>
  <c r="BE38" i="7"/>
  <c r="BD40" i="7"/>
  <c r="BD41" i="7" s="1"/>
  <c r="BE65" i="7"/>
  <c r="BA43" i="7"/>
  <c r="BA56" i="7"/>
  <c r="BA52" i="7"/>
  <c r="BA42" i="7" s="1"/>
  <c r="BA44" i="7" s="1"/>
  <c r="BF38" i="7"/>
  <c r="BE40" i="7"/>
  <c r="BF40" i="7"/>
  <c r="BD55" i="7" l="1"/>
  <c r="BE48" i="7"/>
  <c r="BE49" i="7" s="1"/>
  <c r="BE39" i="7"/>
  <c r="BE41" i="7"/>
  <c r="BC51" i="7"/>
  <c r="BF39" i="7"/>
  <c r="BF48" i="7"/>
  <c r="BF49" i="7" s="1"/>
  <c r="BF41" i="7"/>
  <c r="BB43" i="7"/>
  <c r="BB44" i="7" s="1"/>
  <c r="BB56" i="7"/>
  <c r="BD51" i="7"/>
  <c r="BE55" i="7"/>
  <c r="BD53" i="7" l="1"/>
  <c r="BD43" i="7" s="1"/>
  <c r="BD52" i="7"/>
  <c r="BD42" i="7" s="1"/>
  <c r="BD44" i="7" s="1"/>
  <c r="BF50" i="7"/>
  <c r="BF32" i="7" s="1"/>
  <c r="BF51" i="7"/>
  <c r="BC53" i="7"/>
  <c r="BC52" i="7"/>
  <c r="BC42" i="7" s="1"/>
  <c r="BE50" i="7"/>
  <c r="BE32" i="7" s="1"/>
  <c r="BE51" i="7"/>
  <c r="BD56" i="7"/>
  <c r="BF53" i="7" l="1"/>
  <c r="BF52" i="7" s="1"/>
  <c r="BE53" i="7"/>
  <c r="BC43" i="7"/>
  <c r="BC44" i="7" s="1"/>
  <c r="BC56" i="7"/>
  <c r="BE43" i="7" l="1"/>
  <c r="BE56" i="7"/>
  <c r="BE52" i="7"/>
  <c r="BE42" i="7" s="1"/>
  <c r="BE44" i="7" s="1"/>
</calcChain>
</file>

<file path=xl/sharedStrings.xml><?xml version="1.0" encoding="utf-8"?>
<sst xmlns="http://schemas.openxmlformats.org/spreadsheetml/2006/main" count="924" uniqueCount="99">
  <si>
    <t>rD</t>
  </si>
  <si>
    <t>IC boy</t>
  </si>
  <si>
    <t>ROIC</t>
  </si>
  <si>
    <t>RONIC</t>
  </si>
  <si>
    <t>rA</t>
  </si>
  <si>
    <t>g</t>
  </si>
  <si>
    <t>Debt/V boy</t>
  </si>
  <si>
    <t>TV1</t>
  </si>
  <si>
    <t>TV2</t>
  </si>
  <si>
    <t>Noplat</t>
  </si>
  <si>
    <t>dIC</t>
  </si>
  <si>
    <t>FCFF</t>
  </si>
  <si>
    <t>K0=g1/RONIC1</t>
  </si>
  <si>
    <t>RONIC=WACC</t>
  </si>
  <si>
    <t>WACC=rA-D/V*rD*t</t>
  </si>
  <si>
    <t>rE=(rA-D/V*rD)/(1-D/V)</t>
  </si>
  <si>
    <t>TV3</t>
  </si>
  <si>
    <t>TV4</t>
  </si>
  <si>
    <t>FCFF // WACC</t>
  </si>
  <si>
    <t>V boy</t>
  </si>
  <si>
    <t>TV5</t>
  </si>
  <si>
    <t>TV6</t>
  </si>
  <si>
    <t>TV7</t>
  </si>
  <si>
    <t>TV8</t>
  </si>
  <si>
    <t>TV9</t>
  </si>
  <si>
    <t>TV10</t>
  </si>
  <si>
    <t>TV11</t>
  </si>
  <si>
    <t>TV12</t>
  </si>
  <si>
    <t>TV13</t>
  </si>
  <si>
    <t>TV14</t>
  </si>
  <si>
    <t>TV15</t>
  </si>
  <si>
    <t>TV16</t>
  </si>
  <si>
    <t>TV17</t>
  </si>
  <si>
    <t>TV18</t>
  </si>
  <si>
    <t>TV19</t>
  </si>
  <si>
    <t>TV20</t>
  </si>
  <si>
    <t>TV21</t>
  </si>
  <si>
    <t>TV22</t>
  </si>
  <si>
    <t>TV23</t>
  </si>
  <si>
    <t>TV24</t>
  </si>
  <si>
    <t>TV25</t>
  </si>
  <si>
    <t>TV26</t>
  </si>
  <si>
    <t>TV27</t>
  </si>
  <si>
    <t>TV28</t>
  </si>
  <si>
    <t>TV29</t>
  </si>
  <si>
    <t>TV30</t>
  </si>
  <si>
    <t>TV31</t>
  </si>
  <si>
    <t>TV32</t>
  </si>
  <si>
    <t>TV33</t>
  </si>
  <si>
    <t>TV34</t>
  </si>
  <si>
    <t>TV35</t>
  </si>
  <si>
    <t>TV36</t>
  </si>
  <si>
    <t>TV37</t>
  </si>
  <si>
    <t>TV38</t>
  </si>
  <si>
    <t>TV39</t>
  </si>
  <si>
    <t>TV40</t>
  </si>
  <si>
    <t>TV41</t>
  </si>
  <si>
    <t>TV42</t>
  </si>
  <si>
    <t>TV43</t>
  </si>
  <si>
    <t>TV44</t>
  </si>
  <si>
    <t>TV45</t>
  </si>
  <si>
    <t>TV46</t>
  </si>
  <si>
    <t>TV47</t>
  </si>
  <si>
    <t>TV48</t>
  </si>
  <si>
    <t>TV49</t>
  </si>
  <si>
    <t>TV50</t>
  </si>
  <si>
    <t>D boy</t>
  </si>
  <si>
    <t>BV E boy</t>
  </si>
  <si>
    <t>D*rD</t>
  </si>
  <si>
    <t>D*rD*t</t>
  </si>
  <si>
    <t>dD</t>
  </si>
  <si>
    <t>FCFE</t>
  </si>
  <si>
    <t>t nominal</t>
  </si>
  <si>
    <t>P/L</t>
  </si>
  <si>
    <t>EBIT</t>
  </si>
  <si>
    <t>t effective assumed</t>
  </si>
  <si>
    <t>PBT</t>
  </si>
  <si>
    <t>Tax</t>
  </si>
  <si>
    <t>PAT</t>
  </si>
  <si>
    <t>t effective calculated</t>
  </si>
  <si>
    <t>Dividend</t>
  </si>
  <si>
    <t>Retained earning</t>
  </si>
  <si>
    <t>dBV Equity required</t>
  </si>
  <si>
    <t>Share issue/buyback</t>
  </si>
  <si>
    <t>dBVEquity-Retained earnings</t>
  </si>
  <si>
    <t>dNon op wealth</t>
  </si>
  <si>
    <t>APV // rA</t>
  </si>
  <si>
    <t>FCFF+TS</t>
  </si>
  <si>
    <t>FCFE // rE</t>
  </si>
  <si>
    <t>E boy</t>
  </si>
  <si>
    <t>EVA</t>
  </si>
  <si>
    <t>IC*WACC</t>
  </si>
  <si>
    <t>PV EVA</t>
  </si>
  <si>
    <t>RI // rE</t>
  </si>
  <si>
    <t>BV E*rE</t>
  </si>
  <si>
    <t>Residual Income</t>
  </si>
  <si>
    <t>PV RI</t>
  </si>
  <si>
    <t>E-BV E</t>
  </si>
  <si>
    <t>ROIC=WACC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</si>
</sst>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1" applyNumberFormat="1" applyFont="1"/>
    <xf numFmtId="4" fontId="0" fillId="0" borderId="0" xfId="0" applyNumberFormat="1"/>
    <xf numFmtId="0" fontId="0" fillId="4" borderId="0" xfId="0" applyFill="1"/>
    <xf numFmtId="10" fontId="0" fillId="3" borderId="0" xfId="0" applyNumberFormat="1" applyFill="1"/>
    <xf numFmtId="4" fontId="0" fillId="3" borderId="0" xfId="0" applyNumberFormat="1" applyFill="1"/>
    <xf numFmtId="10" fontId="0" fillId="3" borderId="0" xfId="1" applyNumberFormat="1" applyFont="1" applyFill="1"/>
    <xf numFmtId="10" fontId="0" fillId="0" borderId="0" xfId="0" applyNumberFormat="1"/>
    <xf numFmtId="10" fontId="0" fillId="5" borderId="0" xfId="0" applyNumberFormat="1" applyFill="1"/>
    <xf numFmtId="4" fontId="0" fillId="6" borderId="0" xfId="1" applyNumberFormat="1" applyFont="1" applyFill="1"/>
    <xf numFmtId="0" fontId="2" fillId="0" borderId="0" xfId="0" applyFont="1"/>
    <xf numFmtId="4" fontId="2" fillId="0" borderId="0" xfId="0" applyNumberFormat="1" applyFont="1"/>
    <xf numFmtId="4" fontId="0" fillId="6" borderId="0" xfId="0" applyNumberFormat="1" applyFill="1"/>
    <xf numFmtId="4" fontId="2" fillId="6" borderId="0" xfId="0" applyNumberFormat="1" applyFont="1" applyFill="1"/>
    <xf numFmtId="10" fontId="0" fillId="7" borderId="0" xfId="0" applyNumberFormat="1" applyFill="1"/>
    <xf numFmtId="10" fontId="0" fillId="6" borderId="0" xfId="0" applyNumberFormat="1" applyFill="1"/>
    <xf numFmtId="10" fontId="0" fillId="6" borderId="0" xfId="1" applyNumberFormat="1" applyFont="1" applyFill="1"/>
    <xf numFmtId="10" fontId="4" fillId="6" borderId="0" xfId="1" applyNumberFormat="1" applyFont="1" applyFill="1"/>
    <xf numFmtId="10" fontId="4" fillId="6" borderId="0" xfId="0" applyNumberFormat="1" applyFont="1" applyFill="1"/>
    <xf numFmtId="0" fontId="4" fillId="0" borderId="0" xfId="0" applyFont="1"/>
    <xf numFmtId="10" fontId="4" fillId="0" borderId="0" xfId="0" applyNumberFormat="1" applyFont="1"/>
    <xf numFmtId="4" fontId="4" fillId="0" borderId="0" xfId="0" applyNumberFormat="1" applyFont="1"/>
    <xf numFmtId="10" fontId="4" fillId="3" borderId="0" xfId="1" applyNumberFormat="1" applyFont="1" applyFill="1"/>
    <xf numFmtId="10" fontId="4" fillId="0" borderId="0" xfId="1" applyNumberFormat="1" applyFont="1"/>
    <xf numFmtId="10" fontId="4" fillId="5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ROIC!$B$21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ROIC!$C$19:$BF$19</c:f>
              <c:strCache>
                <c:ptCount val="5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TV1</c:v>
                </c:pt>
                <c:pt idx="7">
                  <c:v>TV2</c:v>
                </c:pt>
                <c:pt idx="8">
                  <c:v>TV3</c:v>
                </c:pt>
                <c:pt idx="9">
                  <c:v>TV4</c:v>
                </c:pt>
                <c:pt idx="10">
                  <c:v>TV5</c:v>
                </c:pt>
                <c:pt idx="11">
                  <c:v>TV6</c:v>
                </c:pt>
                <c:pt idx="12">
                  <c:v>TV7</c:v>
                </c:pt>
                <c:pt idx="13">
                  <c:v>TV8</c:v>
                </c:pt>
                <c:pt idx="14">
                  <c:v>TV9</c:v>
                </c:pt>
                <c:pt idx="15">
                  <c:v>TV10</c:v>
                </c:pt>
                <c:pt idx="16">
                  <c:v>TV11</c:v>
                </c:pt>
                <c:pt idx="17">
                  <c:v>TV12</c:v>
                </c:pt>
                <c:pt idx="18">
                  <c:v>TV13</c:v>
                </c:pt>
                <c:pt idx="19">
                  <c:v>TV14</c:v>
                </c:pt>
                <c:pt idx="20">
                  <c:v>TV15</c:v>
                </c:pt>
                <c:pt idx="21">
                  <c:v>TV16</c:v>
                </c:pt>
                <c:pt idx="22">
                  <c:v>TV17</c:v>
                </c:pt>
                <c:pt idx="23">
                  <c:v>TV18</c:v>
                </c:pt>
                <c:pt idx="24">
                  <c:v>TV19</c:v>
                </c:pt>
                <c:pt idx="25">
                  <c:v>TV20</c:v>
                </c:pt>
                <c:pt idx="26">
                  <c:v>TV21</c:v>
                </c:pt>
                <c:pt idx="27">
                  <c:v>TV22</c:v>
                </c:pt>
                <c:pt idx="28">
                  <c:v>TV23</c:v>
                </c:pt>
                <c:pt idx="29">
                  <c:v>TV24</c:v>
                </c:pt>
                <c:pt idx="30">
                  <c:v>TV25</c:v>
                </c:pt>
                <c:pt idx="31">
                  <c:v>TV26</c:v>
                </c:pt>
                <c:pt idx="32">
                  <c:v>TV27</c:v>
                </c:pt>
                <c:pt idx="33">
                  <c:v>TV28</c:v>
                </c:pt>
                <c:pt idx="34">
                  <c:v>TV29</c:v>
                </c:pt>
                <c:pt idx="35">
                  <c:v>TV30</c:v>
                </c:pt>
                <c:pt idx="36">
                  <c:v>TV31</c:v>
                </c:pt>
                <c:pt idx="37">
                  <c:v>TV32</c:v>
                </c:pt>
                <c:pt idx="38">
                  <c:v>TV33</c:v>
                </c:pt>
                <c:pt idx="39">
                  <c:v>TV34</c:v>
                </c:pt>
                <c:pt idx="40">
                  <c:v>TV35</c:v>
                </c:pt>
                <c:pt idx="41">
                  <c:v>TV36</c:v>
                </c:pt>
                <c:pt idx="42">
                  <c:v>TV37</c:v>
                </c:pt>
                <c:pt idx="43">
                  <c:v>TV38</c:v>
                </c:pt>
                <c:pt idx="44">
                  <c:v>TV39</c:v>
                </c:pt>
                <c:pt idx="45">
                  <c:v>TV40</c:v>
                </c:pt>
                <c:pt idx="46">
                  <c:v>TV41</c:v>
                </c:pt>
                <c:pt idx="47">
                  <c:v>TV42</c:v>
                </c:pt>
                <c:pt idx="48">
                  <c:v>TV43</c:v>
                </c:pt>
                <c:pt idx="49">
                  <c:v>TV44</c:v>
                </c:pt>
                <c:pt idx="50">
                  <c:v>TV45</c:v>
                </c:pt>
                <c:pt idx="51">
                  <c:v>TV46</c:v>
                </c:pt>
                <c:pt idx="52">
                  <c:v>TV47</c:v>
                </c:pt>
                <c:pt idx="53">
                  <c:v>TV48</c:v>
                </c:pt>
                <c:pt idx="54">
                  <c:v>TV49</c:v>
                </c:pt>
                <c:pt idx="55">
                  <c:v>TV50</c:v>
                </c:pt>
              </c:strCache>
            </c:strRef>
          </c:cat>
          <c:val>
            <c:numRef>
              <c:f>ROIC!$C$21:$BF$21</c:f>
              <c:numCache>
                <c:formatCode>0.00%</c:formatCode>
                <c:ptCount val="56"/>
                <c:pt idx="0">
                  <c:v>0.16</c:v>
                </c:pt>
                <c:pt idx="1">
                  <c:v>0.16170212765957448</c:v>
                </c:pt>
                <c:pt idx="2">
                  <c:v>0.16245562130177515</c:v>
                </c:pt>
                <c:pt idx="3">
                  <c:v>0.1626413996688984</c:v>
                </c:pt>
                <c:pt idx="4">
                  <c:v>0.16248956009216717</c:v>
                </c:pt>
                <c:pt idx="5">
                  <c:v>0.16178727979250576</c:v>
                </c:pt>
                <c:pt idx="6">
                  <c:v>0.15858333210483297</c:v>
                </c:pt>
                <c:pt idx="7">
                  <c:v>0.15591012032660206</c:v>
                </c:pt>
                <c:pt idx="8">
                  <c:v>0.15344666895828285</c:v>
                </c:pt>
                <c:pt idx="9">
                  <c:v>0.1511718269009287</c:v>
                </c:pt>
                <c:pt idx="10">
                  <c:v>0.14906714522916592</c:v>
                </c:pt>
                <c:pt idx="11">
                  <c:v>0.14711645854083549</c:v>
                </c:pt>
                <c:pt idx="12">
                  <c:v>0.14530554187644518</c:v>
                </c:pt>
                <c:pt idx="13">
                  <c:v>0.14362182775773599</c:v>
                </c:pt>
                <c:pt idx="14">
                  <c:v>0.14205417140230794</c:v>
                </c:pt>
                <c:pt idx="15">
                  <c:v>0.14059265480777128</c:v>
                </c:pt>
                <c:pt idx="16">
                  <c:v>0.13922842239821845</c:v>
                </c:pt>
                <c:pt idx="17">
                  <c:v>0.13795354245458014</c:v>
                </c:pt>
                <c:pt idx="18">
                  <c:v>0.13676088972855513</c:v>
                </c:pt>
                <c:pt idx="19">
                  <c:v>0.13564404555443196</c:v>
                </c:pt>
                <c:pt idx="20">
                  <c:v>0.13459721248813952</c:v>
                </c:pt>
                <c:pt idx="21">
                  <c:v>0.1336151410655351</c:v>
                </c:pt>
                <c:pt idx="22">
                  <c:v>0.1326930667174927</c:v>
                </c:pt>
                <c:pt idx="23">
                  <c:v>0.13182665523426598</c:v>
                </c:pt>
                <c:pt idx="24">
                  <c:v>0.13101195545590527</c:v>
                </c:pt>
                <c:pt idx="25">
                  <c:v>0.13024535809447588</c:v>
                </c:pt>
                <c:pt idx="26">
                  <c:v>0.12952355977916996</c:v>
                </c:pt>
                <c:pt idx="27">
                  <c:v>0.12884353156616879</c:v>
                </c:pt>
                <c:pt idx="28">
                  <c:v>0.12820249127831959</c:v>
                </c:pt>
                <c:pt idx="29">
                  <c:v>0.12759787914082732</c:v>
                </c:pt>
                <c:pt idx="30">
                  <c:v>0.12702733626253093</c:v>
                </c:pt>
                <c:pt idx="31">
                  <c:v>0.12648868558134077</c:v>
                </c:pt>
                <c:pt idx="32">
                  <c:v>0.1259799149497545</c:v>
                </c:pt>
                <c:pt idx="33">
                  <c:v>0.12549916208419246</c:v>
                </c:pt>
                <c:pt idx="34">
                  <c:v>0.1250447011419269</c:v>
                </c:pt>
                <c:pt idx="35">
                  <c:v>0.12461493072300275</c:v>
                </c:pt>
                <c:pt idx="36">
                  <c:v>0.12420836312288536</c:v>
                </c:pt>
                <c:pt idx="37">
                  <c:v>0.12382361468552698</c:v>
                </c:pt>
                <c:pt idx="38">
                  <c:v>0.12345939712686002</c:v>
                </c:pt>
                <c:pt idx="39">
                  <c:v>0.12311450971600454</c:v>
                </c:pt>
                <c:pt idx="40">
                  <c:v>0.12278783221621703</c:v>
                </c:pt>
                <c:pt idx="41">
                  <c:v>0.12247831850021454</c:v>
                </c:pt>
                <c:pt idx="42">
                  <c:v>0.12218499076531937</c:v>
                </c:pt>
                <c:pt idx="43">
                  <c:v>0.12190693428316636</c:v>
                </c:pt>
                <c:pt idx="44">
                  <c:v>0.12164329262672674</c:v>
                </c:pt>
                <c:pt idx="45">
                  <c:v>0.12139326332432625</c:v>
                </c:pt>
                <c:pt idx="46">
                  <c:v>0.12115609389632988</c:v>
                </c:pt>
                <c:pt idx="47">
                  <c:v>0.12093107823537065</c:v>
                </c:pt>
                <c:pt idx="48">
                  <c:v>0.12071755329552525</c:v>
                </c:pt>
                <c:pt idx="49">
                  <c:v>0.12051489605978612</c:v>
                </c:pt>
                <c:pt idx="50">
                  <c:v>0.12032252075862565</c:v>
                </c:pt>
                <c:pt idx="51">
                  <c:v>0.12013987631546506</c:v>
                </c:pt>
                <c:pt idx="52">
                  <c:v>0.11996644399750488</c:v>
                </c:pt>
                <c:pt idx="53">
                  <c:v>0.11980173525269881</c:v>
                </c:pt>
                <c:pt idx="54">
                  <c:v>0.11964528971569723</c:v>
                </c:pt>
                <c:pt idx="55">
                  <c:v>0.11949667336738974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0-49BC-BC1D-9097CAA7CF9D}"/>
            </c:ext>
          </c:extLst>
        </c:ser>
        <c:ser>
          <c:idx val="1"/>
          <c:order val="1"/>
          <c:tx>
            <c:strRef>
              <c:f>ROIC!$B$22</c:f>
              <c:strCache>
                <c:ptCount val="1"/>
                <c:pt idx="0">
                  <c:v>RONIC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ROIC!$C$19:$BF$19</c:f>
              <c:strCache>
                <c:ptCount val="5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TV1</c:v>
                </c:pt>
                <c:pt idx="7">
                  <c:v>TV2</c:v>
                </c:pt>
                <c:pt idx="8">
                  <c:v>TV3</c:v>
                </c:pt>
                <c:pt idx="9">
                  <c:v>TV4</c:v>
                </c:pt>
                <c:pt idx="10">
                  <c:v>TV5</c:v>
                </c:pt>
                <c:pt idx="11">
                  <c:v>TV6</c:v>
                </c:pt>
                <c:pt idx="12">
                  <c:v>TV7</c:v>
                </c:pt>
                <c:pt idx="13">
                  <c:v>TV8</c:v>
                </c:pt>
                <c:pt idx="14">
                  <c:v>TV9</c:v>
                </c:pt>
                <c:pt idx="15">
                  <c:v>TV10</c:v>
                </c:pt>
                <c:pt idx="16">
                  <c:v>TV11</c:v>
                </c:pt>
                <c:pt idx="17">
                  <c:v>TV12</c:v>
                </c:pt>
                <c:pt idx="18">
                  <c:v>TV13</c:v>
                </c:pt>
                <c:pt idx="19">
                  <c:v>TV14</c:v>
                </c:pt>
                <c:pt idx="20">
                  <c:v>TV15</c:v>
                </c:pt>
                <c:pt idx="21">
                  <c:v>TV16</c:v>
                </c:pt>
                <c:pt idx="22">
                  <c:v>TV17</c:v>
                </c:pt>
                <c:pt idx="23">
                  <c:v>TV18</c:v>
                </c:pt>
                <c:pt idx="24">
                  <c:v>TV19</c:v>
                </c:pt>
                <c:pt idx="25">
                  <c:v>TV20</c:v>
                </c:pt>
                <c:pt idx="26">
                  <c:v>TV21</c:v>
                </c:pt>
                <c:pt idx="27">
                  <c:v>TV22</c:v>
                </c:pt>
                <c:pt idx="28">
                  <c:v>TV23</c:v>
                </c:pt>
                <c:pt idx="29">
                  <c:v>TV24</c:v>
                </c:pt>
                <c:pt idx="30">
                  <c:v>TV25</c:v>
                </c:pt>
                <c:pt idx="31">
                  <c:v>TV26</c:v>
                </c:pt>
                <c:pt idx="32">
                  <c:v>TV27</c:v>
                </c:pt>
                <c:pt idx="33">
                  <c:v>TV28</c:v>
                </c:pt>
                <c:pt idx="34">
                  <c:v>TV29</c:v>
                </c:pt>
                <c:pt idx="35">
                  <c:v>TV30</c:v>
                </c:pt>
                <c:pt idx="36">
                  <c:v>TV31</c:v>
                </c:pt>
                <c:pt idx="37">
                  <c:v>TV32</c:v>
                </c:pt>
                <c:pt idx="38">
                  <c:v>TV33</c:v>
                </c:pt>
                <c:pt idx="39">
                  <c:v>TV34</c:v>
                </c:pt>
                <c:pt idx="40">
                  <c:v>TV35</c:v>
                </c:pt>
                <c:pt idx="41">
                  <c:v>TV36</c:v>
                </c:pt>
                <c:pt idx="42">
                  <c:v>TV37</c:v>
                </c:pt>
                <c:pt idx="43">
                  <c:v>TV38</c:v>
                </c:pt>
                <c:pt idx="44">
                  <c:v>TV39</c:v>
                </c:pt>
                <c:pt idx="45">
                  <c:v>TV40</c:v>
                </c:pt>
                <c:pt idx="46">
                  <c:v>TV41</c:v>
                </c:pt>
                <c:pt idx="47">
                  <c:v>TV42</c:v>
                </c:pt>
                <c:pt idx="48">
                  <c:v>TV43</c:v>
                </c:pt>
                <c:pt idx="49">
                  <c:v>TV44</c:v>
                </c:pt>
                <c:pt idx="50">
                  <c:v>TV45</c:v>
                </c:pt>
                <c:pt idx="51">
                  <c:v>TV46</c:v>
                </c:pt>
                <c:pt idx="52">
                  <c:v>TV47</c:v>
                </c:pt>
                <c:pt idx="53">
                  <c:v>TV48</c:v>
                </c:pt>
                <c:pt idx="54">
                  <c:v>TV49</c:v>
                </c:pt>
                <c:pt idx="55">
                  <c:v>TV50</c:v>
                </c:pt>
              </c:strCache>
            </c:strRef>
          </c:cat>
          <c:val>
            <c:numRef>
              <c:f>ROIC!$C$22:$BF$22</c:f>
              <c:numCache>
                <c:formatCode>0.00%</c:formatCode>
                <c:ptCount val="56"/>
                <c:pt idx="0">
                  <c:v>0.16</c:v>
                </c:pt>
                <c:pt idx="1">
                  <c:v>0.17499999999999999</c:v>
                </c:pt>
                <c:pt idx="2">
                  <c:v>0.17</c:v>
                </c:pt>
                <c:pt idx="3">
                  <c:v>0.16500000000000001</c:v>
                </c:pt>
                <c:pt idx="4">
                  <c:v>0.16</c:v>
                </c:pt>
                <c:pt idx="5">
                  <c:v>0.15</c:v>
                </c:pt>
                <c:pt idx="6">
                  <c:v>0.1166</c:v>
                </c:pt>
                <c:pt idx="7">
                  <c:v>0.1166</c:v>
                </c:pt>
                <c:pt idx="8">
                  <c:v>0.1166</c:v>
                </c:pt>
                <c:pt idx="9">
                  <c:v>0.1166</c:v>
                </c:pt>
                <c:pt idx="10">
                  <c:v>0.1166</c:v>
                </c:pt>
                <c:pt idx="11">
                  <c:v>0.1166</c:v>
                </c:pt>
                <c:pt idx="12">
                  <c:v>0.1166</c:v>
                </c:pt>
                <c:pt idx="13">
                  <c:v>0.1166</c:v>
                </c:pt>
                <c:pt idx="14">
                  <c:v>0.1166</c:v>
                </c:pt>
                <c:pt idx="15">
                  <c:v>0.1166</c:v>
                </c:pt>
                <c:pt idx="16">
                  <c:v>0.1166</c:v>
                </c:pt>
                <c:pt idx="17">
                  <c:v>0.1166</c:v>
                </c:pt>
                <c:pt idx="18">
                  <c:v>0.1166</c:v>
                </c:pt>
                <c:pt idx="19">
                  <c:v>0.1166</c:v>
                </c:pt>
                <c:pt idx="20">
                  <c:v>0.1166</c:v>
                </c:pt>
                <c:pt idx="21">
                  <c:v>0.1166</c:v>
                </c:pt>
                <c:pt idx="22">
                  <c:v>0.1166</c:v>
                </c:pt>
                <c:pt idx="23">
                  <c:v>0.1166</c:v>
                </c:pt>
                <c:pt idx="24">
                  <c:v>0.1166</c:v>
                </c:pt>
                <c:pt idx="25">
                  <c:v>0.1166</c:v>
                </c:pt>
                <c:pt idx="26">
                  <c:v>0.1166</c:v>
                </c:pt>
                <c:pt idx="27">
                  <c:v>0.1166</c:v>
                </c:pt>
                <c:pt idx="28">
                  <c:v>0.1166</c:v>
                </c:pt>
                <c:pt idx="29">
                  <c:v>0.1166</c:v>
                </c:pt>
                <c:pt idx="30">
                  <c:v>0.1166</c:v>
                </c:pt>
                <c:pt idx="31">
                  <c:v>0.1166</c:v>
                </c:pt>
                <c:pt idx="32">
                  <c:v>0.1166</c:v>
                </c:pt>
                <c:pt idx="33">
                  <c:v>0.1166</c:v>
                </c:pt>
                <c:pt idx="34">
                  <c:v>0.1166</c:v>
                </c:pt>
                <c:pt idx="35">
                  <c:v>0.1166</c:v>
                </c:pt>
                <c:pt idx="36">
                  <c:v>0.1166</c:v>
                </c:pt>
                <c:pt idx="37">
                  <c:v>0.1166</c:v>
                </c:pt>
                <c:pt idx="38">
                  <c:v>0.1166</c:v>
                </c:pt>
                <c:pt idx="39">
                  <c:v>0.1166</c:v>
                </c:pt>
                <c:pt idx="40">
                  <c:v>0.1166</c:v>
                </c:pt>
                <c:pt idx="41">
                  <c:v>0.1166</c:v>
                </c:pt>
                <c:pt idx="42">
                  <c:v>0.1166</c:v>
                </c:pt>
                <c:pt idx="43">
                  <c:v>0.1166</c:v>
                </c:pt>
                <c:pt idx="44">
                  <c:v>0.1166</c:v>
                </c:pt>
                <c:pt idx="45">
                  <c:v>0.1166</c:v>
                </c:pt>
                <c:pt idx="46">
                  <c:v>0.1166</c:v>
                </c:pt>
                <c:pt idx="47">
                  <c:v>0.1166</c:v>
                </c:pt>
                <c:pt idx="48">
                  <c:v>0.1166</c:v>
                </c:pt>
                <c:pt idx="49">
                  <c:v>0.1166</c:v>
                </c:pt>
                <c:pt idx="50">
                  <c:v>0.1166</c:v>
                </c:pt>
                <c:pt idx="51">
                  <c:v>0.1166</c:v>
                </c:pt>
                <c:pt idx="52">
                  <c:v>0.1166</c:v>
                </c:pt>
                <c:pt idx="53">
                  <c:v>0.1166</c:v>
                </c:pt>
                <c:pt idx="54">
                  <c:v>0.1166</c:v>
                </c:pt>
                <c:pt idx="55">
                  <c:v>0.1166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0-49BC-BC1D-9097CAA7C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759231"/>
        <c:axId val="220759711"/>
      </c:lineChart>
      <c:catAx>
        <c:axId val="22075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20759711"/>
        <c:crosses val="autoZero"/>
        <c:auto val="1"/>
        <c:lblAlgn val="ctr"/>
        <c:lblOffset val="100"/>
        <c:noMultiLvlLbl val="0"/>
      </c:catAx>
      <c:valAx>
        <c:axId val="2207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22075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0</xdr:row>
      <xdr:rowOff>103415</xdr:rowOff>
    </xdr:from>
    <xdr:to>
      <xdr:col>10</xdr:col>
      <xdr:colOff>87084</xdr:colOff>
      <xdr:row>16</xdr:row>
      <xdr:rowOff>32658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C00D0995-3BB9-4A84-82D8-A74480B74F14}"/>
            </a:ext>
          </a:extLst>
        </xdr:cNvPr>
        <xdr:cNvSpPr txBox="1"/>
      </xdr:nvSpPr>
      <xdr:spPr>
        <a:xfrm>
          <a:off x="794656" y="103415"/>
          <a:ext cx="6939642" cy="31514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Kebab Shop must go on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Recently, John’s became the CEO of The Kebab Shop, a small family-owned self-service restaurant selling Turkish and Arabic food. He has already made some significant changes: the business founded by his grandfather was recently moved to a municipality-owned real estate, and he also decided to set up the firm's online sales and home delivery division.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recently created a long-term financial plan. He is confident that he will always be able to find an excellent place to operate in the city. However,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he expects the new projects not to generate any added value in the terminal value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He also checked the competitors for optimal leverage rates in the industry and predicted the cost of debt in line with the current yield curve and step-by-step approach to the optimal financing structure.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firm's current value using all the DCF methods you know.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your results change if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expected growth were one percentage point higher during the terminal value period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the growth effect change if RONIC would equal 12%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point in running the firm if we expect no project to create added value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0</xdr:row>
      <xdr:rowOff>103415</xdr:rowOff>
    </xdr:from>
    <xdr:to>
      <xdr:col>10</xdr:col>
      <xdr:colOff>87084</xdr:colOff>
      <xdr:row>16</xdr:row>
      <xdr:rowOff>32658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DD5D6100-C367-485D-9444-5C6FEA3DA6ED}"/>
            </a:ext>
          </a:extLst>
        </xdr:cNvPr>
        <xdr:cNvSpPr txBox="1"/>
      </xdr:nvSpPr>
      <xdr:spPr>
        <a:xfrm>
          <a:off x="783770" y="103415"/>
          <a:ext cx="7561489" cy="3129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Kebab Shop must go on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Recently, John’s became the CEO of The Kebab Shop, a small family-owned self-service restaurant selling Turkish and Arabic food. He has already made some significant changes: the business founded by his grandfather was recently moved to a municipality-owned real estate, and he also decided to set up the firm's online sales and home delivery division.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recently created a long-term financial plan. He is confident that he will always be able to find an excellent place to operate in the city. However,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he expects the new projects not to generate any added value in the terminal value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He also checked the competitors for optimal leverage rates in the industry and predicted the cost of debt in line with the current yield curve and step-by-step approach to the optimal financing structure.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firm's current value using all the DCF methods you know.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your results change if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expected growth were one percentage point higher during the terminal value period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the growth effect change if RONIC would equal 12%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point in running the firm if we expect no project to create added value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0</xdr:row>
      <xdr:rowOff>103415</xdr:rowOff>
    </xdr:from>
    <xdr:to>
      <xdr:col>10</xdr:col>
      <xdr:colOff>87084</xdr:colOff>
      <xdr:row>16</xdr:row>
      <xdr:rowOff>32658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83E26421-4F62-471B-9B2F-5876B7D2F1E9}"/>
            </a:ext>
          </a:extLst>
        </xdr:cNvPr>
        <xdr:cNvSpPr txBox="1"/>
      </xdr:nvSpPr>
      <xdr:spPr>
        <a:xfrm>
          <a:off x="783770" y="103415"/>
          <a:ext cx="7609114" cy="3129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Kebab Shop must go on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Recently, John’s became the CEO of The Kebab Shop, a small family-owned self-service restaurant selling Turkish and Arabic food. He has already made some significant changes: the business founded by his grandfather was recently moved to a municipality-owned real estate, and he also decided to set up the firm's online sales and home delivery division.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recently created a long-term financial plan. He is confident that he will always be able to find an excellent place to operate in the city. However,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he expects the new projects not to generate any added value in the terminal value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He also checked the competitors for optimal leverage rates in the industry and predicted the cost of debt in line with the current yield curve and step-by-step approach to the optimal financing structure.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firm's current value using all the DCF methods you know.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your results change if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expected growth were one percentage point higher during the terminal value period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the growth effect change if RONIC would equal 12%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point in running the firm if we expect no project to create added value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0</xdr:row>
      <xdr:rowOff>103415</xdr:rowOff>
    </xdr:from>
    <xdr:to>
      <xdr:col>10</xdr:col>
      <xdr:colOff>87084</xdr:colOff>
      <xdr:row>16</xdr:row>
      <xdr:rowOff>32658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AB1CA93F-1B83-478B-9FAE-C25F4D709A20}"/>
            </a:ext>
          </a:extLst>
        </xdr:cNvPr>
        <xdr:cNvSpPr txBox="1"/>
      </xdr:nvSpPr>
      <xdr:spPr>
        <a:xfrm>
          <a:off x="783770" y="103415"/>
          <a:ext cx="7609114" cy="3129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Kebab Shop must go on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Recently, John’s became the CEO of The Kebab Shop, a small family-owned self-service restaurant selling Turkish and Arabic food. He has already made some significant changes: the business founded by his grandfather was recently moved to a municipality-owned real estate, and he also decided to set up the firm's online sales and home delivery division.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recently created a long-term financial plan. He is confident that he will always be able to find an excellent place to operate in the city. However,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he expects the new projects not to generate any added value in the terminal value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He also checked the competitors for optimal leverage rates in the industry and predicted the cost of debt in line with the current yield curve and step-by-step approach to the optimal financing structure.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firm's current value using all the DCF methods you know.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your results change if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expected growth were one percentage point higher during the terminal value period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the growth effect change if RONIC would equal 12%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point in running the firm if we expect </a:t>
          </a:r>
          <a:r>
            <a:rPr lang="en-GB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 project to create added value during the terminal value period?</a:t>
          </a:r>
          <a:endParaRPr lang="hu-HU" sz="11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0</xdr:row>
      <xdr:rowOff>103415</xdr:rowOff>
    </xdr:from>
    <xdr:to>
      <xdr:col>10</xdr:col>
      <xdr:colOff>87084</xdr:colOff>
      <xdr:row>16</xdr:row>
      <xdr:rowOff>32658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8F7AA70D-8F1B-4E2F-A6EA-3FCA0B2343C7}"/>
            </a:ext>
          </a:extLst>
        </xdr:cNvPr>
        <xdr:cNvSpPr txBox="1"/>
      </xdr:nvSpPr>
      <xdr:spPr>
        <a:xfrm>
          <a:off x="783770" y="103415"/>
          <a:ext cx="7561489" cy="3129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Kebab Shop must go on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Recently, John’s became the CEO of The Kebab Shop, a small family-owned self-service restaurant selling Turkish and Arabic food. He has already made some significant changes: the business founded by his grandfather was recently moved to a municipality-owned real estate, and he also decided to set up the firm's online sales and home delivery division.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recently created a long-term financial plan. He is confident that he will always be able to find an excellent place to operate in the city. However,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he expects the new projects not to generate any added value in the terminal value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He also checked the competitors for optimal leverage rates in the industry and predicted the cost of debt in line with the current yield curve and step-by-step approach to the optimal financing structure.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firm's current value using all the DCF methods you know.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your results change if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expected growth were one percentage point higher during the terminal value period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the growth effect change if RONIC would equal 12%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point in running the firm if we expect </a:t>
          </a:r>
          <a:r>
            <a:rPr lang="en-GB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 project to create added value during the terminal value period?</a:t>
          </a:r>
          <a:endParaRPr lang="hu-HU" sz="1100" b="1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97970</xdr:colOff>
      <xdr:row>0</xdr:row>
      <xdr:rowOff>103415</xdr:rowOff>
    </xdr:from>
    <xdr:to>
      <xdr:col>10</xdr:col>
      <xdr:colOff>87084</xdr:colOff>
      <xdr:row>16</xdr:row>
      <xdr:rowOff>32658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60655BD1-305B-4EF3-9DBA-B4BD46EE9233}"/>
            </a:ext>
          </a:extLst>
        </xdr:cNvPr>
        <xdr:cNvSpPr txBox="1"/>
      </xdr:nvSpPr>
      <xdr:spPr>
        <a:xfrm>
          <a:off x="783770" y="103415"/>
          <a:ext cx="7561489" cy="31296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Kebab Shop must go on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Recently, John’s became the CEO of The Kebab Shop, a small family-owned self-service restaurant selling Turkish and Arabic food. He has already made some significant changes: the business founded by his grandfather was recently moved to a municipality-owned real estate, and he also decided to set up the firm's online sales and home delivery division.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John recently created a long-term financial plan. He is confident that he will always be able to find an excellent place to operate in the city. However,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he expects the new projects not to generate any added value in the terminal value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He also checked the competitors for optimal leverage rates in the industry and predicted the cost of debt in line with the current yield curve and step-by-step approach to the optimal financing structure.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Calculate the firm's current value using all the DCF methods you know.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your results change if </a:t>
          </a:r>
          <a:r>
            <a:rPr lang="en-GB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the expected growth were one percentage point higher during the terminal value period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would the growth effect change if RONIC would equal 12%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there a point in running the firm if we expect no project to create added value during the terminal value period?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>
    <xdr:from>
      <xdr:col>2</xdr:col>
      <xdr:colOff>397668</xdr:colOff>
      <xdr:row>25</xdr:row>
      <xdr:rowOff>97631</xdr:rowOff>
    </xdr:from>
    <xdr:to>
      <xdr:col>8</xdr:col>
      <xdr:colOff>912018</xdr:colOff>
      <xdr:row>39</xdr:row>
      <xdr:rowOff>40481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5A8676-A73F-CADA-DFF3-AA54F7583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5979-18F8-4B7C-8FB7-14CB6920CF15}">
  <dimension ref="B18:BG101"/>
  <sheetViews>
    <sheetView topLeftCell="N80" zoomScale="200" zoomScaleNormal="200" workbookViewId="0">
      <selection activeCell="T88" sqref="T88"/>
    </sheetView>
  </sheetViews>
  <sheetFormatPr defaultRowHeight="15.75" x14ac:dyDescent="0.25"/>
  <cols>
    <col min="2" max="2" width="24.875" bestFit="1" customWidth="1"/>
    <col min="3" max="8" width="8.875" bestFit="1" customWidth="1"/>
    <col min="9" max="9" width="12.375" bestFit="1" customWidth="1"/>
    <col min="10" max="33" width="8.875" bestFit="1" customWidth="1"/>
    <col min="34" max="57" width="9.875" bestFit="1" customWidth="1"/>
    <col min="58" max="58" width="10.5" bestFit="1" customWidth="1"/>
    <col min="59" max="59" width="9.875" bestFit="1" customWidth="1"/>
  </cols>
  <sheetData>
    <row r="18" spans="2:59" x14ac:dyDescent="0.25">
      <c r="I18" t="s">
        <v>13</v>
      </c>
    </row>
    <row r="19" spans="2:59" x14ac:dyDescent="0.25">
      <c r="C19" s="1">
        <v>2025</v>
      </c>
      <c r="D19" s="2">
        <f>+C19+1</f>
        <v>2026</v>
      </c>
      <c r="E19" s="2">
        <f t="shared" ref="E19:H19" si="0">+D19+1</f>
        <v>2027</v>
      </c>
      <c r="F19" s="2">
        <f t="shared" si="0"/>
        <v>2028</v>
      </c>
      <c r="G19" s="2">
        <f t="shared" si="0"/>
        <v>2029</v>
      </c>
      <c r="H19" s="2">
        <f t="shared" si="0"/>
        <v>2030</v>
      </c>
      <c r="I19" s="2" t="s">
        <v>7</v>
      </c>
      <c r="J19" s="2" t="s">
        <v>8</v>
      </c>
      <c r="K19" s="2" t="s">
        <v>16</v>
      </c>
      <c r="L19" s="2" t="s">
        <v>17</v>
      </c>
      <c r="M19" s="2" t="s">
        <v>20</v>
      </c>
      <c r="N19" s="2" t="s">
        <v>21</v>
      </c>
      <c r="O19" s="2" t="s">
        <v>22</v>
      </c>
      <c r="P19" s="2" t="s">
        <v>23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  <c r="V19" s="2" t="s">
        <v>29</v>
      </c>
      <c r="W19" s="2" t="s">
        <v>30</v>
      </c>
      <c r="X19" s="2" t="s">
        <v>31</v>
      </c>
      <c r="Y19" s="2" t="s">
        <v>32</v>
      </c>
      <c r="Z19" s="2" t="s">
        <v>33</v>
      </c>
      <c r="AA19" s="2" t="s">
        <v>34</v>
      </c>
      <c r="AB19" s="2" t="s">
        <v>35</v>
      </c>
      <c r="AC19" s="2" t="s">
        <v>36</v>
      </c>
      <c r="AD19" s="2" t="s">
        <v>37</v>
      </c>
      <c r="AE19" s="2" t="s">
        <v>38</v>
      </c>
      <c r="AF19" s="2" t="s">
        <v>39</v>
      </c>
      <c r="AG19" s="2" t="s">
        <v>40</v>
      </c>
      <c r="AH19" s="2" t="s">
        <v>41</v>
      </c>
      <c r="AI19" s="2" t="s">
        <v>42</v>
      </c>
      <c r="AJ19" s="2" t="s">
        <v>43</v>
      </c>
      <c r="AK19" s="2" t="s">
        <v>44</v>
      </c>
      <c r="AL19" s="2" t="s">
        <v>45</v>
      </c>
      <c r="AM19" s="2" t="s">
        <v>46</v>
      </c>
      <c r="AN19" s="2" t="s">
        <v>47</v>
      </c>
      <c r="AO19" s="2" t="s">
        <v>48</v>
      </c>
      <c r="AP19" s="2" t="s">
        <v>49</v>
      </c>
      <c r="AQ19" s="2" t="s">
        <v>50</v>
      </c>
      <c r="AR19" s="2" t="s">
        <v>51</v>
      </c>
      <c r="AS19" s="2" t="s">
        <v>52</v>
      </c>
      <c r="AT19" s="2" t="s">
        <v>53</v>
      </c>
      <c r="AU19" s="2" t="s">
        <v>54</v>
      </c>
      <c r="AV19" s="2" t="s">
        <v>55</v>
      </c>
      <c r="AW19" s="2" t="s">
        <v>56</v>
      </c>
      <c r="AX19" s="2" t="s">
        <v>57</v>
      </c>
      <c r="AY19" s="2" t="s">
        <v>58</v>
      </c>
      <c r="AZ19" s="2" t="s">
        <v>59</v>
      </c>
      <c r="BA19" s="2" t="s">
        <v>60</v>
      </c>
      <c r="BB19" s="2" t="s">
        <v>61</v>
      </c>
      <c r="BC19" s="2" t="s">
        <v>62</v>
      </c>
      <c r="BD19" s="2" t="s">
        <v>63</v>
      </c>
      <c r="BE19" s="2" t="s">
        <v>64</v>
      </c>
      <c r="BF19" s="2" t="s">
        <v>65</v>
      </c>
    </row>
    <row r="20" spans="2:59" x14ac:dyDescent="0.25">
      <c r="B20" t="s">
        <v>1</v>
      </c>
      <c r="C20" s="7">
        <v>15000</v>
      </c>
      <c r="D20" s="4">
        <f>+C20+C36</f>
        <v>16920</v>
      </c>
      <c r="E20" s="4">
        <f>+D20+D36</f>
        <v>18609.882352941175</v>
      </c>
      <c r="F20" s="4">
        <f>+E20+E36</f>
        <v>20075.7150802139</v>
      </c>
      <c r="G20" s="4">
        <f>+F20+F36</f>
        <v>21300.143480213901</v>
      </c>
      <c r="H20" s="4">
        <f>+G20+G36</f>
        <v>22569.1954930139</v>
      </c>
      <c r="I20" s="4">
        <f>+H20+H36</f>
        <v>24291.558109013899</v>
      </c>
      <c r="J20" s="4">
        <f>+I20+I36</f>
        <v>25943.460436177535</v>
      </c>
      <c r="K20" s="4">
        <f>+J20+J36</f>
        <v>27677.957879699352</v>
      </c>
      <c r="L20" s="4">
        <f t="shared" ref="L20:BG20" si="1">+K20+K36</f>
        <v>29499.180195397261</v>
      </c>
      <c r="M20" s="4">
        <f t="shared" si="1"/>
        <v>31411.463626880064</v>
      </c>
      <c r="N20" s="4">
        <f t="shared" si="1"/>
        <v>33419.361229937007</v>
      </c>
      <c r="O20" s="4">
        <f t="shared" si="1"/>
        <v>35527.653713146799</v>
      </c>
      <c r="P20" s="4">
        <f t="shared" si="1"/>
        <v>37741.360820517082</v>
      </c>
      <c r="Q20" s="4">
        <f t="shared" si="1"/>
        <v>40065.753283255879</v>
      </c>
      <c r="R20" s="4">
        <f t="shared" si="1"/>
        <v>42506.365369131614</v>
      </c>
      <c r="S20" s="4">
        <f t="shared" si="1"/>
        <v>45069.008059301137</v>
      </c>
      <c r="T20" s="4">
        <f t="shared" si="1"/>
        <v>47759.782883979133</v>
      </c>
      <c r="U20" s="4">
        <f t="shared" si="1"/>
        <v>50585.096449891033</v>
      </c>
      <c r="V20" s="4">
        <f t="shared" si="1"/>
        <v>53551.675694098521</v>
      </c>
      <c r="W20" s="4">
        <f t="shared" si="1"/>
        <v>56666.583900516387</v>
      </c>
      <c r="X20" s="4">
        <f t="shared" si="1"/>
        <v>59937.237517255147</v>
      </c>
      <c r="Y20" s="4">
        <f t="shared" si="1"/>
        <v>63371.423814830843</v>
      </c>
      <c r="Z20" s="4">
        <f t="shared" si="1"/>
        <v>66977.319427285329</v>
      </c>
      <c r="AA20" s="4">
        <f t="shared" si="1"/>
        <v>70763.509820362538</v>
      </c>
      <c r="AB20" s="4">
        <f t="shared" si="1"/>
        <v>74739.009733093611</v>
      </c>
      <c r="AC20" s="4">
        <f t="shared" si="1"/>
        <v>78913.284641461229</v>
      </c>
      <c r="AD20" s="4">
        <f t="shared" si="1"/>
        <v>83296.273295247229</v>
      </c>
      <c r="AE20" s="4">
        <f t="shared" si="1"/>
        <v>87898.41138172253</v>
      </c>
      <c r="AF20" s="4">
        <f t="shared" si="1"/>
        <v>92730.656372521596</v>
      </c>
      <c r="AG20" s="4">
        <f t="shared" si="1"/>
        <v>97804.513612860625</v>
      </c>
      <c r="AH20" s="4">
        <f t="shared" si="1"/>
        <v>103132.0637152166</v>
      </c>
      <c r="AI20" s="4">
        <f t="shared" si="1"/>
        <v>108725.99132269037</v>
      </c>
      <c r="AJ20" s="4">
        <f t="shared" si="1"/>
        <v>114599.61531053783</v>
      </c>
      <c r="AK20" s="4">
        <f t="shared" si="1"/>
        <v>120766.92049777767</v>
      </c>
      <c r="AL20" s="4">
        <f t="shared" si="1"/>
        <v>127242.5909443795</v>
      </c>
      <c r="AM20" s="4">
        <f t="shared" si="1"/>
        <v>134042.0449133114</v>
      </c>
      <c r="AN20" s="4">
        <f t="shared" si="1"/>
        <v>141181.47158068992</v>
      </c>
      <c r="AO20" s="4">
        <f t="shared" si="1"/>
        <v>148677.86958143735</v>
      </c>
      <c r="AP20" s="4">
        <f t="shared" si="1"/>
        <v>156549.08748222215</v>
      </c>
      <c r="AQ20" s="4">
        <f t="shared" si="1"/>
        <v>164813.86627804622</v>
      </c>
      <c r="AR20" s="4">
        <f t="shared" si="1"/>
        <v>173491.88401366147</v>
      </c>
      <c r="AS20" s="4">
        <f t="shared" si="1"/>
        <v>182603.80263605749</v>
      </c>
      <c r="AT20" s="4">
        <f t="shared" si="1"/>
        <v>192171.31718957331</v>
      </c>
      <c r="AU20" s="4">
        <f t="shared" si="1"/>
        <v>202217.20747076493</v>
      </c>
      <c r="AV20" s="4">
        <f t="shared" si="1"/>
        <v>212765.3922660161</v>
      </c>
      <c r="AW20" s="4">
        <f t="shared" si="1"/>
        <v>223840.98630102986</v>
      </c>
      <c r="AX20" s="4">
        <f t="shared" si="1"/>
        <v>235470.36003779428</v>
      </c>
      <c r="AY20" s="4">
        <f t="shared" si="1"/>
        <v>247681.20246139693</v>
      </c>
      <c r="AZ20" s="4">
        <f t="shared" si="1"/>
        <v>260502.5870061797</v>
      </c>
      <c r="BA20" s="4">
        <f t="shared" si="1"/>
        <v>273965.04077820166</v>
      </c>
      <c r="BB20" s="4">
        <f t="shared" si="1"/>
        <v>288100.61723882466</v>
      </c>
      <c r="BC20" s="4">
        <f t="shared" si="1"/>
        <v>302942.97252247884</v>
      </c>
      <c r="BD20" s="4">
        <f t="shared" si="1"/>
        <v>318527.4455703157</v>
      </c>
      <c r="BE20" s="4">
        <f t="shared" si="1"/>
        <v>334891.14227054443</v>
      </c>
      <c r="BF20" s="4">
        <f t="shared" si="1"/>
        <v>352073.02380578459</v>
      </c>
      <c r="BG20" s="4">
        <f t="shared" si="1"/>
        <v>370113.99941778678</v>
      </c>
    </row>
    <row r="21" spans="2:59" x14ac:dyDescent="0.25">
      <c r="B21" t="s">
        <v>2</v>
      </c>
      <c r="C21" s="8">
        <v>0.16</v>
      </c>
      <c r="D21" s="3"/>
      <c r="E21" s="3"/>
      <c r="F21" s="3"/>
      <c r="G21" s="3"/>
      <c r="H21" s="3"/>
    </row>
    <row r="22" spans="2:59" x14ac:dyDescent="0.25">
      <c r="B22" t="s">
        <v>3</v>
      </c>
      <c r="C22" s="3">
        <f>+C21</f>
        <v>0.16</v>
      </c>
      <c r="D22" s="8">
        <v>0.17499999999999999</v>
      </c>
      <c r="E22" s="8">
        <v>0.17</v>
      </c>
      <c r="F22" s="8">
        <v>0.16500000000000001</v>
      </c>
      <c r="G22" s="8">
        <v>0.16</v>
      </c>
      <c r="H22" s="8">
        <v>0.15</v>
      </c>
      <c r="I22" s="10">
        <f>+I29</f>
        <v>0.1166</v>
      </c>
      <c r="J22" s="10">
        <f>+I22</f>
        <v>0.1166</v>
      </c>
      <c r="K22" s="10">
        <f>+J22</f>
        <v>0.1166</v>
      </c>
      <c r="L22" s="10">
        <f t="shared" ref="L22:BF22" si="2">+K22</f>
        <v>0.1166</v>
      </c>
      <c r="M22" s="10">
        <f t="shared" si="2"/>
        <v>0.1166</v>
      </c>
      <c r="N22" s="10">
        <f t="shared" si="2"/>
        <v>0.1166</v>
      </c>
      <c r="O22" s="10">
        <f t="shared" si="2"/>
        <v>0.1166</v>
      </c>
      <c r="P22" s="10">
        <f t="shared" si="2"/>
        <v>0.1166</v>
      </c>
      <c r="Q22" s="10">
        <f t="shared" si="2"/>
        <v>0.1166</v>
      </c>
      <c r="R22" s="10">
        <f t="shared" si="2"/>
        <v>0.1166</v>
      </c>
      <c r="S22" s="10">
        <f t="shared" si="2"/>
        <v>0.1166</v>
      </c>
      <c r="T22" s="10">
        <f t="shared" si="2"/>
        <v>0.1166</v>
      </c>
      <c r="U22" s="10">
        <f t="shared" si="2"/>
        <v>0.1166</v>
      </c>
      <c r="V22" s="10">
        <f t="shared" si="2"/>
        <v>0.1166</v>
      </c>
      <c r="W22" s="10">
        <f t="shared" si="2"/>
        <v>0.1166</v>
      </c>
      <c r="X22" s="10">
        <f t="shared" si="2"/>
        <v>0.1166</v>
      </c>
      <c r="Y22" s="10">
        <f t="shared" si="2"/>
        <v>0.1166</v>
      </c>
      <c r="Z22" s="10">
        <f t="shared" si="2"/>
        <v>0.1166</v>
      </c>
      <c r="AA22" s="10">
        <f t="shared" si="2"/>
        <v>0.1166</v>
      </c>
      <c r="AB22" s="10">
        <f t="shared" si="2"/>
        <v>0.1166</v>
      </c>
      <c r="AC22" s="10">
        <f t="shared" si="2"/>
        <v>0.1166</v>
      </c>
      <c r="AD22" s="10">
        <f t="shared" si="2"/>
        <v>0.1166</v>
      </c>
      <c r="AE22" s="10">
        <f t="shared" si="2"/>
        <v>0.1166</v>
      </c>
      <c r="AF22" s="10">
        <f t="shared" si="2"/>
        <v>0.1166</v>
      </c>
      <c r="AG22" s="10">
        <f t="shared" si="2"/>
        <v>0.1166</v>
      </c>
      <c r="AH22" s="10">
        <f t="shared" si="2"/>
        <v>0.1166</v>
      </c>
      <c r="AI22" s="10">
        <f t="shared" si="2"/>
        <v>0.1166</v>
      </c>
      <c r="AJ22" s="10">
        <f t="shared" si="2"/>
        <v>0.1166</v>
      </c>
      <c r="AK22" s="10">
        <f t="shared" si="2"/>
        <v>0.1166</v>
      </c>
      <c r="AL22" s="10">
        <f t="shared" si="2"/>
        <v>0.1166</v>
      </c>
      <c r="AM22" s="10">
        <f t="shared" si="2"/>
        <v>0.1166</v>
      </c>
      <c r="AN22" s="10">
        <f t="shared" si="2"/>
        <v>0.1166</v>
      </c>
      <c r="AO22" s="10">
        <f t="shared" si="2"/>
        <v>0.1166</v>
      </c>
      <c r="AP22" s="10">
        <f t="shared" si="2"/>
        <v>0.1166</v>
      </c>
      <c r="AQ22" s="10">
        <f t="shared" si="2"/>
        <v>0.1166</v>
      </c>
      <c r="AR22" s="10">
        <f t="shared" si="2"/>
        <v>0.1166</v>
      </c>
      <c r="AS22" s="10">
        <f t="shared" si="2"/>
        <v>0.1166</v>
      </c>
      <c r="AT22" s="10">
        <f t="shared" si="2"/>
        <v>0.1166</v>
      </c>
      <c r="AU22" s="10">
        <f t="shared" si="2"/>
        <v>0.1166</v>
      </c>
      <c r="AV22" s="10">
        <f t="shared" si="2"/>
        <v>0.1166</v>
      </c>
      <c r="AW22" s="10">
        <f t="shared" si="2"/>
        <v>0.1166</v>
      </c>
      <c r="AX22" s="10">
        <f t="shared" si="2"/>
        <v>0.1166</v>
      </c>
      <c r="AY22" s="10">
        <f t="shared" si="2"/>
        <v>0.1166</v>
      </c>
      <c r="AZ22" s="10">
        <f t="shared" si="2"/>
        <v>0.1166</v>
      </c>
      <c r="BA22" s="10">
        <f t="shared" si="2"/>
        <v>0.1166</v>
      </c>
      <c r="BB22" s="10">
        <f t="shared" si="2"/>
        <v>0.1166</v>
      </c>
      <c r="BC22" s="10">
        <f t="shared" si="2"/>
        <v>0.1166</v>
      </c>
      <c r="BD22" s="10">
        <f t="shared" si="2"/>
        <v>0.1166</v>
      </c>
      <c r="BE22" s="10">
        <f t="shared" si="2"/>
        <v>0.1166</v>
      </c>
      <c r="BF22" s="10">
        <f t="shared" si="2"/>
        <v>0.1166</v>
      </c>
      <c r="BG22" s="10">
        <f t="shared" ref="BG22" si="3">+BF22</f>
        <v>0.1166</v>
      </c>
    </row>
    <row r="23" spans="2:59" x14ac:dyDescent="0.25">
      <c r="B23" t="s">
        <v>5</v>
      </c>
      <c r="C23" s="3"/>
      <c r="D23" s="8">
        <v>0.14000000000000001</v>
      </c>
      <c r="E23" s="8">
        <v>0.105</v>
      </c>
      <c r="F23" s="8">
        <v>0.08</v>
      </c>
      <c r="G23" s="8">
        <v>0.06</v>
      </c>
      <c r="H23" s="8">
        <v>5.5E-2</v>
      </c>
      <c r="I23" s="8">
        <v>5.5E-2</v>
      </c>
      <c r="J23" s="8">
        <v>0.05</v>
      </c>
      <c r="K23" s="8">
        <v>0.05</v>
      </c>
      <c r="L23" s="8">
        <v>0.05</v>
      </c>
      <c r="M23" s="8">
        <v>0.05</v>
      </c>
      <c r="N23" s="8">
        <v>0.05</v>
      </c>
      <c r="O23" s="8">
        <v>0.05</v>
      </c>
      <c r="P23" s="8">
        <v>0.05</v>
      </c>
      <c r="Q23" s="8">
        <v>0.05</v>
      </c>
      <c r="R23" s="8">
        <v>0.05</v>
      </c>
      <c r="S23" s="8">
        <v>0.05</v>
      </c>
      <c r="T23" s="8">
        <v>0.05</v>
      </c>
      <c r="U23" s="8">
        <v>0.05</v>
      </c>
      <c r="V23" s="8">
        <v>0.05</v>
      </c>
      <c r="W23" s="8">
        <v>0.05</v>
      </c>
      <c r="X23" s="8">
        <v>0.05</v>
      </c>
      <c r="Y23" s="8">
        <v>0.05</v>
      </c>
      <c r="Z23" s="8">
        <v>0.05</v>
      </c>
      <c r="AA23" s="8">
        <v>0.05</v>
      </c>
      <c r="AB23" s="8">
        <v>0.05</v>
      </c>
      <c r="AC23" s="8">
        <v>0.05</v>
      </c>
      <c r="AD23" s="8">
        <v>0.05</v>
      </c>
      <c r="AE23" s="8">
        <v>0.05</v>
      </c>
      <c r="AF23" s="8">
        <v>0.05</v>
      </c>
      <c r="AG23" s="8">
        <v>0.05</v>
      </c>
      <c r="AH23" s="8">
        <v>0.05</v>
      </c>
      <c r="AI23" s="8">
        <v>0.05</v>
      </c>
      <c r="AJ23" s="8">
        <v>0.05</v>
      </c>
      <c r="AK23" s="8">
        <v>0.05</v>
      </c>
      <c r="AL23" s="8">
        <v>0.05</v>
      </c>
      <c r="AM23" s="8">
        <v>0.05</v>
      </c>
      <c r="AN23" s="8">
        <v>0.05</v>
      </c>
      <c r="AO23" s="8">
        <v>0.05</v>
      </c>
      <c r="AP23" s="8">
        <v>0.05</v>
      </c>
      <c r="AQ23" s="8">
        <v>0.05</v>
      </c>
      <c r="AR23" s="8">
        <v>0.05</v>
      </c>
      <c r="AS23" s="8">
        <v>0.05</v>
      </c>
      <c r="AT23" s="8">
        <v>0.05</v>
      </c>
      <c r="AU23" s="8">
        <v>0.05</v>
      </c>
      <c r="AV23" s="8">
        <v>0.05</v>
      </c>
      <c r="AW23" s="8">
        <v>0.05</v>
      </c>
      <c r="AX23" s="8">
        <v>0.05</v>
      </c>
      <c r="AY23" s="8">
        <v>0.05</v>
      </c>
      <c r="AZ23" s="8">
        <v>0.05</v>
      </c>
      <c r="BA23" s="8">
        <v>0.05</v>
      </c>
      <c r="BB23" s="8">
        <v>0.05</v>
      </c>
      <c r="BC23" s="8">
        <v>0.05</v>
      </c>
      <c r="BD23" s="8">
        <v>0.05</v>
      </c>
      <c r="BE23" s="8">
        <v>0.05</v>
      </c>
      <c r="BF23" s="8">
        <v>0.05</v>
      </c>
      <c r="BG23" s="8">
        <v>0.05</v>
      </c>
    </row>
    <row r="24" spans="2:59" x14ac:dyDescent="0.25">
      <c r="B24" t="s">
        <v>6</v>
      </c>
      <c r="C24" s="8">
        <v>0</v>
      </c>
      <c r="D24" s="8">
        <v>4.4999999999999998E-2</v>
      </c>
      <c r="E24" s="8">
        <v>0.09</v>
      </c>
      <c r="F24" s="8">
        <v>0.14499999999999999</v>
      </c>
      <c r="G24" s="8">
        <v>0.19</v>
      </c>
      <c r="H24" s="8">
        <v>0.2</v>
      </c>
      <c r="I24" s="8">
        <v>0.2</v>
      </c>
      <c r="J24" s="8">
        <v>0.2</v>
      </c>
      <c r="K24" s="8">
        <v>0.2</v>
      </c>
      <c r="L24" s="8">
        <v>0.2</v>
      </c>
      <c r="M24" s="8">
        <v>0.2</v>
      </c>
      <c r="N24" s="8">
        <v>0.2</v>
      </c>
      <c r="O24" s="8">
        <v>0.2</v>
      </c>
      <c r="P24" s="8">
        <v>0.2</v>
      </c>
      <c r="Q24" s="8">
        <v>0.2</v>
      </c>
      <c r="R24" s="8">
        <v>0.2</v>
      </c>
      <c r="S24" s="8">
        <v>0.2</v>
      </c>
      <c r="T24" s="8">
        <v>0.2</v>
      </c>
      <c r="U24" s="8">
        <v>0.2</v>
      </c>
      <c r="V24" s="8">
        <v>0.2</v>
      </c>
      <c r="W24" s="8">
        <v>0.2</v>
      </c>
      <c r="X24" s="8">
        <v>0.2</v>
      </c>
      <c r="Y24" s="8">
        <v>0.2</v>
      </c>
      <c r="Z24" s="8">
        <v>0.2</v>
      </c>
      <c r="AA24" s="8">
        <v>0.2</v>
      </c>
      <c r="AB24" s="8">
        <v>0.2</v>
      </c>
      <c r="AC24" s="8">
        <v>0.2</v>
      </c>
      <c r="AD24" s="8">
        <v>0.2</v>
      </c>
      <c r="AE24" s="8">
        <v>0.2</v>
      </c>
      <c r="AF24" s="8">
        <v>0.2</v>
      </c>
      <c r="AG24" s="8">
        <v>0.2</v>
      </c>
      <c r="AH24" s="8">
        <v>0.2</v>
      </c>
      <c r="AI24" s="8">
        <v>0.2</v>
      </c>
      <c r="AJ24" s="8">
        <v>0.2</v>
      </c>
      <c r="AK24" s="8">
        <v>0.2</v>
      </c>
      <c r="AL24" s="8">
        <v>0.2</v>
      </c>
      <c r="AM24" s="8">
        <v>0.2</v>
      </c>
      <c r="AN24" s="8">
        <v>0.2</v>
      </c>
      <c r="AO24" s="8">
        <v>0.2</v>
      </c>
      <c r="AP24" s="8">
        <v>0.2</v>
      </c>
      <c r="AQ24" s="8">
        <v>0.2</v>
      </c>
      <c r="AR24" s="8">
        <v>0.2</v>
      </c>
      <c r="AS24" s="8">
        <v>0.2</v>
      </c>
      <c r="AT24" s="8">
        <v>0.2</v>
      </c>
      <c r="AU24" s="8">
        <v>0.2</v>
      </c>
      <c r="AV24" s="8">
        <v>0.2</v>
      </c>
      <c r="AW24" s="8">
        <v>0.2</v>
      </c>
      <c r="AX24" s="8">
        <v>0.2</v>
      </c>
      <c r="AY24" s="8">
        <v>0.2</v>
      </c>
      <c r="AZ24" s="8">
        <v>0.2</v>
      </c>
      <c r="BA24" s="8">
        <v>0.2</v>
      </c>
      <c r="BB24" s="8">
        <v>0.2</v>
      </c>
      <c r="BC24" s="8">
        <v>0.2</v>
      </c>
      <c r="BD24" s="8">
        <v>0.2</v>
      </c>
      <c r="BE24" s="8">
        <v>0.2</v>
      </c>
      <c r="BF24" s="8">
        <v>0.2</v>
      </c>
    </row>
    <row r="25" spans="2:59" x14ac:dyDescent="0.25">
      <c r="B25" t="s">
        <v>0</v>
      </c>
      <c r="C25" s="5"/>
      <c r="D25" s="6">
        <v>7.0000000000000007E-2</v>
      </c>
      <c r="E25" s="6">
        <v>7.4999999999999997E-2</v>
      </c>
      <c r="F25" s="6">
        <v>0.08</v>
      </c>
      <c r="G25" s="6">
        <v>8.5000000000000006E-2</v>
      </c>
      <c r="H25" s="6">
        <v>8.5000000000000006E-2</v>
      </c>
      <c r="I25" s="6">
        <v>8.5000000000000006E-2</v>
      </c>
      <c r="J25" s="6">
        <v>8.5000000000000006E-2</v>
      </c>
      <c r="K25" s="6">
        <v>8.5000000000000006E-2</v>
      </c>
      <c r="L25" s="6">
        <v>8.5000000000000006E-2</v>
      </c>
      <c r="M25" s="6">
        <v>8.5000000000000006E-2</v>
      </c>
      <c r="N25" s="6">
        <v>8.5000000000000006E-2</v>
      </c>
      <c r="O25" s="6">
        <v>8.5000000000000006E-2</v>
      </c>
      <c r="P25" s="6">
        <v>8.5000000000000006E-2</v>
      </c>
      <c r="Q25" s="6">
        <v>8.5000000000000006E-2</v>
      </c>
      <c r="R25" s="6">
        <v>8.5000000000000006E-2</v>
      </c>
      <c r="S25" s="6">
        <v>8.5000000000000006E-2</v>
      </c>
      <c r="T25" s="6">
        <v>8.5000000000000006E-2</v>
      </c>
      <c r="U25" s="6">
        <v>8.5000000000000006E-2</v>
      </c>
      <c r="V25" s="6">
        <v>8.5000000000000006E-2</v>
      </c>
      <c r="W25" s="6">
        <v>8.5000000000000006E-2</v>
      </c>
      <c r="X25" s="6">
        <v>8.5000000000000006E-2</v>
      </c>
      <c r="Y25" s="6">
        <v>8.5000000000000006E-2</v>
      </c>
      <c r="Z25" s="6">
        <v>8.5000000000000006E-2</v>
      </c>
      <c r="AA25" s="6">
        <v>8.5000000000000006E-2</v>
      </c>
      <c r="AB25" s="6">
        <v>8.5000000000000006E-2</v>
      </c>
      <c r="AC25" s="6">
        <v>8.5000000000000006E-2</v>
      </c>
      <c r="AD25" s="6">
        <v>8.5000000000000006E-2</v>
      </c>
      <c r="AE25" s="6">
        <v>8.5000000000000006E-2</v>
      </c>
      <c r="AF25" s="6">
        <v>8.5000000000000006E-2</v>
      </c>
      <c r="AG25" s="6">
        <v>8.5000000000000006E-2</v>
      </c>
      <c r="AH25" s="6">
        <v>8.5000000000000006E-2</v>
      </c>
      <c r="AI25" s="6">
        <v>8.5000000000000006E-2</v>
      </c>
      <c r="AJ25" s="6">
        <v>8.5000000000000006E-2</v>
      </c>
      <c r="AK25" s="6">
        <v>8.5000000000000006E-2</v>
      </c>
      <c r="AL25" s="6">
        <v>8.5000000000000006E-2</v>
      </c>
      <c r="AM25" s="6">
        <v>8.5000000000000006E-2</v>
      </c>
      <c r="AN25" s="6">
        <v>8.5000000000000006E-2</v>
      </c>
      <c r="AO25" s="6">
        <v>8.5000000000000006E-2</v>
      </c>
      <c r="AP25" s="6">
        <v>8.5000000000000006E-2</v>
      </c>
      <c r="AQ25" s="6">
        <v>8.5000000000000006E-2</v>
      </c>
      <c r="AR25" s="6">
        <v>8.5000000000000006E-2</v>
      </c>
      <c r="AS25" s="6">
        <v>8.5000000000000006E-2</v>
      </c>
      <c r="AT25" s="6">
        <v>8.5000000000000006E-2</v>
      </c>
      <c r="AU25" s="6">
        <v>8.5000000000000006E-2</v>
      </c>
      <c r="AV25" s="6">
        <v>8.5000000000000006E-2</v>
      </c>
      <c r="AW25" s="6">
        <v>8.5000000000000006E-2</v>
      </c>
      <c r="AX25" s="6">
        <v>8.5000000000000006E-2</v>
      </c>
      <c r="AY25" s="6">
        <v>8.5000000000000006E-2</v>
      </c>
      <c r="AZ25" s="6">
        <v>8.5000000000000006E-2</v>
      </c>
      <c r="BA25" s="6">
        <v>8.5000000000000006E-2</v>
      </c>
      <c r="BB25" s="6">
        <v>8.5000000000000006E-2</v>
      </c>
      <c r="BC25" s="6">
        <v>8.5000000000000006E-2</v>
      </c>
      <c r="BD25" s="6">
        <v>8.5000000000000006E-2</v>
      </c>
      <c r="BE25" s="6">
        <v>8.5000000000000006E-2</v>
      </c>
      <c r="BF25" s="6">
        <v>8.5000000000000006E-2</v>
      </c>
    </row>
    <row r="26" spans="2:59" x14ac:dyDescent="0.25">
      <c r="B26" t="s">
        <v>4</v>
      </c>
      <c r="C26" s="6">
        <v>0.12</v>
      </c>
      <c r="D26" s="6">
        <v>0.12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6">
        <v>0.12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0.12</v>
      </c>
      <c r="AG26" s="6">
        <v>0.12</v>
      </c>
      <c r="AH26" s="6">
        <v>0.12</v>
      </c>
      <c r="AI26" s="6">
        <v>0.12</v>
      </c>
      <c r="AJ26" s="6">
        <v>0.12</v>
      </c>
      <c r="AK26" s="6">
        <v>0.12</v>
      </c>
      <c r="AL26" s="6">
        <v>0.12</v>
      </c>
      <c r="AM26" s="6">
        <v>0.12</v>
      </c>
      <c r="AN26" s="6">
        <v>0.12</v>
      </c>
      <c r="AO26" s="6">
        <v>0.12</v>
      </c>
      <c r="AP26" s="6">
        <v>0.12</v>
      </c>
      <c r="AQ26" s="6">
        <v>0.12</v>
      </c>
      <c r="AR26" s="6">
        <v>0.12</v>
      </c>
      <c r="AS26" s="6">
        <v>0.12</v>
      </c>
      <c r="AT26" s="6">
        <v>0.12</v>
      </c>
      <c r="AU26" s="6">
        <v>0.12</v>
      </c>
      <c r="AV26" s="6">
        <v>0.12</v>
      </c>
      <c r="AW26" s="6">
        <v>0.12</v>
      </c>
      <c r="AX26" s="6">
        <v>0.12</v>
      </c>
      <c r="AY26" s="6">
        <v>0.12</v>
      </c>
      <c r="AZ26" s="6">
        <v>0.12</v>
      </c>
      <c r="BA26" s="6">
        <v>0.12</v>
      </c>
      <c r="BB26" s="6">
        <v>0.12</v>
      </c>
      <c r="BC26" s="6">
        <v>0.12</v>
      </c>
      <c r="BD26" s="6">
        <v>0.12</v>
      </c>
      <c r="BE26" s="6">
        <v>0.12</v>
      </c>
      <c r="BF26" s="6">
        <v>0.12</v>
      </c>
    </row>
    <row r="27" spans="2:59" x14ac:dyDescent="0.25">
      <c r="B27" t="s">
        <v>72</v>
      </c>
      <c r="C27" s="6">
        <v>0.2</v>
      </c>
      <c r="D27" s="6">
        <v>0.2</v>
      </c>
      <c r="E27" s="6">
        <v>0.2</v>
      </c>
      <c r="F27" s="6">
        <v>0.2</v>
      </c>
      <c r="G27" s="6">
        <v>0.2</v>
      </c>
      <c r="H27" s="6">
        <v>0.2</v>
      </c>
      <c r="I27" s="6">
        <v>0.2</v>
      </c>
      <c r="J27" s="6">
        <v>0.2</v>
      </c>
      <c r="K27" s="6">
        <v>0.2</v>
      </c>
      <c r="L27" s="6">
        <v>0.2</v>
      </c>
      <c r="M27" s="6">
        <v>0.2</v>
      </c>
      <c r="N27" s="6">
        <v>0.2</v>
      </c>
      <c r="O27" s="6">
        <v>0.2</v>
      </c>
      <c r="P27" s="6">
        <v>0.2</v>
      </c>
      <c r="Q27" s="6">
        <v>0.2</v>
      </c>
      <c r="R27" s="6">
        <v>0.2</v>
      </c>
      <c r="S27" s="6">
        <v>0.2</v>
      </c>
      <c r="T27" s="6">
        <v>0.2</v>
      </c>
      <c r="U27" s="6">
        <v>0.2</v>
      </c>
      <c r="V27" s="6">
        <v>0.2</v>
      </c>
      <c r="W27" s="6">
        <v>0.2</v>
      </c>
      <c r="X27" s="6">
        <v>0.2</v>
      </c>
      <c r="Y27" s="6">
        <v>0.2</v>
      </c>
      <c r="Z27" s="6">
        <v>0.2</v>
      </c>
      <c r="AA27" s="6">
        <v>0.2</v>
      </c>
      <c r="AB27" s="6">
        <v>0.2</v>
      </c>
      <c r="AC27" s="6">
        <v>0.2</v>
      </c>
      <c r="AD27" s="6">
        <v>0.2</v>
      </c>
      <c r="AE27" s="6">
        <v>0.2</v>
      </c>
      <c r="AF27" s="6">
        <v>0.2</v>
      </c>
      <c r="AG27" s="6">
        <v>0.2</v>
      </c>
      <c r="AH27" s="6">
        <v>0.2</v>
      </c>
      <c r="AI27" s="6">
        <v>0.2</v>
      </c>
      <c r="AJ27" s="6">
        <v>0.2</v>
      </c>
      <c r="AK27" s="6">
        <v>0.2</v>
      </c>
      <c r="AL27" s="6">
        <v>0.2</v>
      </c>
      <c r="AM27" s="6">
        <v>0.2</v>
      </c>
      <c r="AN27" s="6">
        <v>0.2</v>
      </c>
      <c r="AO27" s="6">
        <v>0.2</v>
      </c>
      <c r="AP27" s="6">
        <v>0.2</v>
      </c>
      <c r="AQ27" s="6">
        <v>0.2</v>
      </c>
      <c r="AR27" s="6">
        <v>0.2</v>
      </c>
      <c r="AS27" s="6">
        <v>0.2</v>
      </c>
      <c r="AT27" s="6">
        <v>0.2</v>
      </c>
      <c r="AU27" s="6">
        <v>0.2</v>
      </c>
      <c r="AV27" s="6">
        <v>0.2</v>
      </c>
      <c r="AW27" s="6">
        <v>0.2</v>
      </c>
      <c r="AX27" s="6">
        <v>0.2</v>
      </c>
      <c r="AY27" s="6">
        <v>0.2</v>
      </c>
      <c r="AZ27" s="6">
        <v>0.2</v>
      </c>
      <c r="BA27" s="6">
        <v>0.2</v>
      </c>
      <c r="BB27" s="6">
        <v>0.2</v>
      </c>
      <c r="BC27" s="6">
        <v>0.2</v>
      </c>
      <c r="BD27" s="6">
        <v>0.2</v>
      </c>
      <c r="BE27" s="6">
        <v>0.2</v>
      </c>
      <c r="BF27" s="6">
        <v>0.2</v>
      </c>
    </row>
    <row r="28" spans="2:59" x14ac:dyDescent="0.25">
      <c r="B28" t="s">
        <v>15</v>
      </c>
      <c r="C28" s="9">
        <f>+(C26-C24*C25)/(1-C24)</f>
        <v>0.12</v>
      </c>
      <c r="D28" s="9">
        <f t="shared" ref="D28:K28" si="4">+(D26-D24*D25)/(1-D24)</f>
        <v>0.12235602094240838</v>
      </c>
      <c r="E28" s="9">
        <f t="shared" si="4"/>
        <v>0.12445054945054944</v>
      </c>
      <c r="F28" s="9">
        <f t="shared" si="4"/>
        <v>0.12678362573099414</v>
      </c>
      <c r="G28" s="9">
        <f t="shared" si="4"/>
        <v>0.12820987654320987</v>
      </c>
      <c r="H28" s="9">
        <f t="shared" si="4"/>
        <v>0.12874999999999998</v>
      </c>
      <c r="I28" s="9">
        <f t="shared" si="4"/>
        <v>0.12874999999999998</v>
      </c>
      <c r="J28" s="9">
        <f t="shared" si="4"/>
        <v>0.12874999999999998</v>
      </c>
      <c r="K28" s="9">
        <f t="shared" si="4"/>
        <v>0.12874999999999998</v>
      </c>
      <c r="L28" s="9">
        <f t="shared" ref="L28:BF28" si="5">+(L26-L24*L25)/(1-L24)</f>
        <v>0.12874999999999998</v>
      </c>
      <c r="M28" s="9">
        <f t="shared" si="5"/>
        <v>0.12874999999999998</v>
      </c>
      <c r="N28" s="9">
        <f t="shared" si="5"/>
        <v>0.12874999999999998</v>
      </c>
      <c r="O28" s="9">
        <f t="shared" si="5"/>
        <v>0.12874999999999998</v>
      </c>
      <c r="P28" s="9">
        <f t="shared" si="5"/>
        <v>0.12874999999999998</v>
      </c>
      <c r="Q28" s="9">
        <f t="shared" si="5"/>
        <v>0.12874999999999998</v>
      </c>
      <c r="R28" s="9">
        <f t="shared" si="5"/>
        <v>0.12874999999999998</v>
      </c>
      <c r="S28" s="9">
        <f t="shared" si="5"/>
        <v>0.12874999999999998</v>
      </c>
      <c r="T28" s="9">
        <f t="shared" si="5"/>
        <v>0.12874999999999998</v>
      </c>
      <c r="U28" s="9">
        <f t="shared" si="5"/>
        <v>0.12874999999999998</v>
      </c>
      <c r="V28" s="9">
        <f t="shared" si="5"/>
        <v>0.12874999999999998</v>
      </c>
      <c r="W28" s="9">
        <f t="shared" si="5"/>
        <v>0.12874999999999998</v>
      </c>
      <c r="X28" s="9">
        <f t="shared" si="5"/>
        <v>0.12874999999999998</v>
      </c>
      <c r="Y28" s="9">
        <f t="shared" si="5"/>
        <v>0.12874999999999998</v>
      </c>
      <c r="Z28" s="9">
        <f t="shared" si="5"/>
        <v>0.12874999999999998</v>
      </c>
      <c r="AA28" s="9">
        <f t="shared" si="5"/>
        <v>0.12874999999999998</v>
      </c>
      <c r="AB28" s="9">
        <f t="shared" si="5"/>
        <v>0.12874999999999998</v>
      </c>
      <c r="AC28" s="9">
        <f t="shared" si="5"/>
        <v>0.12874999999999998</v>
      </c>
      <c r="AD28" s="9">
        <f t="shared" si="5"/>
        <v>0.12874999999999998</v>
      </c>
      <c r="AE28" s="9">
        <f t="shared" si="5"/>
        <v>0.12874999999999998</v>
      </c>
      <c r="AF28" s="9">
        <f t="shared" si="5"/>
        <v>0.12874999999999998</v>
      </c>
      <c r="AG28" s="9">
        <f t="shared" si="5"/>
        <v>0.12874999999999998</v>
      </c>
      <c r="AH28" s="9">
        <f t="shared" si="5"/>
        <v>0.12874999999999998</v>
      </c>
      <c r="AI28" s="9">
        <f t="shared" si="5"/>
        <v>0.12874999999999998</v>
      </c>
      <c r="AJ28" s="9">
        <f t="shared" si="5"/>
        <v>0.12874999999999998</v>
      </c>
      <c r="AK28" s="9">
        <f t="shared" si="5"/>
        <v>0.12874999999999998</v>
      </c>
      <c r="AL28" s="9">
        <f t="shared" si="5"/>
        <v>0.12874999999999998</v>
      </c>
      <c r="AM28" s="9">
        <f t="shared" si="5"/>
        <v>0.12874999999999998</v>
      </c>
      <c r="AN28" s="9">
        <f t="shared" si="5"/>
        <v>0.12874999999999998</v>
      </c>
      <c r="AO28" s="9">
        <f t="shared" si="5"/>
        <v>0.12874999999999998</v>
      </c>
      <c r="AP28" s="9">
        <f t="shared" si="5"/>
        <v>0.12874999999999998</v>
      </c>
      <c r="AQ28" s="9">
        <f t="shared" si="5"/>
        <v>0.12874999999999998</v>
      </c>
      <c r="AR28" s="9">
        <f t="shared" si="5"/>
        <v>0.12874999999999998</v>
      </c>
      <c r="AS28" s="9">
        <f t="shared" si="5"/>
        <v>0.12874999999999998</v>
      </c>
      <c r="AT28" s="9">
        <f t="shared" si="5"/>
        <v>0.12874999999999998</v>
      </c>
      <c r="AU28" s="9">
        <f t="shared" si="5"/>
        <v>0.12874999999999998</v>
      </c>
      <c r="AV28" s="9">
        <f t="shared" si="5"/>
        <v>0.12874999999999998</v>
      </c>
      <c r="AW28" s="9">
        <f t="shared" si="5"/>
        <v>0.12874999999999998</v>
      </c>
      <c r="AX28" s="9">
        <f t="shared" si="5"/>
        <v>0.12874999999999998</v>
      </c>
      <c r="AY28" s="9">
        <f t="shared" si="5"/>
        <v>0.12874999999999998</v>
      </c>
      <c r="AZ28" s="9">
        <f t="shared" si="5"/>
        <v>0.12874999999999998</v>
      </c>
      <c r="BA28" s="9">
        <f t="shared" si="5"/>
        <v>0.12874999999999998</v>
      </c>
      <c r="BB28" s="9">
        <f t="shared" si="5"/>
        <v>0.12874999999999998</v>
      </c>
      <c r="BC28" s="9">
        <f t="shared" si="5"/>
        <v>0.12874999999999998</v>
      </c>
      <c r="BD28" s="9">
        <f t="shared" si="5"/>
        <v>0.12874999999999998</v>
      </c>
      <c r="BE28" s="9">
        <f t="shared" si="5"/>
        <v>0.12874999999999998</v>
      </c>
      <c r="BF28" s="9">
        <f t="shared" si="5"/>
        <v>0.12874999999999998</v>
      </c>
    </row>
    <row r="29" spans="2:59" x14ac:dyDescent="0.25">
      <c r="B29" t="s">
        <v>14</v>
      </c>
      <c r="C29" s="9">
        <f>+C26-C24*C25*C31</f>
        <v>0.12</v>
      </c>
      <c r="D29" s="9">
        <f t="shared" ref="D29:BF29" si="6">+D26-D24*D25*D31</f>
        <v>0.11936999999999999</v>
      </c>
      <c r="E29" s="9">
        <f t="shared" si="6"/>
        <v>0.11864999999999999</v>
      </c>
      <c r="F29" s="9">
        <f t="shared" si="6"/>
        <v>0.11767999999999999</v>
      </c>
      <c r="G29" s="9">
        <f t="shared" si="6"/>
        <v>0.11677</v>
      </c>
      <c r="H29" s="9">
        <f t="shared" si="6"/>
        <v>0.1166</v>
      </c>
      <c r="I29" s="9">
        <f t="shared" si="6"/>
        <v>0.1166</v>
      </c>
      <c r="J29" s="9">
        <f t="shared" si="6"/>
        <v>0.1166</v>
      </c>
      <c r="K29" s="9">
        <f t="shared" si="6"/>
        <v>0.1166</v>
      </c>
      <c r="L29" s="9">
        <f t="shared" si="6"/>
        <v>0.1166</v>
      </c>
      <c r="M29" s="9">
        <f t="shared" si="6"/>
        <v>0.1166</v>
      </c>
      <c r="N29" s="9">
        <f t="shared" si="6"/>
        <v>0.1166</v>
      </c>
      <c r="O29" s="9">
        <f t="shared" si="6"/>
        <v>0.1166</v>
      </c>
      <c r="P29" s="9">
        <f t="shared" si="6"/>
        <v>0.1166</v>
      </c>
      <c r="Q29" s="9">
        <f t="shared" si="6"/>
        <v>0.1166</v>
      </c>
      <c r="R29" s="9">
        <f t="shared" si="6"/>
        <v>0.1166</v>
      </c>
      <c r="S29" s="9">
        <f t="shared" si="6"/>
        <v>0.1166</v>
      </c>
      <c r="T29" s="9">
        <f t="shared" si="6"/>
        <v>0.1166</v>
      </c>
      <c r="U29" s="9">
        <f t="shared" si="6"/>
        <v>0.1166</v>
      </c>
      <c r="V29" s="9">
        <f t="shared" si="6"/>
        <v>0.1166</v>
      </c>
      <c r="W29" s="9">
        <f t="shared" si="6"/>
        <v>0.1166</v>
      </c>
      <c r="X29" s="9">
        <f t="shared" si="6"/>
        <v>0.1166</v>
      </c>
      <c r="Y29" s="9">
        <f t="shared" si="6"/>
        <v>0.1166</v>
      </c>
      <c r="Z29" s="9">
        <f t="shared" si="6"/>
        <v>0.1166</v>
      </c>
      <c r="AA29" s="9">
        <f t="shared" si="6"/>
        <v>0.1166</v>
      </c>
      <c r="AB29" s="9">
        <f t="shared" si="6"/>
        <v>0.1166</v>
      </c>
      <c r="AC29" s="9">
        <f t="shared" si="6"/>
        <v>0.1166</v>
      </c>
      <c r="AD29" s="9">
        <f t="shared" si="6"/>
        <v>0.1166</v>
      </c>
      <c r="AE29" s="9">
        <f t="shared" si="6"/>
        <v>0.1166</v>
      </c>
      <c r="AF29" s="9">
        <f t="shared" si="6"/>
        <v>0.1166</v>
      </c>
      <c r="AG29" s="9">
        <f t="shared" si="6"/>
        <v>0.1166</v>
      </c>
      <c r="AH29" s="9">
        <f t="shared" si="6"/>
        <v>0.1166</v>
      </c>
      <c r="AI29" s="9">
        <f t="shared" si="6"/>
        <v>0.1166</v>
      </c>
      <c r="AJ29" s="9">
        <f t="shared" si="6"/>
        <v>0.1166</v>
      </c>
      <c r="AK29" s="9">
        <f t="shared" si="6"/>
        <v>0.1166</v>
      </c>
      <c r="AL29" s="9">
        <f t="shared" si="6"/>
        <v>0.1166</v>
      </c>
      <c r="AM29" s="9">
        <f t="shared" si="6"/>
        <v>0.1166</v>
      </c>
      <c r="AN29" s="9">
        <f t="shared" si="6"/>
        <v>0.1166</v>
      </c>
      <c r="AO29" s="9">
        <f t="shared" si="6"/>
        <v>0.1166</v>
      </c>
      <c r="AP29" s="9">
        <f t="shared" si="6"/>
        <v>0.1166</v>
      </c>
      <c r="AQ29" s="9">
        <f t="shared" si="6"/>
        <v>0.1166</v>
      </c>
      <c r="AR29" s="9">
        <f t="shared" si="6"/>
        <v>0.1166</v>
      </c>
      <c r="AS29" s="9">
        <f t="shared" si="6"/>
        <v>0.1166</v>
      </c>
      <c r="AT29" s="9">
        <f t="shared" si="6"/>
        <v>0.1166</v>
      </c>
      <c r="AU29" s="9">
        <f t="shared" si="6"/>
        <v>0.1166</v>
      </c>
      <c r="AV29" s="9">
        <f t="shared" si="6"/>
        <v>0.1166</v>
      </c>
      <c r="AW29" s="9">
        <f t="shared" si="6"/>
        <v>0.1166</v>
      </c>
      <c r="AX29" s="9">
        <f t="shared" si="6"/>
        <v>0.1166</v>
      </c>
      <c r="AY29" s="9">
        <f t="shared" si="6"/>
        <v>0.1166</v>
      </c>
      <c r="AZ29" s="9">
        <f t="shared" si="6"/>
        <v>0.1166</v>
      </c>
      <c r="BA29" s="9">
        <f t="shared" si="6"/>
        <v>0.1166</v>
      </c>
      <c r="BB29" s="9">
        <f t="shared" si="6"/>
        <v>0.1166</v>
      </c>
      <c r="BC29" s="9">
        <f t="shared" si="6"/>
        <v>0.1166</v>
      </c>
      <c r="BD29" s="9">
        <f t="shared" si="6"/>
        <v>0.1166</v>
      </c>
      <c r="BE29" s="9">
        <f t="shared" si="6"/>
        <v>0.1166</v>
      </c>
      <c r="BF29" s="9">
        <f t="shared" si="6"/>
        <v>0.1166</v>
      </c>
    </row>
    <row r="30" spans="2:59" x14ac:dyDescent="0.25">
      <c r="B30" t="s">
        <v>12</v>
      </c>
      <c r="C30" s="9">
        <f>+D23/D22</f>
        <v>0.80000000000000016</v>
      </c>
      <c r="D30" s="9">
        <f t="shared" ref="D30:J30" si="7">+E23/E22</f>
        <v>0.61764705882352933</v>
      </c>
      <c r="E30" s="9">
        <f t="shared" si="7"/>
        <v>0.48484848484848486</v>
      </c>
      <c r="F30" s="9">
        <f t="shared" si="7"/>
        <v>0.375</v>
      </c>
      <c r="G30" s="9">
        <f t="shared" si="7"/>
        <v>0.3666666666666667</v>
      </c>
      <c r="H30" s="9">
        <f t="shared" si="7"/>
        <v>0.47169811320754718</v>
      </c>
      <c r="I30" s="9">
        <f t="shared" si="7"/>
        <v>0.42881646655231564</v>
      </c>
      <c r="J30" s="9">
        <f t="shared" si="7"/>
        <v>0.42881646655231564</v>
      </c>
      <c r="K30" s="9">
        <f>+L23/L22</f>
        <v>0.42881646655231564</v>
      </c>
      <c r="L30" s="9">
        <f t="shared" ref="L30:BF30" si="8">+M23/M22</f>
        <v>0.42881646655231564</v>
      </c>
      <c r="M30" s="9">
        <f t="shared" si="8"/>
        <v>0.42881646655231564</v>
      </c>
      <c r="N30" s="9">
        <f t="shared" si="8"/>
        <v>0.42881646655231564</v>
      </c>
      <c r="O30" s="9">
        <f t="shared" si="8"/>
        <v>0.42881646655231564</v>
      </c>
      <c r="P30" s="9">
        <f t="shared" si="8"/>
        <v>0.42881646655231564</v>
      </c>
      <c r="Q30" s="9">
        <f t="shared" si="8"/>
        <v>0.42881646655231564</v>
      </c>
      <c r="R30" s="9">
        <f t="shared" si="8"/>
        <v>0.42881646655231564</v>
      </c>
      <c r="S30" s="9">
        <f t="shared" si="8"/>
        <v>0.42881646655231564</v>
      </c>
      <c r="T30" s="9">
        <f t="shared" si="8"/>
        <v>0.42881646655231564</v>
      </c>
      <c r="U30" s="9">
        <f t="shared" si="8"/>
        <v>0.42881646655231564</v>
      </c>
      <c r="V30" s="9">
        <f t="shared" si="8"/>
        <v>0.42881646655231564</v>
      </c>
      <c r="W30" s="9">
        <f t="shared" si="8"/>
        <v>0.42881646655231564</v>
      </c>
      <c r="X30" s="9">
        <f t="shared" si="8"/>
        <v>0.42881646655231564</v>
      </c>
      <c r="Y30" s="9">
        <f t="shared" si="8"/>
        <v>0.42881646655231564</v>
      </c>
      <c r="Z30" s="9">
        <f t="shared" si="8"/>
        <v>0.42881646655231564</v>
      </c>
      <c r="AA30" s="9">
        <f t="shared" si="8"/>
        <v>0.42881646655231564</v>
      </c>
      <c r="AB30" s="9">
        <f t="shared" si="8"/>
        <v>0.42881646655231564</v>
      </c>
      <c r="AC30" s="9">
        <f t="shared" si="8"/>
        <v>0.42881646655231564</v>
      </c>
      <c r="AD30" s="9">
        <f t="shared" si="8"/>
        <v>0.42881646655231564</v>
      </c>
      <c r="AE30" s="9">
        <f t="shared" si="8"/>
        <v>0.42881646655231564</v>
      </c>
      <c r="AF30" s="9">
        <f t="shared" si="8"/>
        <v>0.42881646655231564</v>
      </c>
      <c r="AG30" s="9">
        <f t="shared" si="8"/>
        <v>0.42881646655231564</v>
      </c>
      <c r="AH30" s="9">
        <f t="shared" si="8"/>
        <v>0.42881646655231564</v>
      </c>
      <c r="AI30" s="9">
        <f t="shared" si="8"/>
        <v>0.42881646655231564</v>
      </c>
      <c r="AJ30" s="9">
        <f t="shared" si="8"/>
        <v>0.42881646655231564</v>
      </c>
      <c r="AK30" s="9">
        <f t="shared" si="8"/>
        <v>0.42881646655231564</v>
      </c>
      <c r="AL30" s="9">
        <f t="shared" si="8"/>
        <v>0.42881646655231564</v>
      </c>
      <c r="AM30" s="9">
        <f t="shared" si="8"/>
        <v>0.42881646655231564</v>
      </c>
      <c r="AN30" s="9">
        <f t="shared" si="8"/>
        <v>0.42881646655231564</v>
      </c>
      <c r="AO30" s="9">
        <f t="shared" si="8"/>
        <v>0.42881646655231564</v>
      </c>
      <c r="AP30" s="9">
        <f t="shared" si="8"/>
        <v>0.42881646655231564</v>
      </c>
      <c r="AQ30" s="9">
        <f t="shared" si="8"/>
        <v>0.42881646655231564</v>
      </c>
      <c r="AR30" s="9">
        <f t="shared" si="8"/>
        <v>0.42881646655231564</v>
      </c>
      <c r="AS30" s="9">
        <f t="shared" si="8"/>
        <v>0.42881646655231564</v>
      </c>
      <c r="AT30" s="9">
        <f t="shared" si="8"/>
        <v>0.42881646655231564</v>
      </c>
      <c r="AU30" s="9">
        <f t="shared" si="8"/>
        <v>0.42881646655231564</v>
      </c>
      <c r="AV30" s="9">
        <f t="shared" si="8"/>
        <v>0.42881646655231564</v>
      </c>
      <c r="AW30" s="9">
        <f t="shared" si="8"/>
        <v>0.42881646655231564</v>
      </c>
      <c r="AX30" s="9">
        <f t="shared" si="8"/>
        <v>0.42881646655231564</v>
      </c>
      <c r="AY30" s="9">
        <f t="shared" si="8"/>
        <v>0.42881646655231564</v>
      </c>
      <c r="AZ30" s="9">
        <f t="shared" si="8"/>
        <v>0.42881646655231564</v>
      </c>
      <c r="BA30" s="9">
        <f t="shared" si="8"/>
        <v>0.42881646655231564</v>
      </c>
      <c r="BB30" s="9">
        <f t="shared" si="8"/>
        <v>0.42881646655231564</v>
      </c>
      <c r="BC30" s="9">
        <f t="shared" si="8"/>
        <v>0.42881646655231564</v>
      </c>
      <c r="BD30" s="9">
        <f t="shared" si="8"/>
        <v>0.42881646655231564</v>
      </c>
      <c r="BE30" s="9">
        <f t="shared" si="8"/>
        <v>0.42881646655231564</v>
      </c>
      <c r="BF30" s="9">
        <f t="shared" si="8"/>
        <v>0.42881646655231564</v>
      </c>
    </row>
    <row r="31" spans="2:59" x14ac:dyDescent="0.25">
      <c r="B31" t="s">
        <v>75</v>
      </c>
      <c r="C31" s="16">
        <f>+C27</f>
        <v>0.2</v>
      </c>
      <c r="D31" s="16">
        <f t="shared" ref="D31:BF31" si="9">+D27</f>
        <v>0.2</v>
      </c>
      <c r="E31" s="16">
        <f t="shared" si="9"/>
        <v>0.2</v>
      </c>
      <c r="F31" s="16">
        <f t="shared" si="9"/>
        <v>0.2</v>
      </c>
      <c r="G31" s="16">
        <f t="shared" si="9"/>
        <v>0.2</v>
      </c>
      <c r="H31" s="16">
        <f t="shared" si="9"/>
        <v>0.2</v>
      </c>
      <c r="I31" s="16">
        <f t="shared" si="9"/>
        <v>0.2</v>
      </c>
      <c r="J31" s="16">
        <f t="shared" si="9"/>
        <v>0.2</v>
      </c>
      <c r="K31" s="16">
        <f t="shared" si="9"/>
        <v>0.2</v>
      </c>
      <c r="L31" s="16">
        <f t="shared" si="9"/>
        <v>0.2</v>
      </c>
      <c r="M31" s="16">
        <f t="shared" si="9"/>
        <v>0.2</v>
      </c>
      <c r="N31" s="16">
        <f t="shared" si="9"/>
        <v>0.2</v>
      </c>
      <c r="O31" s="16">
        <f t="shared" si="9"/>
        <v>0.2</v>
      </c>
      <c r="P31" s="16">
        <f t="shared" si="9"/>
        <v>0.2</v>
      </c>
      <c r="Q31" s="16">
        <f t="shared" si="9"/>
        <v>0.2</v>
      </c>
      <c r="R31" s="16">
        <f t="shared" si="9"/>
        <v>0.2</v>
      </c>
      <c r="S31" s="16">
        <f t="shared" si="9"/>
        <v>0.2</v>
      </c>
      <c r="T31" s="16">
        <f t="shared" si="9"/>
        <v>0.2</v>
      </c>
      <c r="U31" s="16">
        <f t="shared" si="9"/>
        <v>0.2</v>
      </c>
      <c r="V31" s="16">
        <f t="shared" si="9"/>
        <v>0.2</v>
      </c>
      <c r="W31" s="16">
        <f t="shared" si="9"/>
        <v>0.2</v>
      </c>
      <c r="X31" s="16">
        <f t="shared" si="9"/>
        <v>0.2</v>
      </c>
      <c r="Y31" s="16">
        <f t="shared" si="9"/>
        <v>0.2</v>
      </c>
      <c r="Z31" s="16">
        <f t="shared" si="9"/>
        <v>0.2</v>
      </c>
      <c r="AA31" s="16">
        <f t="shared" si="9"/>
        <v>0.2</v>
      </c>
      <c r="AB31" s="16">
        <f t="shared" si="9"/>
        <v>0.2</v>
      </c>
      <c r="AC31" s="16">
        <f t="shared" si="9"/>
        <v>0.2</v>
      </c>
      <c r="AD31" s="16">
        <f t="shared" si="9"/>
        <v>0.2</v>
      </c>
      <c r="AE31" s="16">
        <f t="shared" si="9"/>
        <v>0.2</v>
      </c>
      <c r="AF31" s="16">
        <f t="shared" si="9"/>
        <v>0.2</v>
      </c>
      <c r="AG31" s="16">
        <f t="shared" si="9"/>
        <v>0.2</v>
      </c>
      <c r="AH31" s="16">
        <f t="shared" si="9"/>
        <v>0.2</v>
      </c>
      <c r="AI31" s="16">
        <f t="shared" si="9"/>
        <v>0.2</v>
      </c>
      <c r="AJ31" s="16">
        <f t="shared" si="9"/>
        <v>0.2</v>
      </c>
      <c r="AK31" s="16">
        <f t="shared" si="9"/>
        <v>0.2</v>
      </c>
      <c r="AL31" s="16">
        <f t="shared" si="9"/>
        <v>0.2</v>
      </c>
      <c r="AM31" s="16">
        <f t="shared" si="9"/>
        <v>0.2</v>
      </c>
      <c r="AN31" s="16">
        <f t="shared" si="9"/>
        <v>0.2</v>
      </c>
      <c r="AO31" s="16">
        <f t="shared" si="9"/>
        <v>0.2</v>
      </c>
      <c r="AP31" s="16">
        <f t="shared" si="9"/>
        <v>0.2</v>
      </c>
      <c r="AQ31" s="16">
        <f t="shared" si="9"/>
        <v>0.2</v>
      </c>
      <c r="AR31" s="16">
        <f t="shared" si="9"/>
        <v>0.2</v>
      </c>
      <c r="AS31" s="16">
        <f t="shared" si="9"/>
        <v>0.2</v>
      </c>
      <c r="AT31" s="16">
        <f t="shared" si="9"/>
        <v>0.2</v>
      </c>
      <c r="AU31" s="16">
        <f t="shared" si="9"/>
        <v>0.2</v>
      </c>
      <c r="AV31" s="16">
        <f t="shared" si="9"/>
        <v>0.2</v>
      </c>
      <c r="AW31" s="16">
        <f t="shared" si="9"/>
        <v>0.2</v>
      </c>
      <c r="AX31" s="16">
        <f t="shared" si="9"/>
        <v>0.2</v>
      </c>
      <c r="AY31" s="16">
        <f t="shared" si="9"/>
        <v>0.2</v>
      </c>
      <c r="AZ31" s="16">
        <f t="shared" si="9"/>
        <v>0.2</v>
      </c>
      <c r="BA31" s="16">
        <f t="shared" si="9"/>
        <v>0.2</v>
      </c>
      <c r="BB31" s="16">
        <f t="shared" si="9"/>
        <v>0.2</v>
      </c>
      <c r="BC31" s="16">
        <f t="shared" si="9"/>
        <v>0.2</v>
      </c>
      <c r="BD31" s="16">
        <f t="shared" si="9"/>
        <v>0.2</v>
      </c>
      <c r="BE31" s="16">
        <f t="shared" si="9"/>
        <v>0.2</v>
      </c>
      <c r="BF31" s="16">
        <f t="shared" si="9"/>
        <v>0.2</v>
      </c>
    </row>
    <row r="32" spans="2:59" x14ac:dyDescent="0.25">
      <c r="B32" t="s">
        <v>79</v>
      </c>
      <c r="C32" s="17">
        <f>+C50/C49</f>
        <v>0.2</v>
      </c>
      <c r="D32" s="17">
        <f t="shared" ref="D32:BF32" si="10">+D50/D49</f>
        <v>0.20000000000000004</v>
      </c>
      <c r="E32" s="17">
        <f t="shared" si="10"/>
        <v>0.2</v>
      </c>
      <c r="F32" s="17">
        <f t="shared" si="10"/>
        <v>0.2</v>
      </c>
      <c r="G32" s="17">
        <f t="shared" si="10"/>
        <v>0.2</v>
      </c>
      <c r="H32" s="17">
        <f t="shared" si="10"/>
        <v>0.2</v>
      </c>
      <c r="I32" s="17">
        <f t="shared" si="10"/>
        <v>0.2</v>
      </c>
      <c r="J32" s="17">
        <f t="shared" si="10"/>
        <v>0.2</v>
      </c>
      <c r="K32" s="17">
        <f t="shared" si="10"/>
        <v>0.2</v>
      </c>
      <c r="L32" s="17">
        <f t="shared" si="10"/>
        <v>0.2</v>
      </c>
      <c r="M32" s="17">
        <f t="shared" si="10"/>
        <v>0.19999999999999998</v>
      </c>
      <c r="N32" s="17">
        <f t="shared" si="10"/>
        <v>0.19999999999999998</v>
      </c>
      <c r="O32" s="17">
        <f t="shared" si="10"/>
        <v>0.19999999999999998</v>
      </c>
      <c r="P32" s="17">
        <f t="shared" si="10"/>
        <v>0.19999999999999998</v>
      </c>
      <c r="Q32" s="17">
        <f t="shared" si="10"/>
        <v>0.20000000000000004</v>
      </c>
      <c r="R32" s="17">
        <f t="shared" si="10"/>
        <v>0.2</v>
      </c>
      <c r="S32" s="17">
        <f t="shared" si="10"/>
        <v>0.2</v>
      </c>
      <c r="T32" s="17">
        <f t="shared" si="10"/>
        <v>0.2</v>
      </c>
      <c r="U32" s="17">
        <f t="shared" si="10"/>
        <v>0.2</v>
      </c>
      <c r="V32" s="17">
        <f t="shared" si="10"/>
        <v>0.2</v>
      </c>
      <c r="W32" s="17">
        <f t="shared" si="10"/>
        <v>0.2</v>
      </c>
      <c r="X32" s="17">
        <f t="shared" si="10"/>
        <v>0.2</v>
      </c>
      <c r="Y32" s="17">
        <f t="shared" si="10"/>
        <v>0.2</v>
      </c>
      <c r="Z32" s="17">
        <f t="shared" si="10"/>
        <v>0.2</v>
      </c>
      <c r="AA32" s="17">
        <f t="shared" si="10"/>
        <v>0.2</v>
      </c>
      <c r="AB32" s="17">
        <f t="shared" si="10"/>
        <v>0.19999999999999998</v>
      </c>
      <c r="AC32" s="17">
        <f t="shared" si="10"/>
        <v>0.2</v>
      </c>
      <c r="AD32" s="17">
        <f t="shared" si="10"/>
        <v>0.2</v>
      </c>
      <c r="AE32" s="17">
        <f t="shared" si="10"/>
        <v>0.20000000000000004</v>
      </c>
      <c r="AF32" s="17">
        <f t="shared" si="10"/>
        <v>0.20000000000000004</v>
      </c>
      <c r="AG32" s="17">
        <f t="shared" si="10"/>
        <v>0.20000000000000004</v>
      </c>
      <c r="AH32" s="17">
        <f t="shared" si="10"/>
        <v>0.2</v>
      </c>
      <c r="AI32" s="17">
        <f t="shared" si="10"/>
        <v>0.2</v>
      </c>
      <c r="AJ32" s="17">
        <f t="shared" si="10"/>
        <v>0.2</v>
      </c>
      <c r="AK32" s="17">
        <f t="shared" si="10"/>
        <v>0.2</v>
      </c>
      <c r="AL32" s="17">
        <f t="shared" si="10"/>
        <v>0.2</v>
      </c>
      <c r="AM32" s="17">
        <f t="shared" si="10"/>
        <v>0.2</v>
      </c>
      <c r="AN32" s="17">
        <f t="shared" si="10"/>
        <v>0.2</v>
      </c>
      <c r="AO32" s="17">
        <f t="shared" si="10"/>
        <v>0.2</v>
      </c>
      <c r="AP32" s="17">
        <f t="shared" si="10"/>
        <v>0.19999999999999998</v>
      </c>
      <c r="AQ32" s="17">
        <f t="shared" si="10"/>
        <v>0.19999999999999998</v>
      </c>
      <c r="AR32" s="17">
        <f t="shared" si="10"/>
        <v>0.2</v>
      </c>
      <c r="AS32" s="17">
        <f t="shared" si="10"/>
        <v>0.2</v>
      </c>
      <c r="AT32" s="17">
        <f t="shared" si="10"/>
        <v>0.20000000000000004</v>
      </c>
      <c r="AU32" s="17">
        <f t="shared" si="10"/>
        <v>0.2</v>
      </c>
      <c r="AV32" s="17">
        <f t="shared" si="10"/>
        <v>0.2</v>
      </c>
      <c r="AW32" s="17">
        <f t="shared" si="10"/>
        <v>0.2</v>
      </c>
      <c r="AX32" s="17">
        <f t="shared" si="10"/>
        <v>0.2</v>
      </c>
      <c r="AY32" s="17">
        <f t="shared" si="10"/>
        <v>0.2</v>
      </c>
      <c r="AZ32" s="17">
        <f t="shared" si="10"/>
        <v>0.2</v>
      </c>
      <c r="BA32" s="17">
        <f t="shared" si="10"/>
        <v>0.2</v>
      </c>
      <c r="BB32" s="17">
        <f t="shared" si="10"/>
        <v>0.2</v>
      </c>
      <c r="BC32" s="17">
        <f t="shared" si="10"/>
        <v>0.2</v>
      </c>
      <c r="BD32" s="17">
        <f t="shared" si="10"/>
        <v>0.19999999999999998</v>
      </c>
      <c r="BE32" s="17">
        <f t="shared" si="10"/>
        <v>0.2</v>
      </c>
      <c r="BF32" s="17">
        <f t="shared" si="10"/>
        <v>0.2</v>
      </c>
    </row>
    <row r="33" spans="2:58" x14ac:dyDescent="0.25">
      <c r="C33" s="3"/>
      <c r="D33" s="3"/>
      <c r="E33" s="3"/>
      <c r="F33" s="3"/>
      <c r="G33" s="3"/>
      <c r="H33" s="3"/>
      <c r="I33" s="3"/>
      <c r="J33" s="3"/>
    </row>
    <row r="34" spans="2:58" x14ac:dyDescent="0.25">
      <c r="C34" s="3"/>
      <c r="D34" s="11">
        <f>+C35*(1+D23)</f>
        <v>2736.0000000000005</v>
      </c>
      <c r="E34" s="11">
        <f t="shared" ref="E34:K34" si="11">+D35*(1+E23)</f>
        <v>3023.2799999999997</v>
      </c>
      <c r="F34" s="11">
        <f t="shared" si="11"/>
        <v>3265.1423999999997</v>
      </c>
      <c r="G34" s="11">
        <f t="shared" si="11"/>
        <v>3461.0509440000001</v>
      </c>
      <c r="H34" s="11">
        <f t="shared" si="11"/>
        <v>3651.4087459199995</v>
      </c>
      <c r="I34" s="11">
        <f t="shared" si="11"/>
        <v>3852.2362269455994</v>
      </c>
      <c r="J34" s="11">
        <f t="shared" si="11"/>
        <v>4044.8480382928797</v>
      </c>
      <c r="K34" s="11">
        <f t="shared" si="11"/>
        <v>4247.090440207523</v>
      </c>
      <c r="L34" s="11">
        <f t="shared" ref="L34:BF34" si="12">+K35*(1+L23)</f>
        <v>4459.444962217899</v>
      </c>
      <c r="M34" s="11">
        <f t="shared" si="12"/>
        <v>4682.4172103287938</v>
      </c>
      <c r="N34" s="11">
        <f t="shared" si="12"/>
        <v>4916.538070845234</v>
      </c>
      <c r="O34" s="11">
        <f t="shared" si="12"/>
        <v>5162.3649743874948</v>
      </c>
      <c r="P34" s="11">
        <f t="shared" si="12"/>
        <v>5420.4832231068694</v>
      </c>
      <c r="Q34" s="11">
        <f t="shared" si="12"/>
        <v>5691.5073842622132</v>
      </c>
      <c r="R34" s="11">
        <f t="shared" si="12"/>
        <v>5976.0827534753244</v>
      </c>
      <c r="S34" s="11">
        <f t="shared" si="12"/>
        <v>6274.8868911490908</v>
      </c>
      <c r="T34" s="11">
        <f t="shared" si="12"/>
        <v>6588.6312357065453</v>
      </c>
      <c r="U34" s="11">
        <f t="shared" si="12"/>
        <v>6918.0627974918725</v>
      </c>
      <c r="V34" s="11">
        <f t="shared" si="12"/>
        <v>7263.9659373664663</v>
      </c>
      <c r="W34" s="11">
        <f t="shared" si="12"/>
        <v>7627.1642342347895</v>
      </c>
      <c r="X34" s="11">
        <f t="shared" si="12"/>
        <v>8008.5224459465289</v>
      </c>
      <c r="Y34" s="11">
        <f t="shared" si="12"/>
        <v>8408.9485682438553</v>
      </c>
      <c r="Z34" s="11">
        <f t="shared" si="12"/>
        <v>8829.3959966560487</v>
      </c>
      <c r="AA34" s="11">
        <f t="shared" si="12"/>
        <v>9270.8657964888516</v>
      </c>
      <c r="AB34" s="11">
        <f t="shared" si="12"/>
        <v>9734.4090863132951</v>
      </c>
      <c r="AC34" s="11">
        <f t="shared" si="12"/>
        <v>10221.129540628961</v>
      </c>
      <c r="AD34" s="11">
        <f t="shared" si="12"/>
        <v>10732.186017660408</v>
      </c>
      <c r="AE34" s="11">
        <f t="shared" si="12"/>
        <v>11268.795318543429</v>
      </c>
      <c r="AF34" s="11">
        <f t="shared" si="12"/>
        <v>11832.235084470602</v>
      </c>
      <c r="AG34" s="11">
        <f t="shared" si="12"/>
        <v>12423.846838694129</v>
      </c>
      <c r="AH34" s="11">
        <f t="shared" si="12"/>
        <v>13045.039180628837</v>
      </c>
      <c r="AI34" s="11">
        <f t="shared" si="12"/>
        <v>13697.291139660278</v>
      </c>
      <c r="AJ34" s="11">
        <f t="shared" si="12"/>
        <v>14382.155696643293</v>
      </c>
      <c r="AK34" s="11">
        <f t="shared" si="12"/>
        <v>15101.263481475457</v>
      </c>
      <c r="AL34" s="11">
        <f t="shared" si="12"/>
        <v>15856.326655549228</v>
      </c>
      <c r="AM34" s="11">
        <f t="shared" si="12"/>
        <v>16649.14298832669</v>
      </c>
      <c r="AN34" s="11">
        <f t="shared" si="12"/>
        <v>17481.600137743026</v>
      </c>
      <c r="AO34" s="11">
        <f t="shared" si="12"/>
        <v>18355.680144630176</v>
      </c>
      <c r="AP34" s="11">
        <f t="shared" si="12"/>
        <v>19273.464151861685</v>
      </c>
      <c r="AQ34" s="11">
        <f t="shared" si="12"/>
        <v>20237.137359454769</v>
      </c>
      <c r="AR34" s="11">
        <f t="shared" si="12"/>
        <v>21248.994227427509</v>
      </c>
      <c r="AS34" s="11">
        <f t="shared" si="12"/>
        <v>22311.443938798886</v>
      </c>
      <c r="AT34" s="11">
        <f t="shared" si="12"/>
        <v>23427.016135738832</v>
      </c>
      <c r="AU34" s="11">
        <f t="shared" si="12"/>
        <v>24598.366942525776</v>
      </c>
      <c r="AV34" s="11">
        <f t="shared" si="12"/>
        <v>25828.285289652064</v>
      </c>
      <c r="AW34" s="11">
        <f t="shared" si="12"/>
        <v>27119.699554134662</v>
      </c>
      <c r="AX34" s="11">
        <f t="shared" si="12"/>
        <v>28475.684531841398</v>
      </c>
      <c r="AY34" s="11">
        <f t="shared" si="12"/>
        <v>29899.468758433464</v>
      </c>
      <c r="AZ34" s="11">
        <f t="shared" si="12"/>
        <v>31394.442196355139</v>
      </c>
      <c r="BA34" s="11">
        <f t="shared" si="12"/>
        <v>32964.164306172897</v>
      </c>
      <c r="BB34" s="11">
        <f t="shared" si="12"/>
        <v>34612.372521481535</v>
      </c>
      <c r="BC34" s="11">
        <f t="shared" si="12"/>
        <v>36342.991147555615</v>
      </c>
      <c r="BD34" s="11">
        <f t="shared" si="12"/>
        <v>38160.140704933394</v>
      </c>
      <c r="BE34" s="11">
        <f t="shared" si="12"/>
        <v>40068.147740180066</v>
      </c>
      <c r="BF34" s="11">
        <f t="shared" si="12"/>
        <v>42071.555127189073</v>
      </c>
    </row>
    <row r="35" spans="2:58" x14ac:dyDescent="0.25">
      <c r="B35" t="s">
        <v>9</v>
      </c>
      <c r="C35" s="4">
        <f>+C20*C21</f>
        <v>2400</v>
      </c>
      <c r="D35" s="4">
        <f>+D22*C36+C35</f>
        <v>2736</v>
      </c>
      <c r="E35" s="4">
        <f t="shared" ref="E35:K35" si="13">+E22*D36+D35</f>
        <v>3023.2799999999997</v>
      </c>
      <c r="F35" s="4">
        <f t="shared" si="13"/>
        <v>3265.1423999999997</v>
      </c>
      <c r="G35" s="4">
        <f t="shared" si="13"/>
        <v>3461.0509439999996</v>
      </c>
      <c r="H35" s="4">
        <f t="shared" si="13"/>
        <v>3651.4087459199995</v>
      </c>
      <c r="I35" s="4">
        <f t="shared" si="13"/>
        <v>3852.2362269455994</v>
      </c>
      <c r="J35" s="4">
        <f t="shared" si="13"/>
        <v>4044.8480382928792</v>
      </c>
      <c r="K35" s="4">
        <f t="shared" si="13"/>
        <v>4247.090440207523</v>
      </c>
      <c r="L35" s="4">
        <f t="shared" ref="L35:BF35" si="14">+L22*K36+K35</f>
        <v>4459.444962217899</v>
      </c>
      <c r="M35" s="4">
        <f t="shared" si="14"/>
        <v>4682.4172103287938</v>
      </c>
      <c r="N35" s="4">
        <f t="shared" si="14"/>
        <v>4916.5380708452331</v>
      </c>
      <c r="O35" s="4">
        <f t="shared" si="14"/>
        <v>5162.3649743874948</v>
      </c>
      <c r="P35" s="4">
        <f t="shared" si="14"/>
        <v>5420.4832231068694</v>
      </c>
      <c r="Q35" s="4">
        <f t="shared" si="14"/>
        <v>5691.5073842622132</v>
      </c>
      <c r="R35" s="4">
        <f t="shared" si="14"/>
        <v>5976.0827534753244</v>
      </c>
      <c r="S35" s="4">
        <f t="shared" si="14"/>
        <v>6274.8868911490908</v>
      </c>
      <c r="T35" s="4">
        <f t="shared" si="14"/>
        <v>6588.6312357065453</v>
      </c>
      <c r="U35" s="4">
        <f t="shared" si="14"/>
        <v>6918.0627974918725</v>
      </c>
      <c r="V35" s="4">
        <f t="shared" si="14"/>
        <v>7263.9659373664663</v>
      </c>
      <c r="W35" s="4">
        <f t="shared" si="14"/>
        <v>7627.1642342347895</v>
      </c>
      <c r="X35" s="4">
        <f t="shared" si="14"/>
        <v>8008.5224459465289</v>
      </c>
      <c r="Y35" s="4">
        <f t="shared" si="14"/>
        <v>8408.9485682438553</v>
      </c>
      <c r="Z35" s="4">
        <f t="shared" si="14"/>
        <v>8829.3959966560487</v>
      </c>
      <c r="AA35" s="4">
        <f t="shared" si="14"/>
        <v>9270.8657964888516</v>
      </c>
      <c r="AB35" s="4">
        <f t="shared" si="14"/>
        <v>9734.4090863132951</v>
      </c>
      <c r="AC35" s="4">
        <f t="shared" si="14"/>
        <v>10221.129540628959</v>
      </c>
      <c r="AD35" s="4">
        <f t="shared" si="14"/>
        <v>10732.186017660408</v>
      </c>
      <c r="AE35" s="4">
        <f t="shared" si="14"/>
        <v>11268.795318543429</v>
      </c>
      <c r="AF35" s="4">
        <f t="shared" si="14"/>
        <v>11832.2350844706</v>
      </c>
      <c r="AG35" s="4">
        <f t="shared" si="14"/>
        <v>12423.846838694129</v>
      </c>
      <c r="AH35" s="4">
        <f t="shared" si="14"/>
        <v>13045.039180628835</v>
      </c>
      <c r="AI35" s="4">
        <f t="shared" si="14"/>
        <v>13697.291139660278</v>
      </c>
      <c r="AJ35" s="4">
        <f t="shared" si="14"/>
        <v>14382.155696643291</v>
      </c>
      <c r="AK35" s="4">
        <f t="shared" si="14"/>
        <v>15101.263481475455</v>
      </c>
      <c r="AL35" s="4">
        <f t="shared" si="14"/>
        <v>15856.326655549228</v>
      </c>
      <c r="AM35" s="4">
        <f t="shared" si="14"/>
        <v>16649.14298832669</v>
      </c>
      <c r="AN35" s="4">
        <f t="shared" si="14"/>
        <v>17481.600137743026</v>
      </c>
      <c r="AO35" s="4">
        <f t="shared" si="14"/>
        <v>18355.680144630176</v>
      </c>
      <c r="AP35" s="4">
        <f t="shared" si="14"/>
        <v>19273.464151861685</v>
      </c>
      <c r="AQ35" s="4">
        <f t="shared" si="14"/>
        <v>20237.137359454769</v>
      </c>
      <c r="AR35" s="4">
        <f t="shared" si="14"/>
        <v>21248.994227427509</v>
      </c>
      <c r="AS35" s="4">
        <f t="shared" si="14"/>
        <v>22311.443938798886</v>
      </c>
      <c r="AT35" s="4">
        <f t="shared" si="14"/>
        <v>23427.016135738832</v>
      </c>
      <c r="AU35" s="4">
        <f t="shared" si="14"/>
        <v>24598.366942525772</v>
      </c>
      <c r="AV35" s="4">
        <f t="shared" si="14"/>
        <v>25828.28528965206</v>
      </c>
      <c r="AW35" s="4">
        <f t="shared" si="14"/>
        <v>27119.699554134662</v>
      </c>
      <c r="AX35" s="4">
        <f t="shared" si="14"/>
        <v>28475.684531841394</v>
      </c>
      <c r="AY35" s="4">
        <f t="shared" si="14"/>
        <v>29899.468758433464</v>
      </c>
      <c r="AZ35" s="4">
        <f t="shared" si="14"/>
        <v>31394.442196355136</v>
      </c>
      <c r="BA35" s="4">
        <f t="shared" si="14"/>
        <v>32964.16430617289</v>
      </c>
      <c r="BB35" s="4">
        <f t="shared" si="14"/>
        <v>34612.372521481535</v>
      </c>
      <c r="BC35" s="4">
        <f t="shared" si="14"/>
        <v>36342.991147555615</v>
      </c>
      <c r="BD35" s="4">
        <f t="shared" si="14"/>
        <v>38160.140704933394</v>
      </c>
      <c r="BE35" s="4">
        <f t="shared" si="14"/>
        <v>40068.147740180066</v>
      </c>
      <c r="BF35" s="4">
        <f t="shared" si="14"/>
        <v>42071.555127189073</v>
      </c>
    </row>
    <row r="36" spans="2:58" x14ac:dyDescent="0.25">
      <c r="B36" t="s">
        <v>10</v>
      </c>
      <c r="C36" s="4">
        <f>+C35*C30</f>
        <v>1920.0000000000005</v>
      </c>
      <c r="D36" s="4">
        <f t="shared" ref="D36:K36" si="15">+D35*D30</f>
        <v>1689.8823529411764</v>
      </c>
      <c r="E36" s="4">
        <f t="shared" si="15"/>
        <v>1465.8327272727272</v>
      </c>
      <c r="F36" s="4">
        <f t="shared" si="15"/>
        <v>1224.4283999999998</v>
      </c>
      <c r="G36" s="4">
        <f t="shared" si="15"/>
        <v>1269.0520128000001</v>
      </c>
      <c r="H36" s="4">
        <f t="shared" si="15"/>
        <v>1722.3626159999999</v>
      </c>
      <c r="I36" s="4">
        <f t="shared" si="15"/>
        <v>1651.9023271636363</v>
      </c>
      <c r="J36" s="4">
        <f t="shared" si="15"/>
        <v>1734.497443521818</v>
      </c>
      <c r="K36" s="4">
        <f t="shared" si="15"/>
        <v>1821.2223156979087</v>
      </c>
      <c r="L36" s="4">
        <f t="shared" ref="L36" si="16">+L35*L30</f>
        <v>1912.2834314828042</v>
      </c>
      <c r="M36" s="4">
        <f t="shared" ref="M36" si="17">+M35*M30</f>
        <v>2007.8976030569443</v>
      </c>
      <c r="N36" s="4">
        <f t="shared" ref="N36" si="18">+N35*N30</f>
        <v>2108.2924832097915</v>
      </c>
      <c r="O36" s="4">
        <f t="shared" ref="O36" si="19">+O35*O30</f>
        <v>2213.7071073702809</v>
      </c>
      <c r="P36" s="4">
        <f t="shared" ref="P36" si="20">+P35*P30</f>
        <v>2324.3924627387951</v>
      </c>
      <c r="Q36" s="4">
        <f t="shared" ref="Q36" si="21">+Q35*Q30</f>
        <v>2440.6120858757349</v>
      </c>
      <c r="R36" s="4">
        <f t="shared" ref="R36" si="22">+R35*R30</f>
        <v>2562.6426901695218</v>
      </c>
      <c r="S36" s="4">
        <f t="shared" ref="S36" si="23">+S35*S30</f>
        <v>2690.7748246779979</v>
      </c>
      <c r="T36" s="4">
        <f t="shared" ref="T36" si="24">+T35*T30</f>
        <v>2825.313565911898</v>
      </c>
      <c r="U36" s="4">
        <f t="shared" ref="U36" si="25">+U35*U30</f>
        <v>2966.5792442074926</v>
      </c>
      <c r="V36" s="4">
        <f t="shared" ref="V36" si="26">+V35*V30</f>
        <v>3114.9082064178674</v>
      </c>
      <c r="W36" s="4">
        <f t="shared" ref="W36" si="27">+W35*W30</f>
        <v>3270.6536167387608</v>
      </c>
      <c r="X36" s="4">
        <f t="shared" ref="X36" si="28">+X35*X30</f>
        <v>3434.186297575699</v>
      </c>
      <c r="Y36" s="4">
        <f t="shared" ref="Y36" si="29">+Y35*Y30</f>
        <v>3605.8956124544839</v>
      </c>
      <c r="Z36" s="4">
        <f t="shared" ref="Z36" si="30">+Z35*Z30</f>
        <v>3786.1903930772082</v>
      </c>
      <c r="AA36" s="4">
        <f t="shared" ref="AA36" si="31">+AA35*AA30</f>
        <v>3975.4999127310689</v>
      </c>
      <c r="AB36" s="4">
        <f t="shared" ref="AB36" si="32">+AB35*AB30</f>
        <v>4174.2749083676226</v>
      </c>
      <c r="AC36" s="4">
        <f t="shared" ref="AC36" si="33">+AC35*AC30</f>
        <v>4382.9886537860039</v>
      </c>
      <c r="AD36" s="4">
        <f t="shared" ref="AD36" si="34">+AD35*AD30</f>
        <v>4602.1380864753037</v>
      </c>
      <c r="AE36" s="4">
        <f t="shared" ref="AE36" si="35">+AE35*AE30</f>
        <v>4832.2449907990695</v>
      </c>
      <c r="AF36" s="4">
        <f t="shared" ref="AF36" si="36">+AF35*AF30</f>
        <v>5073.8572403390226</v>
      </c>
      <c r="AG36" s="4">
        <f t="shared" ref="AG36" si="37">+AG35*AG30</f>
        <v>5327.5501023559736</v>
      </c>
      <c r="AH36" s="4">
        <f t="shared" ref="AH36" si="38">+AH35*AH30</f>
        <v>5593.9276074737718</v>
      </c>
      <c r="AI36" s="4">
        <f t="shared" ref="AI36" si="39">+AI35*AI30</f>
        <v>5873.6239878474607</v>
      </c>
      <c r="AJ36" s="4">
        <f t="shared" ref="AJ36" si="40">+AJ35*AJ30</f>
        <v>6167.3051872398337</v>
      </c>
      <c r="AK36" s="4">
        <f t="shared" ref="AK36" si="41">+AK35*AK30</f>
        <v>6475.6704466018255</v>
      </c>
      <c r="AL36" s="4">
        <f t="shared" ref="AL36" si="42">+AL35*AL30</f>
        <v>6799.4539689319163</v>
      </c>
      <c r="AM36" s="4">
        <f t="shared" ref="AM36" si="43">+AM35*AM30</f>
        <v>7139.4266673785123</v>
      </c>
      <c r="AN36" s="4">
        <f t="shared" ref="AN36" si="44">+AN35*AN30</f>
        <v>7496.3980007474383</v>
      </c>
      <c r="AO36" s="4">
        <f t="shared" ref="AO36" si="45">+AO35*AO30</f>
        <v>7871.2179007848099</v>
      </c>
      <c r="AP36" s="4">
        <f t="shared" ref="AP36" si="46">+AP35*AP30</f>
        <v>8264.7787958240515</v>
      </c>
      <c r="AQ36" s="4">
        <f t="shared" ref="AQ36" si="47">+AQ35*AQ30</f>
        <v>8678.0177356152526</v>
      </c>
      <c r="AR36" s="4">
        <f t="shared" ref="AR36" si="48">+AR35*AR30</f>
        <v>9111.9186223960169</v>
      </c>
      <c r="AS36" s="4">
        <f t="shared" ref="AS36" si="49">+AS35*AS30</f>
        <v>9567.514553515819</v>
      </c>
      <c r="AT36" s="4">
        <f t="shared" ref="AT36" si="50">+AT35*AT30</f>
        <v>10045.890281191609</v>
      </c>
      <c r="AU36" s="4">
        <f t="shared" ref="AU36" si="51">+AU35*AU30</f>
        <v>10548.184795251189</v>
      </c>
      <c r="AV36" s="4">
        <f t="shared" ref="AV36" si="52">+AV35*AV30</f>
        <v>11075.594035013748</v>
      </c>
      <c r="AW36" s="4">
        <f t="shared" ref="AW36" si="53">+AW35*AW30</f>
        <v>11629.373736764435</v>
      </c>
      <c r="AX36" s="4">
        <f t="shared" ref="AX36" si="54">+AX35*AX30</f>
        <v>12210.842423602657</v>
      </c>
      <c r="AY36" s="4">
        <f t="shared" ref="AY36" si="55">+AY35*AY30</f>
        <v>12821.38454478279</v>
      </c>
      <c r="AZ36" s="4">
        <f t="shared" ref="AZ36" si="56">+AZ35*AZ30</f>
        <v>13462.453772021929</v>
      </c>
      <c r="BA36" s="4">
        <f t="shared" ref="BA36" si="57">+BA35*BA30</f>
        <v>14135.576460623024</v>
      </c>
      <c r="BB36" s="4">
        <f t="shared" ref="BB36" si="58">+BB35*BB30</f>
        <v>14842.355283654175</v>
      </c>
      <c r="BC36" s="4">
        <f t="shared" ref="BC36" si="59">+BC35*BC30</f>
        <v>15584.473047836886</v>
      </c>
      <c r="BD36" s="4">
        <f t="shared" ref="BD36" si="60">+BD35*BD30</f>
        <v>16363.696700228729</v>
      </c>
      <c r="BE36" s="4">
        <f t="shared" ref="BE36" si="61">+BE35*BE30</f>
        <v>17181.881535240165</v>
      </c>
      <c r="BF36" s="4">
        <f t="shared" ref="BF36" si="62">+BF35*BF30</f>
        <v>18040.975612002178</v>
      </c>
    </row>
    <row r="37" spans="2:58" x14ac:dyDescent="0.25">
      <c r="B37" t="s">
        <v>11</v>
      </c>
      <c r="C37" s="4">
        <f>+C35-C36</f>
        <v>479.99999999999955</v>
      </c>
      <c r="D37" s="4">
        <f t="shared" ref="D37:K37" si="63">+D35-D36</f>
        <v>1046.1176470588236</v>
      </c>
      <c r="E37" s="4">
        <f t="shared" si="63"/>
        <v>1557.4472727272725</v>
      </c>
      <c r="F37" s="4">
        <f t="shared" si="63"/>
        <v>2040.7139999999999</v>
      </c>
      <c r="G37" s="4">
        <f t="shared" si="63"/>
        <v>2191.9989311999998</v>
      </c>
      <c r="H37" s="4">
        <f t="shared" si="63"/>
        <v>1929.0461299199997</v>
      </c>
      <c r="I37" s="4">
        <f>+I35-I36</f>
        <v>2200.3338997819628</v>
      </c>
      <c r="J37" s="4">
        <f t="shared" si="63"/>
        <v>2310.350594771061</v>
      </c>
      <c r="K37" s="4">
        <f t="shared" si="63"/>
        <v>2425.8681245096141</v>
      </c>
      <c r="L37" s="4">
        <f t="shared" ref="L37" si="64">+L35-L36</f>
        <v>2547.1615307350949</v>
      </c>
      <c r="M37" s="4">
        <f t="shared" ref="M37" si="65">+M35-M36</f>
        <v>2674.5196072718495</v>
      </c>
      <c r="N37" s="4">
        <f t="shared" ref="N37" si="66">+N35-N36</f>
        <v>2808.2455876354416</v>
      </c>
      <c r="O37" s="4">
        <f t="shared" ref="O37" si="67">+O35-O36</f>
        <v>2948.6578670172139</v>
      </c>
      <c r="P37" s="4">
        <f t="shared" ref="P37" si="68">+P35-P36</f>
        <v>3096.0907603680744</v>
      </c>
      <c r="Q37" s="4">
        <f t="shared" ref="Q37" si="69">+Q35-Q36</f>
        <v>3250.8952983864783</v>
      </c>
      <c r="R37" s="4">
        <f t="shared" ref="R37" si="70">+R35-R36</f>
        <v>3413.4400633058026</v>
      </c>
      <c r="S37" s="4">
        <f t="shared" ref="S37" si="71">+S35-S36</f>
        <v>3584.1120664710929</v>
      </c>
      <c r="T37" s="4">
        <f t="shared" ref="T37" si="72">+T35-T36</f>
        <v>3763.3176697946474</v>
      </c>
      <c r="U37" s="4">
        <f t="shared" ref="U37" si="73">+U35-U36</f>
        <v>3951.4835532843799</v>
      </c>
      <c r="V37" s="4">
        <f t="shared" ref="V37" si="74">+V35-V36</f>
        <v>4149.0577309485989</v>
      </c>
      <c r="W37" s="4">
        <f t="shared" ref="W37" si="75">+W35-W36</f>
        <v>4356.5106174960292</v>
      </c>
      <c r="X37" s="4">
        <f t="shared" ref="X37" si="76">+X35-X36</f>
        <v>4574.3361483708304</v>
      </c>
      <c r="Y37" s="4">
        <f t="shared" ref="Y37" si="77">+Y35-Y36</f>
        <v>4803.0529557893715</v>
      </c>
      <c r="Z37" s="4">
        <f t="shared" ref="Z37" si="78">+Z35-Z36</f>
        <v>5043.205603578841</v>
      </c>
      <c r="AA37" s="4">
        <f t="shared" ref="AA37" si="79">+AA35-AA36</f>
        <v>5295.3658837577823</v>
      </c>
      <c r="AB37" s="4">
        <f t="shared" ref="AB37" si="80">+AB35-AB36</f>
        <v>5560.1341779456725</v>
      </c>
      <c r="AC37" s="4">
        <f t="shared" ref="AC37" si="81">+AC35-AC36</f>
        <v>5838.1408868429553</v>
      </c>
      <c r="AD37" s="4">
        <f t="shared" ref="AD37" si="82">+AD35-AD36</f>
        <v>6130.0479311851041</v>
      </c>
      <c r="AE37" s="4">
        <f t="shared" ref="AE37" si="83">+AE35-AE36</f>
        <v>6436.5503277443595</v>
      </c>
      <c r="AF37" s="4">
        <f t="shared" ref="AF37" si="84">+AF35-AF36</f>
        <v>6758.3778441315771</v>
      </c>
      <c r="AG37" s="4">
        <f t="shared" ref="AG37" si="85">+AG35-AG36</f>
        <v>7096.2967363381558</v>
      </c>
      <c r="AH37" s="4">
        <f t="shared" ref="AH37" si="86">+AH35-AH36</f>
        <v>7451.1115731550635</v>
      </c>
      <c r="AI37" s="4">
        <f t="shared" ref="AI37" si="87">+AI35-AI36</f>
        <v>7823.6671518128169</v>
      </c>
      <c r="AJ37" s="4">
        <f t="shared" ref="AJ37" si="88">+AJ35-AJ36</f>
        <v>8214.8505094034572</v>
      </c>
      <c r="AK37" s="4">
        <f t="shared" ref="AK37" si="89">+AK35-AK36</f>
        <v>8625.5930348736292</v>
      </c>
      <c r="AL37" s="4">
        <f t="shared" ref="AL37" si="90">+AL35-AL36</f>
        <v>9056.8726866173129</v>
      </c>
      <c r="AM37" s="4">
        <f t="shared" ref="AM37" si="91">+AM35-AM36</f>
        <v>9509.7163209481769</v>
      </c>
      <c r="AN37" s="4">
        <f t="shared" ref="AN37" si="92">+AN35-AN36</f>
        <v>9985.2021369955874</v>
      </c>
      <c r="AO37" s="4">
        <f t="shared" ref="AO37" si="93">+AO35-AO36</f>
        <v>10484.462243845366</v>
      </c>
      <c r="AP37" s="4">
        <f t="shared" ref="AP37" si="94">+AP35-AP36</f>
        <v>11008.685356037633</v>
      </c>
      <c r="AQ37" s="4">
        <f t="shared" ref="AQ37" si="95">+AQ35-AQ36</f>
        <v>11559.119623839517</v>
      </c>
      <c r="AR37" s="4">
        <f t="shared" ref="AR37" si="96">+AR35-AR36</f>
        <v>12137.075605031492</v>
      </c>
      <c r="AS37" s="4">
        <f t="shared" ref="AS37" si="97">+AS35-AS36</f>
        <v>12743.929385283067</v>
      </c>
      <c r="AT37" s="4">
        <f t="shared" ref="AT37" si="98">+AT35-AT36</f>
        <v>13381.125854547223</v>
      </c>
      <c r="AU37" s="4">
        <f t="shared" ref="AU37" si="99">+AU35-AU36</f>
        <v>14050.182147274583</v>
      </c>
      <c r="AV37" s="4">
        <f t="shared" ref="AV37" si="100">+AV35-AV36</f>
        <v>14752.691254638312</v>
      </c>
      <c r="AW37" s="4">
        <f t="shared" ref="AW37" si="101">+AW35-AW36</f>
        <v>15490.325817370227</v>
      </c>
      <c r="AX37" s="4">
        <f t="shared" ref="AX37" si="102">+AX35-AX36</f>
        <v>16264.842108238738</v>
      </c>
      <c r="AY37" s="4">
        <f t="shared" ref="AY37" si="103">+AY35-AY36</f>
        <v>17078.084213650676</v>
      </c>
      <c r="AZ37" s="4">
        <f t="shared" ref="AZ37" si="104">+AZ35-AZ36</f>
        <v>17931.988424333205</v>
      </c>
      <c r="BA37" s="4">
        <f t="shared" ref="BA37" si="105">+BA35-BA36</f>
        <v>18828.587845549868</v>
      </c>
      <c r="BB37" s="4">
        <f t="shared" ref="BB37" si="106">+BB35-BB36</f>
        <v>19770.01723782736</v>
      </c>
      <c r="BC37" s="4">
        <f t="shared" ref="BC37" si="107">+BC35-BC36</f>
        <v>20758.518099718727</v>
      </c>
      <c r="BD37" s="4">
        <f t="shared" ref="BD37" si="108">+BD35-BD36</f>
        <v>21796.444004704666</v>
      </c>
      <c r="BE37" s="4">
        <f t="shared" ref="BE37" si="109">+BE35-BE36</f>
        <v>22886.2662049399</v>
      </c>
      <c r="BF37" s="4">
        <f t="shared" ref="BF37" si="110">+BF35-BF36</f>
        <v>24030.579515186895</v>
      </c>
    </row>
    <row r="38" spans="2:58" x14ac:dyDescent="0.25">
      <c r="B38" t="s">
        <v>68</v>
      </c>
      <c r="C38" s="4">
        <f>+C64*C25</f>
        <v>0</v>
      </c>
      <c r="D38" s="4">
        <f t="shared" ref="D38:BF38" si="111">+D64*D25</f>
        <v>78.986314669837554</v>
      </c>
      <c r="E38" s="4">
        <f t="shared" si="111"/>
        <v>182.39922956515875</v>
      </c>
      <c r="F38" s="4">
        <f t="shared" si="111"/>
        <v>332.58167364755656</v>
      </c>
      <c r="G38" s="4">
        <f t="shared" si="111"/>
        <v>484.5662743128255</v>
      </c>
      <c r="H38" s="4">
        <f t="shared" si="111"/>
        <v>532.36662676363608</v>
      </c>
      <c r="I38" s="4">
        <f t="shared" si="111"/>
        <v>561.64679123563599</v>
      </c>
      <c r="J38" s="4">
        <f t="shared" si="111"/>
        <v>589.72913079741784</v>
      </c>
      <c r="K38" s="4">
        <f t="shared" si="111"/>
        <v>619.21558733728875</v>
      </c>
      <c r="L38" s="4">
        <f t="shared" si="111"/>
        <v>650.17636670415311</v>
      </c>
      <c r="M38" s="4">
        <f t="shared" si="111"/>
        <v>682.68518503936093</v>
      </c>
      <c r="N38" s="4">
        <f t="shared" si="111"/>
        <v>716.81944429132898</v>
      </c>
      <c r="O38" s="4">
        <f t="shared" si="111"/>
        <v>752.66041650589545</v>
      </c>
      <c r="P38" s="4">
        <f t="shared" si="111"/>
        <v>790.29343733119026</v>
      </c>
      <c r="Q38" s="4">
        <f t="shared" si="111"/>
        <v>829.80810919774979</v>
      </c>
      <c r="R38" s="4">
        <f t="shared" si="111"/>
        <v>871.29851465763727</v>
      </c>
      <c r="S38" s="4">
        <f t="shared" si="111"/>
        <v>914.86344039051914</v>
      </c>
      <c r="T38" s="4">
        <f t="shared" si="111"/>
        <v>960.60661241004539</v>
      </c>
      <c r="U38" s="4">
        <f t="shared" si="111"/>
        <v>1008.6369430305475</v>
      </c>
      <c r="V38" s="4">
        <f t="shared" si="111"/>
        <v>1059.068790182075</v>
      </c>
      <c r="W38" s="4">
        <f t="shared" si="111"/>
        <v>1112.0222296911788</v>
      </c>
      <c r="X38" s="4">
        <f t="shared" si="111"/>
        <v>1167.6233411757378</v>
      </c>
      <c r="Y38" s="4">
        <f t="shared" si="111"/>
        <v>1226.0045082345246</v>
      </c>
      <c r="Z38" s="4">
        <f t="shared" si="111"/>
        <v>1287.304733646251</v>
      </c>
      <c r="AA38" s="4">
        <f t="shared" si="111"/>
        <v>1351.6699703285633</v>
      </c>
      <c r="AB38" s="4">
        <f t="shared" si="111"/>
        <v>1419.2534688449919</v>
      </c>
      <c r="AC38" s="4">
        <f t="shared" si="111"/>
        <v>1490.2161422872412</v>
      </c>
      <c r="AD38" s="4">
        <f t="shared" si="111"/>
        <v>1564.7269494016034</v>
      </c>
      <c r="AE38" s="4">
        <f t="shared" si="111"/>
        <v>1642.9632968716837</v>
      </c>
      <c r="AF38" s="4">
        <f t="shared" si="111"/>
        <v>1725.1114617152678</v>
      </c>
      <c r="AG38" s="4">
        <f t="shared" si="111"/>
        <v>1811.3670348010312</v>
      </c>
      <c r="AH38" s="4">
        <f t="shared" si="111"/>
        <v>1901.9353865410826</v>
      </c>
      <c r="AI38" s="4">
        <f t="shared" si="111"/>
        <v>1997.0321558681371</v>
      </c>
      <c r="AJ38" s="4">
        <f t="shared" si="111"/>
        <v>2096.8837636615435</v>
      </c>
      <c r="AK38" s="4">
        <f t="shared" si="111"/>
        <v>2201.7279518446203</v>
      </c>
      <c r="AL38" s="4">
        <f t="shared" si="111"/>
        <v>2311.8143494368524</v>
      </c>
      <c r="AM38" s="4">
        <f t="shared" si="111"/>
        <v>2427.4050669086946</v>
      </c>
      <c r="AN38" s="4">
        <f t="shared" si="111"/>
        <v>2548.7753202541294</v>
      </c>
      <c r="AO38" s="4">
        <f t="shared" si="111"/>
        <v>2676.2140862668357</v>
      </c>
      <c r="AP38" s="4">
        <f t="shared" si="111"/>
        <v>2810.0247905801771</v>
      </c>
      <c r="AQ38" s="4">
        <f t="shared" si="111"/>
        <v>2950.5260301091866</v>
      </c>
      <c r="AR38" s="4">
        <f t="shared" si="111"/>
        <v>3098.0523316146459</v>
      </c>
      <c r="AS38" s="4">
        <f t="shared" si="111"/>
        <v>3252.9549481953782</v>
      </c>
      <c r="AT38" s="4">
        <f t="shared" si="111"/>
        <v>3415.6026956051478</v>
      </c>
      <c r="AU38" s="4">
        <f t="shared" si="111"/>
        <v>3586.3828303854052</v>
      </c>
      <c r="AV38" s="4">
        <f t="shared" si="111"/>
        <v>3765.7019719046752</v>
      </c>
      <c r="AW38" s="4">
        <f t="shared" si="111"/>
        <v>3953.9870704999084</v>
      </c>
      <c r="AX38" s="4">
        <f t="shared" si="111"/>
        <v>4151.6864240249042</v>
      </c>
      <c r="AY38" s="4">
        <f t="shared" si="111"/>
        <v>4359.2707452261493</v>
      </c>
      <c r="AZ38" s="4">
        <f t="shared" si="111"/>
        <v>4577.2342824874559</v>
      </c>
      <c r="BA38" s="4">
        <f t="shared" si="111"/>
        <v>4806.0959966118289</v>
      </c>
      <c r="BB38" s="4">
        <f t="shared" si="111"/>
        <v>5046.4007964424209</v>
      </c>
      <c r="BC38" s="4">
        <f t="shared" si="111"/>
        <v>5298.7208362645415</v>
      </c>
      <c r="BD38" s="4">
        <f t="shared" si="111"/>
        <v>5563.6568780777689</v>
      </c>
      <c r="BE38" s="4">
        <f t="shared" si="111"/>
        <v>5841.8397219816579</v>
      </c>
      <c r="BF38" s="4">
        <f t="shared" si="111"/>
        <v>6133.9317080807396</v>
      </c>
    </row>
    <row r="39" spans="2:58" x14ac:dyDescent="0.25">
      <c r="B39" t="s">
        <v>69</v>
      </c>
      <c r="C39" s="4">
        <f>+C38*C31</f>
        <v>0</v>
      </c>
      <c r="D39" s="4">
        <f t="shared" ref="D39:BF39" si="112">+D38*D31</f>
        <v>15.797262933967511</v>
      </c>
      <c r="E39" s="4">
        <f t="shared" si="112"/>
        <v>36.479845913031753</v>
      </c>
      <c r="F39" s="4">
        <f t="shared" si="112"/>
        <v>66.516334729511314</v>
      </c>
      <c r="G39" s="4">
        <f t="shared" si="112"/>
        <v>96.913254862565111</v>
      </c>
      <c r="H39" s="4">
        <f t="shared" si="112"/>
        <v>106.47332535272722</v>
      </c>
      <c r="I39" s="4">
        <f t="shared" si="112"/>
        <v>112.3293582471272</v>
      </c>
      <c r="J39" s="4">
        <f t="shared" si="112"/>
        <v>117.94582615948357</v>
      </c>
      <c r="K39" s="4">
        <f t="shared" si="112"/>
        <v>123.84311746745776</v>
      </c>
      <c r="L39" s="4">
        <f t="shared" si="112"/>
        <v>130.03527334083063</v>
      </c>
      <c r="M39" s="4">
        <f t="shared" si="112"/>
        <v>136.53703700787219</v>
      </c>
      <c r="N39" s="4">
        <f t="shared" si="112"/>
        <v>143.3638888582658</v>
      </c>
      <c r="O39" s="4">
        <f t="shared" si="112"/>
        <v>150.53208330117909</v>
      </c>
      <c r="P39" s="4">
        <f t="shared" si="112"/>
        <v>158.05868746623807</v>
      </c>
      <c r="Q39" s="4">
        <f t="shared" si="112"/>
        <v>165.96162183954996</v>
      </c>
      <c r="R39" s="4">
        <f t="shared" si="112"/>
        <v>174.25970293152747</v>
      </c>
      <c r="S39" s="4">
        <f t="shared" si="112"/>
        <v>182.97268807810383</v>
      </c>
      <c r="T39" s="4">
        <f t="shared" si="112"/>
        <v>192.12132248200908</v>
      </c>
      <c r="U39" s="4">
        <f t="shared" si="112"/>
        <v>201.72738860610951</v>
      </c>
      <c r="V39" s="4">
        <f t="shared" si="112"/>
        <v>211.81375803641501</v>
      </c>
      <c r="W39" s="4">
        <f t="shared" si="112"/>
        <v>222.40444593823577</v>
      </c>
      <c r="X39" s="4">
        <f t="shared" si="112"/>
        <v>233.52466823514757</v>
      </c>
      <c r="Y39" s="4">
        <f t="shared" si="112"/>
        <v>245.20090164690492</v>
      </c>
      <c r="Z39" s="4">
        <f t="shared" si="112"/>
        <v>257.46094672925022</v>
      </c>
      <c r="AA39" s="4">
        <f t="shared" si="112"/>
        <v>270.33399406571266</v>
      </c>
      <c r="AB39" s="4">
        <f t="shared" si="112"/>
        <v>283.85069376899838</v>
      </c>
      <c r="AC39" s="4">
        <f t="shared" si="112"/>
        <v>298.04322845744827</v>
      </c>
      <c r="AD39" s="4">
        <f t="shared" si="112"/>
        <v>312.9453898803207</v>
      </c>
      <c r="AE39" s="4">
        <f t="shared" si="112"/>
        <v>328.59265937433679</v>
      </c>
      <c r="AF39" s="4">
        <f t="shared" si="112"/>
        <v>345.02229234305355</v>
      </c>
      <c r="AG39" s="4">
        <f t="shared" si="112"/>
        <v>362.27340696020627</v>
      </c>
      <c r="AH39" s="4">
        <f t="shared" si="112"/>
        <v>380.38707730821653</v>
      </c>
      <c r="AI39" s="4">
        <f t="shared" si="112"/>
        <v>399.40643117362742</v>
      </c>
      <c r="AJ39" s="4">
        <f t="shared" si="112"/>
        <v>419.37675273230872</v>
      </c>
      <c r="AK39" s="4">
        <f t="shared" si="112"/>
        <v>440.34559036892409</v>
      </c>
      <c r="AL39" s="4">
        <f t="shared" si="112"/>
        <v>462.36286988737049</v>
      </c>
      <c r="AM39" s="4">
        <f t="shared" si="112"/>
        <v>485.48101338173893</v>
      </c>
      <c r="AN39" s="4">
        <f t="shared" si="112"/>
        <v>509.75506405082592</v>
      </c>
      <c r="AO39" s="4">
        <f t="shared" si="112"/>
        <v>535.24281725336721</v>
      </c>
      <c r="AP39" s="4">
        <f t="shared" si="112"/>
        <v>562.00495811603548</v>
      </c>
      <c r="AQ39" s="4">
        <f t="shared" si="112"/>
        <v>590.10520602183738</v>
      </c>
      <c r="AR39" s="4">
        <f t="shared" si="112"/>
        <v>619.61046632292926</v>
      </c>
      <c r="AS39" s="4">
        <f t="shared" si="112"/>
        <v>650.5909896390757</v>
      </c>
      <c r="AT39" s="4">
        <f t="shared" si="112"/>
        <v>683.12053912102965</v>
      </c>
      <c r="AU39" s="4">
        <f t="shared" si="112"/>
        <v>717.27656607708104</v>
      </c>
      <c r="AV39" s="4">
        <f t="shared" si="112"/>
        <v>753.14039438093505</v>
      </c>
      <c r="AW39" s="4">
        <f t="shared" si="112"/>
        <v>790.79741409998178</v>
      </c>
      <c r="AX39" s="4">
        <f t="shared" si="112"/>
        <v>830.33728480498087</v>
      </c>
      <c r="AY39" s="4">
        <f t="shared" si="112"/>
        <v>871.85414904522986</v>
      </c>
      <c r="AZ39" s="4">
        <f t="shared" si="112"/>
        <v>915.44685649749124</v>
      </c>
      <c r="BA39" s="4">
        <f t="shared" si="112"/>
        <v>961.21919932236585</v>
      </c>
      <c r="BB39" s="4">
        <f t="shared" si="112"/>
        <v>1009.2801592884842</v>
      </c>
      <c r="BC39" s="4">
        <f t="shared" si="112"/>
        <v>1059.7441672529083</v>
      </c>
      <c r="BD39" s="4">
        <f t="shared" si="112"/>
        <v>1112.7313756155538</v>
      </c>
      <c r="BE39" s="4">
        <f t="shared" si="112"/>
        <v>1168.3679443963317</v>
      </c>
      <c r="BF39" s="4">
        <f t="shared" si="112"/>
        <v>1226.7863416161479</v>
      </c>
    </row>
    <row r="40" spans="2:58" x14ac:dyDescent="0.25">
      <c r="B40" t="s">
        <v>70</v>
      </c>
      <c r="C40" s="4">
        <f>+D64-C64</f>
        <v>1128.3759238548221</v>
      </c>
      <c r="D40" s="4">
        <f t="shared" ref="D40:BF40" si="113">+E64-D64</f>
        <v>1303.6138036806281</v>
      </c>
      <c r="E40" s="4">
        <f t="shared" si="113"/>
        <v>1725.2811930590065</v>
      </c>
      <c r="F40" s="4">
        <f t="shared" si="113"/>
        <v>1543.5087772034904</v>
      </c>
      <c r="G40" s="4">
        <f t="shared" si="113"/>
        <v>562.35708765659456</v>
      </c>
      <c r="H40" s="4">
        <f t="shared" si="113"/>
        <v>344.47252319999916</v>
      </c>
      <c r="I40" s="4">
        <f t="shared" si="113"/>
        <v>330.38046543272776</v>
      </c>
      <c r="J40" s="4">
        <f t="shared" si="113"/>
        <v>346.89948870436365</v>
      </c>
      <c r="K40" s="4">
        <f t="shared" si="113"/>
        <v>364.24446313958106</v>
      </c>
      <c r="L40" s="4">
        <f t="shared" si="113"/>
        <v>382.45668629656211</v>
      </c>
      <c r="M40" s="4">
        <f t="shared" si="113"/>
        <v>401.57952061138894</v>
      </c>
      <c r="N40" s="4">
        <f t="shared" si="113"/>
        <v>421.65849664195775</v>
      </c>
      <c r="O40" s="4">
        <f t="shared" si="113"/>
        <v>442.74142147405655</v>
      </c>
      <c r="P40" s="4">
        <f t="shared" si="113"/>
        <v>464.87849254775938</v>
      </c>
      <c r="Q40" s="4">
        <f t="shared" si="113"/>
        <v>488.12241717514735</v>
      </c>
      <c r="R40" s="4">
        <f t="shared" si="113"/>
        <v>512.52853803390462</v>
      </c>
      <c r="S40" s="4">
        <f t="shared" si="113"/>
        <v>538.15496493560204</v>
      </c>
      <c r="T40" s="4">
        <f t="shared" si="113"/>
        <v>565.0627131823785</v>
      </c>
      <c r="U40" s="4">
        <f t="shared" si="113"/>
        <v>593.31584884149925</v>
      </c>
      <c r="V40" s="4">
        <f t="shared" si="113"/>
        <v>622.9816412835753</v>
      </c>
      <c r="W40" s="4">
        <f t="shared" si="113"/>
        <v>654.13072334775097</v>
      </c>
      <c r="X40" s="4">
        <f t="shared" si="113"/>
        <v>686.83725951513952</v>
      </c>
      <c r="Y40" s="4">
        <f t="shared" si="113"/>
        <v>721.1791224908975</v>
      </c>
      <c r="Z40" s="4">
        <f t="shared" si="113"/>
        <v>757.23807861543901</v>
      </c>
      <c r="AA40" s="4">
        <f t="shared" si="113"/>
        <v>795.0999825462186</v>
      </c>
      <c r="AB40" s="4">
        <f t="shared" si="113"/>
        <v>834.85498167352125</v>
      </c>
      <c r="AC40" s="4">
        <f t="shared" si="113"/>
        <v>876.59773075720295</v>
      </c>
      <c r="AD40" s="4">
        <f t="shared" si="113"/>
        <v>920.4276172950631</v>
      </c>
      <c r="AE40" s="4">
        <f t="shared" si="113"/>
        <v>966.44899815981262</v>
      </c>
      <c r="AF40" s="4">
        <f t="shared" si="113"/>
        <v>1014.7714480678042</v>
      </c>
      <c r="AG40" s="4">
        <f t="shared" si="113"/>
        <v>1065.5100204711925</v>
      </c>
      <c r="AH40" s="4">
        <f t="shared" si="113"/>
        <v>1118.7855214947595</v>
      </c>
      <c r="AI40" s="4">
        <f t="shared" si="113"/>
        <v>1174.7247975694881</v>
      </c>
      <c r="AJ40" s="4">
        <f t="shared" si="113"/>
        <v>1233.4610374479635</v>
      </c>
      <c r="AK40" s="4">
        <f t="shared" si="113"/>
        <v>1295.1340893203742</v>
      </c>
      <c r="AL40" s="4">
        <f t="shared" si="113"/>
        <v>1359.8907937863805</v>
      </c>
      <c r="AM40" s="4">
        <f t="shared" si="113"/>
        <v>1427.8853334757005</v>
      </c>
      <c r="AN40" s="4">
        <f t="shared" si="113"/>
        <v>1499.2796001494862</v>
      </c>
      <c r="AO40" s="4">
        <f t="shared" si="113"/>
        <v>1574.2435801569591</v>
      </c>
      <c r="AP40" s="4">
        <f t="shared" si="113"/>
        <v>1652.955759164819</v>
      </c>
      <c r="AQ40" s="4">
        <f t="shared" si="113"/>
        <v>1735.6035471230498</v>
      </c>
      <c r="AR40" s="4">
        <f t="shared" si="113"/>
        <v>1822.3837244792012</v>
      </c>
      <c r="AS40" s="4">
        <f t="shared" si="113"/>
        <v>1913.5029107031733</v>
      </c>
      <c r="AT40" s="4">
        <f t="shared" si="113"/>
        <v>2009.178056238321</v>
      </c>
      <c r="AU40" s="4">
        <f t="shared" si="113"/>
        <v>2109.6369590502363</v>
      </c>
      <c r="AV40" s="4">
        <f t="shared" si="113"/>
        <v>2215.118807002742</v>
      </c>
      <c r="AW40" s="4">
        <f t="shared" si="113"/>
        <v>2325.8747473528929</v>
      </c>
      <c r="AX40" s="4">
        <f t="shared" si="113"/>
        <v>2442.1684847205324</v>
      </c>
      <c r="AY40" s="4">
        <f t="shared" si="113"/>
        <v>2564.2769089565409</v>
      </c>
      <c r="AZ40" s="4">
        <f t="shared" si="113"/>
        <v>2692.4907544043963</v>
      </c>
      <c r="BA40" s="4">
        <f t="shared" si="113"/>
        <v>2827.115292124603</v>
      </c>
      <c r="BB40" s="4">
        <f t="shared" si="113"/>
        <v>2968.4710567308357</v>
      </c>
      <c r="BC40" s="4">
        <f t="shared" si="113"/>
        <v>3116.8946095673818</v>
      </c>
      <c r="BD40" s="4">
        <f t="shared" si="113"/>
        <v>3272.7393400457513</v>
      </c>
      <c r="BE40" s="4">
        <f t="shared" si="113"/>
        <v>3436.37630704802</v>
      </c>
      <c r="BF40" s="4">
        <f t="shared" si="113"/>
        <v>-72163.902448008696</v>
      </c>
    </row>
    <row r="41" spans="2:58" x14ac:dyDescent="0.25">
      <c r="B41" t="s">
        <v>71</v>
      </c>
      <c r="C41" s="4">
        <f>+C37-C38+C39+C40</f>
        <v>1608.3759238548216</v>
      </c>
      <c r="D41" s="4">
        <f t="shared" ref="D41:BF41" si="114">+D37-D38+D39+D40</f>
        <v>2286.5423990035815</v>
      </c>
      <c r="E41" s="4">
        <f t="shared" si="114"/>
        <v>3136.809082134152</v>
      </c>
      <c r="F41" s="4">
        <f t="shared" si="114"/>
        <v>3318.1574382854451</v>
      </c>
      <c r="G41" s="4">
        <f t="shared" si="114"/>
        <v>2366.7029994063341</v>
      </c>
      <c r="H41" s="4">
        <f t="shared" si="114"/>
        <v>1847.62535170909</v>
      </c>
      <c r="I41" s="4">
        <f t="shared" si="114"/>
        <v>2081.3969322261819</v>
      </c>
      <c r="J41" s="4">
        <f t="shared" si="114"/>
        <v>2185.4667788374904</v>
      </c>
      <c r="K41" s="4">
        <f t="shared" si="114"/>
        <v>2294.740117779364</v>
      </c>
      <c r="L41" s="4">
        <f t="shared" si="114"/>
        <v>2409.4771236683346</v>
      </c>
      <c r="M41" s="4">
        <f t="shared" si="114"/>
        <v>2529.9509798517497</v>
      </c>
      <c r="N41" s="4">
        <f t="shared" si="114"/>
        <v>2656.4485288443361</v>
      </c>
      <c r="O41" s="4">
        <f t="shared" si="114"/>
        <v>2789.2709552865545</v>
      </c>
      <c r="P41" s="4">
        <f t="shared" si="114"/>
        <v>2928.7345030508818</v>
      </c>
      <c r="Q41" s="4">
        <f t="shared" si="114"/>
        <v>3075.1712282034259</v>
      </c>
      <c r="R41" s="4">
        <f t="shared" si="114"/>
        <v>3228.9297896135977</v>
      </c>
      <c r="S41" s="4">
        <f t="shared" si="114"/>
        <v>3390.3762790942792</v>
      </c>
      <c r="T41" s="4">
        <f t="shared" si="114"/>
        <v>3559.8950930489896</v>
      </c>
      <c r="U41" s="4">
        <f t="shared" si="114"/>
        <v>3737.8898477014409</v>
      </c>
      <c r="V41" s="4">
        <f t="shared" si="114"/>
        <v>3924.7843400865145</v>
      </c>
      <c r="W41" s="4">
        <f t="shared" si="114"/>
        <v>4121.0235570908371</v>
      </c>
      <c r="X41" s="4">
        <f t="shared" si="114"/>
        <v>4327.0747349453795</v>
      </c>
      <c r="Y41" s="4">
        <f t="shared" si="114"/>
        <v>4543.4284716926495</v>
      </c>
      <c r="Z41" s="4">
        <f t="shared" si="114"/>
        <v>4770.5998952772788</v>
      </c>
      <c r="AA41" s="4">
        <f t="shared" si="114"/>
        <v>5009.1298900411502</v>
      </c>
      <c r="AB41" s="4">
        <f t="shared" si="114"/>
        <v>5259.5863845431995</v>
      </c>
      <c r="AC41" s="4">
        <f t="shared" si="114"/>
        <v>5522.565703770365</v>
      </c>
      <c r="AD41" s="4">
        <f t="shared" si="114"/>
        <v>5798.6939889588839</v>
      </c>
      <c r="AE41" s="4">
        <f t="shared" si="114"/>
        <v>6088.6286884068249</v>
      </c>
      <c r="AF41" s="4">
        <f t="shared" si="114"/>
        <v>6393.0601228271671</v>
      </c>
      <c r="AG41" s="4">
        <f t="shared" si="114"/>
        <v>6712.713128968524</v>
      </c>
      <c r="AH41" s="4">
        <f t="shared" si="114"/>
        <v>7048.3487854169562</v>
      </c>
      <c r="AI41" s="4">
        <f t="shared" si="114"/>
        <v>7400.7662246877953</v>
      </c>
      <c r="AJ41" s="4">
        <f t="shared" si="114"/>
        <v>7770.804535922186</v>
      </c>
      <c r="AK41" s="4">
        <f t="shared" si="114"/>
        <v>8159.3447627183068</v>
      </c>
      <c r="AL41" s="4">
        <f t="shared" si="114"/>
        <v>8567.3120008542119</v>
      </c>
      <c r="AM41" s="4">
        <f t="shared" si="114"/>
        <v>8995.6776008969209</v>
      </c>
      <c r="AN41" s="4">
        <f t="shared" si="114"/>
        <v>9445.461480941769</v>
      </c>
      <c r="AO41" s="4">
        <f t="shared" si="114"/>
        <v>9917.734554988856</v>
      </c>
      <c r="AP41" s="4">
        <f t="shared" si="114"/>
        <v>10413.62128273831</v>
      </c>
      <c r="AQ41" s="4">
        <f t="shared" si="114"/>
        <v>10934.302346875216</v>
      </c>
      <c r="AR41" s="4">
        <f t="shared" si="114"/>
        <v>11481.017464218976</v>
      </c>
      <c r="AS41" s="4">
        <f t="shared" si="114"/>
        <v>12055.068337429937</v>
      </c>
      <c r="AT41" s="4">
        <f t="shared" si="114"/>
        <v>12657.821754301425</v>
      </c>
      <c r="AU41" s="4">
        <f t="shared" si="114"/>
        <v>13290.712842016495</v>
      </c>
      <c r="AV41" s="4">
        <f t="shared" si="114"/>
        <v>13955.248484117314</v>
      </c>
      <c r="AW41" s="4">
        <f t="shared" si="114"/>
        <v>14653.010908323193</v>
      </c>
      <c r="AX41" s="4">
        <f t="shared" si="114"/>
        <v>15385.661453739347</v>
      </c>
      <c r="AY41" s="4">
        <f t="shared" si="114"/>
        <v>16154.944526426298</v>
      </c>
      <c r="AZ41" s="4">
        <f t="shared" si="114"/>
        <v>16962.691752747636</v>
      </c>
      <c r="BA41" s="4">
        <f t="shared" si="114"/>
        <v>17810.826340385007</v>
      </c>
      <c r="BB41" s="4">
        <f t="shared" si="114"/>
        <v>18701.367657404262</v>
      </c>
      <c r="BC41" s="4">
        <f t="shared" si="114"/>
        <v>19636.436040274475</v>
      </c>
      <c r="BD41" s="4">
        <f t="shared" si="114"/>
        <v>20618.257842288203</v>
      </c>
      <c r="BE41" s="4">
        <f t="shared" si="114"/>
        <v>21649.170734402593</v>
      </c>
      <c r="BF41" s="4">
        <f t="shared" si="114"/>
        <v>-53040.468299286389</v>
      </c>
    </row>
    <row r="42" spans="2:58" x14ac:dyDescent="0.25">
      <c r="B42" s="4" t="str">
        <f>+B52</f>
        <v>Dividend</v>
      </c>
      <c r="C42" s="4">
        <f t="shared" ref="C42:H42" si="115">+C52</f>
        <v>1608.3759238548228</v>
      </c>
      <c r="D42" s="4">
        <f t="shared" ref="D42:BF42" si="116">+D52</f>
        <v>2286.5423990035829</v>
      </c>
      <c r="E42" s="4">
        <f t="shared" si="116"/>
        <v>2877.3606163478726</v>
      </c>
      <c r="F42" s="4">
        <f t="shared" si="116"/>
        <v>2999.0770610819541</v>
      </c>
      <c r="G42" s="4">
        <f t="shared" si="116"/>
        <v>2366.7029994063355</v>
      </c>
      <c r="H42" s="4">
        <f t="shared" si="116"/>
        <v>1847.6253517090904</v>
      </c>
      <c r="I42" s="4">
        <f t="shared" si="116"/>
        <v>2081.3969322261828</v>
      </c>
      <c r="J42" s="4">
        <f t="shared" si="116"/>
        <v>2185.46677883749</v>
      </c>
      <c r="K42" s="4">
        <f t="shared" si="116"/>
        <v>2294.740117779364</v>
      </c>
      <c r="L42" s="4">
        <f t="shared" si="116"/>
        <v>2409.477123668335</v>
      </c>
      <c r="M42" s="4">
        <f t="shared" si="116"/>
        <v>2529.9509798517493</v>
      </c>
      <c r="N42" s="4">
        <f t="shared" si="116"/>
        <v>2656.4485288443384</v>
      </c>
      <c r="O42" s="4">
        <f t="shared" si="116"/>
        <v>2789.2709552865517</v>
      </c>
      <c r="P42" s="4">
        <f t="shared" si="116"/>
        <v>2928.7345030508795</v>
      </c>
      <c r="Q42" s="4">
        <f t="shared" si="116"/>
        <v>3075.1712282034232</v>
      </c>
      <c r="R42" s="4">
        <f t="shared" si="116"/>
        <v>3228.9297896135959</v>
      </c>
      <c r="S42" s="4">
        <f t="shared" si="116"/>
        <v>3390.3762790942819</v>
      </c>
      <c r="T42" s="4">
        <f t="shared" si="116"/>
        <v>3559.8950930489864</v>
      </c>
      <c r="U42" s="4">
        <f t="shared" si="116"/>
        <v>3737.8898477014445</v>
      </c>
      <c r="V42" s="4">
        <f t="shared" si="116"/>
        <v>3924.7843400865122</v>
      </c>
      <c r="W42" s="4">
        <f t="shared" si="116"/>
        <v>4121.0235570908426</v>
      </c>
      <c r="X42" s="4">
        <f t="shared" si="116"/>
        <v>4327.0747349453795</v>
      </c>
      <c r="Y42" s="4">
        <f t="shared" si="116"/>
        <v>4543.4284716926459</v>
      </c>
      <c r="Z42" s="4">
        <f t="shared" si="116"/>
        <v>4770.5998952772761</v>
      </c>
      <c r="AA42" s="4">
        <f t="shared" si="116"/>
        <v>5009.1298900411475</v>
      </c>
      <c r="AB42" s="4">
        <f t="shared" si="116"/>
        <v>5259.5863845432086</v>
      </c>
      <c r="AC42" s="4">
        <f t="shared" si="116"/>
        <v>5522.5657037703677</v>
      </c>
      <c r="AD42" s="4">
        <f t="shared" si="116"/>
        <v>5798.6939889588866</v>
      </c>
      <c r="AE42" s="4">
        <f t="shared" si="116"/>
        <v>6088.6286884068159</v>
      </c>
      <c r="AF42" s="4">
        <f t="shared" si="116"/>
        <v>6393.060122827168</v>
      </c>
      <c r="AG42" s="4">
        <f t="shared" si="116"/>
        <v>6712.7131289685185</v>
      </c>
      <c r="AH42" s="4">
        <f t="shared" si="116"/>
        <v>7048.3487854169598</v>
      </c>
      <c r="AI42" s="4">
        <f t="shared" si="116"/>
        <v>7400.7662246878008</v>
      </c>
      <c r="AJ42" s="4">
        <f t="shared" si="116"/>
        <v>7770.8045359221724</v>
      </c>
      <c r="AK42" s="4">
        <f t="shared" si="116"/>
        <v>8159.344762718305</v>
      </c>
      <c r="AL42" s="4">
        <f t="shared" si="116"/>
        <v>8567.3120008542228</v>
      </c>
      <c r="AM42" s="4">
        <f t="shared" si="116"/>
        <v>8995.6776008969173</v>
      </c>
      <c r="AN42" s="4">
        <f t="shared" si="116"/>
        <v>9445.4614809417781</v>
      </c>
      <c r="AO42" s="4">
        <f t="shared" si="116"/>
        <v>9917.7345549888705</v>
      </c>
      <c r="AP42" s="4">
        <f t="shared" si="116"/>
        <v>10413.621282738295</v>
      </c>
      <c r="AQ42" s="4">
        <f t="shared" si="116"/>
        <v>10934.302346875189</v>
      </c>
      <c r="AR42" s="4">
        <f t="shared" si="116"/>
        <v>11481.017464218989</v>
      </c>
      <c r="AS42" s="4">
        <f t="shared" si="116"/>
        <v>12055.068337429948</v>
      </c>
      <c r="AT42" s="4">
        <f t="shared" si="116"/>
        <v>12657.8217543014</v>
      </c>
      <c r="AU42" s="4">
        <f t="shared" si="116"/>
        <v>13290.712842016532</v>
      </c>
      <c r="AV42" s="4">
        <f t="shared" si="116"/>
        <v>13955.248484117292</v>
      </c>
      <c r="AW42" s="4">
        <f t="shared" si="116"/>
        <v>14653.01090832322</v>
      </c>
      <c r="AX42" s="4">
        <f t="shared" si="116"/>
        <v>15385.66145373934</v>
      </c>
      <c r="AY42" s="4">
        <f t="shared" si="116"/>
        <v>16154.944526426319</v>
      </c>
      <c r="AZ42" s="4">
        <f t="shared" si="116"/>
        <v>16962.691752747582</v>
      </c>
      <c r="BA42" s="4">
        <f t="shared" si="116"/>
        <v>17810.826340385036</v>
      </c>
      <c r="BB42" s="4">
        <f t="shared" si="116"/>
        <v>18701.367657404255</v>
      </c>
      <c r="BC42" s="4">
        <f t="shared" si="116"/>
        <v>19636.436040274486</v>
      </c>
      <c r="BD42" s="4">
        <f t="shared" si="116"/>
        <v>20618.257842288229</v>
      </c>
      <c r="BE42" s="4">
        <f t="shared" si="116"/>
        <v>21649.170734402593</v>
      </c>
      <c r="BF42" s="4"/>
    </row>
    <row r="43" spans="2:58" x14ac:dyDescent="0.25">
      <c r="B43" t="s">
        <v>84</v>
      </c>
      <c r="C43" s="4">
        <f>+D65-C65-C53</f>
        <v>0</v>
      </c>
      <c r="D43" s="4">
        <f t="shared" ref="D43:BF43" si="117">+E65-D65-D53</f>
        <v>0</v>
      </c>
      <c r="E43" s="4">
        <f t="shared" si="117"/>
        <v>-259.44846578627948</v>
      </c>
      <c r="F43" s="4">
        <f t="shared" si="117"/>
        <v>-319.08037720349057</v>
      </c>
      <c r="G43" s="4">
        <f t="shared" si="117"/>
        <v>0</v>
      </c>
      <c r="H43" s="4">
        <f t="shared" si="117"/>
        <v>0</v>
      </c>
      <c r="I43" s="4">
        <f t="shared" si="117"/>
        <v>0</v>
      </c>
      <c r="J43" s="4">
        <f t="shared" si="117"/>
        <v>0</v>
      </c>
      <c r="K43" s="4">
        <f t="shared" si="117"/>
        <v>0</v>
      </c>
      <c r="L43" s="4">
        <f t="shared" si="117"/>
        <v>0</v>
      </c>
      <c r="M43" s="4">
        <f t="shared" si="117"/>
        <v>0</v>
      </c>
      <c r="N43" s="4">
        <f t="shared" si="117"/>
        <v>0</v>
      </c>
      <c r="O43" s="4">
        <f t="shared" si="117"/>
        <v>0</v>
      </c>
      <c r="P43" s="4">
        <f t="shared" si="117"/>
        <v>0</v>
      </c>
      <c r="Q43" s="4">
        <f t="shared" si="117"/>
        <v>0</v>
      </c>
      <c r="R43" s="4">
        <f t="shared" si="117"/>
        <v>0</v>
      </c>
      <c r="S43" s="4">
        <f t="shared" si="117"/>
        <v>0</v>
      </c>
      <c r="T43" s="4">
        <f t="shared" si="117"/>
        <v>0</v>
      </c>
      <c r="U43" s="4">
        <f t="shared" si="117"/>
        <v>0</v>
      </c>
      <c r="V43" s="4">
        <f t="shared" si="117"/>
        <v>0</v>
      </c>
      <c r="W43" s="4">
        <f t="shared" si="117"/>
        <v>0</v>
      </c>
      <c r="X43" s="4">
        <f t="shared" si="117"/>
        <v>0</v>
      </c>
      <c r="Y43" s="4">
        <f t="shared" si="117"/>
        <v>0</v>
      </c>
      <c r="Z43" s="4">
        <f t="shared" si="117"/>
        <v>0</v>
      </c>
      <c r="AA43" s="4">
        <f t="shared" si="117"/>
        <v>0</v>
      </c>
      <c r="AB43" s="4">
        <f t="shared" si="117"/>
        <v>0</v>
      </c>
      <c r="AC43" s="4">
        <f t="shared" si="117"/>
        <v>0</v>
      </c>
      <c r="AD43" s="4">
        <f t="shared" si="117"/>
        <v>0</v>
      </c>
      <c r="AE43" s="4">
        <f t="shared" si="117"/>
        <v>0</v>
      </c>
      <c r="AF43" s="4">
        <f t="shared" si="117"/>
        <v>0</v>
      </c>
      <c r="AG43" s="4">
        <f t="shared" si="117"/>
        <v>0</v>
      </c>
      <c r="AH43" s="4">
        <f t="shared" si="117"/>
        <v>0</v>
      </c>
      <c r="AI43" s="4">
        <f t="shared" si="117"/>
        <v>0</v>
      </c>
      <c r="AJ43" s="4">
        <f t="shared" si="117"/>
        <v>0</v>
      </c>
      <c r="AK43" s="4">
        <f t="shared" si="117"/>
        <v>0</v>
      </c>
      <c r="AL43" s="4">
        <f t="shared" si="117"/>
        <v>0</v>
      </c>
      <c r="AM43" s="4">
        <f t="shared" si="117"/>
        <v>0</v>
      </c>
      <c r="AN43" s="4">
        <f t="shared" si="117"/>
        <v>0</v>
      </c>
      <c r="AO43" s="4">
        <f t="shared" si="117"/>
        <v>0</v>
      </c>
      <c r="AP43" s="4">
        <f t="shared" si="117"/>
        <v>0</v>
      </c>
      <c r="AQ43" s="4">
        <f t="shared" si="117"/>
        <v>0</v>
      </c>
      <c r="AR43" s="4">
        <f t="shared" si="117"/>
        <v>0</v>
      </c>
      <c r="AS43" s="4">
        <f t="shared" si="117"/>
        <v>0</v>
      </c>
      <c r="AT43" s="4">
        <f t="shared" si="117"/>
        <v>0</v>
      </c>
      <c r="AU43" s="4">
        <f t="shared" si="117"/>
        <v>0</v>
      </c>
      <c r="AV43" s="4">
        <f t="shared" si="117"/>
        <v>0</v>
      </c>
      <c r="AW43" s="4">
        <f t="shared" si="117"/>
        <v>0</v>
      </c>
      <c r="AX43" s="4">
        <f t="shared" si="117"/>
        <v>0</v>
      </c>
      <c r="AY43" s="4">
        <f t="shared" si="117"/>
        <v>0</v>
      </c>
      <c r="AZ43" s="4">
        <f t="shared" si="117"/>
        <v>0</v>
      </c>
      <c r="BA43" s="4">
        <f t="shared" si="117"/>
        <v>0</v>
      </c>
      <c r="BB43" s="4">
        <f t="shared" si="117"/>
        <v>0</v>
      </c>
      <c r="BC43" s="4">
        <f t="shared" si="117"/>
        <v>0</v>
      </c>
      <c r="BD43" s="4">
        <f t="shared" si="117"/>
        <v>0</v>
      </c>
      <c r="BE43" s="4">
        <f t="shared" si="117"/>
        <v>0</v>
      </c>
      <c r="BF43" s="4"/>
    </row>
    <row r="44" spans="2:58" x14ac:dyDescent="0.25">
      <c r="B44" t="s">
        <v>85</v>
      </c>
      <c r="C44" s="4">
        <f>+C41-C42+C43</f>
        <v>-1.1368683772161603E-12</v>
      </c>
      <c r="D44" s="4">
        <f t="shared" ref="D44:BF44" si="118">+D41-D42+D43</f>
        <v>-1.3642420526593924E-12</v>
      </c>
      <c r="E44" s="4">
        <f t="shared" si="118"/>
        <v>0</v>
      </c>
      <c r="F44" s="4">
        <f t="shared" si="118"/>
        <v>4.5474735088646412E-13</v>
      </c>
      <c r="G44" s="4">
        <f t="shared" si="118"/>
        <v>-1.3642420526593924E-12</v>
      </c>
      <c r="H44" s="4">
        <f t="shared" si="118"/>
        <v>-4.5474735088646412E-13</v>
      </c>
      <c r="I44" s="4">
        <f t="shared" si="118"/>
        <v>-9.0949470177292824E-13</v>
      </c>
      <c r="J44" s="4">
        <f t="shared" si="118"/>
        <v>4.5474735088646412E-13</v>
      </c>
      <c r="K44" s="4">
        <f t="shared" si="118"/>
        <v>0</v>
      </c>
      <c r="L44" s="4">
        <f t="shared" si="118"/>
        <v>-4.5474735088646412E-13</v>
      </c>
      <c r="M44" s="4">
        <f t="shared" si="118"/>
        <v>4.5474735088646412E-13</v>
      </c>
      <c r="N44" s="4">
        <f t="shared" si="118"/>
        <v>-2.2737367544323206E-12</v>
      </c>
      <c r="O44" s="4">
        <f t="shared" si="118"/>
        <v>2.7284841053187847E-12</v>
      </c>
      <c r="P44" s="4">
        <f t="shared" si="118"/>
        <v>2.2737367544323206E-12</v>
      </c>
      <c r="Q44" s="4">
        <f t="shared" si="118"/>
        <v>2.7284841053187847E-12</v>
      </c>
      <c r="R44" s="4">
        <f t="shared" si="118"/>
        <v>1.8189894035458565E-12</v>
      </c>
      <c r="S44" s="4">
        <f t="shared" si="118"/>
        <v>-2.7284841053187847E-12</v>
      </c>
      <c r="T44" s="4">
        <f t="shared" si="118"/>
        <v>3.1832314562052488E-12</v>
      </c>
      <c r="U44" s="4">
        <f t="shared" si="118"/>
        <v>-3.637978807091713E-12</v>
      </c>
      <c r="V44" s="4">
        <f t="shared" si="118"/>
        <v>2.2737367544323206E-12</v>
      </c>
      <c r="W44" s="4">
        <f t="shared" si="118"/>
        <v>-5.4569682106375694E-12</v>
      </c>
      <c r="X44" s="4">
        <f t="shared" si="118"/>
        <v>0</v>
      </c>
      <c r="Y44" s="4">
        <f t="shared" si="118"/>
        <v>3.637978807091713E-12</v>
      </c>
      <c r="Z44" s="4">
        <f t="shared" si="118"/>
        <v>2.7284841053187847E-12</v>
      </c>
      <c r="AA44" s="4">
        <f t="shared" si="118"/>
        <v>2.7284841053187847E-12</v>
      </c>
      <c r="AB44" s="4">
        <f t="shared" si="118"/>
        <v>-9.0949470177292824E-12</v>
      </c>
      <c r="AC44" s="4">
        <f t="shared" si="118"/>
        <v>-2.7284841053187847E-12</v>
      </c>
      <c r="AD44" s="4">
        <f t="shared" si="118"/>
        <v>-2.7284841053187847E-12</v>
      </c>
      <c r="AE44" s="4">
        <f t="shared" si="118"/>
        <v>9.0949470177292824E-12</v>
      </c>
      <c r="AF44" s="4">
        <f t="shared" si="118"/>
        <v>-9.0949470177292824E-13</v>
      </c>
      <c r="AG44" s="4">
        <f t="shared" si="118"/>
        <v>5.4569682106375694E-12</v>
      </c>
      <c r="AH44" s="4">
        <f t="shared" si="118"/>
        <v>-3.637978807091713E-12</v>
      </c>
      <c r="AI44" s="4">
        <f t="shared" si="118"/>
        <v>-5.4569682106375694E-12</v>
      </c>
      <c r="AJ44" s="4">
        <f t="shared" si="118"/>
        <v>1.3642420526593924E-11</v>
      </c>
      <c r="AK44" s="4">
        <f t="shared" si="118"/>
        <v>1.8189894035458565E-12</v>
      </c>
      <c r="AL44" s="4">
        <f t="shared" si="118"/>
        <v>-1.0913936421275139E-11</v>
      </c>
      <c r="AM44" s="4">
        <f t="shared" si="118"/>
        <v>3.637978807091713E-12</v>
      </c>
      <c r="AN44" s="4">
        <f t="shared" si="118"/>
        <v>-9.0949470177292824E-12</v>
      </c>
      <c r="AO44" s="4">
        <f t="shared" si="118"/>
        <v>-1.4551915228366852E-11</v>
      </c>
      <c r="AP44" s="4">
        <f t="shared" si="118"/>
        <v>1.4551915228366852E-11</v>
      </c>
      <c r="AQ44" s="4">
        <f t="shared" si="118"/>
        <v>2.7284841053187847E-11</v>
      </c>
      <c r="AR44" s="4">
        <f t="shared" si="118"/>
        <v>-1.2732925824820995E-11</v>
      </c>
      <c r="AS44" s="4">
        <f t="shared" si="118"/>
        <v>-1.0913936421275139E-11</v>
      </c>
      <c r="AT44" s="4">
        <f t="shared" si="118"/>
        <v>2.5465851649641991E-11</v>
      </c>
      <c r="AU44" s="4">
        <f t="shared" si="118"/>
        <v>-3.637978807091713E-11</v>
      </c>
      <c r="AV44" s="4">
        <f t="shared" si="118"/>
        <v>2.1827872842550278E-11</v>
      </c>
      <c r="AW44" s="4">
        <f t="shared" si="118"/>
        <v>-2.7284841053187847E-11</v>
      </c>
      <c r="AX44" s="4">
        <f t="shared" si="118"/>
        <v>7.2759576141834259E-12</v>
      </c>
      <c r="AY44" s="4">
        <f t="shared" si="118"/>
        <v>-2.1827872842550278E-11</v>
      </c>
      <c r="AZ44" s="4">
        <f t="shared" si="118"/>
        <v>5.4569682106375694E-11</v>
      </c>
      <c r="BA44" s="4">
        <f t="shared" si="118"/>
        <v>-2.9103830456733704E-11</v>
      </c>
      <c r="BB44" s="4">
        <f t="shared" si="118"/>
        <v>7.2759576141834259E-12</v>
      </c>
      <c r="BC44" s="4">
        <f t="shared" si="118"/>
        <v>-1.0913936421275139E-11</v>
      </c>
      <c r="BD44" s="4">
        <f t="shared" si="118"/>
        <v>-2.5465851649641991E-11</v>
      </c>
      <c r="BE44" s="4">
        <f t="shared" si="118"/>
        <v>0</v>
      </c>
      <c r="BF44" s="4"/>
    </row>
    <row r="46" spans="2:58" x14ac:dyDescent="0.25">
      <c r="B46" t="s">
        <v>73</v>
      </c>
    </row>
    <row r="47" spans="2:58" x14ac:dyDescent="0.25">
      <c r="B47" t="s">
        <v>74</v>
      </c>
      <c r="C47" s="4">
        <f>+C35/(1-C31)</f>
        <v>3000</v>
      </c>
      <c r="D47" s="4">
        <f t="shared" ref="D47:J47" si="119">+D35/(1-D31)</f>
        <v>3420</v>
      </c>
      <c r="E47" s="4">
        <f t="shared" si="119"/>
        <v>3779.0999999999995</v>
      </c>
      <c r="F47" s="4">
        <f t="shared" si="119"/>
        <v>4081.4279999999994</v>
      </c>
      <c r="G47" s="4">
        <f t="shared" si="119"/>
        <v>4326.3136799999993</v>
      </c>
      <c r="H47" s="4">
        <f t="shared" si="119"/>
        <v>4564.2609323999995</v>
      </c>
      <c r="I47" s="4">
        <f t="shared" si="119"/>
        <v>4815.2952836819986</v>
      </c>
      <c r="J47" s="4">
        <f t="shared" si="119"/>
        <v>5056.060047866099</v>
      </c>
      <c r="K47" s="4">
        <f t="shared" ref="K47:BF47" si="120">+K35/(1-K31)</f>
        <v>5308.8630502594033</v>
      </c>
      <c r="L47" s="4">
        <f t="shared" si="120"/>
        <v>5574.3062027723736</v>
      </c>
      <c r="M47" s="4">
        <f t="shared" si="120"/>
        <v>5853.021512910992</v>
      </c>
      <c r="N47" s="4">
        <f t="shared" si="120"/>
        <v>6145.6725885565411</v>
      </c>
      <c r="O47" s="4">
        <f t="shared" si="120"/>
        <v>6452.9562179843679</v>
      </c>
      <c r="P47" s="4">
        <f t="shared" si="120"/>
        <v>6775.6040288835866</v>
      </c>
      <c r="Q47" s="4">
        <f t="shared" si="120"/>
        <v>7114.3842303277661</v>
      </c>
      <c r="R47" s="4">
        <f t="shared" si="120"/>
        <v>7470.103441844155</v>
      </c>
      <c r="S47" s="4">
        <f t="shared" si="120"/>
        <v>7843.6086139363633</v>
      </c>
      <c r="T47" s="4">
        <f t="shared" si="120"/>
        <v>8235.7890446331803</v>
      </c>
      <c r="U47" s="4">
        <f t="shared" si="120"/>
        <v>8647.5784968648404</v>
      </c>
      <c r="V47" s="4">
        <f t="shared" si="120"/>
        <v>9079.9574217080826</v>
      </c>
      <c r="W47" s="4">
        <f t="shared" si="120"/>
        <v>9533.9552927934856</v>
      </c>
      <c r="X47" s="4">
        <f t="shared" si="120"/>
        <v>10010.653057433161</v>
      </c>
      <c r="Y47" s="4">
        <f t="shared" si="120"/>
        <v>10511.185710304819</v>
      </c>
      <c r="Z47" s="4">
        <f t="shared" si="120"/>
        <v>11036.74499582006</v>
      </c>
      <c r="AA47" s="4">
        <f t="shared" si="120"/>
        <v>11588.582245611064</v>
      </c>
      <c r="AB47" s="4">
        <f t="shared" si="120"/>
        <v>12168.011357891619</v>
      </c>
      <c r="AC47" s="4">
        <f t="shared" si="120"/>
        <v>12776.411925786198</v>
      </c>
      <c r="AD47" s="4">
        <f t="shared" si="120"/>
        <v>13415.232522075508</v>
      </c>
      <c r="AE47" s="4">
        <f t="shared" si="120"/>
        <v>14085.994148179285</v>
      </c>
      <c r="AF47" s="4">
        <f t="shared" si="120"/>
        <v>14790.293855588248</v>
      </c>
      <c r="AG47" s="4">
        <f t="shared" si="120"/>
        <v>15529.80854836766</v>
      </c>
      <c r="AH47" s="4">
        <f t="shared" si="120"/>
        <v>16306.298975786043</v>
      </c>
      <c r="AI47" s="4">
        <f t="shared" si="120"/>
        <v>17121.613924575347</v>
      </c>
      <c r="AJ47" s="4">
        <f t="shared" si="120"/>
        <v>17977.694620804112</v>
      </c>
      <c r="AK47" s="4">
        <f t="shared" si="120"/>
        <v>18876.579351844317</v>
      </c>
      <c r="AL47" s="4">
        <f t="shared" si="120"/>
        <v>19820.408319436534</v>
      </c>
      <c r="AM47" s="4">
        <f t="shared" si="120"/>
        <v>20811.428735408361</v>
      </c>
      <c r="AN47" s="4">
        <f t="shared" si="120"/>
        <v>21852.000172178781</v>
      </c>
      <c r="AO47" s="4">
        <f t="shared" si="120"/>
        <v>22944.600180787718</v>
      </c>
      <c r="AP47" s="4">
        <f t="shared" si="120"/>
        <v>24091.830189827106</v>
      </c>
      <c r="AQ47" s="4">
        <f t="shared" si="120"/>
        <v>25296.42169931846</v>
      </c>
      <c r="AR47" s="4">
        <f t="shared" si="120"/>
        <v>26561.242784284386</v>
      </c>
      <c r="AS47" s="4">
        <f t="shared" si="120"/>
        <v>27889.304923498607</v>
      </c>
      <c r="AT47" s="4">
        <f t="shared" si="120"/>
        <v>29283.770169673538</v>
      </c>
      <c r="AU47" s="4">
        <f t="shared" si="120"/>
        <v>30747.958678157214</v>
      </c>
      <c r="AV47" s="4">
        <f t="shared" si="120"/>
        <v>32285.356612065072</v>
      </c>
      <c r="AW47" s="4">
        <f t="shared" si="120"/>
        <v>33899.624442668326</v>
      </c>
      <c r="AX47" s="4">
        <f t="shared" si="120"/>
        <v>35594.60566480174</v>
      </c>
      <c r="AY47" s="4">
        <f t="shared" si="120"/>
        <v>37374.335948041829</v>
      </c>
      <c r="AZ47" s="4">
        <f t="shared" si="120"/>
        <v>39243.052745443914</v>
      </c>
      <c r="BA47" s="4">
        <f t="shared" si="120"/>
        <v>41205.205382716107</v>
      </c>
      <c r="BB47" s="4">
        <f t="shared" si="120"/>
        <v>43265.465651851919</v>
      </c>
      <c r="BC47" s="4">
        <f t="shared" si="120"/>
        <v>45428.738934444518</v>
      </c>
      <c r="BD47" s="4">
        <f t="shared" si="120"/>
        <v>47700.175881166739</v>
      </c>
      <c r="BE47" s="4">
        <f t="shared" si="120"/>
        <v>50085.184675225079</v>
      </c>
      <c r="BF47" s="4">
        <f t="shared" si="120"/>
        <v>52589.443908986337</v>
      </c>
    </row>
    <row r="48" spans="2:58" x14ac:dyDescent="0.25">
      <c r="B48" s="4" t="str">
        <f>+B38</f>
        <v>D*rD</v>
      </c>
      <c r="C48" s="4">
        <f t="shared" ref="C48:J48" si="121">+C38</f>
        <v>0</v>
      </c>
      <c r="D48" s="4">
        <f t="shared" si="121"/>
        <v>78.986314669837554</v>
      </c>
      <c r="E48" s="4">
        <f t="shared" si="121"/>
        <v>182.39922956515875</v>
      </c>
      <c r="F48" s="4">
        <f t="shared" si="121"/>
        <v>332.58167364755656</v>
      </c>
      <c r="G48" s="4">
        <f t="shared" si="121"/>
        <v>484.5662743128255</v>
      </c>
      <c r="H48" s="4">
        <f t="shared" si="121"/>
        <v>532.36662676363608</v>
      </c>
      <c r="I48" s="4">
        <f t="shared" si="121"/>
        <v>561.64679123563599</v>
      </c>
      <c r="J48" s="4">
        <f t="shared" si="121"/>
        <v>589.72913079741784</v>
      </c>
      <c r="K48" s="4">
        <f t="shared" ref="K48:BF48" si="122">+K38</f>
        <v>619.21558733728875</v>
      </c>
      <c r="L48" s="4">
        <f t="shared" si="122"/>
        <v>650.17636670415311</v>
      </c>
      <c r="M48" s="4">
        <f t="shared" si="122"/>
        <v>682.68518503936093</v>
      </c>
      <c r="N48" s="4">
        <f t="shared" si="122"/>
        <v>716.81944429132898</v>
      </c>
      <c r="O48" s="4">
        <f t="shared" si="122"/>
        <v>752.66041650589545</v>
      </c>
      <c r="P48" s="4">
        <f t="shared" si="122"/>
        <v>790.29343733119026</v>
      </c>
      <c r="Q48" s="4">
        <f t="shared" si="122"/>
        <v>829.80810919774979</v>
      </c>
      <c r="R48" s="4">
        <f t="shared" si="122"/>
        <v>871.29851465763727</v>
      </c>
      <c r="S48" s="4">
        <f t="shared" si="122"/>
        <v>914.86344039051914</v>
      </c>
      <c r="T48" s="4">
        <f t="shared" si="122"/>
        <v>960.60661241004539</v>
      </c>
      <c r="U48" s="4">
        <f t="shared" si="122"/>
        <v>1008.6369430305475</v>
      </c>
      <c r="V48" s="4">
        <f t="shared" si="122"/>
        <v>1059.068790182075</v>
      </c>
      <c r="W48" s="4">
        <f t="shared" si="122"/>
        <v>1112.0222296911788</v>
      </c>
      <c r="X48" s="4">
        <f t="shared" si="122"/>
        <v>1167.6233411757378</v>
      </c>
      <c r="Y48" s="4">
        <f t="shared" si="122"/>
        <v>1226.0045082345246</v>
      </c>
      <c r="Z48" s="4">
        <f t="shared" si="122"/>
        <v>1287.304733646251</v>
      </c>
      <c r="AA48" s="4">
        <f t="shared" si="122"/>
        <v>1351.6699703285633</v>
      </c>
      <c r="AB48" s="4">
        <f t="shared" si="122"/>
        <v>1419.2534688449919</v>
      </c>
      <c r="AC48" s="4">
        <f t="shared" si="122"/>
        <v>1490.2161422872412</v>
      </c>
      <c r="AD48" s="4">
        <f t="shared" si="122"/>
        <v>1564.7269494016034</v>
      </c>
      <c r="AE48" s="4">
        <f t="shared" si="122"/>
        <v>1642.9632968716837</v>
      </c>
      <c r="AF48" s="4">
        <f t="shared" si="122"/>
        <v>1725.1114617152678</v>
      </c>
      <c r="AG48" s="4">
        <f t="shared" si="122"/>
        <v>1811.3670348010312</v>
      </c>
      <c r="AH48" s="4">
        <f t="shared" si="122"/>
        <v>1901.9353865410826</v>
      </c>
      <c r="AI48" s="4">
        <f t="shared" si="122"/>
        <v>1997.0321558681371</v>
      </c>
      <c r="AJ48" s="4">
        <f t="shared" si="122"/>
        <v>2096.8837636615435</v>
      </c>
      <c r="AK48" s="4">
        <f t="shared" si="122"/>
        <v>2201.7279518446203</v>
      </c>
      <c r="AL48" s="4">
        <f t="shared" si="122"/>
        <v>2311.8143494368524</v>
      </c>
      <c r="AM48" s="4">
        <f t="shared" si="122"/>
        <v>2427.4050669086946</v>
      </c>
      <c r="AN48" s="4">
        <f t="shared" si="122"/>
        <v>2548.7753202541294</v>
      </c>
      <c r="AO48" s="4">
        <f t="shared" si="122"/>
        <v>2676.2140862668357</v>
      </c>
      <c r="AP48" s="4">
        <f t="shared" si="122"/>
        <v>2810.0247905801771</v>
      </c>
      <c r="AQ48" s="4">
        <f t="shared" si="122"/>
        <v>2950.5260301091866</v>
      </c>
      <c r="AR48" s="4">
        <f t="shared" si="122"/>
        <v>3098.0523316146459</v>
      </c>
      <c r="AS48" s="4">
        <f t="shared" si="122"/>
        <v>3252.9549481953782</v>
      </c>
      <c r="AT48" s="4">
        <f t="shared" si="122"/>
        <v>3415.6026956051478</v>
      </c>
      <c r="AU48" s="4">
        <f t="shared" si="122"/>
        <v>3586.3828303854052</v>
      </c>
      <c r="AV48" s="4">
        <f t="shared" si="122"/>
        <v>3765.7019719046752</v>
      </c>
      <c r="AW48" s="4">
        <f t="shared" si="122"/>
        <v>3953.9870704999084</v>
      </c>
      <c r="AX48" s="4">
        <f t="shared" si="122"/>
        <v>4151.6864240249042</v>
      </c>
      <c r="AY48" s="4">
        <f t="shared" si="122"/>
        <v>4359.2707452261493</v>
      </c>
      <c r="AZ48" s="4">
        <f t="shared" si="122"/>
        <v>4577.2342824874559</v>
      </c>
      <c r="BA48" s="4">
        <f t="shared" si="122"/>
        <v>4806.0959966118289</v>
      </c>
      <c r="BB48" s="4">
        <f t="shared" si="122"/>
        <v>5046.4007964424209</v>
      </c>
      <c r="BC48" s="4">
        <f t="shared" si="122"/>
        <v>5298.7208362645415</v>
      </c>
      <c r="BD48" s="4">
        <f t="shared" si="122"/>
        <v>5563.6568780777689</v>
      </c>
      <c r="BE48" s="4">
        <f t="shared" si="122"/>
        <v>5841.8397219816579</v>
      </c>
      <c r="BF48" s="4">
        <f t="shared" si="122"/>
        <v>6133.9317080807396</v>
      </c>
    </row>
    <row r="49" spans="2:59" x14ac:dyDescent="0.25">
      <c r="B49" t="s">
        <v>76</v>
      </c>
      <c r="C49" s="4">
        <f>+C47-C48</f>
        <v>3000</v>
      </c>
      <c r="D49" s="4">
        <f t="shared" ref="D49:J49" si="123">+D47-D48</f>
        <v>3341.0136853301624</v>
      </c>
      <c r="E49" s="4">
        <f t="shared" si="123"/>
        <v>3596.7007704348407</v>
      </c>
      <c r="F49" s="4">
        <f t="shared" si="123"/>
        <v>3748.8463263524427</v>
      </c>
      <c r="G49" s="4">
        <f t="shared" si="123"/>
        <v>3841.7474056871738</v>
      </c>
      <c r="H49" s="4">
        <f t="shared" si="123"/>
        <v>4031.8943056363632</v>
      </c>
      <c r="I49" s="4">
        <f t="shared" si="123"/>
        <v>4253.648492446363</v>
      </c>
      <c r="J49" s="4">
        <f t="shared" si="123"/>
        <v>4466.3309170686807</v>
      </c>
      <c r="K49" s="4">
        <f t="shared" ref="K49" si="124">+K47-K48</f>
        <v>4689.6474629221148</v>
      </c>
      <c r="L49" s="4">
        <f t="shared" ref="L49" si="125">+L47-L48</f>
        <v>4924.1298360682204</v>
      </c>
      <c r="M49" s="4">
        <f t="shared" ref="M49" si="126">+M47-M48</f>
        <v>5170.3363278716315</v>
      </c>
      <c r="N49" s="4">
        <f t="shared" ref="N49" si="127">+N47-N48</f>
        <v>5428.853144265212</v>
      </c>
      <c r="O49" s="4">
        <f t="shared" ref="O49" si="128">+O47-O48</f>
        <v>5700.2958014784726</v>
      </c>
      <c r="P49" s="4">
        <f t="shared" ref="P49" si="129">+P47-P48</f>
        <v>5985.3105915523965</v>
      </c>
      <c r="Q49" s="4">
        <f t="shared" ref="Q49" si="130">+Q47-Q48</f>
        <v>6284.576121130016</v>
      </c>
      <c r="R49" s="4">
        <f t="shared" ref="R49" si="131">+R47-R48</f>
        <v>6598.8049271865175</v>
      </c>
      <c r="S49" s="4">
        <f t="shared" ref="S49" si="132">+S47-S48</f>
        <v>6928.7451735458444</v>
      </c>
      <c r="T49" s="4">
        <f t="shared" ref="T49" si="133">+T47-T48</f>
        <v>7275.182432223135</v>
      </c>
      <c r="U49" s="4">
        <f t="shared" ref="U49" si="134">+U47-U48</f>
        <v>7638.9415538342928</v>
      </c>
      <c r="V49" s="4">
        <f t="shared" ref="V49" si="135">+V47-V48</f>
        <v>8020.8886315260079</v>
      </c>
      <c r="W49" s="4">
        <f t="shared" ref="W49" si="136">+W47-W48</f>
        <v>8421.9330631023076</v>
      </c>
      <c r="X49" s="4">
        <f t="shared" ref="X49" si="137">+X47-X48</f>
        <v>8843.0297162574225</v>
      </c>
      <c r="Y49" s="4">
        <f t="shared" ref="Y49" si="138">+Y47-Y48</f>
        <v>9285.1812020702946</v>
      </c>
      <c r="Z49" s="4">
        <f t="shared" ref="Z49" si="139">+Z47-Z48</f>
        <v>9749.4402621738082</v>
      </c>
      <c r="AA49" s="4">
        <f t="shared" ref="AA49" si="140">+AA47-AA48</f>
        <v>10236.912275282501</v>
      </c>
      <c r="AB49" s="4">
        <f t="shared" ref="AB49" si="141">+AB47-AB48</f>
        <v>10748.757889046627</v>
      </c>
      <c r="AC49" s="4">
        <f t="shared" ref="AC49" si="142">+AC47-AC48</f>
        <v>11286.195783498957</v>
      </c>
      <c r="AD49" s="4">
        <f t="shared" ref="AD49" si="143">+AD47-AD48</f>
        <v>11850.505572673905</v>
      </c>
      <c r="AE49" s="4">
        <f t="shared" ref="AE49" si="144">+AE47-AE48</f>
        <v>12443.030851307602</v>
      </c>
      <c r="AF49" s="4">
        <f t="shared" ref="AF49" si="145">+AF47-AF48</f>
        <v>13065.182393872981</v>
      </c>
      <c r="AG49" s="4">
        <f t="shared" ref="AG49" si="146">+AG47-AG48</f>
        <v>13718.44151356663</v>
      </c>
      <c r="AH49" s="4">
        <f t="shared" ref="AH49" si="147">+AH47-AH48</f>
        <v>14404.36358924496</v>
      </c>
      <c r="AI49" s="4">
        <f t="shared" ref="AI49" si="148">+AI47-AI48</f>
        <v>15124.58176870721</v>
      </c>
      <c r="AJ49" s="4">
        <f t="shared" ref="AJ49" si="149">+AJ47-AJ48</f>
        <v>15880.810857142569</v>
      </c>
      <c r="AK49" s="4">
        <f t="shared" ref="AK49" si="150">+AK47-AK48</f>
        <v>16674.851399999698</v>
      </c>
      <c r="AL49" s="4">
        <f t="shared" ref="AL49" si="151">+AL47-AL48</f>
        <v>17508.593969999682</v>
      </c>
      <c r="AM49" s="4">
        <f t="shared" ref="AM49" si="152">+AM47-AM48</f>
        <v>18384.023668499667</v>
      </c>
      <c r="AN49" s="4">
        <f t="shared" ref="AN49" si="153">+AN47-AN48</f>
        <v>19303.224851924653</v>
      </c>
      <c r="AO49" s="4">
        <f t="shared" ref="AO49" si="154">+AO47-AO48</f>
        <v>20268.386094520883</v>
      </c>
      <c r="AP49" s="4">
        <f t="shared" ref="AP49" si="155">+AP47-AP48</f>
        <v>21281.805399246929</v>
      </c>
      <c r="AQ49" s="4">
        <f t="shared" ref="AQ49" si="156">+AQ47-AQ48</f>
        <v>22345.895669209272</v>
      </c>
      <c r="AR49" s="4">
        <f t="shared" ref="AR49" si="157">+AR47-AR48</f>
        <v>23463.19045266974</v>
      </c>
      <c r="AS49" s="4">
        <f t="shared" ref="AS49" si="158">+AS47-AS48</f>
        <v>24636.34997530323</v>
      </c>
      <c r="AT49" s="4">
        <f t="shared" ref="AT49" si="159">+AT47-AT48</f>
        <v>25868.167474068392</v>
      </c>
      <c r="AU49" s="4">
        <f t="shared" ref="AU49" si="160">+AU47-AU48</f>
        <v>27161.575847771808</v>
      </c>
      <c r="AV49" s="4">
        <f t="shared" ref="AV49" si="161">+AV47-AV48</f>
        <v>28519.654640160396</v>
      </c>
      <c r="AW49" s="4">
        <f t="shared" ref="AW49" si="162">+AW47-AW48</f>
        <v>29945.637372168418</v>
      </c>
      <c r="AX49" s="4">
        <f t="shared" ref="AX49" si="163">+AX47-AX48</f>
        <v>31442.919240776835</v>
      </c>
      <c r="AY49" s="4">
        <f t="shared" ref="AY49" si="164">+AY47-AY48</f>
        <v>33015.065202815676</v>
      </c>
      <c r="AZ49" s="4">
        <f t="shared" ref="AZ49" si="165">+AZ47-AZ48</f>
        <v>34665.818462956457</v>
      </c>
      <c r="BA49" s="4">
        <f t="shared" ref="BA49" si="166">+BA47-BA48</f>
        <v>36399.109386104275</v>
      </c>
      <c r="BB49" s="4">
        <f t="shared" ref="BB49" si="167">+BB47-BB48</f>
        <v>38219.064855409495</v>
      </c>
      <c r="BC49" s="4">
        <f t="shared" ref="BC49" si="168">+BC47-BC48</f>
        <v>40130.018098179979</v>
      </c>
      <c r="BD49" s="4">
        <f t="shared" ref="BD49" si="169">+BD47-BD48</f>
        <v>42136.519003088972</v>
      </c>
      <c r="BE49" s="4">
        <f t="shared" ref="BE49" si="170">+BE47-BE48</f>
        <v>44243.344953243417</v>
      </c>
      <c r="BF49" s="4">
        <f t="shared" ref="BF49" si="171">+BF47-BF48</f>
        <v>46455.512200905599</v>
      </c>
    </row>
    <row r="50" spans="2:59" x14ac:dyDescent="0.25">
      <c r="B50" t="s">
        <v>77</v>
      </c>
      <c r="C50" s="4">
        <f>+IF(C49&lt;0,0,C49*C27)</f>
        <v>600</v>
      </c>
      <c r="D50" s="4">
        <f t="shared" ref="D50:J50" si="172">+IF(D49&lt;0,0,D49*D27)</f>
        <v>668.20273706603257</v>
      </c>
      <c r="E50" s="4">
        <f t="shared" si="172"/>
        <v>719.34015408696814</v>
      </c>
      <c r="F50" s="4">
        <f t="shared" si="172"/>
        <v>749.76926527048863</v>
      </c>
      <c r="G50" s="4">
        <f t="shared" si="172"/>
        <v>768.34948113743485</v>
      </c>
      <c r="H50" s="4">
        <f t="shared" si="172"/>
        <v>806.37886112727267</v>
      </c>
      <c r="I50" s="4">
        <f t="shared" si="172"/>
        <v>850.72969848927266</v>
      </c>
      <c r="J50" s="4">
        <f t="shared" si="172"/>
        <v>893.26618341373614</v>
      </c>
      <c r="K50" s="4">
        <f t="shared" ref="K50" si="173">+IF(K49&lt;0,0,K49*K27)</f>
        <v>937.92949258442297</v>
      </c>
      <c r="L50" s="4">
        <f t="shared" ref="L50" si="174">+IF(L49&lt;0,0,L49*L27)</f>
        <v>984.82596721364416</v>
      </c>
      <c r="M50" s="4">
        <f t="shared" ref="M50" si="175">+IF(M49&lt;0,0,M49*M27)</f>
        <v>1034.0672655743263</v>
      </c>
      <c r="N50" s="4">
        <f t="shared" ref="N50" si="176">+IF(N49&lt;0,0,N49*N27)</f>
        <v>1085.7706288530424</v>
      </c>
      <c r="O50" s="4">
        <f t="shared" ref="O50" si="177">+IF(O49&lt;0,0,O49*O27)</f>
        <v>1140.0591602956945</v>
      </c>
      <c r="P50" s="4">
        <f t="shared" ref="P50" si="178">+IF(P49&lt;0,0,P49*P27)</f>
        <v>1197.0621183104793</v>
      </c>
      <c r="Q50" s="4">
        <f t="shared" ref="Q50" si="179">+IF(Q49&lt;0,0,Q49*Q27)</f>
        <v>1256.9152242260034</v>
      </c>
      <c r="R50" s="4">
        <f t="shared" ref="R50" si="180">+IF(R49&lt;0,0,R49*R27)</f>
        <v>1319.7609854373036</v>
      </c>
      <c r="S50" s="4">
        <f t="shared" ref="S50" si="181">+IF(S49&lt;0,0,S49*S27)</f>
        <v>1385.7490347091689</v>
      </c>
      <c r="T50" s="4">
        <f t="shared" ref="T50" si="182">+IF(T49&lt;0,0,T49*T27)</f>
        <v>1455.0364864446271</v>
      </c>
      <c r="U50" s="4">
        <f t="shared" ref="U50" si="183">+IF(U49&lt;0,0,U49*U27)</f>
        <v>1527.7883107668586</v>
      </c>
      <c r="V50" s="4">
        <f t="shared" ref="V50" si="184">+IF(V49&lt;0,0,V49*V27)</f>
        <v>1604.1777263052018</v>
      </c>
      <c r="W50" s="4">
        <f t="shared" ref="W50" si="185">+IF(W49&lt;0,0,W49*W27)</f>
        <v>1684.3866126204616</v>
      </c>
      <c r="X50" s="4">
        <f t="shared" ref="X50" si="186">+IF(X49&lt;0,0,X49*X27)</f>
        <v>1768.6059432514846</v>
      </c>
      <c r="Y50" s="4">
        <f t="shared" ref="Y50" si="187">+IF(Y49&lt;0,0,Y49*Y27)</f>
        <v>1857.036240414059</v>
      </c>
      <c r="Z50" s="4">
        <f t="shared" ref="Z50" si="188">+IF(Z49&lt;0,0,Z49*Z27)</f>
        <v>1949.8880524347617</v>
      </c>
      <c r="AA50" s="4">
        <f t="shared" ref="AA50" si="189">+IF(AA49&lt;0,0,AA49*AA27)</f>
        <v>2047.3824550565002</v>
      </c>
      <c r="AB50" s="4">
        <f t="shared" ref="AB50" si="190">+IF(AB49&lt;0,0,AB49*AB27)</f>
        <v>2149.7515778093252</v>
      </c>
      <c r="AC50" s="4">
        <f t="shared" ref="AC50" si="191">+IF(AC49&lt;0,0,AC49*AC27)</f>
        <v>2257.2391566997917</v>
      </c>
      <c r="AD50" s="4">
        <f t="shared" ref="AD50" si="192">+IF(AD49&lt;0,0,AD49*AD27)</f>
        <v>2370.1011145347811</v>
      </c>
      <c r="AE50" s="4">
        <f t="shared" ref="AE50" si="193">+IF(AE49&lt;0,0,AE49*AE27)</f>
        <v>2488.6061702615207</v>
      </c>
      <c r="AF50" s="4">
        <f t="shared" ref="AF50" si="194">+IF(AF49&lt;0,0,AF49*AF27)</f>
        <v>2613.0364787745966</v>
      </c>
      <c r="AG50" s="4">
        <f t="shared" ref="AG50" si="195">+IF(AG49&lt;0,0,AG49*AG27)</f>
        <v>2743.6883027133263</v>
      </c>
      <c r="AH50" s="4">
        <f t="shared" ref="AH50" si="196">+IF(AH49&lt;0,0,AH49*AH27)</f>
        <v>2880.8727178489921</v>
      </c>
      <c r="AI50" s="4">
        <f t="shared" ref="AI50" si="197">+IF(AI49&lt;0,0,AI49*AI27)</f>
        <v>3024.9163537414424</v>
      </c>
      <c r="AJ50" s="4">
        <f t="shared" ref="AJ50" si="198">+IF(AJ49&lt;0,0,AJ49*AJ27)</f>
        <v>3176.1621714285138</v>
      </c>
      <c r="AK50" s="4">
        <f t="shared" ref="AK50" si="199">+IF(AK49&lt;0,0,AK49*AK27)</f>
        <v>3334.9702799999395</v>
      </c>
      <c r="AL50" s="4">
        <f t="shared" ref="AL50" si="200">+IF(AL49&lt;0,0,AL49*AL27)</f>
        <v>3501.7187939999367</v>
      </c>
      <c r="AM50" s="4">
        <f t="shared" ref="AM50" si="201">+IF(AM49&lt;0,0,AM49*AM27)</f>
        <v>3676.8047336999334</v>
      </c>
      <c r="AN50" s="4">
        <f t="shared" ref="AN50" si="202">+IF(AN49&lt;0,0,AN49*AN27)</f>
        <v>3860.6449703849307</v>
      </c>
      <c r="AO50" s="4">
        <f t="shared" ref="AO50" si="203">+IF(AO49&lt;0,0,AO49*AO27)</f>
        <v>4053.6772189041767</v>
      </c>
      <c r="AP50" s="4">
        <f t="shared" ref="AP50" si="204">+IF(AP49&lt;0,0,AP49*AP27)</f>
        <v>4256.3610798493855</v>
      </c>
      <c r="AQ50" s="4">
        <f t="shared" ref="AQ50" si="205">+IF(AQ49&lt;0,0,AQ49*AQ27)</f>
        <v>4469.1791338418543</v>
      </c>
      <c r="AR50" s="4">
        <f t="shared" ref="AR50" si="206">+IF(AR49&lt;0,0,AR49*AR27)</f>
        <v>4692.6380905339483</v>
      </c>
      <c r="AS50" s="4">
        <f t="shared" ref="AS50" si="207">+IF(AS49&lt;0,0,AS49*AS27)</f>
        <v>4927.2699950606466</v>
      </c>
      <c r="AT50" s="4">
        <f t="shared" ref="AT50" si="208">+IF(AT49&lt;0,0,AT49*AT27)</f>
        <v>5173.6334948136791</v>
      </c>
      <c r="AU50" s="4">
        <f t="shared" ref="AU50" si="209">+IF(AU49&lt;0,0,AU49*AU27)</f>
        <v>5432.315169554362</v>
      </c>
      <c r="AV50" s="4">
        <f t="shared" ref="AV50" si="210">+IF(AV49&lt;0,0,AV49*AV27)</f>
        <v>5703.9309280320795</v>
      </c>
      <c r="AW50" s="4">
        <f t="shared" ref="AW50" si="211">+IF(AW49&lt;0,0,AW49*AW27)</f>
        <v>5989.1274744336843</v>
      </c>
      <c r="AX50" s="4">
        <f t="shared" ref="AX50" si="212">+IF(AX49&lt;0,0,AX49*AX27)</f>
        <v>6288.5838481553674</v>
      </c>
      <c r="AY50" s="4">
        <f t="shared" ref="AY50" si="213">+IF(AY49&lt;0,0,AY49*AY27)</f>
        <v>6603.0130405631353</v>
      </c>
      <c r="AZ50" s="4">
        <f t="shared" ref="AZ50" si="214">+IF(AZ49&lt;0,0,AZ49*AZ27)</f>
        <v>6933.1636925912917</v>
      </c>
      <c r="BA50" s="4">
        <f t="shared" ref="BA50" si="215">+IF(BA49&lt;0,0,BA49*BA27)</f>
        <v>7279.8218772208556</v>
      </c>
      <c r="BB50" s="4">
        <f t="shared" ref="BB50" si="216">+IF(BB49&lt;0,0,BB49*BB27)</f>
        <v>7643.8129710818994</v>
      </c>
      <c r="BC50" s="4">
        <f t="shared" ref="BC50" si="217">+IF(BC49&lt;0,0,BC49*BC27)</f>
        <v>8026.0036196359961</v>
      </c>
      <c r="BD50" s="4">
        <f t="shared" ref="BD50" si="218">+IF(BD49&lt;0,0,BD49*BD27)</f>
        <v>8427.303800617794</v>
      </c>
      <c r="BE50" s="4">
        <f t="shared" ref="BE50" si="219">+IF(BE49&lt;0,0,BE49*BE27)</f>
        <v>8848.6689906486845</v>
      </c>
      <c r="BF50" s="4">
        <f t="shared" ref="BF50" si="220">+IF(BF49&lt;0,0,BF49*BF27)</f>
        <v>9291.102440181121</v>
      </c>
    </row>
    <row r="51" spans="2:59" x14ac:dyDescent="0.25">
      <c r="B51" t="s">
        <v>78</v>
      </c>
      <c r="C51" s="4">
        <f>+C49-C50</f>
        <v>2400</v>
      </c>
      <c r="D51" s="4">
        <f t="shared" ref="D51:BF51" si="221">+D49-D50</f>
        <v>2672.8109482641298</v>
      </c>
      <c r="E51" s="4">
        <f t="shared" si="221"/>
        <v>2877.3606163478726</v>
      </c>
      <c r="F51" s="4">
        <f t="shared" si="221"/>
        <v>2999.0770610819541</v>
      </c>
      <c r="G51" s="4">
        <f t="shared" si="221"/>
        <v>3073.3979245497389</v>
      </c>
      <c r="H51" s="4">
        <f t="shared" si="221"/>
        <v>3225.5154445090907</v>
      </c>
      <c r="I51" s="4">
        <f t="shared" si="221"/>
        <v>3402.9187939570902</v>
      </c>
      <c r="J51" s="4">
        <f t="shared" si="221"/>
        <v>3573.0647336549446</v>
      </c>
      <c r="K51" s="4">
        <f t="shared" si="221"/>
        <v>3751.7179703376919</v>
      </c>
      <c r="L51" s="4">
        <f t="shared" si="221"/>
        <v>3939.3038688545762</v>
      </c>
      <c r="M51" s="4">
        <f t="shared" si="221"/>
        <v>4136.269062297305</v>
      </c>
      <c r="N51" s="4">
        <f t="shared" si="221"/>
        <v>4343.0825154121694</v>
      </c>
      <c r="O51" s="4">
        <f t="shared" si="221"/>
        <v>4560.2366411827779</v>
      </c>
      <c r="P51" s="4">
        <f t="shared" si="221"/>
        <v>4788.2484732419171</v>
      </c>
      <c r="Q51" s="4">
        <f t="shared" si="221"/>
        <v>5027.6608969040126</v>
      </c>
      <c r="R51" s="4">
        <f t="shared" si="221"/>
        <v>5279.0439417492144</v>
      </c>
      <c r="S51" s="4">
        <f t="shared" si="221"/>
        <v>5542.9961388366755</v>
      </c>
      <c r="T51" s="4">
        <f t="shared" si="221"/>
        <v>5820.1459457785077</v>
      </c>
      <c r="U51" s="4">
        <f t="shared" si="221"/>
        <v>6111.1532430674342</v>
      </c>
      <c r="V51" s="4">
        <f t="shared" si="221"/>
        <v>6416.7109052208061</v>
      </c>
      <c r="W51" s="4">
        <f t="shared" si="221"/>
        <v>6737.5464504818465</v>
      </c>
      <c r="X51" s="4">
        <f t="shared" si="221"/>
        <v>7074.4237730059376</v>
      </c>
      <c r="Y51" s="4">
        <f t="shared" si="221"/>
        <v>7428.1449616562359</v>
      </c>
      <c r="Z51" s="4">
        <f t="shared" si="221"/>
        <v>7799.5522097390467</v>
      </c>
      <c r="AA51" s="4">
        <f t="shared" si="221"/>
        <v>8189.5298202260001</v>
      </c>
      <c r="AB51" s="4">
        <f t="shared" si="221"/>
        <v>8599.0063112373009</v>
      </c>
      <c r="AC51" s="4">
        <f t="shared" si="221"/>
        <v>9028.956626799165</v>
      </c>
      <c r="AD51" s="4">
        <f t="shared" si="221"/>
        <v>9480.4044581391245</v>
      </c>
      <c r="AE51" s="4">
        <f t="shared" si="221"/>
        <v>9954.4246810460809</v>
      </c>
      <c r="AF51" s="4">
        <f t="shared" si="221"/>
        <v>10452.145915098385</v>
      </c>
      <c r="AG51" s="4">
        <f t="shared" si="221"/>
        <v>10974.753210853303</v>
      </c>
      <c r="AH51" s="4">
        <f t="shared" si="221"/>
        <v>11523.490871395968</v>
      </c>
      <c r="AI51" s="4">
        <f t="shared" si="221"/>
        <v>12099.665414965768</v>
      </c>
      <c r="AJ51" s="4">
        <f t="shared" si="221"/>
        <v>12704.648685714055</v>
      </c>
      <c r="AK51" s="4">
        <f t="shared" si="221"/>
        <v>13339.881119999758</v>
      </c>
      <c r="AL51" s="4">
        <f t="shared" si="221"/>
        <v>14006.875175999745</v>
      </c>
      <c r="AM51" s="4">
        <f t="shared" si="221"/>
        <v>14707.218934799734</v>
      </c>
      <c r="AN51" s="4">
        <f t="shared" si="221"/>
        <v>15442.579881539723</v>
      </c>
      <c r="AO51" s="4">
        <f t="shared" si="221"/>
        <v>16214.708875616707</v>
      </c>
      <c r="AP51" s="4">
        <f t="shared" si="221"/>
        <v>17025.444319397542</v>
      </c>
      <c r="AQ51" s="4">
        <f t="shared" si="221"/>
        <v>17876.716535367417</v>
      </c>
      <c r="AR51" s="4">
        <f t="shared" si="221"/>
        <v>18770.552362135793</v>
      </c>
      <c r="AS51" s="4">
        <f t="shared" si="221"/>
        <v>19709.079980242583</v>
      </c>
      <c r="AT51" s="4">
        <f t="shared" si="221"/>
        <v>20694.533979254713</v>
      </c>
      <c r="AU51" s="4">
        <f t="shared" si="221"/>
        <v>21729.260678217448</v>
      </c>
      <c r="AV51" s="4">
        <f t="shared" si="221"/>
        <v>22815.723712128318</v>
      </c>
      <c r="AW51" s="4">
        <f t="shared" si="221"/>
        <v>23956.509897734733</v>
      </c>
      <c r="AX51" s="4">
        <f t="shared" si="221"/>
        <v>25154.33539262147</v>
      </c>
      <c r="AY51" s="4">
        <f t="shared" si="221"/>
        <v>26412.052162252541</v>
      </c>
      <c r="AZ51" s="4">
        <f t="shared" si="221"/>
        <v>27732.654770365167</v>
      </c>
      <c r="BA51" s="4">
        <f t="shared" si="221"/>
        <v>29119.287508883419</v>
      </c>
      <c r="BB51" s="4">
        <f t="shared" si="221"/>
        <v>30575.251884327598</v>
      </c>
      <c r="BC51" s="4">
        <f t="shared" si="221"/>
        <v>32104.014478543984</v>
      </c>
      <c r="BD51" s="4">
        <f t="shared" si="221"/>
        <v>33709.215202471176</v>
      </c>
      <c r="BE51" s="4">
        <f t="shared" si="221"/>
        <v>35394.675962594731</v>
      </c>
      <c r="BF51" s="4">
        <f t="shared" si="221"/>
        <v>37164.409760724477</v>
      </c>
    </row>
    <row r="52" spans="2:59" x14ac:dyDescent="0.25">
      <c r="B52" t="s">
        <v>80</v>
      </c>
      <c r="C52" s="4">
        <f>+C51-C53</f>
        <v>1608.3759238548228</v>
      </c>
      <c r="D52" s="4">
        <f t="shared" ref="D52:BF52" si="222">+D51-D53</f>
        <v>2286.5423990035829</v>
      </c>
      <c r="E52" s="4">
        <f t="shared" si="222"/>
        <v>2877.3606163478726</v>
      </c>
      <c r="F52" s="4">
        <f t="shared" si="222"/>
        <v>2999.0770610819541</v>
      </c>
      <c r="G52" s="4">
        <f t="shared" si="222"/>
        <v>2366.7029994063355</v>
      </c>
      <c r="H52" s="4">
        <f t="shared" si="222"/>
        <v>1847.6253517090904</v>
      </c>
      <c r="I52" s="4">
        <f t="shared" si="222"/>
        <v>2081.3969322261828</v>
      </c>
      <c r="J52" s="4">
        <f t="shared" si="222"/>
        <v>2185.46677883749</v>
      </c>
      <c r="K52" s="4">
        <f t="shared" si="222"/>
        <v>2294.740117779364</v>
      </c>
      <c r="L52" s="4">
        <f t="shared" si="222"/>
        <v>2409.477123668335</v>
      </c>
      <c r="M52" s="4">
        <f t="shared" si="222"/>
        <v>2529.9509798517493</v>
      </c>
      <c r="N52" s="4">
        <f t="shared" si="222"/>
        <v>2656.4485288443384</v>
      </c>
      <c r="O52" s="4">
        <f t="shared" si="222"/>
        <v>2789.2709552865517</v>
      </c>
      <c r="P52" s="4">
        <f t="shared" si="222"/>
        <v>2928.7345030508795</v>
      </c>
      <c r="Q52" s="4">
        <f t="shared" si="222"/>
        <v>3075.1712282034232</v>
      </c>
      <c r="R52" s="4">
        <f t="shared" si="222"/>
        <v>3228.9297896135959</v>
      </c>
      <c r="S52" s="4">
        <f t="shared" si="222"/>
        <v>3390.3762790942819</v>
      </c>
      <c r="T52" s="4">
        <f t="shared" si="222"/>
        <v>3559.8950930489864</v>
      </c>
      <c r="U52" s="4">
        <f t="shared" si="222"/>
        <v>3737.8898477014445</v>
      </c>
      <c r="V52" s="4">
        <f t="shared" si="222"/>
        <v>3924.7843400865122</v>
      </c>
      <c r="W52" s="4">
        <f t="shared" si="222"/>
        <v>4121.0235570908426</v>
      </c>
      <c r="X52" s="4">
        <f t="shared" si="222"/>
        <v>4327.0747349453795</v>
      </c>
      <c r="Y52" s="4">
        <f t="shared" si="222"/>
        <v>4543.4284716926459</v>
      </c>
      <c r="Z52" s="4">
        <f t="shared" si="222"/>
        <v>4770.5998952772761</v>
      </c>
      <c r="AA52" s="4">
        <f t="shared" si="222"/>
        <v>5009.1298900411475</v>
      </c>
      <c r="AB52" s="4">
        <f t="shared" si="222"/>
        <v>5259.5863845432086</v>
      </c>
      <c r="AC52" s="4">
        <f t="shared" si="222"/>
        <v>5522.5657037703677</v>
      </c>
      <c r="AD52" s="4">
        <f t="shared" si="222"/>
        <v>5798.6939889588866</v>
      </c>
      <c r="AE52" s="4">
        <f t="shared" si="222"/>
        <v>6088.6286884068159</v>
      </c>
      <c r="AF52" s="4">
        <f t="shared" si="222"/>
        <v>6393.060122827168</v>
      </c>
      <c r="AG52" s="4">
        <f t="shared" si="222"/>
        <v>6712.7131289685185</v>
      </c>
      <c r="AH52" s="4">
        <f t="shared" si="222"/>
        <v>7048.3487854169598</v>
      </c>
      <c r="AI52" s="4">
        <f t="shared" si="222"/>
        <v>7400.7662246878008</v>
      </c>
      <c r="AJ52" s="4">
        <f t="shared" si="222"/>
        <v>7770.8045359221724</v>
      </c>
      <c r="AK52" s="4">
        <f t="shared" si="222"/>
        <v>8159.344762718305</v>
      </c>
      <c r="AL52" s="4">
        <f t="shared" si="222"/>
        <v>8567.3120008542228</v>
      </c>
      <c r="AM52" s="4">
        <f t="shared" si="222"/>
        <v>8995.6776008969173</v>
      </c>
      <c r="AN52" s="4">
        <f t="shared" si="222"/>
        <v>9445.4614809417781</v>
      </c>
      <c r="AO52" s="4">
        <f t="shared" si="222"/>
        <v>9917.7345549888705</v>
      </c>
      <c r="AP52" s="4">
        <f t="shared" si="222"/>
        <v>10413.621282738295</v>
      </c>
      <c r="AQ52" s="4">
        <f t="shared" si="222"/>
        <v>10934.302346875189</v>
      </c>
      <c r="AR52" s="4">
        <f t="shared" si="222"/>
        <v>11481.017464218989</v>
      </c>
      <c r="AS52" s="4">
        <f t="shared" si="222"/>
        <v>12055.068337429948</v>
      </c>
      <c r="AT52" s="4">
        <f t="shared" si="222"/>
        <v>12657.8217543014</v>
      </c>
      <c r="AU52" s="4">
        <f t="shared" si="222"/>
        <v>13290.712842016532</v>
      </c>
      <c r="AV52" s="4">
        <f t="shared" si="222"/>
        <v>13955.248484117292</v>
      </c>
      <c r="AW52" s="4">
        <f t="shared" si="222"/>
        <v>14653.01090832322</v>
      </c>
      <c r="AX52" s="4">
        <f t="shared" si="222"/>
        <v>15385.66145373934</v>
      </c>
      <c r="AY52" s="4">
        <f t="shared" si="222"/>
        <v>16154.944526426319</v>
      </c>
      <c r="AZ52" s="4">
        <f t="shared" si="222"/>
        <v>16962.691752747582</v>
      </c>
      <c r="BA52" s="4">
        <f t="shared" si="222"/>
        <v>17810.826340385036</v>
      </c>
      <c r="BB52" s="4">
        <f t="shared" si="222"/>
        <v>18701.367657404255</v>
      </c>
      <c r="BC52" s="4">
        <f t="shared" si="222"/>
        <v>19636.436040274486</v>
      </c>
      <c r="BD52" s="4">
        <f t="shared" si="222"/>
        <v>20618.257842288229</v>
      </c>
      <c r="BE52" s="4">
        <f t="shared" si="222"/>
        <v>21649.170734402593</v>
      </c>
      <c r="BF52" s="4">
        <f t="shared" si="222"/>
        <v>0</v>
      </c>
    </row>
    <row r="53" spans="2:59" x14ac:dyDescent="0.25">
      <c r="B53" t="s">
        <v>81</v>
      </c>
      <c r="C53" s="4">
        <f>+IF(C51&lt;0,C51,MAX(0,MIN(C51,C55)))</f>
        <v>791.62407614517724</v>
      </c>
      <c r="D53" s="4">
        <f t="shared" ref="D53:BF53" si="223">+IF(D51&lt;0,D51,MAX(0,MIN(D51,D55)))</f>
        <v>386.26854926054693</v>
      </c>
      <c r="E53" s="4">
        <f t="shared" si="223"/>
        <v>0</v>
      </c>
      <c r="F53" s="4">
        <f t="shared" si="223"/>
        <v>0</v>
      </c>
      <c r="G53" s="4">
        <f t="shared" si="223"/>
        <v>706.69492514340345</v>
      </c>
      <c r="H53" s="4">
        <f t="shared" si="223"/>
        <v>1377.8900928000003</v>
      </c>
      <c r="I53" s="4">
        <f t="shared" si="223"/>
        <v>1321.5218617309074</v>
      </c>
      <c r="J53" s="4">
        <f t="shared" si="223"/>
        <v>1387.5979548174546</v>
      </c>
      <c r="K53" s="4">
        <f t="shared" si="223"/>
        <v>1456.9778525583279</v>
      </c>
      <c r="L53" s="4">
        <f t="shared" si="223"/>
        <v>1529.8267451862412</v>
      </c>
      <c r="M53" s="4">
        <f t="shared" si="223"/>
        <v>1606.3180824455558</v>
      </c>
      <c r="N53" s="4">
        <f t="shared" si="223"/>
        <v>1686.633986567831</v>
      </c>
      <c r="O53" s="4">
        <f t="shared" si="223"/>
        <v>1770.9656858962262</v>
      </c>
      <c r="P53" s="4">
        <f t="shared" si="223"/>
        <v>1859.5139701910375</v>
      </c>
      <c r="Q53" s="4">
        <f t="shared" si="223"/>
        <v>1952.4896687005894</v>
      </c>
      <c r="R53" s="4">
        <f t="shared" si="223"/>
        <v>2050.1141521356185</v>
      </c>
      <c r="S53" s="4">
        <f t="shared" si="223"/>
        <v>2152.6198597423936</v>
      </c>
      <c r="T53" s="4">
        <f t="shared" si="223"/>
        <v>2260.2508527295213</v>
      </c>
      <c r="U53" s="4">
        <f t="shared" si="223"/>
        <v>2373.2633953659897</v>
      </c>
      <c r="V53" s="4">
        <f t="shared" si="223"/>
        <v>2491.9265651342939</v>
      </c>
      <c r="W53" s="4">
        <f t="shared" si="223"/>
        <v>2616.5228933910039</v>
      </c>
      <c r="X53" s="4">
        <f t="shared" si="223"/>
        <v>2747.3490380605581</v>
      </c>
      <c r="Y53" s="4">
        <f t="shared" si="223"/>
        <v>2884.71648996359</v>
      </c>
      <c r="Z53" s="4">
        <f t="shared" si="223"/>
        <v>3028.9523144617706</v>
      </c>
      <c r="AA53" s="4">
        <f t="shared" si="223"/>
        <v>3180.3999301848526</v>
      </c>
      <c r="AB53" s="4">
        <f t="shared" si="223"/>
        <v>3339.4199266940923</v>
      </c>
      <c r="AC53" s="4">
        <f t="shared" si="223"/>
        <v>3506.3909230287973</v>
      </c>
      <c r="AD53" s="4">
        <f t="shared" si="223"/>
        <v>3681.7104691802379</v>
      </c>
      <c r="AE53" s="4">
        <f t="shared" si="223"/>
        <v>3865.795992639265</v>
      </c>
      <c r="AF53" s="4">
        <f t="shared" si="223"/>
        <v>4059.0857922712166</v>
      </c>
      <c r="AG53" s="4">
        <f t="shared" si="223"/>
        <v>4262.0400818847847</v>
      </c>
      <c r="AH53" s="4">
        <f t="shared" si="223"/>
        <v>4475.1420859790087</v>
      </c>
      <c r="AI53" s="4">
        <f t="shared" si="223"/>
        <v>4698.8991902779671</v>
      </c>
      <c r="AJ53" s="4">
        <f t="shared" si="223"/>
        <v>4933.844149791883</v>
      </c>
      <c r="AK53" s="4">
        <f t="shared" si="223"/>
        <v>5180.5363572814531</v>
      </c>
      <c r="AL53" s="4">
        <f t="shared" si="223"/>
        <v>5439.5631751455221</v>
      </c>
      <c r="AM53" s="4">
        <f t="shared" si="223"/>
        <v>5711.5413339028164</v>
      </c>
      <c r="AN53" s="4">
        <f t="shared" si="223"/>
        <v>5997.1184005979449</v>
      </c>
      <c r="AO53" s="4">
        <f t="shared" si="223"/>
        <v>6296.9743206278363</v>
      </c>
      <c r="AP53" s="4">
        <f t="shared" si="223"/>
        <v>6611.823036659247</v>
      </c>
      <c r="AQ53" s="4">
        <f t="shared" si="223"/>
        <v>6942.4141884922283</v>
      </c>
      <c r="AR53" s="4">
        <f t="shared" si="223"/>
        <v>7289.5348979168048</v>
      </c>
      <c r="AS53" s="4">
        <f t="shared" si="223"/>
        <v>7654.0116428126348</v>
      </c>
      <c r="AT53" s="4">
        <f t="shared" si="223"/>
        <v>8036.7122249533131</v>
      </c>
      <c r="AU53" s="4">
        <f t="shared" si="223"/>
        <v>8438.5478362009162</v>
      </c>
      <c r="AV53" s="4">
        <f t="shared" si="223"/>
        <v>8860.475228011026</v>
      </c>
      <c r="AW53" s="4">
        <f t="shared" si="223"/>
        <v>9303.4989894115133</v>
      </c>
      <c r="AX53" s="4">
        <f t="shared" si="223"/>
        <v>9768.6739388821297</v>
      </c>
      <c r="AY53" s="4">
        <f t="shared" si="223"/>
        <v>10257.107635826222</v>
      </c>
      <c r="AZ53" s="4">
        <f t="shared" si="223"/>
        <v>10769.963017617585</v>
      </c>
      <c r="BA53" s="4">
        <f t="shared" si="223"/>
        <v>11308.461168498383</v>
      </c>
      <c r="BB53" s="4">
        <f t="shared" si="223"/>
        <v>11873.884226923343</v>
      </c>
      <c r="BC53" s="4">
        <f t="shared" si="223"/>
        <v>12467.578438269498</v>
      </c>
      <c r="BD53" s="4">
        <f t="shared" si="223"/>
        <v>13090.957360182947</v>
      </c>
      <c r="BE53" s="4">
        <f t="shared" si="223"/>
        <v>13745.505228192138</v>
      </c>
      <c r="BF53" s="4">
        <f t="shared" si="223"/>
        <v>37164.409760724477</v>
      </c>
    </row>
    <row r="55" spans="2:59" x14ac:dyDescent="0.25">
      <c r="B55" t="s">
        <v>82</v>
      </c>
      <c r="C55" s="4">
        <f>+D65-C65</f>
        <v>791.62407614517724</v>
      </c>
      <c r="D55" s="4">
        <f t="shared" ref="D55:BF55" si="224">+E65-D65</f>
        <v>386.26854926054693</v>
      </c>
      <c r="E55" s="4">
        <f t="shared" si="224"/>
        <v>-259.44846578627948</v>
      </c>
      <c r="F55" s="4">
        <f t="shared" si="224"/>
        <v>-319.08037720349057</v>
      </c>
      <c r="G55" s="4">
        <f t="shared" si="224"/>
        <v>706.69492514340345</v>
      </c>
      <c r="H55" s="4">
        <f t="shared" si="224"/>
        <v>1377.8900928000003</v>
      </c>
      <c r="I55" s="4">
        <f t="shared" si="224"/>
        <v>1321.5218617309074</v>
      </c>
      <c r="J55" s="4">
        <f t="shared" si="224"/>
        <v>1387.5979548174546</v>
      </c>
      <c r="K55" s="4">
        <f t="shared" si="224"/>
        <v>1456.9778525583279</v>
      </c>
      <c r="L55" s="4">
        <f t="shared" si="224"/>
        <v>1529.8267451862412</v>
      </c>
      <c r="M55" s="4">
        <f t="shared" si="224"/>
        <v>1606.3180824455558</v>
      </c>
      <c r="N55" s="4">
        <f t="shared" si="224"/>
        <v>1686.633986567831</v>
      </c>
      <c r="O55" s="4">
        <f t="shared" si="224"/>
        <v>1770.9656858962262</v>
      </c>
      <c r="P55" s="4">
        <f t="shared" si="224"/>
        <v>1859.5139701910375</v>
      </c>
      <c r="Q55" s="4">
        <f t="shared" si="224"/>
        <v>1952.4896687005894</v>
      </c>
      <c r="R55" s="4">
        <f t="shared" si="224"/>
        <v>2050.1141521356185</v>
      </c>
      <c r="S55" s="4">
        <f t="shared" si="224"/>
        <v>2152.6198597423936</v>
      </c>
      <c r="T55" s="4">
        <f t="shared" si="224"/>
        <v>2260.2508527295213</v>
      </c>
      <c r="U55" s="4">
        <f t="shared" si="224"/>
        <v>2373.2633953659897</v>
      </c>
      <c r="V55" s="4">
        <f t="shared" si="224"/>
        <v>2491.9265651342939</v>
      </c>
      <c r="W55" s="4">
        <f t="shared" si="224"/>
        <v>2616.5228933910039</v>
      </c>
      <c r="X55" s="4">
        <f t="shared" si="224"/>
        <v>2747.3490380605581</v>
      </c>
      <c r="Y55" s="4">
        <f t="shared" si="224"/>
        <v>2884.71648996359</v>
      </c>
      <c r="Z55" s="4">
        <f t="shared" si="224"/>
        <v>3028.9523144617706</v>
      </c>
      <c r="AA55" s="4">
        <f t="shared" si="224"/>
        <v>3180.3999301848526</v>
      </c>
      <c r="AB55" s="4">
        <f t="shared" si="224"/>
        <v>3339.4199266940923</v>
      </c>
      <c r="AC55" s="4">
        <f t="shared" si="224"/>
        <v>3506.3909230287973</v>
      </c>
      <c r="AD55" s="4">
        <f t="shared" si="224"/>
        <v>3681.7104691802379</v>
      </c>
      <c r="AE55" s="4">
        <f t="shared" si="224"/>
        <v>3865.795992639265</v>
      </c>
      <c r="AF55" s="4">
        <f t="shared" si="224"/>
        <v>4059.0857922712166</v>
      </c>
      <c r="AG55" s="4">
        <f t="shared" si="224"/>
        <v>4262.0400818847847</v>
      </c>
      <c r="AH55" s="4">
        <f t="shared" si="224"/>
        <v>4475.1420859790087</v>
      </c>
      <c r="AI55" s="4">
        <f t="shared" si="224"/>
        <v>4698.8991902779671</v>
      </c>
      <c r="AJ55" s="4">
        <f t="shared" si="224"/>
        <v>4933.844149791883</v>
      </c>
      <c r="AK55" s="4">
        <f t="shared" si="224"/>
        <v>5180.5363572814531</v>
      </c>
      <c r="AL55" s="4">
        <f t="shared" si="224"/>
        <v>5439.5631751455221</v>
      </c>
      <c r="AM55" s="4">
        <f t="shared" si="224"/>
        <v>5711.5413339028164</v>
      </c>
      <c r="AN55" s="4">
        <f t="shared" si="224"/>
        <v>5997.1184005979449</v>
      </c>
      <c r="AO55" s="4">
        <f t="shared" si="224"/>
        <v>6296.9743206278363</v>
      </c>
      <c r="AP55" s="4">
        <f t="shared" si="224"/>
        <v>6611.823036659247</v>
      </c>
      <c r="AQ55" s="4">
        <f t="shared" si="224"/>
        <v>6942.4141884922283</v>
      </c>
      <c r="AR55" s="4">
        <f t="shared" si="224"/>
        <v>7289.5348979168048</v>
      </c>
      <c r="AS55" s="4">
        <f t="shared" si="224"/>
        <v>7654.0116428126348</v>
      </c>
      <c r="AT55" s="4">
        <f t="shared" si="224"/>
        <v>8036.7122249533131</v>
      </c>
      <c r="AU55" s="4">
        <f t="shared" si="224"/>
        <v>8438.5478362009162</v>
      </c>
      <c r="AV55" s="4">
        <f t="shared" si="224"/>
        <v>8860.475228011026</v>
      </c>
      <c r="AW55" s="4">
        <f t="shared" si="224"/>
        <v>9303.4989894115133</v>
      </c>
      <c r="AX55" s="4">
        <f t="shared" si="224"/>
        <v>9768.6739388821297</v>
      </c>
      <c r="AY55" s="4">
        <f t="shared" si="224"/>
        <v>10257.107635826222</v>
      </c>
      <c r="AZ55" s="4">
        <f t="shared" si="224"/>
        <v>10769.963017617585</v>
      </c>
      <c r="BA55" s="4">
        <f t="shared" si="224"/>
        <v>11308.461168498383</v>
      </c>
      <c r="BB55" s="4">
        <f t="shared" si="224"/>
        <v>11873.884226923343</v>
      </c>
      <c r="BC55" s="4">
        <f t="shared" si="224"/>
        <v>12467.578438269498</v>
      </c>
      <c r="BD55" s="4">
        <f t="shared" si="224"/>
        <v>13090.957360182947</v>
      </c>
      <c r="BE55" s="4">
        <f t="shared" si="224"/>
        <v>13745.505228192138</v>
      </c>
      <c r="BF55" s="4"/>
    </row>
    <row r="56" spans="2:59" x14ac:dyDescent="0.25">
      <c r="B56" t="s">
        <v>83</v>
      </c>
      <c r="C56" s="4">
        <f>+C55-C53</f>
        <v>0</v>
      </c>
      <c r="D56" s="4">
        <f t="shared" ref="D56:BF56" si="225">+D55-D53</f>
        <v>0</v>
      </c>
      <c r="E56" s="4">
        <f t="shared" si="225"/>
        <v>-259.44846578627948</v>
      </c>
      <c r="F56" s="4">
        <f t="shared" si="225"/>
        <v>-319.08037720349057</v>
      </c>
      <c r="G56" s="4">
        <f t="shared" si="225"/>
        <v>0</v>
      </c>
      <c r="H56" s="4">
        <f t="shared" si="225"/>
        <v>0</v>
      </c>
      <c r="I56" s="4">
        <f t="shared" si="225"/>
        <v>0</v>
      </c>
      <c r="J56" s="4">
        <f t="shared" si="225"/>
        <v>0</v>
      </c>
      <c r="K56" s="4">
        <f t="shared" si="225"/>
        <v>0</v>
      </c>
      <c r="L56" s="4">
        <f t="shared" si="225"/>
        <v>0</v>
      </c>
      <c r="M56" s="4">
        <f t="shared" si="225"/>
        <v>0</v>
      </c>
      <c r="N56" s="4">
        <f t="shared" si="225"/>
        <v>0</v>
      </c>
      <c r="O56" s="4">
        <f t="shared" si="225"/>
        <v>0</v>
      </c>
      <c r="P56" s="4">
        <f t="shared" si="225"/>
        <v>0</v>
      </c>
      <c r="Q56" s="4">
        <f t="shared" si="225"/>
        <v>0</v>
      </c>
      <c r="R56" s="4">
        <f t="shared" si="225"/>
        <v>0</v>
      </c>
      <c r="S56" s="4">
        <f t="shared" si="225"/>
        <v>0</v>
      </c>
      <c r="T56" s="4">
        <f t="shared" si="225"/>
        <v>0</v>
      </c>
      <c r="U56" s="4">
        <f t="shared" si="225"/>
        <v>0</v>
      </c>
      <c r="V56" s="4">
        <f t="shared" si="225"/>
        <v>0</v>
      </c>
      <c r="W56" s="4">
        <f t="shared" si="225"/>
        <v>0</v>
      </c>
      <c r="X56" s="4">
        <f t="shared" si="225"/>
        <v>0</v>
      </c>
      <c r="Y56" s="4">
        <f t="shared" si="225"/>
        <v>0</v>
      </c>
      <c r="Z56" s="4">
        <f t="shared" si="225"/>
        <v>0</v>
      </c>
      <c r="AA56" s="4">
        <f t="shared" si="225"/>
        <v>0</v>
      </c>
      <c r="AB56" s="4">
        <f t="shared" si="225"/>
        <v>0</v>
      </c>
      <c r="AC56" s="4">
        <f t="shared" si="225"/>
        <v>0</v>
      </c>
      <c r="AD56" s="4">
        <f t="shared" si="225"/>
        <v>0</v>
      </c>
      <c r="AE56" s="4">
        <f t="shared" si="225"/>
        <v>0</v>
      </c>
      <c r="AF56" s="4">
        <f t="shared" si="225"/>
        <v>0</v>
      </c>
      <c r="AG56" s="4">
        <f t="shared" si="225"/>
        <v>0</v>
      </c>
      <c r="AH56" s="4">
        <f t="shared" si="225"/>
        <v>0</v>
      </c>
      <c r="AI56" s="4">
        <f t="shared" si="225"/>
        <v>0</v>
      </c>
      <c r="AJ56" s="4">
        <f t="shared" si="225"/>
        <v>0</v>
      </c>
      <c r="AK56" s="4">
        <f t="shared" si="225"/>
        <v>0</v>
      </c>
      <c r="AL56" s="4">
        <f t="shared" si="225"/>
        <v>0</v>
      </c>
      <c r="AM56" s="4">
        <f t="shared" si="225"/>
        <v>0</v>
      </c>
      <c r="AN56" s="4">
        <f t="shared" si="225"/>
        <v>0</v>
      </c>
      <c r="AO56" s="4">
        <f t="shared" si="225"/>
        <v>0</v>
      </c>
      <c r="AP56" s="4">
        <f t="shared" si="225"/>
        <v>0</v>
      </c>
      <c r="AQ56" s="4">
        <f t="shared" si="225"/>
        <v>0</v>
      </c>
      <c r="AR56" s="4">
        <f t="shared" si="225"/>
        <v>0</v>
      </c>
      <c r="AS56" s="4">
        <f t="shared" si="225"/>
        <v>0</v>
      </c>
      <c r="AT56" s="4">
        <f t="shared" si="225"/>
        <v>0</v>
      </c>
      <c r="AU56" s="4">
        <f t="shared" si="225"/>
        <v>0</v>
      </c>
      <c r="AV56" s="4">
        <f t="shared" si="225"/>
        <v>0</v>
      </c>
      <c r="AW56" s="4">
        <f t="shared" si="225"/>
        <v>0</v>
      </c>
      <c r="AX56" s="4">
        <f t="shared" si="225"/>
        <v>0</v>
      </c>
      <c r="AY56" s="4">
        <f t="shared" si="225"/>
        <v>0</v>
      </c>
      <c r="AZ56" s="4">
        <f t="shared" si="225"/>
        <v>0</v>
      </c>
      <c r="BA56" s="4">
        <f t="shared" si="225"/>
        <v>0</v>
      </c>
      <c r="BB56" s="4">
        <f t="shared" si="225"/>
        <v>0</v>
      </c>
      <c r="BC56" s="4">
        <f t="shared" si="225"/>
        <v>0</v>
      </c>
      <c r="BD56" s="4">
        <f t="shared" si="225"/>
        <v>0</v>
      </c>
      <c r="BE56" s="4">
        <f t="shared" si="225"/>
        <v>0</v>
      </c>
      <c r="BF56" s="4"/>
    </row>
    <row r="58" spans="2:59" x14ac:dyDescent="0.25">
      <c r="B58" t="s">
        <v>18</v>
      </c>
      <c r="I58" s="2" t="s">
        <v>7</v>
      </c>
      <c r="J58" s="2" t="s">
        <v>8</v>
      </c>
      <c r="K58" s="2" t="s">
        <v>16</v>
      </c>
      <c r="L58" s="2" t="s">
        <v>17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  <c r="V58" s="2" t="s">
        <v>29</v>
      </c>
      <c r="W58" s="2" t="s">
        <v>30</v>
      </c>
      <c r="X58" s="2" t="s">
        <v>31</v>
      </c>
      <c r="Y58" s="2" t="s">
        <v>32</v>
      </c>
      <c r="Z58" s="2" t="s">
        <v>33</v>
      </c>
      <c r="AA58" s="2" t="s">
        <v>34</v>
      </c>
      <c r="AB58" s="2" t="s">
        <v>35</v>
      </c>
      <c r="AC58" s="2" t="s">
        <v>36</v>
      </c>
      <c r="AD58" s="2" t="s">
        <v>37</v>
      </c>
      <c r="AE58" s="2" t="s">
        <v>38</v>
      </c>
      <c r="AF58" s="2" t="s">
        <v>39</v>
      </c>
      <c r="AG58" s="2" t="s">
        <v>40</v>
      </c>
      <c r="AH58" s="2" t="s">
        <v>41</v>
      </c>
      <c r="AI58" s="2" t="s">
        <v>42</v>
      </c>
      <c r="AJ58" s="2" t="s">
        <v>43</v>
      </c>
      <c r="AK58" s="2" t="s">
        <v>44</v>
      </c>
      <c r="AL58" s="2" t="s">
        <v>45</v>
      </c>
      <c r="AM58" s="2" t="s">
        <v>46</v>
      </c>
      <c r="AN58" s="2" t="s">
        <v>47</v>
      </c>
      <c r="AO58" s="2" t="s">
        <v>48</v>
      </c>
      <c r="AP58" s="2" t="s">
        <v>49</v>
      </c>
      <c r="AQ58" s="2" t="s">
        <v>50</v>
      </c>
      <c r="AR58" s="2" t="s">
        <v>51</v>
      </c>
      <c r="AS58" s="2" t="s">
        <v>52</v>
      </c>
      <c r="AT58" s="2" t="s">
        <v>53</v>
      </c>
      <c r="AU58" s="2" t="s">
        <v>54</v>
      </c>
      <c r="AV58" s="2" t="s">
        <v>55</v>
      </c>
      <c r="AW58" s="2" t="s">
        <v>56</v>
      </c>
      <c r="AX58" s="2" t="s">
        <v>57</v>
      </c>
      <c r="AY58" s="2" t="s">
        <v>58</v>
      </c>
      <c r="AZ58" s="2" t="s">
        <v>59</v>
      </c>
      <c r="BA58" s="2" t="s">
        <v>60</v>
      </c>
      <c r="BB58" s="2" t="s">
        <v>61</v>
      </c>
      <c r="BC58" s="2" t="s">
        <v>62</v>
      </c>
      <c r="BD58" s="2" t="s">
        <v>63</v>
      </c>
      <c r="BE58" s="2" t="s">
        <v>64</v>
      </c>
      <c r="BF58" s="2" t="s">
        <v>65</v>
      </c>
    </row>
    <row r="59" spans="2:59" x14ac:dyDescent="0.25">
      <c r="B59" s="4" t="str">
        <f>+B37</f>
        <v>FCFF</v>
      </c>
      <c r="C59" s="4">
        <f t="shared" ref="C59:K59" si="226">+C37</f>
        <v>479.99999999999955</v>
      </c>
      <c r="D59" s="4">
        <f t="shared" si="226"/>
        <v>1046.1176470588236</v>
      </c>
      <c r="E59" s="4">
        <f t="shared" si="226"/>
        <v>1557.4472727272725</v>
      </c>
      <c r="F59" s="4">
        <f t="shared" si="226"/>
        <v>2040.7139999999999</v>
      </c>
      <c r="G59" s="4">
        <f t="shared" si="226"/>
        <v>2191.9989311999998</v>
      </c>
      <c r="H59" s="4">
        <f t="shared" si="226"/>
        <v>1929.0461299199997</v>
      </c>
      <c r="I59" s="4">
        <f t="shared" si="226"/>
        <v>2200.3338997819628</v>
      </c>
      <c r="J59" s="4">
        <f t="shared" si="226"/>
        <v>2310.350594771061</v>
      </c>
      <c r="K59" s="4">
        <f t="shared" si="226"/>
        <v>2425.8681245096141</v>
      </c>
      <c r="L59" s="4">
        <f t="shared" ref="L59:BF59" si="227">+L37</f>
        <v>2547.1615307350949</v>
      </c>
      <c r="M59" s="4">
        <f t="shared" si="227"/>
        <v>2674.5196072718495</v>
      </c>
      <c r="N59" s="4">
        <f t="shared" si="227"/>
        <v>2808.2455876354416</v>
      </c>
      <c r="O59" s="4">
        <f t="shared" si="227"/>
        <v>2948.6578670172139</v>
      </c>
      <c r="P59" s="4">
        <f t="shared" si="227"/>
        <v>3096.0907603680744</v>
      </c>
      <c r="Q59" s="4">
        <f t="shared" si="227"/>
        <v>3250.8952983864783</v>
      </c>
      <c r="R59" s="4">
        <f t="shared" si="227"/>
        <v>3413.4400633058026</v>
      </c>
      <c r="S59" s="4">
        <f t="shared" si="227"/>
        <v>3584.1120664710929</v>
      </c>
      <c r="T59" s="4">
        <f t="shared" si="227"/>
        <v>3763.3176697946474</v>
      </c>
      <c r="U59" s="4">
        <f t="shared" si="227"/>
        <v>3951.4835532843799</v>
      </c>
      <c r="V59" s="4">
        <f t="shared" si="227"/>
        <v>4149.0577309485989</v>
      </c>
      <c r="W59" s="4">
        <f t="shared" si="227"/>
        <v>4356.5106174960292</v>
      </c>
      <c r="X59" s="4">
        <f t="shared" si="227"/>
        <v>4574.3361483708304</v>
      </c>
      <c r="Y59" s="4">
        <f t="shared" si="227"/>
        <v>4803.0529557893715</v>
      </c>
      <c r="Z59" s="4">
        <f t="shared" si="227"/>
        <v>5043.205603578841</v>
      </c>
      <c r="AA59" s="4">
        <f t="shared" si="227"/>
        <v>5295.3658837577823</v>
      </c>
      <c r="AB59" s="4">
        <f t="shared" si="227"/>
        <v>5560.1341779456725</v>
      </c>
      <c r="AC59" s="4">
        <f t="shared" si="227"/>
        <v>5838.1408868429553</v>
      </c>
      <c r="AD59" s="4">
        <f t="shared" si="227"/>
        <v>6130.0479311851041</v>
      </c>
      <c r="AE59" s="4">
        <f t="shared" si="227"/>
        <v>6436.5503277443595</v>
      </c>
      <c r="AF59" s="4">
        <f t="shared" si="227"/>
        <v>6758.3778441315771</v>
      </c>
      <c r="AG59" s="4">
        <f t="shared" si="227"/>
        <v>7096.2967363381558</v>
      </c>
      <c r="AH59" s="4">
        <f t="shared" si="227"/>
        <v>7451.1115731550635</v>
      </c>
      <c r="AI59" s="4">
        <f t="shared" si="227"/>
        <v>7823.6671518128169</v>
      </c>
      <c r="AJ59" s="4">
        <f t="shared" si="227"/>
        <v>8214.8505094034572</v>
      </c>
      <c r="AK59" s="4">
        <f t="shared" si="227"/>
        <v>8625.5930348736292</v>
      </c>
      <c r="AL59" s="4">
        <f t="shared" si="227"/>
        <v>9056.8726866173129</v>
      </c>
      <c r="AM59" s="4">
        <f t="shared" si="227"/>
        <v>9509.7163209481769</v>
      </c>
      <c r="AN59" s="4">
        <f t="shared" si="227"/>
        <v>9985.2021369955874</v>
      </c>
      <c r="AO59" s="4">
        <f t="shared" si="227"/>
        <v>10484.462243845366</v>
      </c>
      <c r="AP59" s="4">
        <f t="shared" si="227"/>
        <v>11008.685356037633</v>
      </c>
      <c r="AQ59" s="4">
        <f t="shared" si="227"/>
        <v>11559.119623839517</v>
      </c>
      <c r="AR59" s="4">
        <f t="shared" si="227"/>
        <v>12137.075605031492</v>
      </c>
      <c r="AS59" s="4">
        <f t="shared" si="227"/>
        <v>12743.929385283067</v>
      </c>
      <c r="AT59" s="4">
        <f t="shared" si="227"/>
        <v>13381.125854547223</v>
      </c>
      <c r="AU59" s="4">
        <f t="shared" si="227"/>
        <v>14050.182147274583</v>
      </c>
      <c r="AV59" s="4">
        <f t="shared" si="227"/>
        <v>14752.691254638312</v>
      </c>
      <c r="AW59" s="4">
        <f t="shared" si="227"/>
        <v>15490.325817370227</v>
      </c>
      <c r="AX59" s="4">
        <f t="shared" si="227"/>
        <v>16264.842108238738</v>
      </c>
      <c r="AY59" s="4">
        <f t="shared" si="227"/>
        <v>17078.084213650676</v>
      </c>
      <c r="AZ59" s="4">
        <f t="shared" si="227"/>
        <v>17931.988424333205</v>
      </c>
      <c r="BA59" s="4">
        <f t="shared" si="227"/>
        <v>18828.587845549868</v>
      </c>
      <c r="BB59" s="4">
        <f t="shared" si="227"/>
        <v>19770.01723782736</v>
      </c>
      <c r="BC59" s="4">
        <f t="shared" si="227"/>
        <v>20758.518099718727</v>
      </c>
      <c r="BD59" s="4">
        <f t="shared" si="227"/>
        <v>21796.444004704666</v>
      </c>
      <c r="BE59" s="4">
        <f t="shared" si="227"/>
        <v>22886.2662049399</v>
      </c>
      <c r="BF59" s="4">
        <f t="shared" si="227"/>
        <v>24030.579515186895</v>
      </c>
      <c r="BG59" s="4"/>
    </row>
    <row r="60" spans="2:59" x14ac:dyDescent="0.25">
      <c r="B60" s="3" t="str">
        <f>+B29</f>
        <v>WACC=rA-D/V*rD*t</v>
      </c>
      <c r="C60" s="3">
        <f t="shared" ref="C60:K60" si="228">+C29</f>
        <v>0.12</v>
      </c>
      <c r="D60" s="3">
        <f t="shared" si="228"/>
        <v>0.11936999999999999</v>
      </c>
      <c r="E60" s="3">
        <f t="shared" si="228"/>
        <v>0.11864999999999999</v>
      </c>
      <c r="F60" s="3">
        <f t="shared" si="228"/>
        <v>0.11767999999999999</v>
      </c>
      <c r="G60" s="3">
        <f t="shared" si="228"/>
        <v>0.11677</v>
      </c>
      <c r="H60" s="3">
        <f t="shared" si="228"/>
        <v>0.1166</v>
      </c>
      <c r="I60" s="3">
        <f t="shared" si="228"/>
        <v>0.1166</v>
      </c>
      <c r="J60" s="3">
        <f t="shared" si="228"/>
        <v>0.1166</v>
      </c>
      <c r="K60" s="3">
        <f t="shared" si="228"/>
        <v>0.1166</v>
      </c>
      <c r="L60" s="3">
        <f t="shared" ref="L60:BF60" si="229">+L29</f>
        <v>0.1166</v>
      </c>
      <c r="M60" s="3">
        <f t="shared" si="229"/>
        <v>0.1166</v>
      </c>
      <c r="N60" s="3">
        <f t="shared" si="229"/>
        <v>0.1166</v>
      </c>
      <c r="O60" s="3">
        <f t="shared" si="229"/>
        <v>0.1166</v>
      </c>
      <c r="P60" s="3">
        <f t="shared" si="229"/>
        <v>0.1166</v>
      </c>
      <c r="Q60" s="3">
        <f t="shared" si="229"/>
        <v>0.1166</v>
      </c>
      <c r="R60" s="3">
        <f t="shared" si="229"/>
        <v>0.1166</v>
      </c>
      <c r="S60" s="3">
        <f t="shared" si="229"/>
        <v>0.1166</v>
      </c>
      <c r="T60" s="3">
        <f t="shared" si="229"/>
        <v>0.1166</v>
      </c>
      <c r="U60" s="3">
        <f t="shared" si="229"/>
        <v>0.1166</v>
      </c>
      <c r="V60" s="3">
        <f t="shared" si="229"/>
        <v>0.1166</v>
      </c>
      <c r="W60" s="3">
        <f t="shared" si="229"/>
        <v>0.1166</v>
      </c>
      <c r="X60" s="3">
        <f t="shared" si="229"/>
        <v>0.1166</v>
      </c>
      <c r="Y60" s="3">
        <f t="shared" si="229"/>
        <v>0.1166</v>
      </c>
      <c r="Z60" s="3">
        <f t="shared" si="229"/>
        <v>0.1166</v>
      </c>
      <c r="AA60" s="3">
        <f t="shared" si="229"/>
        <v>0.1166</v>
      </c>
      <c r="AB60" s="3">
        <f t="shared" si="229"/>
        <v>0.1166</v>
      </c>
      <c r="AC60" s="3">
        <f t="shared" si="229"/>
        <v>0.1166</v>
      </c>
      <c r="AD60" s="3">
        <f t="shared" si="229"/>
        <v>0.1166</v>
      </c>
      <c r="AE60" s="3">
        <f t="shared" si="229"/>
        <v>0.1166</v>
      </c>
      <c r="AF60" s="3">
        <f t="shared" si="229"/>
        <v>0.1166</v>
      </c>
      <c r="AG60" s="3">
        <f t="shared" si="229"/>
        <v>0.1166</v>
      </c>
      <c r="AH60" s="3">
        <f t="shared" si="229"/>
        <v>0.1166</v>
      </c>
      <c r="AI60" s="3">
        <f t="shared" si="229"/>
        <v>0.1166</v>
      </c>
      <c r="AJ60" s="3">
        <f t="shared" si="229"/>
        <v>0.1166</v>
      </c>
      <c r="AK60" s="3">
        <f t="shared" si="229"/>
        <v>0.1166</v>
      </c>
      <c r="AL60" s="3">
        <f t="shared" si="229"/>
        <v>0.1166</v>
      </c>
      <c r="AM60" s="3">
        <f t="shared" si="229"/>
        <v>0.1166</v>
      </c>
      <c r="AN60" s="3">
        <f t="shared" si="229"/>
        <v>0.1166</v>
      </c>
      <c r="AO60" s="3">
        <f t="shared" si="229"/>
        <v>0.1166</v>
      </c>
      <c r="AP60" s="3">
        <f t="shared" si="229"/>
        <v>0.1166</v>
      </c>
      <c r="AQ60" s="3">
        <f t="shared" si="229"/>
        <v>0.1166</v>
      </c>
      <c r="AR60" s="3">
        <f t="shared" si="229"/>
        <v>0.1166</v>
      </c>
      <c r="AS60" s="3">
        <f t="shared" si="229"/>
        <v>0.1166</v>
      </c>
      <c r="AT60" s="3">
        <f t="shared" si="229"/>
        <v>0.1166</v>
      </c>
      <c r="AU60" s="3">
        <f t="shared" si="229"/>
        <v>0.1166</v>
      </c>
      <c r="AV60" s="3">
        <f t="shared" si="229"/>
        <v>0.1166</v>
      </c>
      <c r="AW60" s="3">
        <f t="shared" si="229"/>
        <v>0.1166</v>
      </c>
      <c r="AX60" s="3">
        <f t="shared" si="229"/>
        <v>0.1166</v>
      </c>
      <c r="AY60" s="3">
        <f t="shared" si="229"/>
        <v>0.1166</v>
      </c>
      <c r="AZ60" s="3">
        <f t="shared" si="229"/>
        <v>0.1166</v>
      </c>
      <c r="BA60" s="3">
        <f t="shared" si="229"/>
        <v>0.1166</v>
      </c>
      <c r="BB60" s="3">
        <f t="shared" si="229"/>
        <v>0.1166</v>
      </c>
      <c r="BC60" s="3">
        <f t="shared" si="229"/>
        <v>0.1166</v>
      </c>
      <c r="BD60" s="3">
        <f t="shared" si="229"/>
        <v>0.1166</v>
      </c>
      <c r="BE60" s="3">
        <f t="shared" si="229"/>
        <v>0.1166</v>
      </c>
      <c r="BF60" s="3">
        <f t="shared" si="229"/>
        <v>0.1166</v>
      </c>
      <c r="BG60" s="3"/>
    </row>
    <row r="61" spans="2:59" x14ac:dyDescent="0.25">
      <c r="B61" s="12" t="s">
        <v>19</v>
      </c>
      <c r="C61" s="13">
        <f t="shared" ref="C61:G61" si="230">+(C59+D61)/(1+C60)</f>
        <v>22816.982616167104</v>
      </c>
      <c r="D61" s="13">
        <f t="shared" si="230"/>
        <v>25075.020530107158</v>
      </c>
      <c r="E61" s="13">
        <f t="shared" si="230"/>
        <v>27022.108083727224</v>
      </c>
      <c r="F61" s="13">
        <f t="shared" si="230"/>
        <v>28670.833935134186</v>
      </c>
      <c r="G61" s="13">
        <f t="shared" si="230"/>
        <v>30004.103672620775</v>
      </c>
      <c r="H61" s="13">
        <f>+(H59+I61)/(1+H60)</f>
        <v>31315.683927272705</v>
      </c>
      <c r="I61" s="13">
        <f t="shared" ref="I61:T61" si="231">+(I59+J61)/(1+I60)</f>
        <v>33038.0465432727</v>
      </c>
      <c r="J61" s="13">
        <f t="shared" si="231"/>
        <v>34689.948870436339</v>
      </c>
      <c r="K61" s="13">
        <f t="shared" si="231"/>
        <v>36424.446313958157</v>
      </c>
      <c r="L61" s="13">
        <f t="shared" si="231"/>
        <v>38245.668629656066</v>
      </c>
      <c r="M61" s="13">
        <f t="shared" si="231"/>
        <v>40157.952061138873</v>
      </c>
      <c r="N61" s="13">
        <f t="shared" si="231"/>
        <v>42165.849664195819</v>
      </c>
      <c r="O61" s="13">
        <f t="shared" si="231"/>
        <v>44274.142147405611</v>
      </c>
      <c r="P61" s="13">
        <f t="shared" si="231"/>
        <v>46487.849254775894</v>
      </c>
      <c r="Q61" s="13">
        <f t="shared" si="231"/>
        <v>48812.241717514691</v>
      </c>
      <c r="R61" s="13">
        <f t="shared" si="231"/>
        <v>51252.853803390426</v>
      </c>
      <c r="S61" s="13">
        <f t="shared" si="231"/>
        <v>53815.496493559949</v>
      </c>
      <c r="T61" s="13">
        <f t="shared" si="231"/>
        <v>56506.271318237952</v>
      </c>
      <c r="U61" s="13">
        <f>+(U59+V61)/(1+U60)</f>
        <v>59331.584884149852</v>
      </c>
      <c r="V61" s="15">
        <f>+V59/(V60-W23)</f>
        <v>62298.164128357348</v>
      </c>
      <c r="W61" s="15">
        <f t="shared" ref="W61:BG61" si="232">+W59/(W60-X23)</f>
        <v>65413.072334775221</v>
      </c>
      <c r="X61" s="15">
        <f t="shared" si="232"/>
        <v>68683.725951513974</v>
      </c>
      <c r="Y61" s="15">
        <f t="shared" si="232"/>
        <v>72117.91224908967</v>
      </c>
      <c r="Z61" s="15">
        <f t="shared" si="232"/>
        <v>75723.807861544163</v>
      </c>
      <c r="AA61" s="15">
        <f t="shared" si="232"/>
        <v>79509.998254621358</v>
      </c>
      <c r="AB61" s="15">
        <f t="shared" si="232"/>
        <v>83485.498167352445</v>
      </c>
      <c r="AC61" s="15">
        <f t="shared" si="232"/>
        <v>87659.773075720062</v>
      </c>
      <c r="AD61" s="15">
        <f t="shared" si="232"/>
        <v>92042.761729506077</v>
      </c>
      <c r="AE61" s="15">
        <f t="shared" si="232"/>
        <v>96644.899815981378</v>
      </c>
      <c r="AF61" s="15">
        <f t="shared" si="232"/>
        <v>101477.14480678044</v>
      </c>
      <c r="AG61" s="15">
        <f t="shared" si="232"/>
        <v>106551.00204711947</v>
      </c>
      <c r="AH61" s="15">
        <f t="shared" si="232"/>
        <v>111878.55214947544</v>
      </c>
      <c r="AI61" s="15">
        <f t="shared" si="232"/>
        <v>117472.47975694922</v>
      </c>
      <c r="AJ61" s="15">
        <f t="shared" si="232"/>
        <v>123346.10374479667</v>
      </c>
      <c r="AK61" s="15">
        <f t="shared" si="232"/>
        <v>129513.40893203649</v>
      </c>
      <c r="AL61" s="15">
        <f t="shared" si="232"/>
        <v>135989.07937863836</v>
      </c>
      <c r="AM61" s="15">
        <f t="shared" si="232"/>
        <v>142788.53334757025</v>
      </c>
      <c r="AN61" s="15">
        <f t="shared" si="232"/>
        <v>149927.96001494877</v>
      </c>
      <c r="AO61" s="15">
        <f t="shared" si="232"/>
        <v>157424.3580156962</v>
      </c>
      <c r="AP61" s="15">
        <f t="shared" si="232"/>
        <v>165295.575916481</v>
      </c>
      <c r="AQ61" s="15">
        <f t="shared" si="232"/>
        <v>173560.35471230507</v>
      </c>
      <c r="AR61" s="15">
        <f t="shared" si="232"/>
        <v>182238.37244792032</v>
      </c>
      <c r="AS61" s="15">
        <f t="shared" si="232"/>
        <v>191350.29107031634</v>
      </c>
      <c r="AT61" s="15">
        <f t="shared" si="232"/>
        <v>200917.80562383219</v>
      </c>
      <c r="AU61" s="15">
        <f t="shared" si="232"/>
        <v>210963.69590502381</v>
      </c>
      <c r="AV61" s="15">
        <f t="shared" si="232"/>
        <v>221511.88070027498</v>
      </c>
      <c r="AW61" s="15">
        <f t="shared" si="232"/>
        <v>232587.47473528871</v>
      </c>
      <c r="AX61" s="15">
        <f t="shared" si="232"/>
        <v>244216.84847205316</v>
      </c>
      <c r="AY61" s="15">
        <f t="shared" si="232"/>
        <v>256427.69089565583</v>
      </c>
      <c r="AZ61" s="15">
        <f t="shared" si="232"/>
        <v>269249.07544043852</v>
      </c>
      <c r="BA61" s="15">
        <f t="shared" si="232"/>
        <v>282711.5292124605</v>
      </c>
      <c r="BB61" s="15">
        <f t="shared" si="232"/>
        <v>296847.10567308351</v>
      </c>
      <c r="BC61" s="15">
        <f t="shared" si="232"/>
        <v>311689.46095673769</v>
      </c>
      <c r="BD61" s="15">
        <f t="shared" si="232"/>
        <v>327273.93400457461</v>
      </c>
      <c r="BE61" s="15">
        <f t="shared" si="232"/>
        <v>343637.63070480333</v>
      </c>
      <c r="BF61" s="15">
        <f t="shared" si="232"/>
        <v>360819.51224004349</v>
      </c>
      <c r="BG61" s="15"/>
    </row>
    <row r="63" spans="2:59" x14ac:dyDescent="0.25">
      <c r="B63" s="4" t="str">
        <f>+B20</f>
        <v>IC boy</v>
      </c>
      <c r="C63" s="4">
        <f t="shared" ref="C63:V63" si="233">+C20</f>
        <v>15000</v>
      </c>
      <c r="D63" s="4">
        <f t="shared" si="233"/>
        <v>16920</v>
      </c>
      <c r="E63" s="4">
        <f t="shared" si="233"/>
        <v>18609.882352941175</v>
      </c>
      <c r="F63" s="4">
        <f t="shared" si="233"/>
        <v>20075.7150802139</v>
      </c>
      <c r="G63" s="4">
        <f t="shared" si="233"/>
        <v>21300.143480213901</v>
      </c>
      <c r="H63" s="4">
        <f t="shared" si="233"/>
        <v>22569.1954930139</v>
      </c>
      <c r="I63" s="4">
        <f t="shared" si="233"/>
        <v>24291.558109013899</v>
      </c>
      <c r="J63" s="4">
        <f t="shared" si="233"/>
        <v>25943.460436177535</v>
      </c>
      <c r="K63" s="4">
        <f t="shared" si="233"/>
        <v>27677.957879699352</v>
      </c>
      <c r="L63" s="4">
        <f t="shared" si="233"/>
        <v>29499.180195397261</v>
      </c>
      <c r="M63" s="4">
        <f t="shared" si="233"/>
        <v>31411.463626880064</v>
      </c>
      <c r="N63" s="4">
        <f t="shared" si="233"/>
        <v>33419.361229937007</v>
      </c>
      <c r="O63" s="4">
        <f t="shared" si="233"/>
        <v>35527.653713146799</v>
      </c>
      <c r="P63" s="4">
        <f t="shared" si="233"/>
        <v>37741.360820517082</v>
      </c>
      <c r="Q63" s="4">
        <f t="shared" si="233"/>
        <v>40065.753283255879</v>
      </c>
      <c r="R63" s="4">
        <f t="shared" si="233"/>
        <v>42506.365369131614</v>
      </c>
      <c r="S63" s="4">
        <f t="shared" si="233"/>
        <v>45069.008059301137</v>
      </c>
      <c r="T63" s="4">
        <f t="shared" si="233"/>
        <v>47759.782883979133</v>
      </c>
      <c r="U63" s="4">
        <f t="shared" si="233"/>
        <v>50585.096449891033</v>
      </c>
      <c r="V63" s="4">
        <f t="shared" si="233"/>
        <v>53551.675694098521</v>
      </c>
      <c r="W63" s="4">
        <f t="shared" ref="W63:BF63" si="234">+W20</f>
        <v>56666.583900516387</v>
      </c>
      <c r="X63" s="4">
        <f t="shared" si="234"/>
        <v>59937.237517255147</v>
      </c>
      <c r="Y63" s="4">
        <f t="shared" si="234"/>
        <v>63371.423814830843</v>
      </c>
      <c r="Z63" s="4">
        <f t="shared" si="234"/>
        <v>66977.319427285329</v>
      </c>
      <c r="AA63" s="4">
        <f t="shared" si="234"/>
        <v>70763.509820362538</v>
      </c>
      <c r="AB63" s="4">
        <f t="shared" si="234"/>
        <v>74739.009733093611</v>
      </c>
      <c r="AC63" s="4">
        <f t="shared" si="234"/>
        <v>78913.284641461229</v>
      </c>
      <c r="AD63" s="4">
        <f t="shared" si="234"/>
        <v>83296.273295247229</v>
      </c>
      <c r="AE63" s="4">
        <f t="shared" si="234"/>
        <v>87898.41138172253</v>
      </c>
      <c r="AF63" s="4">
        <f t="shared" si="234"/>
        <v>92730.656372521596</v>
      </c>
      <c r="AG63" s="4">
        <f t="shared" si="234"/>
        <v>97804.513612860625</v>
      </c>
      <c r="AH63" s="4">
        <f t="shared" si="234"/>
        <v>103132.0637152166</v>
      </c>
      <c r="AI63" s="4">
        <f t="shared" si="234"/>
        <v>108725.99132269037</v>
      </c>
      <c r="AJ63" s="4">
        <f t="shared" si="234"/>
        <v>114599.61531053783</v>
      </c>
      <c r="AK63" s="4">
        <f t="shared" si="234"/>
        <v>120766.92049777767</v>
      </c>
      <c r="AL63" s="4">
        <f t="shared" si="234"/>
        <v>127242.5909443795</v>
      </c>
      <c r="AM63" s="4">
        <f t="shared" si="234"/>
        <v>134042.0449133114</v>
      </c>
      <c r="AN63" s="4">
        <f t="shared" si="234"/>
        <v>141181.47158068992</v>
      </c>
      <c r="AO63" s="4">
        <f t="shared" si="234"/>
        <v>148677.86958143735</v>
      </c>
      <c r="AP63" s="4">
        <f t="shared" si="234"/>
        <v>156549.08748222215</v>
      </c>
      <c r="AQ63" s="4">
        <f t="shared" si="234"/>
        <v>164813.86627804622</v>
      </c>
      <c r="AR63" s="4">
        <f t="shared" si="234"/>
        <v>173491.88401366147</v>
      </c>
      <c r="AS63" s="4">
        <f t="shared" si="234"/>
        <v>182603.80263605749</v>
      </c>
      <c r="AT63" s="4">
        <f t="shared" si="234"/>
        <v>192171.31718957331</v>
      </c>
      <c r="AU63" s="4">
        <f t="shared" si="234"/>
        <v>202217.20747076493</v>
      </c>
      <c r="AV63" s="4">
        <f t="shared" si="234"/>
        <v>212765.3922660161</v>
      </c>
      <c r="AW63" s="4">
        <f t="shared" si="234"/>
        <v>223840.98630102986</v>
      </c>
      <c r="AX63" s="4">
        <f t="shared" si="234"/>
        <v>235470.36003779428</v>
      </c>
      <c r="AY63" s="4">
        <f t="shared" si="234"/>
        <v>247681.20246139693</v>
      </c>
      <c r="AZ63" s="4">
        <f t="shared" si="234"/>
        <v>260502.5870061797</v>
      </c>
      <c r="BA63" s="4">
        <f t="shared" si="234"/>
        <v>273965.04077820166</v>
      </c>
      <c r="BB63" s="4">
        <f t="shared" si="234"/>
        <v>288100.61723882466</v>
      </c>
      <c r="BC63" s="4">
        <f t="shared" si="234"/>
        <v>302942.97252247884</v>
      </c>
      <c r="BD63" s="4">
        <f t="shared" si="234"/>
        <v>318527.4455703157</v>
      </c>
      <c r="BE63" s="4">
        <f t="shared" si="234"/>
        <v>334891.14227054443</v>
      </c>
      <c r="BF63" s="4">
        <f t="shared" si="234"/>
        <v>352073.02380578459</v>
      </c>
      <c r="BG63" s="4"/>
    </row>
    <row r="64" spans="2:59" x14ac:dyDescent="0.25">
      <c r="B64" t="s">
        <v>66</v>
      </c>
      <c r="C64" s="4">
        <f>+C61*C24</f>
        <v>0</v>
      </c>
      <c r="D64" s="4">
        <f t="shared" ref="D64:V64" si="235">+D61*D24</f>
        <v>1128.3759238548221</v>
      </c>
      <c r="E64" s="4">
        <f t="shared" si="235"/>
        <v>2431.9897275354501</v>
      </c>
      <c r="F64" s="4">
        <f t="shared" si="235"/>
        <v>4157.2709205944566</v>
      </c>
      <c r="G64" s="4">
        <f t="shared" si="235"/>
        <v>5700.7796977979469</v>
      </c>
      <c r="H64" s="4">
        <f t="shared" si="235"/>
        <v>6263.1367854545415</v>
      </c>
      <c r="I64" s="4">
        <f t="shared" si="235"/>
        <v>6607.6093086545407</v>
      </c>
      <c r="J64" s="4">
        <f t="shared" si="235"/>
        <v>6937.9897740872684</v>
      </c>
      <c r="K64" s="4">
        <f t="shared" si="235"/>
        <v>7284.8892627916321</v>
      </c>
      <c r="L64" s="4">
        <f t="shared" si="235"/>
        <v>7649.1337259312131</v>
      </c>
      <c r="M64" s="4">
        <f t="shared" si="235"/>
        <v>8031.5904122277752</v>
      </c>
      <c r="N64" s="4">
        <f t="shared" si="235"/>
        <v>8433.1699328391642</v>
      </c>
      <c r="O64" s="4">
        <f t="shared" si="235"/>
        <v>8854.8284294811219</v>
      </c>
      <c r="P64" s="4">
        <f t="shared" si="235"/>
        <v>9297.5698509551785</v>
      </c>
      <c r="Q64" s="4">
        <f t="shared" si="235"/>
        <v>9762.4483435029379</v>
      </c>
      <c r="R64" s="4">
        <f t="shared" si="235"/>
        <v>10250.570760678085</v>
      </c>
      <c r="S64" s="4">
        <f t="shared" si="235"/>
        <v>10763.09929871199</v>
      </c>
      <c r="T64" s="4">
        <f t="shared" si="235"/>
        <v>11301.254263647592</v>
      </c>
      <c r="U64" s="4">
        <f t="shared" si="235"/>
        <v>11866.31697682997</v>
      </c>
      <c r="V64" s="4">
        <f t="shared" si="235"/>
        <v>12459.63282567147</v>
      </c>
      <c r="W64" s="4">
        <f t="shared" ref="W64:BF64" si="236">+W61*W24</f>
        <v>13082.614466955045</v>
      </c>
      <c r="X64" s="4">
        <f t="shared" si="236"/>
        <v>13736.745190302796</v>
      </c>
      <c r="Y64" s="4">
        <f t="shared" si="236"/>
        <v>14423.582449817935</v>
      </c>
      <c r="Z64" s="4">
        <f t="shared" si="236"/>
        <v>15144.761572308833</v>
      </c>
      <c r="AA64" s="4">
        <f t="shared" si="236"/>
        <v>15901.999650924272</v>
      </c>
      <c r="AB64" s="4">
        <f t="shared" si="236"/>
        <v>16697.099633470491</v>
      </c>
      <c r="AC64" s="4">
        <f t="shared" si="236"/>
        <v>17531.954615144012</v>
      </c>
      <c r="AD64" s="4">
        <f t="shared" si="236"/>
        <v>18408.552345901215</v>
      </c>
      <c r="AE64" s="4">
        <f t="shared" si="236"/>
        <v>19328.979963196278</v>
      </c>
      <c r="AF64" s="4">
        <f t="shared" si="236"/>
        <v>20295.42896135609</v>
      </c>
      <c r="AG64" s="4">
        <f t="shared" si="236"/>
        <v>21310.200409423895</v>
      </c>
      <c r="AH64" s="4">
        <f t="shared" si="236"/>
        <v>22375.710429895087</v>
      </c>
      <c r="AI64" s="4">
        <f t="shared" si="236"/>
        <v>23494.495951389847</v>
      </c>
      <c r="AJ64" s="4">
        <f t="shared" si="236"/>
        <v>24669.220748959335</v>
      </c>
      <c r="AK64" s="4">
        <f t="shared" si="236"/>
        <v>25902.681786407298</v>
      </c>
      <c r="AL64" s="4">
        <f t="shared" si="236"/>
        <v>27197.815875727672</v>
      </c>
      <c r="AM64" s="4">
        <f t="shared" si="236"/>
        <v>28557.706669514053</v>
      </c>
      <c r="AN64" s="4">
        <f t="shared" si="236"/>
        <v>29985.592002989753</v>
      </c>
      <c r="AO64" s="4">
        <f t="shared" si="236"/>
        <v>31484.87160313924</v>
      </c>
      <c r="AP64" s="4">
        <f t="shared" si="236"/>
        <v>33059.115183296199</v>
      </c>
      <c r="AQ64" s="4">
        <f t="shared" si="236"/>
        <v>34712.070942461018</v>
      </c>
      <c r="AR64" s="4">
        <f t="shared" si="236"/>
        <v>36447.674489584067</v>
      </c>
      <c r="AS64" s="4">
        <f t="shared" si="236"/>
        <v>38270.058214063269</v>
      </c>
      <c r="AT64" s="4">
        <f t="shared" si="236"/>
        <v>40183.561124766442</v>
      </c>
      <c r="AU64" s="4">
        <f t="shared" si="236"/>
        <v>42192.739181004763</v>
      </c>
      <c r="AV64" s="4">
        <f t="shared" si="236"/>
        <v>44302.376140054999</v>
      </c>
      <c r="AW64" s="4">
        <f t="shared" si="236"/>
        <v>46517.494947057741</v>
      </c>
      <c r="AX64" s="4">
        <f t="shared" si="236"/>
        <v>48843.369694410634</v>
      </c>
      <c r="AY64" s="4">
        <f t="shared" si="236"/>
        <v>51285.538179131167</v>
      </c>
      <c r="AZ64" s="4">
        <f t="shared" si="236"/>
        <v>53849.815088087707</v>
      </c>
      <c r="BA64" s="4">
        <f t="shared" si="236"/>
        <v>56542.305842492104</v>
      </c>
      <c r="BB64" s="4">
        <f t="shared" si="236"/>
        <v>59369.421134616707</v>
      </c>
      <c r="BC64" s="4">
        <f t="shared" si="236"/>
        <v>62337.892191347542</v>
      </c>
      <c r="BD64" s="4">
        <f t="shared" si="236"/>
        <v>65454.786800914924</v>
      </c>
      <c r="BE64" s="4">
        <f t="shared" si="236"/>
        <v>68727.526140960676</v>
      </c>
      <c r="BF64" s="4">
        <f t="shared" si="236"/>
        <v>72163.902448008696</v>
      </c>
      <c r="BG64" s="4"/>
    </row>
    <row r="65" spans="2:59" x14ac:dyDescent="0.25">
      <c r="B65" t="s">
        <v>67</v>
      </c>
      <c r="C65" s="4">
        <f>+C63-C64</f>
        <v>15000</v>
      </c>
      <c r="D65" s="4">
        <f t="shared" ref="D65:V65" si="237">+D63-D64</f>
        <v>15791.624076145177</v>
      </c>
      <c r="E65" s="4">
        <f t="shared" si="237"/>
        <v>16177.892625405724</v>
      </c>
      <c r="F65" s="4">
        <f t="shared" si="237"/>
        <v>15918.444159619445</v>
      </c>
      <c r="G65" s="4">
        <f t="shared" si="237"/>
        <v>15599.363782415954</v>
      </c>
      <c r="H65" s="4">
        <f t="shared" si="237"/>
        <v>16306.058707559358</v>
      </c>
      <c r="I65" s="4">
        <f t="shared" si="237"/>
        <v>17683.948800359358</v>
      </c>
      <c r="J65" s="4">
        <f t="shared" si="237"/>
        <v>19005.470662090265</v>
      </c>
      <c r="K65" s="4">
        <f t="shared" si="237"/>
        <v>20393.06861690772</v>
      </c>
      <c r="L65" s="4">
        <f t="shared" si="237"/>
        <v>21850.046469466048</v>
      </c>
      <c r="M65" s="4">
        <f t="shared" si="237"/>
        <v>23379.873214652289</v>
      </c>
      <c r="N65" s="4">
        <f t="shared" si="237"/>
        <v>24986.191297097845</v>
      </c>
      <c r="O65" s="4">
        <f t="shared" si="237"/>
        <v>26672.825283665676</v>
      </c>
      <c r="P65" s="4">
        <f t="shared" si="237"/>
        <v>28443.790969561902</v>
      </c>
      <c r="Q65" s="4">
        <f t="shared" si="237"/>
        <v>30303.304939752939</v>
      </c>
      <c r="R65" s="4">
        <f t="shared" si="237"/>
        <v>32255.794608453529</v>
      </c>
      <c r="S65" s="4">
        <f t="shared" si="237"/>
        <v>34305.908760589147</v>
      </c>
      <c r="T65" s="4">
        <f t="shared" si="237"/>
        <v>36458.528620331541</v>
      </c>
      <c r="U65" s="4">
        <f t="shared" si="237"/>
        <v>38718.779473061062</v>
      </c>
      <c r="V65" s="4">
        <f t="shared" si="237"/>
        <v>41092.042868427052</v>
      </c>
      <c r="W65" s="4">
        <f t="shared" ref="W65" si="238">+W63-W64</f>
        <v>43583.969433561346</v>
      </c>
      <c r="X65" s="4">
        <f t="shared" ref="X65" si="239">+X63-X64</f>
        <v>46200.49232695235</v>
      </c>
      <c r="Y65" s="4">
        <f t="shared" ref="Y65" si="240">+Y63-Y64</f>
        <v>48947.841365012908</v>
      </c>
      <c r="Z65" s="4">
        <f t="shared" ref="Z65" si="241">+Z63-Z64</f>
        <v>51832.557854976498</v>
      </c>
      <c r="AA65" s="4">
        <f t="shared" ref="AA65" si="242">+AA63-AA64</f>
        <v>54861.510169438268</v>
      </c>
      <c r="AB65" s="4">
        <f t="shared" ref="AB65" si="243">+AB63-AB64</f>
        <v>58041.910099623121</v>
      </c>
      <c r="AC65" s="4">
        <f t="shared" ref="AC65" si="244">+AC63-AC64</f>
        <v>61381.330026317213</v>
      </c>
      <c r="AD65" s="4">
        <f t="shared" ref="AD65" si="245">+AD63-AD64</f>
        <v>64887.72094934601</v>
      </c>
      <c r="AE65" s="4">
        <f t="shared" ref="AE65" si="246">+AE63-AE64</f>
        <v>68569.431418526248</v>
      </c>
      <c r="AF65" s="4">
        <f t="shared" ref="AF65" si="247">+AF63-AF64</f>
        <v>72435.227411165513</v>
      </c>
      <c r="AG65" s="4">
        <f t="shared" ref="AG65" si="248">+AG63-AG64</f>
        <v>76494.31320343673</v>
      </c>
      <c r="AH65" s="4">
        <f t="shared" ref="AH65" si="249">+AH63-AH64</f>
        <v>80756.353285321515</v>
      </c>
      <c r="AI65" s="4">
        <f t="shared" ref="AI65" si="250">+AI63-AI64</f>
        <v>85231.495371300523</v>
      </c>
      <c r="AJ65" s="4">
        <f t="shared" ref="AJ65" si="251">+AJ63-AJ64</f>
        <v>89930.394561578491</v>
      </c>
      <c r="AK65" s="4">
        <f t="shared" ref="AK65" si="252">+AK63-AK64</f>
        <v>94864.238711370373</v>
      </c>
      <c r="AL65" s="4">
        <f t="shared" ref="AL65" si="253">+AL63-AL64</f>
        <v>100044.77506865183</v>
      </c>
      <c r="AM65" s="4">
        <f t="shared" ref="AM65" si="254">+AM63-AM64</f>
        <v>105484.33824379735</v>
      </c>
      <c r="AN65" s="4">
        <f t="shared" ref="AN65" si="255">+AN63-AN64</f>
        <v>111195.87957770017</v>
      </c>
      <c r="AO65" s="4">
        <f t="shared" ref="AO65" si="256">+AO63-AO64</f>
        <v>117192.99797829811</v>
      </c>
      <c r="AP65" s="4">
        <f t="shared" ref="AP65" si="257">+AP63-AP64</f>
        <v>123489.97229892595</v>
      </c>
      <c r="AQ65" s="4">
        <f t="shared" ref="AQ65" si="258">+AQ63-AQ64</f>
        <v>130101.79533558519</v>
      </c>
      <c r="AR65" s="4">
        <f t="shared" ref="AR65" si="259">+AR63-AR64</f>
        <v>137044.20952407742</v>
      </c>
      <c r="AS65" s="4">
        <f t="shared" ref="AS65" si="260">+AS63-AS64</f>
        <v>144333.74442199423</v>
      </c>
      <c r="AT65" s="4">
        <f t="shared" ref="AT65" si="261">+AT63-AT64</f>
        <v>151987.75606480686</v>
      </c>
      <c r="AU65" s="4">
        <f t="shared" ref="AU65" si="262">+AU63-AU64</f>
        <v>160024.46828976017</v>
      </c>
      <c r="AV65" s="4">
        <f t="shared" ref="AV65" si="263">+AV63-AV64</f>
        <v>168463.01612596109</v>
      </c>
      <c r="AW65" s="4">
        <f t="shared" ref="AW65" si="264">+AW63-AW64</f>
        <v>177323.49135397212</v>
      </c>
      <c r="AX65" s="4">
        <f t="shared" ref="AX65" si="265">+AX63-AX64</f>
        <v>186626.99034338363</v>
      </c>
      <c r="AY65" s="4">
        <f t="shared" ref="AY65" si="266">+AY63-AY64</f>
        <v>196395.66428226576</v>
      </c>
      <c r="AZ65" s="4">
        <f t="shared" ref="AZ65" si="267">+AZ63-AZ64</f>
        <v>206652.77191809198</v>
      </c>
      <c r="BA65" s="4">
        <f t="shared" ref="BA65" si="268">+BA63-BA64</f>
        <v>217422.73493570957</v>
      </c>
      <c r="BB65" s="4">
        <f t="shared" ref="BB65" si="269">+BB63-BB64</f>
        <v>228731.19610420795</v>
      </c>
      <c r="BC65" s="4">
        <f t="shared" ref="BC65" si="270">+BC63-BC64</f>
        <v>240605.08033113129</v>
      </c>
      <c r="BD65" s="4">
        <f t="shared" ref="BD65" si="271">+BD63-BD64</f>
        <v>253072.65876940079</v>
      </c>
      <c r="BE65" s="4">
        <f t="shared" ref="BE65" si="272">+BE63-BE64</f>
        <v>266163.61612958374</v>
      </c>
      <c r="BF65" s="4">
        <f t="shared" ref="BF65:BG65" si="273">+BF63-BF64</f>
        <v>279909.12135777588</v>
      </c>
      <c r="BG65" s="4"/>
    </row>
    <row r="68" spans="2:59" x14ac:dyDescent="0.25">
      <c r="B68" t="s">
        <v>86</v>
      </c>
    </row>
    <row r="69" spans="2:59" x14ac:dyDescent="0.25">
      <c r="B69" t="s">
        <v>87</v>
      </c>
      <c r="C69" s="4">
        <f t="shared" ref="C69:V69" si="274">+C37+C39</f>
        <v>479.99999999999955</v>
      </c>
      <c r="D69" s="4">
        <f t="shared" si="274"/>
        <v>1061.9149099927911</v>
      </c>
      <c r="E69" s="4">
        <f t="shared" si="274"/>
        <v>1593.9271186403043</v>
      </c>
      <c r="F69" s="4">
        <f t="shared" si="274"/>
        <v>2107.2303347295115</v>
      </c>
      <c r="G69" s="4">
        <f t="shared" si="274"/>
        <v>2288.9121860625651</v>
      </c>
      <c r="H69" s="4">
        <f t="shared" si="274"/>
        <v>2035.5194552727269</v>
      </c>
      <c r="I69" s="4">
        <f t="shared" si="274"/>
        <v>2312.6632580290902</v>
      </c>
      <c r="J69" s="4">
        <f t="shared" si="274"/>
        <v>2428.2964209305446</v>
      </c>
      <c r="K69" s="4">
        <f t="shared" si="274"/>
        <v>2549.7112419770719</v>
      </c>
      <c r="L69" s="4">
        <f t="shared" si="274"/>
        <v>2677.1968040759257</v>
      </c>
      <c r="M69" s="4">
        <f t="shared" si="274"/>
        <v>2811.0566442797217</v>
      </c>
      <c r="N69" s="4">
        <f t="shared" si="274"/>
        <v>2951.6094764937075</v>
      </c>
      <c r="O69" s="4">
        <f t="shared" si="274"/>
        <v>3099.1899503183931</v>
      </c>
      <c r="P69" s="4">
        <f t="shared" si="274"/>
        <v>3254.1494478343125</v>
      </c>
      <c r="Q69" s="4">
        <f t="shared" si="274"/>
        <v>3416.8569202260283</v>
      </c>
      <c r="R69" s="4">
        <f t="shared" si="274"/>
        <v>3587.6997662373301</v>
      </c>
      <c r="S69" s="4">
        <f t="shared" si="274"/>
        <v>3767.084754549197</v>
      </c>
      <c r="T69" s="4">
        <f t="shared" si="274"/>
        <v>3955.4389922766563</v>
      </c>
      <c r="U69" s="4">
        <f t="shared" si="274"/>
        <v>4153.2109418904893</v>
      </c>
      <c r="V69" s="4">
        <f t="shared" si="274"/>
        <v>4360.8714889850135</v>
      </c>
      <c r="W69" s="4">
        <f>+W37+W39</f>
        <v>4578.915063434265</v>
      </c>
    </row>
    <row r="70" spans="2:59" x14ac:dyDescent="0.25">
      <c r="B70" t="str">
        <f>+B26</f>
        <v>rA</v>
      </c>
      <c r="C70" s="3">
        <f>+C26</f>
        <v>0.12</v>
      </c>
      <c r="D70" s="3">
        <f t="shared" ref="D70:W70" si="275">+D26</f>
        <v>0.12</v>
      </c>
      <c r="E70" s="3">
        <f t="shared" si="275"/>
        <v>0.12</v>
      </c>
      <c r="F70" s="3">
        <f t="shared" si="275"/>
        <v>0.12</v>
      </c>
      <c r="G70" s="3">
        <f t="shared" si="275"/>
        <v>0.12</v>
      </c>
      <c r="H70" s="3">
        <f t="shared" si="275"/>
        <v>0.12</v>
      </c>
      <c r="I70" s="3">
        <f t="shared" si="275"/>
        <v>0.12</v>
      </c>
      <c r="J70" s="3">
        <f t="shared" si="275"/>
        <v>0.12</v>
      </c>
      <c r="K70" s="3">
        <f t="shared" si="275"/>
        <v>0.12</v>
      </c>
      <c r="L70" s="3">
        <f t="shared" si="275"/>
        <v>0.12</v>
      </c>
      <c r="M70" s="3">
        <f t="shared" si="275"/>
        <v>0.12</v>
      </c>
      <c r="N70" s="3">
        <f t="shared" si="275"/>
        <v>0.12</v>
      </c>
      <c r="O70" s="3">
        <f t="shared" si="275"/>
        <v>0.12</v>
      </c>
      <c r="P70" s="3">
        <f t="shared" si="275"/>
        <v>0.12</v>
      </c>
      <c r="Q70" s="3">
        <f t="shared" si="275"/>
        <v>0.12</v>
      </c>
      <c r="R70" s="3">
        <f t="shared" si="275"/>
        <v>0.12</v>
      </c>
      <c r="S70" s="3">
        <f t="shared" si="275"/>
        <v>0.12</v>
      </c>
      <c r="T70" s="3">
        <f t="shared" si="275"/>
        <v>0.12</v>
      </c>
      <c r="U70" s="3">
        <f t="shared" si="275"/>
        <v>0.12</v>
      </c>
      <c r="V70" s="3">
        <f t="shared" si="275"/>
        <v>0.12</v>
      </c>
      <c r="W70" s="3">
        <f t="shared" si="275"/>
        <v>0.12</v>
      </c>
    </row>
    <row r="71" spans="2:59" s="12" customFormat="1" x14ac:dyDescent="0.25">
      <c r="B71" s="12" t="s">
        <v>19</v>
      </c>
      <c r="C71" s="13">
        <f t="shared" ref="C71:U71" si="276">+(C69+D71)/(1+C70)</f>
        <v>22816.98261616709</v>
      </c>
      <c r="D71" s="13">
        <f t="shared" si="276"/>
        <v>25075.020530107144</v>
      </c>
      <c r="E71" s="13">
        <f t="shared" si="276"/>
        <v>27022.108083727209</v>
      </c>
      <c r="F71" s="13">
        <f t="shared" si="276"/>
        <v>28670.833935134171</v>
      </c>
      <c r="G71" s="13">
        <f t="shared" si="276"/>
        <v>30004.10367262076</v>
      </c>
      <c r="H71" s="13">
        <f t="shared" si="276"/>
        <v>31315.683927272687</v>
      </c>
      <c r="I71" s="13">
        <f t="shared" si="276"/>
        <v>33038.046543272685</v>
      </c>
      <c r="J71" s="13">
        <f t="shared" si="276"/>
        <v>34689.948870436325</v>
      </c>
      <c r="K71" s="13">
        <f t="shared" si="276"/>
        <v>36424.446313958142</v>
      </c>
      <c r="L71" s="13">
        <f t="shared" si="276"/>
        <v>38245.668629656051</v>
      </c>
      <c r="M71" s="13">
        <f t="shared" si="276"/>
        <v>40157.952061138858</v>
      </c>
      <c r="N71" s="13">
        <f t="shared" si="276"/>
        <v>42165.849664195805</v>
      </c>
      <c r="O71" s="13">
        <f t="shared" si="276"/>
        <v>44274.142147405597</v>
      </c>
      <c r="P71" s="13">
        <f t="shared" si="276"/>
        <v>46487.84925477588</v>
      </c>
      <c r="Q71" s="13">
        <f t="shared" si="276"/>
        <v>48812.241717514677</v>
      </c>
      <c r="R71" s="13">
        <f t="shared" si="276"/>
        <v>51252.853803390419</v>
      </c>
      <c r="S71" s="13">
        <f t="shared" si="276"/>
        <v>53815.496493559942</v>
      </c>
      <c r="T71" s="13">
        <f t="shared" si="276"/>
        <v>56506.271318237945</v>
      </c>
      <c r="U71" s="13">
        <f t="shared" si="276"/>
        <v>59331.584884149845</v>
      </c>
      <c r="V71" s="13">
        <f>+(V69+W71)/(1+V70)</f>
        <v>62298.164128357341</v>
      </c>
      <c r="W71" s="13">
        <f>+W69/(W70-X23)</f>
        <v>65413.072334775221</v>
      </c>
    </row>
    <row r="74" spans="2:59" x14ac:dyDescent="0.25">
      <c r="B74" t="s">
        <v>88</v>
      </c>
    </row>
    <row r="75" spans="2:59" x14ac:dyDescent="0.25">
      <c r="B75" t="str">
        <f>+B41</f>
        <v>FCFE</v>
      </c>
      <c r="C75" s="4">
        <f t="shared" ref="C75:G75" si="277">+C41</f>
        <v>1608.3759238548216</v>
      </c>
      <c r="D75" s="4">
        <f t="shared" si="277"/>
        <v>2286.5423990035815</v>
      </c>
      <c r="E75" s="4">
        <f t="shared" si="277"/>
        <v>3136.809082134152</v>
      </c>
      <c r="F75" s="4">
        <f t="shared" si="277"/>
        <v>3318.1574382854451</v>
      </c>
      <c r="G75" s="4">
        <f t="shared" si="277"/>
        <v>2366.7029994063341</v>
      </c>
      <c r="H75" s="4">
        <f t="shared" ref="H75:T75" si="278">+H41</f>
        <v>1847.62535170909</v>
      </c>
      <c r="I75" s="4">
        <f t="shared" si="278"/>
        <v>2081.3969322261819</v>
      </c>
      <c r="J75" s="4">
        <f t="shared" si="278"/>
        <v>2185.4667788374904</v>
      </c>
      <c r="K75" s="4">
        <f t="shared" si="278"/>
        <v>2294.740117779364</v>
      </c>
      <c r="L75" s="4">
        <f t="shared" si="278"/>
        <v>2409.4771236683346</v>
      </c>
      <c r="M75" s="4">
        <f t="shared" si="278"/>
        <v>2529.9509798517497</v>
      </c>
      <c r="N75" s="4">
        <f t="shared" si="278"/>
        <v>2656.4485288443361</v>
      </c>
      <c r="O75" s="4">
        <f t="shared" si="278"/>
        <v>2789.2709552865545</v>
      </c>
      <c r="P75" s="4">
        <f t="shared" si="278"/>
        <v>2928.7345030508818</v>
      </c>
      <c r="Q75" s="4">
        <f t="shared" si="278"/>
        <v>3075.1712282034259</v>
      </c>
      <c r="R75" s="4">
        <f t="shared" si="278"/>
        <v>3228.9297896135977</v>
      </c>
      <c r="S75" s="4">
        <f t="shared" si="278"/>
        <v>3390.3762790942792</v>
      </c>
      <c r="T75" s="4">
        <f t="shared" si="278"/>
        <v>3559.8950930489896</v>
      </c>
    </row>
    <row r="76" spans="2:59" x14ac:dyDescent="0.25">
      <c r="B76" t="str">
        <f>+B28</f>
        <v>rE=(rA-D/V*rD)/(1-D/V)</v>
      </c>
      <c r="C76" s="3">
        <f t="shared" ref="C76:G76" si="279">+C28</f>
        <v>0.12</v>
      </c>
      <c r="D76" s="3">
        <f t="shared" si="279"/>
        <v>0.12235602094240838</v>
      </c>
      <c r="E76" s="3">
        <f t="shared" si="279"/>
        <v>0.12445054945054944</v>
      </c>
      <c r="F76" s="3">
        <f t="shared" si="279"/>
        <v>0.12678362573099414</v>
      </c>
      <c r="G76" s="3">
        <f t="shared" si="279"/>
        <v>0.12820987654320987</v>
      </c>
      <c r="H76" s="3">
        <f t="shared" ref="H76:T76" si="280">+H28</f>
        <v>0.12874999999999998</v>
      </c>
      <c r="I76" s="3">
        <f t="shared" si="280"/>
        <v>0.12874999999999998</v>
      </c>
      <c r="J76" s="3">
        <f t="shared" si="280"/>
        <v>0.12874999999999998</v>
      </c>
      <c r="K76" s="3">
        <f t="shared" si="280"/>
        <v>0.12874999999999998</v>
      </c>
      <c r="L76" s="3">
        <f t="shared" si="280"/>
        <v>0.12874999999999998</v>
      </c>
      <c r="M76" s="3">
        <f t="shared" si="280"/>
        <v>0.12874999999999998</v>
      </c>
      <c r="N76" s="3">
        <f t="shared" si="280"/>
        <v>0.12874999999999998</v>
      </c>
      <c r="O76" s="3">
        <f t="shared" si="280"/>
        <v>0.12874999999999998</v>
      </c>
      <c r="P76" s="3">
        <f t="shared" si="280"/>
        <v>0.12874999999999998</v>
      </c>
      <c r="Q76" s="3">
        <f t="shared" si="280"/>
        <v>0.12874999999999998</v>
      </c>
      <c r="R76" s="3">
        <f t="shared" si="280"/>
        <v>0.12874999999999998</v>
      </c>
      <c r="S76" s="3">
        <f t="shared" si="280"/>
        <v>0.12874999999999998</v>
      </c>
      <c r="T76" s="3">
        <f t="shared" si="280"/>
        <v>0.12874999999999998</v>
      </c>
    </row>
    <row r="77" spans="2:59" x14ac:dyDescent="0.25">
      <c r="B77" t="s">
        <v>89</v>
      </c>
      <c r="C77" s="4">
        <f t="shared" ref="C77:R77" si="281">+(C75+D77)/(1+C76)</f>
        <v>22816.982616167115</v>
      </c>
      <c r="D77" s="4">
        <f t="shared" si="281"/>
        <v>23946.64460625235</v>
      </c>
      <c r="E77" s="4">
        <f t="shared" si="281"/>
        <v>24590.118356191793</v>
      </c>
      <c r="F77" s="4">
        <f t="shared" si="281"/>
        <v>24513.563014539752</v>
      </c>
      <c r="G77" s="4">
        <f t="shared" si="281"/>
        <v>24303.323974822855</v>
      </c>
      <c r="H77" s="4">
        <f t="shared" si="281"/>
        <v>25052.547141818191</v>
      </c>
      <c r="I77" s="4">
        <f t="shared" si="281"/>
        <v>26430.437234618192</v>
      </c>
      <c r="J77" s="4">
        <f t="shared" si="281"/>
        <v>27751.959096349099</v>
      </c>
      <c r="K77" s="4">
        <f t="shared" si="281"/>
        <v>29139.557051166554</v>
      </c>
      <c r="L77" s="4">
        <f t="shared" si="281"/>
        <v>30596.534903724885</v>
      </c>
      <c r="M77" s="4">
        <f t="shared" si="281"/>
        <v>32126.361648911126</v>
      </c>
      <c r="N77" s="4">
        <f t="shared" si="281"/>
        <v>33732.679731356686</v>
      </c>
      <c r="O77" s="4">
        <f t="shared" si="281"/>
        <v>35419.313717924517</v>
      </c>
      <c r="P77" s="4">
        <f t="shared" si="281"/>
        <v>37190.279403820736</v>
      </c>
      <c r="Q77" s="4">
        <f t="shared" si="281"/>
        <v>39049.793374011773</v>
      </c>
      <c r="R77" s="4">
        <f t="shared" si="281"/>
        <v>41002.283042712355</v>
      </c>
      <c r="S77" s="4">
        <f>+(S75+T77)/(1+S76)</f>
        <v>43052.397194847967</v>
      </c>
      <c r="T77" s="4">
        <f>+T75/(T76-U23)</f>
        <v>45205.01705459036</v>
      </c>
    </row>
    <row r="78" spans="2:59" x14ac:dyDescent="0.25">
      <c r="B78" t="str">
        <f>+B64</f>
        <v>D boy</v>
      </c>
      <c r="C78" s="4">
        <f>+C64</f>
        <v>0</v>
      </c>
      <c r="D78" s="4">
        <f t="shared" ref="D78:T78" si="282">+D64</f>
        <v>1128.3759238548221</v>
      </c>
      <c r="E78" s="4">
        <f t="shared" si="282"/>
        <v>2431.9897275354501</v>
      </c>
      <c r="F78" s="4">
        <f t="shared" si="282"/>
        <v>4157.2709205944566</v>
      </c>
      <c r="G78" s="4">
        <f t="shared" si="282"/>
        <v>5700.7796977979469</v>
      </c>
      <c r="H78" s="4">
        <f t="shared" si="282"/>
        <v>6263.1367854545415</v>
      </c>
      <c r="I78" s="4">
        <f t="shared" si="282"/>
        <v>6607.6093086545407</v>
      </c>
      <c r="J78" s="4">
        <f t="shared" si="282"/>
        <v>6937.9897740872684</v>
      </c>
      <c r="K78" s="4">
        <f t="shared" si="282"/>
        <v>7284.8892627916321</v>
      </c>
      <c r="L78" s="4">
        <f t="shared" si="282"/>
        <v>7649.1337259312131</v>
      </c>
      <c r="M78" s="4">
        <f t="shared" si="282"/>
        <v>8031.5904122277752</v>
      </c>
      <c r="N78" s="4">
        <f t="shared" si="282"/>
        <v>8433.1699328391642</v>
      </c>
      <c r="O78" s="4">
        <f t="shared" si="282"/>
        <v>8854.8284294811219</v>
      </c>
      <c r="P78" s="4">
        <f t="shared" si="282"/>
        <v>9297.5698509551785</v>
      </c>
      <c r="Q78" s="4">
        <f t="shared" si="282"/>
        <v>9762.4483435029379</v>
      </c>
      <c r="R78" s="4">
        <f t="shared" si="282"/>
        <v>10250.570760678085</v>
      </c>
      <c r="S78" s="4">
        <f t="shared" si="282"/>
        <v>10763.09929871199</v>
      </c>
      <c r="T78" s="4">
        <f t="shared" si="282"/>
        <v>11301.254263647592</v>
      </c>
    </row>
    <row r="79" spans="2:59" x14ac:dyDescent="0.25">
      <c r="B79" s="12" t="s">
        <v>19</v>
      </c>
      <c r="C79" s="13">
        <f>+C77+C78</f>
        <v>22816.982616167115</v>
      </c>
      <c r="D79" s="13">
        <f t="shared" ref="D79:T79" si="283">+D77+D78</f>
        <v>25075.020530107173</v>
      </c>
      <c r="E79" s="13">
        <f t="shared" si="283"/>
        <v>27022.108083727242</v>
      </c>
      <c r="F79" s="13">
        <f t="shared" si="283"/>
        <v>28670.833935134207</v>
      </c>
      <c r="G79" s="13">
        <f t="shared" si="283"/>
        <v>30004.103672620804</v>
      </c>
      <c r="H79" s="13">
        <f t="shared" si="283"/>
        <v>31315.683927272734</v>
      </c>
      <c r="I79" s="13">
        <f t="shared" si="283"/>
        <v>33038.046543272736</v>
      </c>
      <c r="J79" s="13">
        <f t="shared" si="283"/>
        <v>34689.948870436368</v>
      </c>
      <c r="K79" s="13">
        <f t="shared" si="283"/>
        <v>36424.446313958186</v>
      </c>
      <c r="L79" s="13">
        <f t="shared" si="283"/>
        <v>38245.668629656095</v>
      </c>
      <c r="M79" s="13">
        <f t="shared" si="283"/>
        <v>40157.952061138902</v>
      </c>
      <c r="N79" s="13">
        <f t="shared" si="283"/>
        <v>42165.849664195848</v>
      </c>
      <c r="O79" s="13">
        <f t="shared" si="283"/>
        <v>44274.142147405641</v>
      </c>
      <c r="P79" s="13">
        <f t="shared" si="283"/>
        <v>46487.849254775916</v>
      </c>
      <c r="Q79" s="13">
        <f t="shared" si="283"/>
        <v>48812.241717514713</v>
      </c>
      <c r="R79" s="13">
        <f t="shared" si="283"/>
        <v>51252.853803390441</v>
      </c>
      <c r="S79" s="13">
        <f t="shared" si="283"/>
        <v>53815.496493559956</v>
      </c>
      <c r="T79" s="13">
        <f t="shared" si="283"/>
        <v>56506.271318237952</v>
      </c>
    </row>
    <row r="82" spans="2:21" x14ac:dyDescent="0.25">
      <c r="B82" t="s">
        <v>90</v>
      </c>
    </row>
    <row r="83" spans="2:21" x14ac:dyDescent="0.25">
      <c r="B83" s="4" t="str">
        <f>+B35</f>
        <v>Noplat</v>
      </c>
      <c r="C83" s="4">
        <f t="shared" ref="C83:D83" si="284">+C35</f>
        <v>2400</v>
      </c>
      <c r="D83" s="4">
        <f t="shared" si="284"/>
        <v>2736</v>
      </c>
      <c r="E83" s="4">
        <f t="shared" ref="E83:T83" si="285">+E35</f>
        <v>3023.2799999999997</v>
      </c>
      <c r="F83" s="4">
        <f t="shared" si="285"/>
        <v>3265.1423999999997</v>
      </c>
      <c r="G83" s="4">
        <f t="shared" si="285"/>
        <v>3461.0509439999996</v>
      </c>
      <c r="H83" s="4">
        <f t="shared" si="285"/>
        <v>3651.4087459199995</v>
      </c>
      <c r="I83" s="4">
        <f t="shared" si="285"/>
        <v>3852.2362269455994</v>
      </c>
      <c r="J83" s="4">
        <f t="shared" si="285"/>
        <v>4044.8480382928792</v>
      </c>
      <c r="K83" s="4">
        <f t="shared" si="285"/>
        <v>4247.090440207523</v>
      </c>
      <c r="L83" s="4">
        <f t="shared" si="285"/>
        <v>4459.444962217899</v>
      </c>
      <c r="M83" s="4">
        <f t="shared" si="285"/>
        <v>4682.4172103287938</v>
      </c>
      <c r="N83" s="4">
        <f t="shared" si="285"/>
        <v>4916.5380708452331</v>
      </c>
      <c r="O83" s="4">
        <f t="shared" si="285"/>
        <v>5162.3649743874948</v>
      </c>
      <c r="P83" s="4">
        <f t="shared" si="285"/>
        <v>5420.4832231068694</v>
      </c>
      <c r="Q83" s="4">
        <f t="shared" si="285"/>
        <v>5691.5073842622132</v>
      </c>
      <c r="R83" s="4">
        <f t="shared" si="285"/>
        <v>5976.0827534753244</v>
      </c>
      <c r="S83" s="4">
        <f t="shared" si="285"/>
        <v>6274.8868911490908</v>
      </c>
      <c r="T83" s="4">
        <f t="shared" si="285"/>
        <v>6588.6312357065453</v>
      </c>
    </row>
    <row r="84" spans="2:21" x14ac:dyDescent="0.25">
      <c r="B84" s="4" t="str">
        <f>+B63</f>
        <v>IC boy</v>
      </c>
      <c r="C84" s="4">
        <f t="shared" ref="C84:D84" si="286">+C63</f>
        <v>15000</v>
      </c>
      <c r="D84" s="4">
        <f t="shared" si="286"/>
        <v>16920</v>
      </c>
      <c r="E84" s="4">
        <f t="shared" ref="E84:T84" si="287">+E63</f>
        <v>18609.882352941175</v>
      </c>
      <c r="F84" s="4">
        <f t="shared" si="287"/>
        <v>20075.7150802139</v>
      </c>
      <c r="G84" s="4">
        <f t="shared" si="287"/>
        <v>21300.143480213901</v>
      </c>
      <c r="H84" s="4">
        <f t="shared" si="287"/>
        <v>22569.1954930139</v>
      </c>
      <c r="I84" s="4">
        <f t="shared" si="287"/>
        <v>24291.558109013899</v>
      </c>
      <c r="J84" s="4">
        <f t="shared" si="287"/>
        <v>25943.460436177535</v>
      </c>
      <c r="K84" s="4">
        <f t="shared" si="287"/>
        <v>27677.957879699352</v>
      </c>
      <c r="L84" s="4">
        <f t="shared" si="287"/>
        <v>29499.180195397261</v>
      </c>
      <c r="M84" s="4">
        <f t="shared" si="287"/>
        <v>31411.463626880064</v>
      </c>
      <c r="N84" s="4">
        <f t="shared" si="287"/>
        <v>33419.361229937007</v>
      </c>
      <c r="O84" s="4">
        <f t="shared" si="287"/>
        <v>35527.653713146799</v>
      </c>
      <c r="P84" s="4">
        <f t="shared" si="287"/>
        <v>37741.360820517082</v>
      </c>
      <c r="Q84" s="4">
        <f t="shared" si="287"/>
        <v>40065.753283255879</v>
      </c>
      <c r="R84" s="4">
        <f t="shared" si="287"/>
        <v>42506.365369131614</v>
      </c>
      <c r="S84" s="4">
        <f t="shared" si="287"/>
        <v>45069.008059301137</v>
      </c>
      <c r="T84" s="4">
        <f t="shared" si="287"/>
        <v>47759.782883979133</v>
      </c>
    </row>
    <row r="85" spans="2:21" x14ac:dyDescent="0.25">
      <c r="B85" s="3" t="str">
        <f>+B29</f>
        <v>WACC=rA-D/V*rD*t</v>
      </c>
      <c r="C85" s="3">
        <f t="shared" ref="C85:D85" si="288">+C29</f>
        <v>0.12</v>
      </c>
      <c r="D85" s="3">
        <f t="shared" si="288"/>
        <v>0.11936999999999999</v>
      </c>
      <c r="E85" s="3">
        <f t="shared" ref="E85:T85" si="289">+E29</f>
        <v>0.11864999999999999</v>
      </c>
      <c r="F85" s="3">
        <f t="shared" si="289"/>
        <v>0.11767999999999999</v>
      </c>
      <c r="G85" s="3">
        <f t="shared" si="289"/>
        <v>0.11677</v>
      </c>
      <c r="H85" s="3">
        <f t="shared" si="289"/>
        <v>0.1166</v>
      </c>
      <c r="I85" s="3">
        <f t="shared" si="289"/>
        <v>0.1166</v>
      </c>
      <c r="J85" s="3">
        <f t="shared" si="289"/>
        <v>0.1166</v>
      </c>
      <c r="K85" s="3">
        <f t="shared" si="289"/>
        <v>0.1166</v>
      </c>
      <c r="L85" s="3">
        <f t="shared" si="289"/>
        <v>0.1166</v>
      </c>
      <c r="M85" s="3">
        <f t="shared" si="289"/>
        <v>0.1166</v>
      </c>
      <c r="N85" s="3">
        <f t="shared" si="289"/>
        <v>0.1166</v>
      </c>
      <c r="O85" s="3">
        <f t="shared" si="289"/>
        <v>0.1166</v>
      </c>
      <c r="P85" s="3">
        <f t="shared" si="289"/>
        <v>0.1166</v>
      </c>
      <c r="Q85" s="3">
        <f t="shared" si="289"/>
        <v>0.1166</v>
      </c>
      <c r="R85" s="3">
        <f t="shared" si="289"/>
        <v>0.1166</v>
      </c>
      <c r="S85" s="3">
        <f t="shared" si="289"/>
        <v>0.1166</v>
      </c>
      <c r="T85" s="3">
        <f t="shared" si="289"/>
        <v>0.1166</v>
      </c>
    </row>
    <row r="86" spans="2:21" x14ac:dyDescent="0.25">
      <c r="B86" t="s">
        <v>91</v>
      </c>
      <c r="C86" s="4">
        <f>+C84*C85</f>
        <v>1800</v>
      </c>
      <c r="D86" s="4">
        <f>+D84*D85</f>
        <v>2019.7403999999999</v>
      </c>
      <c r="E86" s="4">
        <f t="shared" ref="E86:T86" si="290">+E84*E85</f>
        <v>2208.0625411764704</v>
      </c>
      <c r="F86" s="4">
        <f t="shared" si="290"/>
        <v>2362.5101506395717</v>
      </c>
      <c r="G86" s="4">
        <f t="shared" si="290"/>
        <v>2487.2177541845772</v>
      </c>
      <c r="H86" s="4">
        <f t="shared" si="290"/>
        <v>2631.5681944854205</v>
      </c>
      <c r="I86" s="4">
        <f t="shared" si="290"/>
        <v>2832.3956755110203</v>
      </c>
      <c r="J86" s="4">
        <f t="shared" si="290"/>
        <v>3025.0074868583006</v>
      </c>
      <c r="K86" s="4">
        <f t="shared" si="290"/>
        <v>3227.2498887729444</v>
      </c>
      <c r="L86" s="4">
        <f t="shared" si="290"/>
        <v>3439.6044107833204</v>
      </c>
      <c r="M86" s="4">
        <f t="shared" si="290"/>
        <v>3662.5766588942151</v>
      </c>
      <c r="N86" s="4">
        <f t="shared" si="290"/>
        <v>3896.6975194106549</v>
      </c>
      <c r="O86" s="4">
        <f t="shared" si="290"/>
        <v>4142.5244229529162</v>
      </c>
      <c r="P86" s="4">
        <f t="shared" si="290"/>
        <v>4400.6426716722917</v>
      </c>
      <c r="Q86" s="4">
        <f t="shared" si="290"/>
        <v>4671.6668328276355</v>
      </c>
      <c r="R86" s="4">
        <f t="shared" si="290"/>
        <v>4956.2422020407457</v>
      </c>
      <c r="S86" s="4">
        <f t="shared" si="290"/>
        <v>5255.0463397145122</v>
      </c>
      <c r="T86" s="4">
        <f t="shared" si="290"/>
        <v>5568.7906842719667</v>
      </c>
    </row>
    <row r="87" spans="2:21" x14ac:dyDescent="0.25">
      <c r="B87" t="s">
        <v>90</v>
      </c>
      <c r="C87" s="4">
        <f>+C83-C86</f>
        <v>600</v>
      </c>
      <c r="D87" s="4">
        <f>+D83-D86</f>
        <v>716.25960000000009</v>
      </c>
      <c r="E87" s="4">
        <f t="shared" ref="E87:T87" si="291">+E83-E86</f>
        <v>815.21745882352934</v>
      </c>
      <c r="F87" s="4">
        <f t="shared" si="291"/>
        <v>902.63224936042798</v>
      </c>
      <c r="G87" s="4">
        <f t="shared" si="291"/>
        <v>973.83318981542243</v>
      </c>
      <c r="H87" s="4">
        <f t="shared" si="291"/>
        <v>1019.8405514345791</v>
      </c>
      <c r="I87" s="4">
        <f t="shared" si="291"/>
        <v>1019.8405514345791</v>
      </c>
      <c r="J87" s="4">
        <f t="shared" si="291"/>
        <v>1019.8405514345786</v>
      </c>
      <c r="K87" s="4">
        <f t="shared" si="291"/>
        <v>1019.8405514345786</v>
      </c>
      <c r="L87" s="4">
        <f t="shared" si="291"/>
        <v>1019.8405514345786</v>
      </c>
      <c r="M87" s="4">
        <f t="shared" si="291"/>
        <v>1019.8405514345786</v>
      </c>
      <c r="N87" s="4">
        <f t="shared" si="291"/>
        <v>1019.8405514345782</v>
      </c>
      <c r="O87" s="4">
        <f t="shared" si="291"/>
        <v>1019.8405514345786</v>
      </c>
      <c r="P87" s="4">
        <f t="shared" si="291"/>
        <v>1019.8405514345777</v>
      </c>
      <c r="Q87" s="4">
        <f t="shared" si="291"/>
        <v>1019.8405514345777</v>
      </c>
      <c r="R87" s="4">
        <f t="shared" si="291"/>
        <v>1019.8405514345786</v>
      </c>
      <c r="S87" s="4">
        <f t="shared" si="291"/>
        <v>1019.8405514345786</v>
      </c>
      <c r="T87" s="4">
        <f t="shared" si="291"/>
        <v>1019.8405514345786</v>
      </c>
      <c r="U87" s="4"/>
    </row>
    <row r="88" spans="2:21" x14ac:dyDescent="0.25">
      <c r="B88" t="s">
        <v>92</v>
      </c>
      <c r="C88" s="4">
        <f t="shared" ref="C88:R88" si="292">+(C87+D88)/(1+C85)</f>
        <v>7816.9826161671144</v>
      </c>
      <c r="D88" s="4">
        <f t="shared" si="292"/>
        <v>8155.0205301071683</v>
      </c>
      <c r="E88" s="4">
        <f t="shared" si="292"/>
        <v>8412.2257307860618</v>
      </c>
      <c r="F88" s="4">
        <f t="shared" si="292"/>
        <v>8595.118854920298</v>
      </c>
      <c r="G88" s="4">
        <f t="shared" si="292"/>
        <v>8703.9601924068902</v>
      </c>
      <c r="H88" s="4">
        <f t="shared" si="292"/>
        <v>8746.4884342588193</v>
      </c>
      <c r="I88" s="4">
        <f t="shared" si="292"/>
        <v>8746.4884342588193</v>
      </c>
      <c r="J88" s="4">
        <f t="shared" si="292"/>
        <v>8746.4884342588193</v>
      </c>
      <c r="K88" s="4">
        <f t="shared" si="292"/>
        <v>8746.4884342588193</v>
      </c>
      <c r="L88" s="4">
        <f t="shared" si="292"/>
        <v>8746.4884342588193</v>
      </c>
      <c r="M88" s="4">
        <f t="shared" si="292"/>
        <v>8746.4884342588193</v>
      </c>
      <c r="N88" s="4">
        <f t="shared" si="292"/>
        <v>8746.4884342588193</v>
      </c>
      <c r="O88" s="4">
        <f t="shared" si="292"/>
        <v>8746.4884342588193</v>
      </c>
      <c r="P88" s="4">
        <f t="shared" si="292"/>
        <v>8746.4884342588193</v>
      </c>
      <c r="Q88" s="4">
        <f t="shared" si="292"/>
        <v>8746.4884342588193</v>
      </c>
      <c r="R88" s="4">
        <f t="shared" si="292"/>
        <v>8746.4884342588193</v>
      </c>
      <c r="S88" s="4">
        <f>+(S87+T88)/(1+S85)</f>
        <v>8746.4884342588193</v>
      </c>
      <c r="T88" s="14">
        <f>+T79-T84</f>
        <v>8746.4884342588193</v>
      </c>
      <c r="U88" s="4">
        <f>+T87/T85+U36*(V22-V29)/V29/(V29-W23)</f>
        <v>8746.488434258823</v>
      </c>
    </row>
    <row r="89" spans="2:21" x14ac:dyDescent="0.25">
      <c r="B89" s="12" t="s">
        <v>19</v>
      </c>
      <c r="C89" s="13">
        <f>+C88+C84</f>
        <v>22816.982616167115</v>
      </c>
      <c r="D89" s="13">
        <f t="shared" ref="D89:T89" si="293">+D88+D84</f>
        <v>25075.020530107169</v>
      </c>
      <c r="E89" s="13">
        <f t="shared" si="293"/>
        <v>27022.108083727238</v>
      </c>
      <c r="F89" s="13">
        <f t="shared" si="293"/>
        <v>28670.8339351342</v>
      </c>
      <c r="G89" s="13">
        <f t="shared" si="293"/>
        <v>30004.103672620789</v>
      </c>
      <c r="H89" s="13">
        <f t="shared" si="293"/>
        <v>31315.683927272719</v>
      </c>
      <c r="I89" s="13">
        <f t="shared" si="293"/>
        <v>33038.046543272721</v>
      </c>
      <c r="J89" s="13">
        <f t="shared" si="293"/>
        <v>34689.948870436354</v>
      </c>
      <c r="K89" s="13">
        <f t="shared" si="293"/>
        <v>36424.446313958171</v>
      </c>
      <c r="L89" s="13">
        <f t="shared" si="293"/>
        <v>38245.66862965608</v>
      </c>
      <c r="M89" s="13">
        <f t="shared" si="293"/>
        <v>40157.952061138887</v>
      </c>
      <c r="N89" s="13">
        <f t="shared" si="293"/>
        <v>42165.849664195826</v>
      </c>
      <c r="O89" s="13">
        <f t="shared" si="293"/>
        <v>44274.142147405619</v>
      </c>
      <c r="P89" s="13">
        <f t="shared" si="293"/>
        <v>46487.849254775901</v>
      </c>
      <c r="Q89" s="13">
        <f t="shared" si="293"/>
        <v>48812.241717514698</v>
      </c>
      <c r="R89" s="13">
        <f t="shared" si="293"/>
        <v>51252.853803390433</v>
      </c>
      <c r="S89" s="13">
        <f t="shared" si="293"/>
        <v>53815.496493559956</v>
      </c>
      <c r="T89" s="13">
        <f t="shared" si="293"/>
        <v>56506.271318237952</v>
      </c>
    </row>
    <row r="92" spans="2:21" x14ac:dyDescent="0.25">
      <c r="B92" t="s">
        <v>93</v>
      </c>
    </row>
    <row r="93" spans="2:21" x14ac:dyDescent="0.25">
      <c r="B93" t="str">
        <f>+B51</f>
        <v>PAT</v>
      </c>
      <c r="C93" s="4">
        <f t="shared" ref="C93:E93" si="294">+C51</f>
        <v>2400</v>
      </c>
      <c r="D93" s="4">
        <f t="shared" si="294"/>
        <v>2672.8109482641298</v>
      </c>
      <c r="E93" s="4">
        <f t="shared" si="294"/>
        <v>2877.3606163478726</v>
      </c>
      <c r="F93" s="4">
        <f t="shared" ref="F93:R93" si="295">+F51</f>
        <v>2999.0770610819541</v>
      </c>
      <c r="G93" s="4">
        <f t="shared" si="295"/>
        <v>3073.3979245497389</v>
      </c>
      <c r="H93" s="4">
        <f t="shared" si="295"/>
        <v>3225.5154445090907</v>
      </c>
      <c r="I93" s="4">
        <f t="shared" si="295"/>
        <v>3402.9187939570902</v>
      </c>
      <c r="J93" s="4">
        <f t="shared" si="295"/>
        <v>3573.0647336549446</v>
      </c>
      <c r="K93" s="4">
        <f t="shared" si="295"/>
        <v>3751.7179703376919</v>
      </c>
      <c r="L93" s="4">
        <f t="shared" si="295"/>
        <v>3939.3038688545762</v>
      </c>
      <c r="M93" s="4">
        <f t="shared" si="295"/>
        <v>4136.269062297305</v>
      </c>
      <c r="N93" s="4">
        <f t="shared" si="295"/>
        <v>4343.0825154121694</v>
      </c>
      <c r="O93" s="4">
        <f t="shared" si="295"/>
        <v>4560.2366411827779</v>
      </c>
      <c r="P93" s="4">
        <f t="shared" si="295"/>
        <v>4788.2484732419171</v>
      </c>
      <c r="Q93" s="4">
        <f t="shared" si="295"/>
        <v>5027.6608969040126</v>
      </c>
      <c r="R93" s="4">
        <f t="shared" si="295"/>
        <v>5279.0439417492144</v>
      </c>
    </row>
    <row r="94" spans="2:21" x14ac:dyDescent="0.25">
      <c r="B94" t="str">
        <f>+B65</f>
        <v>BV E boy</v>
      </c>
      <c r="C94" s="4">
        <f t="shared" ref="C94:E94" si="296">+C65</f>
        <v>15000</v>
      </c>
      <c r="D94" s="4">
        <f t="shared" si="296"/>
        <v>15791.624076145177</v>
      </c>
      <c r="E94" s="4">
        <f t="shared" si="296"/>
        <v>16177.892625405724</v>
      </c>
      <c r="F94" s="4">
        <f t="shared" ref="F94:R94" si="297">+F65</f>
        <v>15918.444159619445</v>
      </c>
      <c r="G94" s="4">
        <f t="shared" si="297"/>
        <v>15599.363782415954</v>
      </c>
      <c r="H94" s="4">
        <f t="shared" si="297"/>
        <v>16306.058707559358</v>
      </c>
      <c r="I94" s="4">
        <f t="shared" si="297"/>
        <v>17683.948800359358</v>
      </c>
      <c r="J94" s="4">
        <f t="shared" si="297"/>
        <v>19005.470662090265</v>
      </c>
      <c r="K94" s="4">
        <f t="shared" si="297"/>
        <v>20393.06861690772</v>
      </c>
      <c r="L94" s="4">
        <f t="shared" si="297"/>
        <v>21850.046469466048</v>
      </c>
      <c r="M94" s="4">
        <f t="shared" si="297"/>
        <v>23379.873214652289</v>
      </c>
      <c r="N94" s="4">
        <f t="shared" si="297"/>
        <v>24986.191297097845</v>
      </c>
      <c r="O94" s="4">
        <f t="shared" si="297"/>
        <v>26672.825283665676</v>
      </c>
      <c r="P94" s="4">
        <f t="shared" si="297"/>
        <v>28443.790969561902</v>
      </c>
      <c r="Q94" s="4">
        <f t="shared" si="297"/>
        <v>30303.304939752939</v>
      </c>
      <c r="R94" s="4">
        <f t="shared" si="297"/>
        <v>32255.794608453529</v>
      </c>
    </row>
    <row r="95" spans="2:21" x14ac:dyDescent="0.25">
      <c r="B95" s="3" t="str">
        <f>+B28</f>
        <v>rE=(rA-D/V*rD)/(1-D/V)</v>
      </c>
      <c r="C95" s="3">
        <f t="shared" ref="C95:E95" si="298">+C28</f>
        <v>0.12</v>
      </c>
      <c r="D95" s="3">
        <f t="shared" si="298"/>
        <v>0.12235602094240838</v>
      </c>
      <c r="E95" s="3">
        <f t="shared" si="298"/>
        <v>0.12445054945054944</v>
      </c>
      <c r="F95" s="3">
        <f t="shared" ref="F95:R95" si="299">+F28</f>
        <v>0.12678362573099414</v>
      </c>
      <c r="G95" s="3">
        <f t="shared" si="299"/>
        <v>0.12820987654320987</v>
      </c>
      <c r="H95" s="3">
        <f t="shared" si="299"/>
        <v>0.12874999999999998</v>
      </c>
      <c r="I95" s="3">
        <f t="shared" si="299"/>
        <v>0.12874999999999998</v>
      </c>
      <c r="J95" s="3">
        <f t="shared" si="299"/>
        <v>0.12874999999999998</v>
      </c>
      <c r="K95" s="3">
        <f t="shared" si="299"/>
        <v>0.12874999999999998</v>
      </c>
      <c r="L95" s="3">
        <f t="shared" si="299"/>
        <v>0.12874999999999998</v>
      </c>
      <c r="M95" s="3">
        <f t="shared" si="299"/>
        <v>0.12874999999999998</v>
      </c>
      <c r="N95" s="3">
        <f t="shared" si="299"/>
        <v>0.12874999999999998</v>
      </c>
      <c r="O95" s="3">
        <f t="shared" si="299"/>
        <v>0.12874999999999998</v>
      </c>
      <c r="P95" s="3">
        <f t="shared" si="299"/>
        <v>0.12874999999999998</v>
      </c>
      <c r="Q95" s="3">
        <f t="shared" si="299"/>
        <v>0.12874999999999998</v>
      </c>
      <c r="R95" s="3">
        <f t="shared" si="299"/>
        <v>0.12874999999999998</v>
      </c>
    </row>
    <row r="96" spans="2:21" x14ac:dyDescent="0.25">
      <c r="B96" t="s">
        <v>94</v>
      </c>
      <c r="C96" s="4">
        <f>+C94*C95</f>
        <v>1800</v>
      </c>
      <c r="D96" s="4">
        <f t="shared" ref="D96:E96" si="300">+D94*D95</f>
        <v>1932.2002861754597</v>
      </c>
      <c r="E96" s="4">
        <f t="shared" si="300"/>
        <v>2013.3476261837341</v>
      </c>
      <c r="F96" s="4">
        <f t="shared" ref="F96" si="301">+F94*F95</f>
        <v>2018.1980665529211</v>
      </c>
      <c r="G96" s="4">
        <f t="shared" ref="G96" si="302">+G94*G95</f>
        <v>1999.9925046961687</v>
      </c>
      <c r="H96" s="4">
        <f t="shared" ref="H96" si="303">+H94*H95</f>
        <v>2099.4050585982668</v>
      </c>
      <c r="I96" s="4">
        <f t="shared" ref="I96" si="304">+I94*I95</f>
        <v>2276.8084080462668</v>
      </c>
      <c r="J96" s="4">
        <f t="shared" ref="J96" si="305">+J94*J95</f>
        <v>2446.9543477441212</v>
      </c>
      <c r="K96" s="4">
        <f t="shared" ref="K96" si="306">+K94*K95</f>
        <v>2625.6075844268685</v>
      </c>
      <c r="L96" s="4">
        <f t="shared" ref="L96" si="307">+L94*L95</f>
        <v>2813.1934829437532</v>
      </c>
      <c r="M96" s="4">
        <f t="shared" ref="M96" si="308">+M94*M95</f>
        <v>3010.1586763864816</v>
      </c>
      <c r="N96" s="4">
        <f t="shared" ref="N96" si="309">+N94*N95</f>
        <v>3216.9721295013469</v>
      </c>
      <c r="O96" s="4">
        <f t="shared" ref="O96" si="310">+O94*O95</f>
        <v>3434.126255271955</v>
      </c>
      <c r="P96" s="4">
        <f t="shared" ref="P96" si="311">+P94*P95</f>
        <v>3662.1380873310941</v>
      </c>
      <c r="Q96" s="4">
        <f t="shared" ref="Q96" si="312">+Q94*Q95</f>
        <v>3901.5505109931901</v>
      </c>
      <c r="R96" s="4">
        <f t="shared" ref="R96" si="313">+R94*R95</f>
        <v>4152.9335558383909</v>
      </c>
    </row>
    <row r="97" spans="2:19" x14ac:dyDescent="0.25">
      <c r="B97" t="s">
        <v>95</v>
      </c>
      <c r="C97" s="4">
        <f>+C93-C96</f>
        <v>600</v>
      </c>
      <c r="D97" s="4">
        <f t="shared" ref="D97:E97" si="314">+D93-D96</f>
        <v>740.6106620886701</v>
      </c>
      <c r="E97" s="4">
        <f t="shared" si="314"/>
        <v>864.0129901641385</v>
      </c>
      <c r="F97" s="4">
        <f t="shared" ref="F97" si="315">+F93-F96</f>
        <v>980.87899452903298</v>
      </c>
      <c r="G97" s="4">
        <f t="shared" ref="G97" si="316">+G93-G96</f>
        <v>1073.4054198535703</v>
      </c>
      <c r="H97" s="4">
        <f t="shared" ref="H97" si="317">+H93-H96</f>
        <v>1126.1103859108239</v>
      </c>
      <c r="I97" s="4">
        <f t="shared" ref="I97" si="318">+I93-I96</f>
        <v>1126.1103859108234</v>
      </c>
      <c r="J97" s="4">
        <f t="shared" ref="J97" si="319">+J93-J96</f>
        <v>1126.1103859108234</v>
      </c>
      <c r="K97" s="4">
        <f t="shared" ref="K97" si="320">+K93-K96</f>
        <v>1126.1103859108234</v>
      </c>
      <c r="L97" s="4">
        <f t="shared" ref="L97" si="321">+L93-L96</f>
        <v>1126.110385910823</v>
      </c>
      <c r="M97" s="4">
        <f t="shared" ref="M97" si="322">+M93-M96</f>
        <v>1126.1103859108234</v>
      </c>
      <c r="N97" s="4">
        <f t="shared" ref="N97" si="323">+N93-N96</f>
        <v>1126.1103859108225</v>
      </c>
      <c r="O97" s="4">
        <f t="shared" ref="O97" si="324">+O93-O96</f>
        <v>1126.110385910823</v>
      </c>
      <c r="P97" s="4">
        <f t="shared" ref="P97" si="325">+P93-P96</f>
        <v>1126.110385910823</v>
      </c>
      <c r="Q97" s="4">
        <f t="shared" ref="Q97" si="326">+Q93-Q96</f>
        <v>1126.1103859108225</v>
      </c>
      <c r="R97" s="4">
        <f t="shared" ref="R97" si="327">+R93-R96</f>
        <v>1126.1103859108234</v>
      </c>
    </row>
    <row r="98" spans="2:19" x14ac:dyDescent="0.25">
      <c r="B98" t="s">
        <v>96</v>
      </c>
      <c r="C98" s="4">
        <f t="shared" ref="C98:P98" si="328">+(C97+D98)/(1+C95)</f>
        <v>7816.9826161671181</v>
      </c>
      <c r="D98" s="4">
        <f t="shared" si="328"/>
        <v>8155.0205301071719</v>
      </c>
      <c r="E98" s="4">
        <f t="shared" si="328"/>
        <v>8412.2257307860655</v>
      </c>
      <c r="F98" s="4">
        <f t="shared" si="328"/>
        <v>8595.1188549203034</v>
      </c>
      <c r="G98" s="4">
        <f t="shared" si="328"/>
        <v>8703.9601924068975</v>
      </c>
      <c r="H98" s="4">
        <f t="shared" si="328"/>
        <v>8746.4884342588284</v>
      </c>
      <c r="I98" s="4">
        <f t="shared" si="328"/>
        <v>8746.4884342588266</v>
      </c>
      <c r="J98" s="4">
        <f t="shared" si="328"/>
        <v>8746.4884342588266</v>
      </c>
      <c r="K98" s="4">
        <f t="shared" si="328"/>
        <v>8746.4884342588266</v>
      </c>
      <c r="L98" s="4">
        <f t="shared" si="328"/>
        <v>8746.4884342588266</v>
      </c>
      <c r="M98" s="4">
        <f t="shared" si="328"/>
        <v>8746.4884342588266</v>
      </c>
      <c r="N98" s="4">
        <f t="shared" si="328"/>
        <v>8746.4884342588266</v>
      </c>
      <c r="O98" s="4">
        <f t="shared" si="328"/>
        <v>8746.4884342588266</v>
      </c>
      <c r="P98" s="4">
        <f t="shared" si="328"/>
        <v>8746.4884342588266</v>
      </c>
      <c r="Q98" s="4">
        <f>+(Q97+R98)/(1+Q95)</f>
        <v>8746.4884342588266</v>
      </c>
      <c r="R98" s="14">
        <f>+R77-R94</f>
        <v>8746.4884342588266</v>
      </c>
      <c r="S98" t="s">
        <v>97</v>
      </c>
    </row>
    <row r="99" spans="2:19" x14ac:dyDescent="0.25">
      <c r="B99" t="s">
        <v>89</v>
      </c>
      <c r="C99" s="4">
        <f>+C98+C94</f>
        <v>22816.982616167119</v>
      </c>
      <c r="D99" s="4">
        <f t="shared" ref="D99:E99" si="329">+D98+D94</f>
        <v>23946.64460625235</v>
      </c>
      <c r="E99" s="4">
        <f t="shared" si="329"/>
        <v>24590.11835619179</v>
      </c>
      <c r="F99" s="4">
        <f t="shared" ref="F99" si="330">+F98+F94</f>
        <v>24513.563014539748</v>
      </c>
      <c r="G99" s="4">
        <f t="shared" ref="G99" si="331">+G98+G94</f>
        <v>24303.323974822852</v>
      </c>
      <c r="H99" s="4">
        <f t="shared" ref="H99" si="332">+H98+H94</f>
        <v>25052.547141818184</v>
      </c>
      <c r="I99" s="4">
        <f t="shared" ref="I99" si="333">+I98+I94</f>
        <v>26430.437234618184</v>
      </c>
      <c r="J99" s="4">
        <f t="shared" ref="J99" si="334">+J98+J94</f>
        <v>27751.959096349092</v>
      </c>
      <c r="K99" s="4">
        <f t="shared" ref="K99" si="335">+K98+K94</f>
        <v>29139.557051166546</v>
      </c>
      <c r="L99" s="4">
        <f t="shared" ref="L99" si="336">+L98+L94</f>
        <v>30596.534903724874</v>
      </c>
      <c r="M99" s="4">
        <f t="shared" ref="M99" si="337">+M98+M94</f>
        <v>32126.361648911115</v>
      </c>
      <c r="N99" s="4">
        <f t="shared" ref="N99" si="338">+N98+N94</f>
        <v>33732.679731356671</v>
      </c>
      <c r="O99" s="4">
        <f t="shared" ref="O99" si="339">+O98+O94</f>
        <v>35419.313717924502</v>
      </c>
      <c r="P99" s="4">
        <f t="shared" ref="P99" si="340">+P98+P94</f>
        <v>37190.279403820728</v>
      </c>
      <c r="Q99" s="4">
        <f t="shared" ref="Q99" si="341">+Q98+Q94</f>
        <v>39049.793374011766</v>
      </c>
      <c r="R99" s="4">
        <f t="shared" ref="R99" si="342">+R98+R94</f>
        <v>41002.283042712355</v>
      </c>
    </row>
    <row r="100" spans="2:19" x14ac:dyDescent="0.25">
      <c r="B100" s="4" t="str">
        <f>+B78</f>
        <v>D boy</v>
      </c>
      <c r="C100" s="4">
        <f>+C78</f>
        <v>0</v>
      </c>
      <c r="D100" s="4">
        <f t="shared" ref="D100:E100" si="343">+D78</f>
        <v>1128.3759238548221</v>
      </c>
      <c r="E100" s="4">
        <f t="shared" si="343"/>
        <v>2431.9897275354501</v>
      </c>
      <c r="F100" s="4">
        <f t="shared" ref="F100:R100" si="344">+F78</f>
        <v>4157.2709205944566</v>
      </c>
      <c r="G100" s="4">
        <f t="shared" si="344"/>
        <v>5700.7796977979469</v>
      </c>
      <c r="H100" s="4">
        <f t="shared" si="344"/>
        <v>6263.1367854545415</v>
      </c>
      <c r="I100" s="4">
        <f t="shared" si="344"/>
        <v>6607.6093086545407</v>
      </c>
      <c r="J100" s="4">
        <f t="shared" si="344"/>
        <v>6937.9897740872684</v>
      </c>
      <c r="K100" s="4">
        <f t="shared" si="344"/>
        <v>7284.8892627916321</v>
      </c>
      <c r="L100" s="4">
        <f t="shared" si="344"/>
        <v>7649.1337259312131</v>
      </c>
      <c r="M100" s="4">
        <f t="shared" si="344"/>
        <v>8031.5904122277752</v>
      </c>
      <c r="N100" s="4">
        <f t="shared" si="344"/>
        <v>8433.1699328391642</v>
      </c>
      <c r="O100" s="4">
        <f t="shared" si="344"/>
        <v>8854.8284294811219</v>
      </c>
      <c r="P100" s="4">
        <f t="shared" si="344"/>
        <v>9297.5698509551785</v>
      </c>
      <c r="Q100" s="4">
        <f t="shared" si="344"/>
        <v>9762.4483435029379</v>
      </c>
      <c r="R100" s="4">
        <f t="shared" si="344"/>
        <v>10250.570760678085</v>
      </c>
    </row>
    <row r="101" spans="2:19" x14ac:dyDescent="0.25">
      <c r="B101" s="12" t="s">
        <v>19</v>
      </c>
      <c r="C101" s="13">
        <f>+C99+C100</f>
        <v>22816.982616167119</v>
      </c>
      <c r="D101" s="13">
        <f t="shared" ref="D101:E101" si="345">+D99+D100</f>
        <v>25075.020530107173</v>
      </c>
      <c r="E101" s="13">
        <f t="shared" si="345"/>
        <v>27022.108083727238</v>
      </c>
      <c r="F101" s="13">
        <f t="shared" ref="F101" si="346">+F99+F100</f>
        <v>28670.833935134204</v>
      </c>
      <c r="G101" s="13">
        <f t="shared" ref="G101" si="347">+G99+G100</f>
        <v>30004.103672620797</v>
      </c>
      <c r="H101" s="13">
        <f t="shared" ref="H101" si="348">+H99+H100</f>
        <v>31315.683927272727</v>
      </c>
      <c r="I101" s="13">
        <f t="shared" ref="I101" si="349">+I99+I100</f>
        <v>33038.046543272721</v>
      </c>
      <c r="J101" s="13">
        <f t="shared" ref="J101" si="350">+J99+J100</f>
        <v>34689.948870436361</v>
      </c>
      <c r="K101" s="13">
        <f t="shared" ref="K101" si="351">+K99+K100</f>
        <v>36424.446313958179</v>
      </c>
      <c r="L101" s="13">
        <f t="shared" ref="L101" si="352">+L99+L100</f>
        <v>38245.668629656087</v>
      </c>
      <c r="M101" s="13">
        <f t="shared" ref="M101" si="353">+M99+M100</f>
        <v>40157.952061138887</v>
      </c>
      <c r="N101" s="13">
        <f t="shared" ref="N101" si="354">+N99+N100</f>
        <v>42165.849664195834</v>
      </c>
      <c r="O101" s="13">
        <f t="shared" ref="O101" si="355">+O99+O100</f>
        <v>44274.142147405626</v>
      </c>
      <c r="P101" s="13">
        <f t="shared" ref="P101" si="356">+P99+P100</f>
        <v>46487.849254775909</v>
      </c>
      <c r="Q101" s="13">
        <f t="shared" ref="Q101" si="357">+Q99+Q100</f>
        <v>48812.241717514706</v>
      </c>
      <c r="R101" s="13">
        <f t="shared" ref="R101" si="358">+R99+R100</f>
        <v>51252.853803390441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7A30-5C2E-43E7-8CE4-90B111A44783}">
  <dimension ref="B18:BG101"/>
  <sheetViews>
    <sheetView topLeftCell="B68" zoomScale="200" zoomScaleNormal="200" workbookViewId="0">
      <selection activeCell="I77" sqref="I77"/>
    </sheetView>
  </sheetViews>
  <sheetFormatPr defaultRowHeight="15.75" x14ac:dyDescent="0.25"/>
  <cols>
    <col min="2" max="2" width="24.875" bestFit="1" customWidth="1"/>
    <col min="3" max="8" width="8.875" bestFit="1" customWidth="1"/>
    <col min="9" max="9" width="12.375" bestFit="1" customWidth="1"/>
    <col min="10" max="11" width="9.5" bestFit="1" customWidth="1"/>
    <col min="12" max="12" width="9.875" bestFit="1" customWidth="1"/>
    <col min="13" max="16" width="10.5" bestFit="1" customWidth="1"/>
    <col min="17" max="17" width="11.375" bestFit="1" customWidth="1"/>
    <col min="18" max="21" width="12" bestFit="1" customWidth="1"/>
    <col min="22" max="22" width="12.375" bestFit="1" customWidth="1"/>
    <col min="23" max="26" width="13.125" bestFit="1" customWidth="1"/>
    <col min="27" max="27" width="13.5" bestFit="1" customWidth="1"/>
    <col min="28" max="30" width="14.125" bestFit="1" customWidth="1"/>
    <col min="31" max="32" width="15" bestFit="1" customWidth="1"/>
    <col min="33" max="35" width="15.625" bestFit="1" customWidth="1"/>
    <col min="36" max="37" width="16" bestFit="1" customWidth="1"/>
    <col min="38" max="40" width="16.625" bestFit="1" customWidth="1"/>
    <col min="41" max="42" width="17.125" bestFit="1" customWidth="1"/>
    <col min="43" max="45" width="17.75" bestFit="1" customWidth="1"/>
    <col min="46" max="47" width="18.625" bestFit="1" customWidth="1"/>
    <col min="48" max="50" width="19.25" bestFit="1" customWidth="1"/>
    <col min="51" max="52" width="19.625" bestFit="1" customWidth="1"/>
    <col min="53" max="55" width="20.25" bestFit="1" customWidth="1"/>
    <col min="56" max="56" width="20.625" bestFit="1" customWidth="1"/>
    <col min="57" max="58" width="21.375" bestFit="1" customWidth="1"/>
    <col min="59" max="59" width="20.625" bestFit="1" customWidth="1"/>
  </cols>
  <sheetData>
    <row r="18" spans="2:59" x14ac:dyDescent="0.25">
      <c r="I18" t="s">
        <v>13</v>
      </c>
    </row>
    <row r="19" spans="2:59" x14ac:dyDescent="0.25">
      <c r="C19" s="1">
        <v>2025</v>
      </c>
      <c r="D19" s="2">
        <f>+C19+1</f>
        <v>2026</v>
      </c>
      <c r="E19" s="2">
        <f t="shared" ref="E19:H19" si="0">+D19+1</f>
        <v>2027</v>
      </c>
      <c r="F19" s="2">
        <f t="shared" si="0"/>
        <v>2028</v>
      </c>
      <c r="G19" s="2">
        <f t="shared" si="0"/>
        <v>2029</v>
      </c>
      <c r="H19" s="2">
        <f t="shared" si="0"/>
        <v>2030</v>
      </c>
      <c r="I19" s="2" t="s">
        <v>7</v>
      </c>
      <c r="J19" s="2" t="s">
        <v>8</v>
      </c>
      <c r="K19" s="2" t="s">
        <v>16</v>
      </c>
      <c r="L19" s="2" t="s">
        <v>17</v>
      </c>
      <c r="M19" s="2" t="s">
        <v>20</v>
      </c>
      <c r="N19" s="2" t="s">
        <v>21</v>
      </c>
      <c r="O19" s="2" t="s">
        <v>22</v>
      </c>
      <c r="P19" s="2" t="s">
        <v>23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  <c r="V19" s="2" t="s">
        <v>29</v>
      </c>
      <c r="W19" s="2" t="s">
        <v>30</v>
      </c>
      <c r="X19" s="2" t="s">
        <v>31</v>
      </c>
      <c r="Y19" s="2" t="s">
        <v>32</v>
      </c>
      <c r="Z19" s="2" t="s">
        <v>33</v>
      </c>
      <c r="AA19" s="2" t="s">
        <v>34</v>
      </c>
      <c r="AB19" s="2" t="s">
        <v>35</v>
      </c>
      <c r="AC19" s="2" t="s">
        <v>36</v>
      </c>
      <c r="AD19" s="2" t="s">
        <v>37</v>
      </c>
      <c r="AE19" s="2" t="s">
        <v>38</v>
      </c>
      <c r="AF19" s="2" t="s">
        <v>39</v>
      </c>
      <c r="AG19" s="2" t="s">
        <v>40</v>
      </c>
      <c r="AH19" s="2" t="s">
        <v>41</v>
      </c>
      <c r="AI19" s="2" t="s">
        <v>42</v>
      </c>
      <c r="AJ19" s="2" t="s">
        <v>43</v>
      </c>
      <c r="AK19" s="2" t="s">
        <v>44</v>
      </c>
      <c r="AL19" s="2" t="s">
        <v>45</v>
      </c>
      <c r="AM19" s="2" t="s">
        <v>46</v>
      </c>
      <c r="AN19" s="2" t="s">
        <v>47</v>
      </c>
      <c r="AO19" s="2" t="s">
        <v>48</v>
      </c>
      <c r="AP19" s="2" t="s">
        <v>49</v>
      </c>
      <c r="AQ19" s="2" t="s">
        <v>50</v>
      </c>
      <c r="AR19" s="2" t="s">
        <v>51</v>
      </c>
      <c r="AS19" s="2" t="s">
        <v>52</v>
      </c>
      <c r="AT19" s="2" t="s">
        <v>53</v>
      </c>
      <c r="AU19" s="2" t="s">
        <v>54</v>
      </c>
      <c r="AV19" s="2" t="s">
        <v>55</v>
      </c>
      <c r="AW19" s="2" t="s">
        <v>56</v>
      </c>
      <c r="AX19" s="2" t="s">
        <v>57</v>
      </c>
      <c r="AY19" s="2" t="s">
        <v>58</v>
      </c>
      <c r="AZ19" s="2" t="s">
        <v>59</v>
      </c>
      <c r="BA19" s="2" t="s">
        <v>60</v>
      </c>
      <c r="BB19" s="2" t="s">
        <v>61</v>
      </c>
      <c r="BC19" s="2" t="s">
        <v>62</v>
      </c>
      <c r="BD19" s="2" t="s">
        <v>63</v>
      </c>
      <c r="BE19" s="2" t="s">
        <v>64</v>
      </c>
      <c r="BF19" s="2" t="s">
        <v>65</v>
      </c>
    </row>
    <row r="20" spans="2:59" x14ac:dyDescent="0.25">
      <c r="B20" t="s">
        <v>1</v>
      </c>
      <c r="C20" s="7">
        <v>15000</v>
      </c>
      <c r="D20" s="4">
        <f>+C20+C36</f>
        <v>16920</v>
      </c>
      <c r="E20" s="4">
        <f>+D20+D36</f>
        <v>18609.882352941175</v>
      </c>
      <c r="F20" s="4">
        <f>+E20+E36</f>
        <v>20075.7150802139</v>
      </c>
      <c r="G20" s="4">
        <f>+F20+F36</f>
        <v>21300.143480213901</v>
      </c>
      <c r="H20" s="4">
        <f>+G20+G36</f>
        <v>22569.1954930139</v>
      </c>
      <c r="I20" s="4">
        <f>+H20+H36</f>
        <v>24291.558109013899</v>
      </c>
      <c r="J20" s="4">
        <f>+I20+I36</f>
        <v>44114.386034977535</v>
      </c>
      <c r="K20" s="4">
        <f>+J20+J36</f>
        <v>75830.910716519342</v>
      </c>
      <c r="L20" s="4">
        <f t="shared" ref="L20:BG20" si="1">+K20+K36</f>
        <v>126577.35020698624</v>
      </c>
      <c r="M20" s="4">
        <f t="shared" si="1"/>
        <v>207771.6533917333</v>
      </c>
      <c r="N20" s="4">
        <f t="shared" si="1"/>
        <v>337682.53848732857</v>
      </c>
      <c r="O20" s="4">
        <f t="shared" si="1"/>
        <v>545539.95464028104</v>
      </c>
      <c r="P20" s="4">
        <f t="shared" si="1"/>
        <v>878111.82048500492</v>
      </c>
      <c r="Q20" s="4">
        <f t="shared" si="1"/>
        <v>1410226.805836563</v>
      </c>
      <c r="R20" s="4">
        <f t="shared" si="1"/>
        <v>2261610.782399056</v>
      </c>
      <c r="S20" s="4">
        <f t="shared" si="1"/>
        <v>3623825.1448990451</v>
      </c>
      <c r="T20" s="4">
        <f t="shared" si="1"/>
        <v>5803368.1248990279</v>
      </c>
      <c r="U20" s="4">
        <f t="shared" si="1"/>
        <v>9290636.8928989992</v>
      </c>
      <c r="V20" s="4">
        <f t="shared" si="1"/>
        <v>14870266.921698952</v>
      </c>
      <c r="W20" s="4">
        <f t="shared" si="1"/>
        <v>23797674.967778876</v>
      </c>
      <c r="X20" s="4">
        <f t="shared" si="1"/>
        <v>38081527.841506757</v>
      </c>
      <c r="Y20" s="4">
        <f t="shared" si="1"/>
        <v>60935692.439471364</v>
      </c>
      <c r="Z20" s="4">
        <f t="shared" si="1"/>
        <v>97502355.79621473</v>
      </c>
      <c r="AA20" s="4">
        <f t="shared" si="1"/>
        <v>156009017.16700411</v>
      </c>
      <c r="AB20" s="4">
        <f t="shared" si="1"/>
        <v>249619675.3602671</v>
      </c>
      <c r="AC20" s="4">
        <f t="shared" si="1"/>
        <v>399396728.46948791</v>
      </c>
      <c r="AD20" s="4">
        <f t="shared" si="1"/>
        <v>639040013.44424129</v>
      </c>
      <c r="AE20" s="4">
        <f t="shared" si="1"/>
        <v>1022469269.4038466</v>
      </c>
      <c r="AF20" s="4">
        <f t="shared" si="1"/>
        <v>1635956078.9392152</v>
      </c>
      <c r="AG20" s="4">
        <f t="shared" si="1"/>
        <v>2617534974.1958046</v>
      </c>
      <c r="AH20" s="4">
        <f t="shared" si="1"/>
        <v>4188061206.606348</v>
      </c>
      <c r="AI20" s="4">
        <f t="shared" si="1"/>
        <v>6700903178.4632168</v>
      </c>
      <c r="AJ20" s="4">
        <f t="shared" si="1"/>
        <v>10721450333.434208</v>
      </c>
      <c r="AK20" s="4">
        <f t="shared" si="1"/>
        <v>17154325781.387794</v>
      </c>
      <c r="AL20" s="4">
        <f t="shared" si="1"/>
        <v>27446926498.113533</v>
      </c>
      <c r="AM20" s="4">
        <f t="shared" si="1"/>
        <v>43915087644.87471</v>
      </c>
      <c r="AN20" s="4">
        <f t="shared" si="1"/>
        <v>70264145479.692596</v>
      </c>
      <c r="AO20" s="4">
        <f t="shared" si="1"/>
        <v>112422638015.40121</v>
      </c>
      <c r="AP20" s="4">
        <f t="shared" si="1"/>
        <v>179876226072.535</v>
      </c>
      <c r="AQ20" s="4">
        <f t="shared" si="1"/>
        <v>287801966963.9491</v>
      </c>
      <c r="AR20" s="4">
        <f t="shared" si="1"/>
        <v>460483152390.21161</v>
      </c>
      <c r="AS20" s="4">
        <f t="shared" si="1"/>
        <v>736773049072.23169</v>
      </c>
      <c r="AT20" s="4">
        <f t="shared" si="1"/>
        <v>1178836883763.4636</v>
      </c>
      <c r="AU20" s="4">
        <f t="shared" si="1"/>
        <v>1886139019269.4348</v>
      </c>
      <c r="AV20" s="4">
        <f t="shared" si="1"/>
        <v>3017822436078.9883</v>
      </c>
      <c r="AW20" s="4">
        <f t="shared" si="1"/>
        <v>4828515902974.2744</v>
      </c>
      <c r="AX20" s="4">
        <f t="shared" si="1"/>
        <v>7725625450006.7324</v>
      </c>
      <c r="AY20" s="4">
        <f t="shared" si="1"/>
        <v>12361000725258.664</v>
      </c>
      <c r="AZ20" s="4">
        <f t="shared" si="1"/>
        <v>19777601165661.754</v>
      </c>
      <c r="BA20" s="4">
        <f t="shared" si="1"/>
        <v>31644161870306.699</v>
      </c>
      <c r="BB20" s="4">
        <f t="shared" si="1"/>
        <v>50630658997738.609</v>
      </c>
      <c r="BC20" s="4">
        <f t="shared" si="1"/>
        <v>81009054401629.672</v>
      </c>
      <c r="BD20" s="4">
        <f t="shared" si="1"/>
        <v>129614487047855.36</v>
      </c>
      <c r="BE20" s="4">
        <f t="shared" si="1"/>
        <v>207383179281816.44</v>
      </c>
      <c r="BF20" s="4">
        <f t="shared" si="1"/>
        <v>331813086856154.19</v>
      </c>
      <c r="BG20" s="4">
        <f t="shared" si="1"/>
        <v>530900938975094.63</v>
      </c>
    </row>
    <row r="21" spans="2:59" x14ac:dyDescent="0.25">
      <c r="B21" t="s">
        <v>2</v>
      </c>
      <c r="C21" s="8">
        <v>0.16</v>
      </c>
      <c r="D21" s="3"/>
      <c r="E21" s="3"/>
      <c r="F21" s="3"/>
      <c r="G21" s="3"/>
      <c r="H21" s="3"/>
    </row>
    <row r="22" spans="2:59" x14ac:dyDescent="0.25">
      <c r="B22" t="s">
        <v>3</v>
      </c>
      <c r="C22" s="3">
        <f>+C21</f>
        <v>0.16</v>
      </c>
      <c r="D22" s="8">
        <v>0.17499999999999999</v>
      </c>
      <c r="E22" s="8">
        <v>0.17</v>
      </c>
      <c r="F22" s="8">
        <v>0.16500000000000001</v>
      </c>
      <c r="G22" s="8">
        <v>0.16</v>
      </c>
      <c r="H22" s="8">
        <v>0.15</v>
      </c>
      <c r="I22" s="10">
        <f>+I29</f>
        <v>0.1166</v>
      </c>
      <c r="J22" s="10">
        <f>+I22</f>
        <v>0.1166</v>
      </c>
      <c r="K22" s="10">
        <f>+J22</f>
        <v>0.1166</v>
      </c>
      <c r="L22" s="10">
        <f t="shared" ref="L22:BG22" si="2">+K22</f>
        <v>0.1166</v>
      </c>
      <c r="M22" s="10">
        <f t="shared" si="2"/>
        <v>0.1166</v>
      </c>
      <c r="N22" s="10">
        <f t="shared" si="2"/>
        <v>0.1166</v>
      </c>
      <c r="O22" s="10">
        <f t="shared" si="2"/>
        <v>0.1166</v>
      </c>
      <c r="P22" s="10">
        <f t="shared" si="2"/>
        <v>0.1166</v>
      </c>
      <c r="Q22" s="10">
        <f t="shared" si="2"/>
        <v>0.1166</v>
      </c>
      <c r="R22" s="10">
        <f t="shared" si="2"/>
        <v>0.1166</v>
      </c>
      <c r="S22" s="10">
        <f t="shared" si="2"/>
        <v>0.1166</v>
      </c>
      <c r="T22" s="10">
        <f t="shared" si="2"/>
        <v>0.1166</v>
      </c>
      <c r="U22" s="10">
        <f t="shared" si="2"/>
        <v>0.1166</v>
      </c>
      <c r="V22" s="10">
        <f t="shared" si="2"/>
        <v>0.1166</v>
      </c>
      <c r="W22" s="10">
        <f t="shared" si="2"/>
        <v>0.1166</v>
      </c>
      <c r="X22" s="10">
        <f t="shared" si="2"/>
        <v>0.1166</v>
      </c>
      <c r="Y22" s="10">
        <f t="shared" si="2"/>
        <v>0.1166</v>
      </c>
      <c r="Z22" s="10">
        <f t="shared" si="2"/>
        <v>0.1166</v>
      </c>
      <c r="AA22" s="10">
        <f t="shared" si="2"/>
        <v>0.1166</v>
      </c>
      <c r="AB22" s="10">
        <f t="shared" si="2"/>
        <v>0.1166</v>
      </c>
      <c r="AC22" s="10">
        <f t="shared" si="2"/>
        <v>0.1166</v>
      </c>
      <c r="AD22" s="10">
        <f t="shared" si="2"/>
        <v>0.1166</v>
      </c>
      <c r="AE22" s="10">
        <f t="shared" si="2"/>
        <v>0.1166</v>
      </c>
      <c r="AF22" s="10">
        <f t="shared" si="2"/>
        <v>0.1166</v>
      </c>
      <c r="AG22" s="10">
        <f t="shared" si="2"/>
        <v>0.1166</v>
      </c>
      <c r="AH22" s="10">
        <f t="shared" si="2"/>
        <v>0.1166</v>
      </c>
      <c r="AI22" s="10">
        <f t="shared" si="2"/>
        <v>0.1166</v>
      </c>
      <c r="AJ22" s="10">
        <f t="shared" si="2"/>
        <v>0.1166</v>
      </c>
      <c r="AK22" s="10">
        <f t="shared" si="2"/>
        <v>0.1166</v>
      </c>
      <c r="AL22" s="10">
        <f t="shared" si="2"/>
        <v>0.1166</v>
      </c>
      <c r="AM22" s="10">
        <f t="shared" si="2"/>
        <v>0.1166</v>
      </c>
      <c r="AN22" s="10">
        <f t="shared" si="2"/>
        <v>0.1166</v>
      </c>
      <c r="AO22" s="10">
        <f t="shared" si="2"/>
        <v>0.1166</v>
      </c>
      <c r="AP22" s="10">
        <f t="shared" si="2"/>
        <v>0.1166</v>
      </c>
      <c r="AQ22" s="10">
        <f t="shared" si="2"/>
        <v>0.1166</v>
      </c>
      <c r="AR22" s="10">
        <f t="shared" si="2"/>
        <v>0.1166</v>
      </c>
      <c r="AS22" s="10">
        <f t="shared" si="2"/>
        <v>0.1166</v>
      </c>
      <c r="AT22" s="10">
        <f t="shared" si="2"/>
        <v>0.1166</v>
      </c>
      <c r="AU22" s="10">
        <f t="shared" si="2"/>
        <v>0.1166</v>
      </c>
      <c r="AV22" s="10">
        <f t="shared" si="2"/>
        <v>0.1166</v>
      </c>
      <c r="AW22" s="10">
        <f t="shared" si="2"/>
        <v>0.1166</v>
      </c>
      <c r="AX22" s="10">
        <f t="shared" si="2"/>
        <v>0.1166</v>
      </c>
      <c r="AY22" s="10">
        <f t="shared" si="2"/>
        <v>0.1166</v>
      </c>
      <c r="AZ22" s="10">
        <f t="shared" si="2"/>
        <v>0.1166</v>
      </c>
      <c r="BA22" s="10">
        <f t="shared" si="2"/>
        <v>0.1166</v>
      </c>
      <c r="BB22" s="10">
        <f t="shared" si="2"/>
        <v>0.1166</v>
      </c>
      <c r="BC22" s="10">
        <f t="shared" si="2"/>
        <v>0.1166</v>
      </c>
      <c r="BD22" s="10">
        <f t="shared" si="2"/>
        <v>0.1166</v>
      </c>
      <c r="BE22" s="10">
        <f t="shared" si="2"/>
        <v>0.1166</v>
      </c>
      <c r="BF22" s="10">
        <f t="shared" si="2"/>
        <v>0.1166</v>
      </c>
      <c r="BG22" s="10">
        <f t="shared" si="2"/>
        <v>0.1166</v>
      </c>
    </row>
    <row r="23" spans="2:59" x14ac:dyDescent="0.25">
      <c r="B23" t="s">
        <v>5</v>
      </c>
      <c r="C23" s="3"/>
      <c r="D23" s="8">
        <v>0.14000000000000001</v>
      </c>
      <c r="E23" s="8">
        <v>0.105</v>
      </c>
      <c r="F23" s="8">
        <v>0.08</v>
      </c>
      <c r="G23" s="8">
        <v>0.06</v>
      </c>
      <c r="H23" s="8">
        <v>5.5E-2</v>
      </c>
      <c r="I23" s="8">
        <v>5.5E-2</v>
      </c>
      <c r="J23" s="18">
        <v>0.6</v>
      </c>
      <c r="K23" s="18">
        <f>+J23</f>
        <v>0.6</v>
      </c>
      <c r="L23" s="18">
        <f t="shared" ref="L23:BG23" si="3">+K23</f>
        <v>0.6</v>
      </c>
      <c r="M23" s="18">
        <f t="shared" si="3"/>
        <v>0.6</v>
      </c>
      <c r="N23" s="18">
        <f t="shared" si="3"/>
        <v>0.6</v>
      </c>
      <c r="O23" s="18">
        <f t="shared" si="3"/>
        <v>0.6</v>
      </c>
      <c r="P23" s="18">
        <f t="shared" si="3"/>
        <v>0.6</v>
      </c>
      <c r="Q23" s="18">
        <f t="shared" si="3"/>
        <v>0.6</v>
      </c>
      <c r="R23" s="18">
        <f t="shared" si="3"/>
        <v>0.6</v>
      </c>
      <c r="S23" s="18">
        <f t="shared" si="3"/>
        <v>0.6</v>
      </c>
      <c r="T23" s="18">
        <f t="shared" si="3"/>
        <v>0.6</v>
      </c>
      <c r="U23" s="18">
        <f t="shared" si="3"/>
        <v>0.6</v>
      </c>
      <c r="V23" s="18">
        <f t="shared" si="3"/>
        <v>0.6</v>
      </c>
      <c r="W23" s="18">
        <f t="shared" si="3"/>
        <v>0.6</v>
      </c>
      <c r="X23" s="18">
        <f t="shared" si="3"/>
        <v>0.6</v>
      </c>
      <c r="Y23" s="18">
        <f t="shared" si="3"/>
        <v>0.6</v>
      </c>
      <c r="Z23" s="18">
        <f t="shared" si="3"/>
        <v>0.6</v>
      </c>
      <c r="AA23" s="18">
        <f t="shared" si="3"/>
        <v>0.6</v>
      </c>
      <c r="AB23" s="18">
        <f t="shared" si="3"/>
        <v>0.6</v>
      </c>
      <c r="AC23" s="18">
        <f t="shared" si="3"/>
        <v>0.6</v>
      </c>
      <c r="AD23" s="18">
        <f t="shared" si="3"/>
        <v>0.6</v>
      </c>
      <c r="AE23" s="18">
        <f t="shared" si="3"/>
        <v>0.6</v>
      </c>
      <c r="AF23" s="18">
        <f t="shared" si="3"/>
        <v>0.6</v>
      </c>
      <c r="AG23" s="18">
        <f t="shared" si="3"/>
        <v>0.6</v>
      </c>
      <c r="AH23" s="18">
        <f t="shared" si="3"/>
        <v>0.6</v>
      </c>
      <c r="AI23" s="18">
        <f t="shared" si="3"/>
        <v>0.6</v>
      </c>
      <c r="AJ23" s="18">
        <f t="shared" si="3"/>
        <v>0.6</v>
      </c>
      <c r="AK23" s="18">
        <f t="shared" si="3"/>
        <v>0.6</v>
      </c>
      <c r="AL23" s="18">
        <f t="shared" si="3"/>
        <v>0.6</v>
      </c>
      <c r="AM23" s="18">
        <f t="shared" si="3"/>
        <v>0.6</v>
      </c>
      <c r="AN23" s="18">
        <f t="shared" si="3"/>
        <v>0.6</v>
      </c>
      <c r="AO23" s="18">
        <f t="shared" si="3"/>
        <v>0.6</v>
      </c>
      <c r="AP23" s="18">
        <f t="shared" si="3"/>
        <v>0.6</v>
      </c>
      <c r="AQ23" s="18">
        <f t="shared" si="3"/>
        <v>0.6</v>
      </c>
      <c r="AR23" s="18">
        <f t="shared" si="3"/>
        <v>0.6</v>
      </c>
      <c r="AS23" s="18">
        <f t="shared" si="3"/>
        <v>0.6</v>
      </c>
      <c r="AT23" s="18">
        <f t="shared" si="3"/>
        <v>0.6</v>
      </c>
      <c r="AU23" s="18">
        <f t="shared" si="3"/>
        <v>0.6</v>
      </c>
      <c r="AV23" s="18">
        <f t="shared" si="3"/>
        <v>0.6</v>
      </c>
      <c r="AW23" s="18">
        <f t="shared" si="3"/>
        <v>0.6</v>
      </c>
      <c r="AX23" s="18">
        <f t="shared" si="3"/>
        <v>0.6</v>
      </c>
      <c r="AY23" s="18">
        <f t="shared" si="3"/>
        <v>0.6</v>
      </c>
      <c r="AZ23" s="18">
        <f t="shared" si="3"/>
        <v>0.6</v>
      </c>
      <c r="BA23" s="18">
        <f t="shared" si="3"/>
        <v>0.6</v>
      </c>
      <c r="BB23" s="18">
        <f t="shared" si="3"/>
        <v>0.6</v>
      </c>
      <c r="BC23" s="18">
        <f t="shared" si="3"/>
        <v>0.6</v>
      </c>
      <c r="BD23" s="18">
        <f t="shared" si="3"/>
        <v>0.6</v>
      </c>
      <c r="BE23" s="18">
        <f t="shared" si="3"/>
        <v>0.6</v>
      </c>
      <c r="BF23" s="18">
        <f t="shared" si="3"/>
        <v>0.6</v>
      </c>
      <c r="BG23" s="18">
        <f t="shared" si="3"/>
        <v>0.6</v>
      </c>
    </row>
    <row r="24" spans="2:59" x14ac:dyDescent="0.25">
      <c r="B24" t="s">
        <v>6</v>
      </c>
      <c r="C24" s="8">
        <v>0</v>
      </c>
      <c r="D24" s="8">
        <v>4.4999999999999998E-2</v>
      </c>
      <c r="E24" s="8">
        <v>0.09</v>
      </c>
      <c r="F24" s="8">
        <v>0.14499999999999999</v>
      </c>
      <c r="G24" s="8">
        <v>0.19</v>
      </c>
      <c r="H24" s="8">
        <v>0.2</v>
      </c>
      <c r="I24" s="8">
        <v>0.2</v>
      </c>
      <c r="J24" s="8">
        <v>0.2</v>
      </c>
      <c r="K24" s="8">
        <v>0.2</v>
      </c>
      <c r="L24" s="8">
        <v>0.2</v>
      </c>
      <c r="M24" s="8">
        <v>0.2</v>
      </c>
      <c r="N24" s="8">
        <v>0.2</v>
      </c>
      <c r="O24" s="8">
        <v>0.2</v>
      </c>
      <c r="P24" s="8">
        <v>0.2</v>
      </c>
      <c r="Q24" s="8">
        <v>0.2</v>
      </c>
      <c r="R24" s="8">
        <v>0.2</v>
      </c>
      <c r="S24" s="8">
        <v>0.2</v>
      </c>
      <c r="T24" s="8">
        <v>0.2</v>
      </c>
      <c r="U24" s="8">
        <v>0.2</v>
      </c>
      <c r="V24" s="8">
        <v>0.2</v>
      </c>
      <c r="W24" s="8">
        <v>0.2</v>
      </c>
      <c r="X24" s="8">
        <v>0.2</v>
      </c>
      <c r="Y24" s="8">
        <v>0.2</v>
      </c>
      <c r="Z24" s="8">
        <v>0.2</v>
      </c>
      <c r="AA24" s="8">
        <v>0.2</v>
      </c>
      <c r="AB24" s="8">
        <v>0.2</v>
      </c>
      <c r="AC24" s="8">
        <v>0.2</v>
      </c>
      <c r="AD24" s="8">
        <v>0.2</v>
      </c>
      <c r="AE24" s="8">
        <v>0.2</v>
      </c>
      <c r="AF24" s="8">
        <v>0.2</v>
      </c>
      <c r="AG24" s="8">
        <v>0.2</v>
      </c>
      <c r="AH24" s="8">
        <v>0.2</v>
      </c>
      <c r="AI24" s="8">
        <v>0.2</v>
      </c>
      <c r="AJ24" s="8">
        <v>0.2</v>
      </c>
      <c r="AK24" s="8">
        <v>0.2</v>
      </c>
      <c r="AL24" s="8">
        <v>0.2</v>
      </c>
      <c r="AM24" s="8">
        <v>0.2</v>
      </c>
      <c r="AN24" s="8">
        <v>0.2</v>
      </c>
      <c r="AO24" s="8">
        <v>0.2</v>
      </c>
      <c r="AP24" s="8">
        <v>0.2</v>
      </c>
      <c r="AQ24" s="8">
        <v>0.2</v>
      </c>
      <c r="AR24" s="8">
        <v>0.2</v>
      </c>
      <c r="AS24" s="8">
        <v>0.2</v>
      </c>
      <c r="AT24" s="8">
        <v>0.2</v>
      </c>
      <c r="AU24" s="8">
        <v>0.2</v>
      </c>
      <c r="AV24" s="8">
        <v>0.2</v>
      </c>
      <c r="AW24" s="8">
        <v>0.2</v>
      </c>
      <c r="AX24" s="8">
        <v>0.2</v>
      </c>
      <c r="AY24" s="8">
        <v>0.2</v>
      </c>
      <c r="AZ24" s="8">
        <v>0.2</v>
      </c>
      <c r="BA24" s="8">
        <v>0.2</v>
      </c>
      <c r="BB24" s="8">
        <v>0.2</v>
      </c>
      <c r="BC24" s="8">
        <v>0.2</v>
      </c>
      <c r="BD24" s="8">
        <v>0.2</v>
      </c>
      <c r="BE24" s="8">
        <v>0.2</v>
      </c>
      <c r="BF24" s="8">
        <v>0.2</v>
      </c>
    </row>
    <row r="25" spans="2:59" x14ac:dyDescent="0.25">
      <c r="B25" t="s">
        <v>0</v>
      </c>
      <c r="C25" s="5"/>
      <c r="D25" s="6">
        <v>7.0000000000000007E-2</v>
      </c>
      <c r="E25" s="6">
        <v>7.4999999999999997E-2</v>
      </c>
      <c r="F25" s="6">
        <v>0.08</v>
      </c>
      <c r="G25" s="6">
        <v>8.5000000000000006E-2</v>
      </c>
      <c r="H25" s="6">
        <v>8.5000000000000006E-2</v>
      </c>
      <c r="I25" s="6">
        <v>8.5000000000000006E-2</v>
      </c>
      <c r="J25" s="6">
        <v>8.5000000000000006E-2</v>
      </c>
      <c r="K25" s="6">
        <v>8.5000000000000006E-2</v>
      </c>
      <c r="L25" s="6">
        <v>8.5000000000000006E-2</v>
      </c>
      <c r="M25" s="6">
        <v>8.5000000000000006E-2</v>
      </c>
      <c r="N25" s="6">
        <v>8.5000000000000006E-2</v>
      </c>
      <c r="O25" s="6">
        <v>8.5000000000000006E-2</v>
      </c>
      <c r="P25" s="6">
        <v>8.5000000000000006E-2</v>
      </c>
      <c r="Q25" s="6">
        <v>8.5000000000000006E-2</v>
      </c>
      <c r="R25" s="6">
        <v>8.5000000000000006E-2</v>
      </c>
      <c r="S25" s="6">
        <v>8.5000000000000006E-2</v>
      </c>
      <c r="T25" s="6">
        <v>8.5000000000000006E-2</v>
      </c>
      <c r="U25" s="6">
        <v>8.5000000000000006E-2</v>
      </c>
      <c r="V25" s="6">
        <v>8.5000000000000006E-2</v>
      </c>
      <c r="W25" s="6">
        <v>8.5000000000000006E-2</v>
      </c>
      <c r="X25" s="6">
        <v>8.5000000000000006E-2</v>
      </c>
      <c r="Y25" s="6">
        <v>8.5000000000000006E-2</v>
      </c>
      <c r="Z25" s="6">
        <v>8.5000000000000006E-2</v>
      </c>
      <c r="AA25" s="6">
        <v>8.5000000000000006E-2</v>
      </c>
      <c r="AB25" s="6">
        <v>8.5000000000000006E-2</v>
      </c>
      <c r="AC25" s="6">
        <v>8.5000000000000006E-2</v>
      </c>
      <c r="AD25" s="6">
        <v>8.5000000000000006E-2</v>
      </c>
      <c r="AE25" s="6">
        <v>8.5000000000000006E-2</v>
      </c>
      <c r="AF25" s="6">
        <v>8.5000000000000006E-2</v>
      </c>
      <c r="AG25" s="6">
        <v>8.5000000000000006E-2</v>
      </c>
      <c r="AH25" s="6">
        <v>8.5000000000000006E-2</v>
      </c>
      <c r="AI25" s="6">
        <v>8.5000000000000006E-2</v>
      </c>
      <c r="AJ25" s="6">
        <v>8.5000000000000006E-2</v>
      </c>
      <c r="AK25" s="6">
        <v>8.5000000000000006E-2</v>
      </c>
      <c r="AL25" s="6">
        <v>8.5000000000000006E-2</v>
      </c>
      <c r="AM25" s="6">
        <v>8.5000000000000006E-2</v>
      </c>
      <c r="AN25" s="6">
        <v>8.5000000000000006E-2</v>
      </c>
      <c r="AO25" s="6">
        <v>8.5000000000000006E-2</v>
      </c>
      <c r="AP25" s="6">
        <v>8.5000000000000006E-2</v>
      </c>
      <c r="AQ25" s="6">
        <v>8.5000000000000006E-2</v>
      </c>
      <c r="AR25" s="6">
        <v>8.5000000000000006E-2</v>
      </c>
      <c r="AS25" s="6">
        <v>8.5000000000000006E-2</v>
      </c>
      <c r="AT25" s="6">
        <v>8.5000000000000006E-2</v>
      </c>
      <c r="AU25" s="6">
        <v>8.5000000000000006E-2</v>
      </c>
      <c r="AV25" s="6">
        <v>8.5000000000000006E-2</v>
      </c>
      <c r="AW25" s="6">
        <v>8.5000000000000006E-2</v>
      </c>
      <c r="AX25" s="6">
        <v>8.5000000000000006E-2</v>
      </c>
      <c r="AY25" s="6">
        <v>8.5000000000000006E-2</v>
      </c>
      <c r="AZ25" s="6">
        <v>8.5000000000000006E-2</v>
      </c>
      <c r="BA25" s="6">
        <v>8.5000000000000006E-2</v>
      </c>
      <c r="BB25" s="6">
        <v>8.5000000000000006E-2</v>
      </c>
      <c r="BC25" s="6">
        <v>8.5000000000000006E-2</v>
      </c>
      <c r="BD25" s="6">
        <v>8.5000000000000006E-2</v>
      </c>
      <c r="BE25" s="6">
        <v>8.5000000000000006E-2</v>
      </c>
      <c r="BF25" s="6">
        <v>8.5000000000000006E-2</v>
      </c>
    </row>
    <row r="26" spans="2:59" x14ac:dyDescent="0.25">
      <c r="B26" t="s">
        <v>4</v>
      </c>
      <c r="C26" s="6">
        <v>0.12</v>
      </c>
      <c r="D26" s="6">
        <v>0.12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6">
        <v>0.12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0.12</v>
      </c>
      <c r="AG26" s="6">
        <v>0.12</v>
      </c>
      <c r="AH26" s="6">
        <v>0.12</v>
      </c>
      <c r="AI26" s="6">
        <v>0.12</v>
      </c>
      <c r="AJ26" s="6">
        <v>0.12</v>
      </c>
      <c r="AK26" s="6">
        <v>0.12</v>
      </c>
      <c r="AL26" s="6">
        <v>0.12</v>
      </c>
      <c r="AM26" s="6">
        <v>0.12</v>
      </c>
      <c r="AN26" s="6">
        <v>0.12</v>
      </c>
      <c r="AO26" s="6">
        <v>0.12</v>
      </c>
      <c r="AP26" s="6">
        <v>0.12</v>
      </c>
      <c r="AQ26" s="6">
        <v>0.12</v>
      </c>
      <c r="AR26" s="6">
        <v>0.12</v>
      </c>
      <c r="AS26" s="6">
        <v>0.12</v>
      </c>
      <c r="AT26" s="6">
        <v>0.12</v>
      </c>
      <c r="AU26" s="6">
        <v>0.12</v>
      </c>
      <c r="AV26" s="6">
        <v>0.12</v>
      </c>
      <c r="AW26" s="6">
        <v>0.12</v>
      </c>
      <c r="AX26" s="6">
        <v>0.12</v>
      </c>
      <c r="AY26" s="6">
        <v>0.12</v>
      </c>
      <c r="AZ26" s="6">
        <v>0.12</v>
      </c>
      <c r="BA26" s="6">
        <v>0.12</v>
      </c>
      <c r="BB26" s="6">
        <v>0.12</v>
      </c>
      <c r="BC26" s="6">
        <v>0.12</v>
      </c>
      <c r="BD26" s="6">
        <v>0.12</v>
      </c>
      <c r="BE26" s="6">
        <v>0.12</v>
      </c>
      <c r="BF26" s="6">
        <v>0.12</v>
      </c>
    </row>
    <row r="27" spans="2:59" x14ac:dyDescent="0.25">
      <c r="B27" t="s">
        <v>72</v>
      </c>
      <c r="C27" s="6">
        <v>0.2</v>
      </c>
      <c r="D27" s="6">
        <v>0.2</v>
      </c>
      <c r="E27" s="6">
        <v>0.2</v>
      </c>
      <c r="F27" s="6">
        <v>0.2</v>
      </c>
      <c r="G27" s="6">
        <v>0.2</v>
      </c>
      <c r="H27" s="6">
        <v>0.2</v>
      </c>
      <c r="I27" s="6">
        <v>0.2</v>
      </c>
      <c r="J27" s="6">
        <v>0.2</v>
      </c>
      <c r="K27" s="6">
        <v>0.2</v>
      </c>
      <c r="L27" s="6">
        <v>0.2</v>
      </c>
      <c r="M27" s="6">
        <v>0.2</v>
      </c>
      <c r="N27" s="6">
        <v>0.2</v>
      </c>
      <c r="O27" s="6">
        <v>0.2</v>
      </c>
      <c r="P27" s="6">
        <v>0.2</v>
      </c>
      <c r="Q27" s="6">
        <v>0.2</v>
      </c>
      <c r="R27" s="6">
        <v>0.2</v>
      </c>
      <c r="S27" s="6">
        <v>0.2</v>
      </c>
      <c r="T27" s="6">
        <v>0.2</v>
      </c>
      <c r="U27" s="6">
        <v>0.2</v>
      </c>
      <c r="V27" s="6">
        <v>0.2</v>
      </c>
      <c r="W27" s="6">
        <v>0.2</v>
      </c>
      <c r="X27" s="6">
        <v>0.2</v>
      </c>
      <c r="Y27" s="6">
        <v>0.2</v>
      </c>
      <c r="Z27" s="6">
        <v>0.2</v>
      </c>
      <c r="AA27" s="6">
        <v>0.2</v>
      </c>
      <c r="AB27" s="6">
        <v>0.2</v>
      </c>
      <c r="AC27" s="6">
        <v>0.2</v>
      </c>
      <c r="AD27" s="6">
        <v>0.2</v>
      </c>
      <c r="AE27" s="6">
        <v>0.2</v>
      </c>
      <c r="AF27" s="6">
        <v>0.2</v>
      </c>
      <c r="AG27" s="6">
        <v>0.2</v>
      </c>
      <c r="AH27" s="6">
        <v>0.2</v>
      </c>
      <c r="AI27" s="6">
        <v>0.2</v>
      </c>
      <c r="AJ27" s="6">
        <v>0.2</v>
      </c>
      <c r="AK27" s="6">
        <v>0.2</v>
      </c>
      <c r="AL27" s="6">
        <v>0.2</v>
      </c>
      <c r="AM27" s="6">
        <v>0.2</v>
      </c>
      <c r="AN27" s="6">
        <v>0.2</v>
      </c>
      <c r="AO27" s="6">
        <v>0.2</v>
      </c>
      <c r="AP27" s="6">
        <v>0.2</v>
      </c>
      <c r="AQ27" s="6">
        <v>0.2</v>
      </c>
      <c r="AR27" s="6">
        <v>0.2</v>
      </c>
      <c r="AS27" s="6">
        <v>0.2</v>
      </c>
      <c r="AT27" s="6">
        <v>0.2</v>
      </c>
      <c r="AU27" s="6">
        <v>0.2</v>
      </c>
      <c r="AV27" s="6">
        <v>0.2</v>
      </c>
      <c r="AW27" s="6">
        <v>0.2</v>
      </c>
      <c r="AX27" s="6">
        <v>0.2</v>
      </c>
      <c r="AY27" s="6">
        <v>0.2</v>
      </c>
      <c r="AZ27" s="6">
        <v>0.2</v>
      </c>
      <c r="BA27" s="6">
        <v>0.2</v>
      </c>
      <c r="BB27" s="6">
        <v>0.2</v>
      </c>
      <c r="BC27" s="6">
        <v>0.2</v>
      </c>
      <c r="BD27" s="6">
        <v>0.2</v>
      </c>
      <c r="BE27" s="6">
        <v>0.2</v>
      </c>
      <c r="BF27" s="6">
        <v>0.2</v>
      </c>
    </row>
    <row r="28" spans="2:59" x14ac:dyDescent="0.25">
      <c r="B28" t="s">
        <v>15</v>
      </c>
      <c r="C28" s="9">
        <f>+(C26-C24*C25)/(1-C24)</f>
        <v>0.12</v>
      </c>
      <c r="D28" s="9">
        <f t="shared" ref="D28:BF28" si="4">+(D26-D24*D25)/(1-D24)</f>
        <v>0.12235602094240838</v>
      </c>
      <c r="E28" s="9">
        <f t="shared" si="4"/>
        <v>0.12445054945054944</v>
      </c>
      <c r="F28" s="9">
        <f t="shared" si="4"/>
        <v>0.12678362573099414</v>
      </c>
      <c r="G28" s="9">
        <f t="shared" si="4"/>
        <v>0.12820987654320987</v>
      </c>
      <c r="H28" s="9">
        <f t="shared" si="4"/>
        <v>0.12874999999999998</v>
      </c>
      <c r="I28" s="9">
        <f t="shared" si="4"/>
        <v>0.12874999999999998</v>
      </c>
      <c r="J28" s="9">
        <f t="shared" si="4"/>
        <v>0.12874999999999998</v>
      </c>
      <c r="K28" s="9">
        <f t="shared" si="4"/>
        <v>0.12874999999999998</v>
      </c>
      <c r="L28" s="9">
        <f t="shared" si="4"/>
        <v>0.12874999999999998</v>
      </c>
      <c r="M28" s="9">
        <f t="shared" si="4"/>
        <v>0.12874999999999998</v>
      </c>
      <c r="N28" s="9">
        <f t="shared" si="4"/>
        <v>0.12874999999999998</v>
      </c>
      <c r="O28" s="9">
        <f t="shared" si="4"/>
        <v>0.12874999999999998</v>
      </c>
      <c r="P28" s="9">
        <f t="shared" si="4"/>
        <v>0.12874999999999998</v>
      </c>
      <c r="Q28" s="9">
        <f t="shared" si="4"/>
        <v>0.12874999999999998</v>
      </c>
      <c r="R28" s="9">
        <f t="shared" si="4"/>
        <v>0.12874999999999998</v>
      </c>
      <c r="S28" s="9">
        <f t="shared" si="4"/>
        <v>0.12874999999999998</v>
      </c>
      <c r="T28" s="9">
        <f t="shared" si="4"/>
        <v>0.12874999999999998</v>
      </c>
      <c r="U28" s="9">
        <f t="shared" si="4"/>
        <v>0.12874999999999998</v>
      </c>
      <c r="V28" s="9">
        <f t="shared" si="4"/>
        <v>0.12874999999999998</v>
      </c>
      <c r="W28" s="9">
        <f t="shared" si="4"/>
        <v>0.12874999999999998</v>
      </c>
      <c r="X28" s="9">
        <f t="shared" si="4"/>
        <v>0.12874999999999998</v>
      </c>
      <c r="Y28" s="9">
        <f t="shared" si="4"/>
        <v>0.12874999999999998</v>
      </c>
      <c r="Z28" s="9">
        <f t="shared" si="4"/>
        <v>0.12874999999999998</v>
      </c>
      <c r="AA28" s="9">
        <f t="shared" si="4"/>
        <v>0.12874999999999998</v>
      </c>
      <c r="AB28" s="9">
        <f t="shared" si="4"/>
        <v>0.12874999999999998</v>
      </c>
      <c r="AC28" s="9">
        <f t="shared" si="4"/>
        <v>0.12874999999999998</v>
      </c>
      <c r="AD28" s="9">
        <f t="shared" si="4"/>
        <v>0.12874999999999998</v>
      </c>
      <c r="AE28" s="9">
        <f t="shared" si="4"/>
        <v>0.12874999999999998</v>
      </c>
      <c r="AF28" s="9">
        <f t="shared" si="4"/>
        <v>0.12874999999999998</v>
      </c>
      <c r="AG28" s="9">
        <f t="shared" si="4"/>
        <v>0.12874999999999998</v>
      </c>
      <c r="AH28" s="9">
        <f t="shared" si="4"/>
        <v>0.12874999999999998</v>
      </c>
      <c r="AI28" s="9">
        <f t="shared" si="4"/>
        <v>0.12874999999999998</v>
      </c>
      <c r="AJ28" s="9">
        <f t="shared" si="4"/>
        <v>0.12874999999999998</v>
      </c>
      <c r="AK28" s="9">
        <f t="shared" si="4"/>
        <v>0.12874999999999998</v>
      </c>
      <c r="AL28" s="9">
        <f t="shared" si="4"/>
        <v>0.12874999999999998</v>
      </c>
      <c r="AM28" s="9">
        <f t="shared" si="4"/>
        <v>0.12874999999999998</v>
      </c>
      <c r="AN28" s="9">
        <f t="shared" si="4"/>
        <v>0.12874999999999998</v>
      </c>
      <c r="AO28" s="9">
        <f t="shared" si="4"/>
        <v>0.12874999999999998</v>
      </c>
      <c r="AP28" s="9">
        <f t="shared" si="4"/>
        <v>0.12874999999999998</v>
      </c>
      <c r="AQ28" s="9">
        <f t="shared" si="4"/>
        <v>0.12874999999999998</v>
      </c>
      <c r="AR28" s="9">
        <f t="shared" si="4"/>
        <v>0.12874999999999998</v>
      </c>
      <c r="AS28" s="9">
        <f t="shared" si="4"/>
        <v>0.12874999999999998</v>
      </c>
      <c r="AT28" s="9">
        <f t="shared" si="4"/>
        <v>0.12874999999999998</v>
      </c>
      <c r="AU28" s="9">
        <f t="shared" si="4"/>
        <v>0.12874999999999998</v>
      </c>
      <c r="AV28" s="9">
        <f t="shared" si="4"/>
        <v>0.12874999999999998</v>
      </c>
      <c r="AW28" s="9">
        <f t="shared" si="4"/>
        <v>0.12874999999999998</v>
      </c>
      <c r="AX28" s="9">
        <f t="shared" si="4"/>
        <v>0.12874999999999998</v>
      </c>
      <c r="AY28" s="9">
        <f t="shared" si="4"/>
        <v>0.12874999999999998</v>
      </c>
      <c r="AZ28" s="9">
        <f t="shared" si="4"/>
        <v>0.12874999999999998</v>
      </c>
      <c r="BA28" s="9">
        <f t="shared" si="4"/>
        <v>0.12874999999999998</v>
      </c>
      <c r="BB28" s="9">
        <f t="shared" si="4"/>
        <v>0.12874999999999998</v>
      </c>
      <c r="BC28" s="9">
        <f t="shared" si="4"/>
        <v>0.12874999999999998</v>
      </c>
      <c r="BD28" s="9">
        <f t="shared" si="4"/>
        <v>0.12874999999999998</v>
      </c>
      <c r="BE28" s="9">
        <f t="shared" si="4"/>
        <v>0.12874999999999998</v>
      </c>
      <c r="BF28" s="9">
        <f t="shared" si="4"/>
        <v>0.12874999999999998</v>
      </c>
    </row>
    <row r="29" spans="2:59" x14ac:dyDescent="0.25">
      <c r="B29" t="s">
        <v>14</v>
      </c>
      <c r="C29" s="9">
        <f>+C26-C24*C25*C31</f>
        <v>0.12</v>
      </c>
      <c r="D29" s="9">
        <f t="shared" ref="D29:BF29" si="5">+D26-D24*D25*D31</f>
        <v>0.11936999999999999</v>
      </c>
      <c r="E29" s="9">
        <f t="shared" si="5"/>
        <v>0.11864999999999999</v>
      </c>
      <c r="F29" s="9">
        <f t="shared" si="5"/>
        <v>0.11767999999999999</v>
      </c>
      <c r="G29" s="9">
        <f t="shared" si="5"/>
        <v>0.11677</v>
      </c>
      <c r="H29" s="9">
        <f t="shared" si="5"/>
        <v>0.1166</v>
      </c>
      <c r="I29" s="9">
        <f t="shared" si="5"/>
        <v>0.1166</v>
      </c>
      <c r="J29" s="9">
        <f t="shared" si="5"/>
        <v>0.1166</v>
      </c>
      <c r="K29" s="9">
        <f t="shared" si="5"/>
        <v>0.1166</v>
      </c>
      <c r="L29" s="9">
        <f t="shared" si="5"/>
        <v>0.1166</v>
      </c>
      <c r="M29" s="9">
        <f t="shared" si="5"/>
        <v>0.1166</v>
      </c>
      <c r="N29" s="9">
        <f t="shared" si="5"/>
        <v>0.1166</v>
      </c>
      <c r="O29" s="9">
        <f t="shared" si="5"/>
        <v>0.1166</v>
      </c>
      <c r="P29" s="9">
        <f t="shared" si="5"/>
        <v>0.1166</v>
      </c>
      <c r="Q29" s="9">
        <f t="shared" si="5"/>
        <v>0.1166</v>
      </c>
      <c r="R29" s="9">
        <f t="shared" si="5"/>
        <v>0.1166</v>
      </c>
      <c r="S29" s="9">
        <f t="shared" si="5"/>
        <v>0.1166</v>
      </c>
      <c r="T29" s="9">
        <f t="shared" si="5"/>
        <v>0.1166</v>
      </c>
      <c r="U29" s="9">
        <f t="shared" si="5"/>
        <v>0.1166</v>
      </c>
      <c r="V29" s="9">
        <f t="shared" si="5"/>
        <v>0.1166</v>
      </c>
      <c r="W29" s="9">
        <f t="shared" si="5"/>
        <v>0.1166</v>
      </c>
      <c r="X29" s="9">
        <f t="shared" si="5"/>
        <v>0.1166</v>
      </c>
      <c r="Y29" s="9">
        <f t="shared" si="5"/>
        <v>0.1166</v>
      </c>
      <c r="Z29" s="9">
        <f t="shared" si="5"/>
        <v>0.1166</v>
      </c>
      <c r="AA29" s="9">
        <f t="shared" si="5"/>
        <v>0.1166</v>
      </c>
      <c r="AB29" s="9">
        <f t="shared" si="5"/>
        <v>0.1166</v>
      </c>
      <c r="AC29" s="9">
        <f t="shared" si="5"/>
        <v>0.1166</v>
      </c>
      <c r="AD29" s="9">
        <f t="shared" si="5"/>
        <v>0.1166</v>
      </c>
      <c r="AE29" s="9">
        <f t="shared" si="5"/>
        <v>0.1166</v>
      </c>
      <c r="AF29" s="9">
        <f t="shared" si="5"/>
        <v>0.1166</v>
      </c>
      <c r="AG29" s="9">
        <f t="shared" si="5"/>
        <v>0.1166</v>
      </c>
      <c r="AH29" s="9">
        <f t="shared" si="5"/>
        <v>0.1166</v>
      </c>
      <c r="AI29" s="9">
        <f t="shared" si="5"/>
        <v>0.1166</v>
      </c>
      <c r="AJ29" s="9">
        <f t="shared" si="5"/>
        <v>0.1166</v>
      </c>
      <c r="AK29" s="9">
        <f t="shared" si="5"/>
        <v>0.1166</v>
      </c>
      <c r="AL29" s="9">
        <f t="shared" si="5"/>
        <v>0.1166</v>
      </c>
      <c r="AM29" s="9">
        <f t="shared" si="5"/>
        <v>0.1166</v>
      </c>
      <c r="AN29" s="9">
        <f t="shared" si="5"/>
        <v>0.1166</v>
      </c>
      <c r="AO29" s="9">
        <f t="shared" si="5"/>
        <v>0.1166</v>
      </c>
      <c r="AP29" s="9">
        <f t="shared" si="5"/>
        <v>0.1166</v>
      </c>
      <c r="AQ29" s="9">
        <f t="shared" si="5"/>
        <v>0.1166</v>
      </c>
      <c r="AR29" s="9">
        <f t="shared" si="5"/>
        <v>0.1166</v>
      </c>
      <c r="AS29" s="9">
        <f t="shared" si="5"/>
        <v>0.1166</v>
      </c>
      <c r="AT29" s="9">
        <f t="shared" si="5"/>
        <v>0.1166</v>
      </c>
      <c r="AU29" s="9">
        <f t="shared" si="5"/>
        <v>0.1166</v>
      </c>
      <c r="AV29" s="9">
        <f t="shared" si="5"/>
        <v>0.1166</v>
      </c>
      <c r="AW29" s="9">
        <f t="shared" si="5"/>
        <v>0.1166</v>
      </c>
      <c r="AX29" s="9">
        <f t="shared" si="5"/>
        <v>0.1166</v>
      </c>
      <c r="AY29" s="9">
        <f t="shared" si="5"/>
        <v>0.1166</v>
      </c>
      <c r="AZ29" s="9">
        <f t="shared" si="5"/>
        <v>0.1166</v>
      </c>
      <c r="BA29" s="9">
        <f t="shared" si="5"/>
        <v>0.1166</v>
      </c>
      <c r="BB29" s="9">
        <f t="shared" si="5"/>
        <v>0.1166</v>
      </c>
      <c r="BC29" s="9">
        <f t="shared" si="5"/>
        <v>0.1166</v>
      </c>
      <c r="BD29" s="9">
        <f t="shared" si="5"/>
        <v>0.1166</v>
      </c>
      <c r="BE29" s="9">
        <f t="shared" si="5"/>
        <v>0.1166</v>
      </c>
      <c r="BF29" s="9">
        <f t="shared" si="5"/>
        <v>0.1166</v>
      </c>
    </row>
    <row r="30" spans="2:59" x14ac:dyDescent="0.25">
      <c r="B30" t="s">
        <v>12</v>
      </c>
      <c r="C30" s="9">
        <f>+D23/D22</f>
        <v>0.80000000000000016</v>
      </c>
      <c r="D30" s="9">
        <f t="shared" ref="D30:J30" si="6">+E23/E22</f>
        <v>0.61764705882352933</v>
      </c>
      <c r="E30" s="9">
        <f t="shared" si="6"/>
        <v>0.48484848484848486</v>
      </c>
      <c r="F30" s="9">
        <f t="shared" si="6"/>
        <v>0.375</v>
      </c>
      <c r="G30" s="9">
        <f t="shared" si="6"/>
        <v>0.3666666666666667</v>
      </c>
      <c r="H30" s="9">
        <f t="shared" si="6"/>
        <v>0.47169811320754718</v>
      </c>
      <c r="I30" s="9">
        <f t="shared" si="6"/>
        <v>5.1457975986277873</v>
      </c>
      <c r="J30" s="9">
        <f t="shared" si="6"/>
        <v>5.1457975986277873</v>
      </c>
      <c r="K30" s="9">
        <f>+L23/L22</f>
        <v>5.1457975986277873</v>
      </c>
      <c r="L30" s="9">
        <f t="shared" ref="L30:BF30" si="7">+M23/M22</f>
        <v>5.1457975986277873</v>
      </c>
      <c r="M30" s="9">
        <f t="shared" si="7"/>
        <v>5.1457975986277873</v>
      </c>
      <c r="N30" s="9">
        <f t="shared" si="7"/>
        <v>5.1457975986277873</v>
      </c>
      <c r="O30" s="9">
        <f t="shared" si="7"/>
        <v>5.1457975986277873</v>
      </c>
      <c r="P30" s="9">
        <f t="shared" si="7"/>
        <v>5.1457975986277873</v>
      </c>
      <c r="Q30" s="9">
        <f t="shared" si="7"/>
        <v>5.1457975986277873</v>
      </c>
      <c r="R30" s="9">
        <f t="shared" si="7"/>
        <v>5.1457975986277873</v>
      </c>
      <c r="S30" s="9">
        <f t="shared" si="7"/>
        <v>5.1457975986277873</v>
      </c>
      <c r="T30" s="9">
        <f t="shared" si="7"/>
        <v>5.1457975986277873</v>
      </c>
      <c r="U30" s="9">
        <f t="shared" si="7"/>
        <v>5.1457975986277873</v>
      </c>
      <c r="V30" s="9">
        <f t="shared" si="7"/>
        <v>5.1457975986277873</v>
      </c>
      <c r="W30" s="9">
        <f t="shared" si="7"/>
        <v>5.1457975986277873</v>
      </c>
      <c r="X30" s="9">
        <f t="shared" si="7"/>
        <v>5.1457975986277873</v>
      </c>
      <c r="Y30" s="9">
        <f t="shared" si="7"/>
        <v>5.1457975986277873</v>
      </c>
      <c r="Z30" s="9">
        <f t="shared" si="7"/>
        <v>5.1457975986277873</v>
      </c>
      <c r="AA30" s="9">
        <f t="shared" si="7"/>
        <v>5.1457975986277873</v>
      </c>
      <c r="AB30" s="9">
        <f t="shared" si="7"/>
        <v>5.1457975986277873</v>
      </c>
      <c r="AC30" s="9">
        <f t="shared" si="7"/>
        <v>5.1457975986277873</v>
      </c>
      <c r="AD30" s="9">
        <f t="shared" si="7"/>
        <v>5.1457975986277873</v>
      </c>
      <c r="AE30" s="9">
        <f t="shared" si="7"/>
        <v>5.1457975986277873</v>
      </c>
      <c r="AF30" s="9">
        <f t="shared" si="7"/>
        <v>5.1457975986277873</v>
      </c>
      <c r="AG30" s="9">
        <f t="shared" si="7"/>
        <v>5.1457975986277873</v>
      </c>
      <c r="AH30" s="9">
        <f t="shared" si="7"/>
        <v>5.1457975986277873</v>
      </c>
      <c r="AI30" s="9">
        <f t="shared" si="7"/>
        <v>5.1457975986277873</v>
      </c>
      <c r="AJ30" s="9">
        <f t="shared" si="7"/>
        <v>5.1457975986277873</v>
      </c>
      <c r="AK30" s="9">
        <f t="shared" si="7"/>
        <v>5.1457975986277873</v>
      </c>
      <c r="AL30" s="9">
        <f t="shared" si="7"/>
        <v>5.1457975986277873</v>
      </c>
      <c r="AM30" s="9">
        <f t="shared" si="7"/>
        <v>5.1457975986277873</v>
      </c>
      <c r="AN30" s="9">
        <f t="shared" si="7"/>
        <v>5.1457975986277873</v>
      </c>
      <c r="AO30" s="9">
        <f t="shared" si="7"/>
        <v>5.1457975986277873</v>
      </c>
      <c r="AP30" s="9">
        <f t="shared" si="7"/>
        <v>5.1457975986277873</v>
      </c>
      <c r="AQ30" s="9">
        <f t="shared" si="7"/>
        <v>5.1457975986277873</v>
      </c>
      <c r="AR30" s="9">
        <f t="shared" si="7"/>
        <v>5.1457975986277873</v>
      </c>
      <c r="AS30" s="9">
        <f t="shared" si="7"/>
        <v>5.1457975986277873</v>
      </c>
      <c r="AT30" s="9">
        <f t="shared" si="7"/>
        <v>5.1457975986277873</v>
      </c>
      <c r="AU30" s="9">
        <f t="shared" si="7"/>
        <v>5.1457975986277873</v>
      </c>
      <c r="AV30" s="9">
        <f t="shared" si="7"/>
        <v>5.1457975986277873</v>
      </c>
      <c r="AW30" s="9">
        <f t="shared" si="7"/>
        <v>5.1457975986277873</v>
      </c>
      <c r="AX30" s="9">
        <f t="shared" si="7"/>
        <v>5.1457975986277873</v>
      </c>
      <c r="AY30" s="9">
        <f t="shared" si="7"/>
        <v>5.1457975986277873</v>
      </c>
      <c r="AZ30" s="9">
        <f t="shared" si="7"/>
        <v>5.1457975986277873</v>
      </c>
      <c r="BA30" s="9">
        <f t="shared" si="7"/>
        <v>5.1457975986277873</v>
      </c>
      <c r="BB30" s="9">
        <f t="shared" si="7"/>
        <v>5.1457975986277873</v>
      </c>
      <c r="BC30" s="9">
        <f t="shared" si="7"/>
        <v>5.1457975986277873</v>
      </c>
      <c r="BD30" s="9">
        <f t="shared" si="7"/>
        <v>5.1457975986277873</v>
      </c>
      <c r="BE30" s="9">
        <f t="shared" si="7"/>
        <v>5.1457975986277873</v>
      </c>
      <c r="BF30" s="9">
        <f t="shared" si="7"/>
        <v>5.1457975986277873</v>
      </c>
    </row>
    <row r="31" spans="2:59" x14ac:dyDescent="0.25">
      <c r="B31" t="s">
        <v>75</v>
      </c>
      <c r="C31" s="16">
        <f>+C27</f>
        <v>0.2</v>
      </c>
      <c r="D31" s="16">
        <f t="shared" ref="D31:BF31" si="8">+D27</f>
        <v>0.2</v>
      </c>
      <c r="E31" s="16">
        <f t="shared" si="8"/>
        <v>0.2</v>
      </c>
      <c r="F31" s="16">
        <f t="shared" si="8"/>
        <v>0.2</v>
      </c>
      <c r="G31" s="16">
        <f t="shared" si="8"/>
        <v>0.2</v>
      </c>
      <c r="H31" s="16">
        <f t="shared" si="8"/>
        <v>0.2</v>
      </c>
      <c r="I31" s="16">
        <f t="shared" si="8"/>
        <v>0.2</v>
      </c>
      <c r="J31" s="16">
        <f t="shared" si="8"/>
        <v>0.2</v>
      </c>
      <c r="K31" s="16">
        <f t="shared" si="8"/>
        <v>0.2</v>
      </c>
      <c r="L31" s="16">
        <f t="shared" si="8"/>
        <v>0.2</v>
      </c>
      <c r="M31" s="16">
        <f t="shared" si="8"/>
        <v>0.2</v>
      </c>
      <c r="N31" s="16">
        <f t="shared" si="8"/>
        <v>0.2</v>
      </c>
      <c r="O31" s="16">
        <f t="shared" si="8"/>
        <v>0.2</v>
      </c>
      <c r="P31" s="16">
        <f t="shared" si="8"/>
        <v>0.2</v>
      </c>
      <c r="Q31" s="16">
        <f t="shared" si="8"/>
        <v>0.2</v>
      </c>
      <c r="R31" s="16">
        <f t="shared" si="8"/>
        <v>0.2</v>
      </c>
      <c r="S31" s="16">
        <f t="shared" si="8"/>
        <v>0.2</v>
      </c>
      <c r="T31" s="16">
        <f t="shared" si="8"/>
        <v>0.2</v>
      </c>
      <c r="U31" s="16">
        <f t="shared" si="8"/>
        <v>0.2</v>
      </c>
      <c r="V31" s="16">
        <f t="shared" si="8"/>
        <v>0.2</v>
      </c>
      <c r="W31" s="16">
        <f t="shared" si="8"/>
        <v>0.2</v>
      </c>
      <c r="X31" s="16">
        <f t="shared" si="8"/>
        <v>0.2</v>
      </c>
      <c r="Y31" s="16">
        <f t="shared" si="8"/>
        <v>0.2</v>
      </c>
      <c r="Z31" s="16">
        <f t="shared" si="8"/>
        <v>0.2</v>
      </c>
      <c r="AA31" s="16">
        <f t="shared" si="8"/>
        <v>0.2</v>
      </c>
      <c r="AB31" s="16">
        <f t="shared" si="8"/>
        <v>0.2</v>
      </c>
      <c r="AC31" s="16">
        <f t="shared" si="8"/>
        <v>0.2</v>
      </c>
      <c r="AD31" s="16">
        <f t="shared" si="8"/>
        <v>0.2</v>
      </c>
      <c r="AE31" s="16">
        <f t="shared" si="8"/>
        <v>0.2</v>
      </c>
      <c r="AF31" s="16">
        <f t="shared" si="8"/>
        <v>0.2</v>
      </c>
      <c r="AG31" s="16">
        <f t="shared" si="8"/>
        <v>0.2</v>
      </c>
      <c r="AH31" s="16">
        <f t="shared" si="8"/>
        <v>0.2</v>
      </c>
      <c r="AI31" s="16">
        <f t="shared" si="8"/>
        <v>0.2</v>
      </c>
      <c r="AJ31" s="16">
        <f t="shared" si="8"/>
        <v>0.2</v>
      </c>
      <c r="AK31" s="16">
        <f t="shared" si="8"/>
        <v>0.2</v>
      </c>
      <c r="AL31" s="16">
        <f t="shared" si="8"/>
        <v>0.2</v>
      </c>
      <c r="AM31" s="16">
        <f t="shared" si="8"/>
        <v>0.2</v>
      </c>
      <c r="AN31" s="16">
        <f t="shared" si="8"/>
        <v>0.2</v>
      </c>
      <c r="AO31" s="16">
        <f t="shared" si="8"/>
        <v>0.2</v>
      </c>
      <c r="AP31" s="16">
        <f t="shared" si="8"/>
        <v>0.2</v>
      </c>
      <c r="AQ31" s="16">
        <f t="shared" si="8"/>
        <v>0.2</v>
      </c>
      <c r="AR31" s="16">
        <f t="shared" si="8"/>
        <v>0.2</v>
      </c>
      <c r="AS31" s="16">
        <f t="shared" si="8"/>
        <v>0.2</v>
      </c>
      <c r="AT31" s="16">
        <f t="shared" si="8"/>
        <v>0.2</v>
      </c>
      <c r="AU31" s="16">
        <f t="shared" si="8"/>
        <v>0.2</v>
      </c>
      <c r="AV31" s="16">
        <f t="shared" si="8"/>
        <v>0.2</v>
      </c>
      <c r="AW31" s="16">
        <f t="shared" si="8"/>
        <v>0.2</v>
      </c>
      <c r="AX31" s="16">
        <f t="shared" si="8"/>
        <v>0.2</v>
      </c>
      <c r="AY31" s="16">
        <f t="shared" si="8"/>
        <v>0.2</v>
      </c>
      <c r="AZ31" s="16">
        <f t="shared" si="8"/>
        <v>0.2</v>
      </c>
      <c r="BA31" s="16">
        <f t="shared" si="8"/>
        <v>0.2</v>
      </c>
      <c r="BB31" s="16">
        <f t="shared" si="8"/>
        <v>0.2</v>
      </c>
      <c r="BC31" s="16">
        <f t="shared" si="8"/>
        <v>0.2</v>
      </c>
      <c r="BD31" s="16">
        <f t="shared" si="8"/>
        <v>0.2</v>
      </c>
      <c r="BE31" s="16">
        <f t="shared" si="8"/>
        <v>0.2</v>
      </c>
      <c r="BF31" s="16">
        <f t="shared" si="8"/>
        <v>0.2</v>
      </c>
    </row>
    <row r="32" spans="2:59" x14ac:dyDescent="0.25">
      <c r="B32" t="s">
        <v>79</v>
      </c>
      <c r="C32" s="17">
        <f>+C50/C49</f>
        <v>0.2</v>
      </c>
      <c r="D32" s="17">
        <f t="shared" ref="D32:BF32" si="9">+D50/D49</f>
        <v>0.2</v>
      </c>
      <c r="E32" s="17">
        <f t="shared" si="9"/>
        <v>0.2</v>
      </c>
      <c r="F32" s="17">
        <f t="shared" si="9"/>
        <v>0.2</v>
      </c>
      <c r="G32" s="17">
        <f t="shared" si="9"/>
        <v>0.2</v>
      </c>
      <c r="H32" s="17">
        <f t="shared" si="9"/>
        <v>0.2</v>
      </c>
      <c r="I32" s="17">
        <f t="shared" si="9"/>
        <v>0.2</v>
      </c>
      <c r="J32" s="17">
        <f t="shared" si="9"/>
        <v>0.2</v>
      </c>
      <c r="K32" s="17">
        <f t="shared" si="9"/>
        <v>0.19999999999999998</v>
      </c>
      <c r="L32" s="17">
        <f t="shared" si="9"/>
        <v>0.2</v>
      </c>
      <c r="M32" s="17">
        <f t="shared" si="9"/>
        <v>0.2</v>
      </c>
      <c r="N32" s="17">
        <f t="shared" si="9"/>
        <v>0.2</v>
      </c>
      <c r="O32" s="17">
        <f t="shared" si="9"/>
        <v>0.2</v>
      </c>
      <c r="P32" s="17">
        <f t="shared" si="9"/>
        <v>0.2</v>
      </c>
      <c r="Q32" s="17">
        <f t="shared" si="9"/>
        <v>0.2</v>
      </c>
      <c r="R32" s="17">
        <f t="shared" si="9"/>
        <v>0.2</v>
      </c>
      <c r="S32" s="17">
        <f t="shared" si="9"/>
        <v>0.2</v>
      </c>
      <c r="T32" s="17">
        <f t="shared" si="9"/>
        <v>0.2</v>
      </c>
      <c r="U32" s="17">
        <f t="shared" si="9"/>
        <v>0.2</v>
      </c>
      <c r="V32" s="17">
        <f t="shared" si="9"/>
        <v>0.2</v>
      </c>
      <c r="W32" s="17">
        <f t="shared" si="9"/>
        <v>0.2</v>
      </c>
      <c r="X32" s="17">
        <f t="shared" si="9"/>
        <v>0.2</v>
      </c>
      <c r="Y32" s="17">
        <f t="shared" si="9"/>
        <v>0.2</v>
      </c>
      <c r="Z32" s="17">
        <f t="shared" si="9"/>
        <v>0.19999999999999998</v>
      </c>
      <c r="AA32" s="17">
        <f t="shared" si="9"/>
        <v>0.2</v>
      </c>
      <c r="AB32" s="17">
        <f t="shared" si="9"/>
        <v>0.2</v>
      </c>
      <c r="AC32" s="17">
        <f t="shared" si="9"/>
        <v>0.2</v>
      </c>
      <c r="AD32" s="17">
        <f t="shared" si="9"/>
        <v>0.2</v>
      </c>
      <c r="AE32" s="17">
        <f t="shared" si="9"/>
        <v>0.2</v>
      </c>
      <c r="AF32" s="17">
        <f t="shared" si="9"/>
        <v>0.2</v>
      </c>
      <c r="AG32" s="17">
        <f t="shared" si="9"/>
        <v>0.19999999999999998</v>
      </c>
      <c r="AH32" s="17">
        <f t="shared" si="9"/>
        <v>0.2</v>
      </c>
      <c r="AI32" s="17">
        <f t="shared" si="9"/>
        <v>0.2</v>
      </c>
      <c r="AJ32" s="17">
        <f t="shared" si="9"/>
        <v>0.2</v>
      </c>
      <c r="AK32" s="17">
        <f t="shared" si="9"/>
        <v>0.2</v>
      </c>
      <c r="AL32" s="17">
        <f t="shared" si="9"/>
        <v>0.20000000000000004</v>
      </c>
      <c r="AM32" s="17">
        <f t="shared" si="9"/>
        <v>0.2</v>
      </c>
      <c r="AN32" s="17">
        <f t="shared" si="9"/>
        <v>0.2</v>
      </c>
      <c r="AO32" s="17">
        <f t="shared" si="9"/>
        <v>0.2</v>
      </c>
      <c r="AP32" s="17">
        <f t="shared" si="9"/>
        <v>0.2</v>
      </c>
      <c r="AQ32" s="17">
        <f t="shared" si="9"/>
        <v>0.2</v>
      </c>
      <c r="AR32" s="17">
        <f t="shared" si="9"/>
        <v>0.2</v>
      </c>
      <c r="AS32" s="17">
        <f t="shared" si="9"/>
        <v>0.2</v>
      </c>
      <c r="AT32" s="17">
        <f t="shared" si="9"/>
        <v>0.2</v>
      </c>
      <c r="AU32" s="17">
        <f t="shared" si="9"/>
        <v>0.2</v>
      </c>
      <c r="AV32" s="17">
        <f t="shared" si="9"/>
        <v>0.2</v>
      </c>
      <c r="AW32" s="17">
        <f t="shared" si="9"/>
        <v>0.2</v>
      </c>
      <c r="AX32" s="17">
        <f t="shared" si="9"/>
        <v>0.2</v>
      </c>
      <c r="AY32" s="17">
        <f t="shared" si="9"/>
        <v>0.2</v>
      </c>
      <c r="AZ32" s="17">
        <f t="shared" si="9"/>
        <v>0.2</v>
      </c>
      <c r="BA32" s="17">
        <f t="shared" si="9"/>
        <v>0.2</v>
      </c>
      <c r="BB32" s="17">
        <f t="shared" si="9"/>
        <v>0.19999999999999998</v>
      </c>
      <c r="BC32" s="17">
        <f t="shared" si="9"/>
        <v>0.2</v>
      </c>
      <c r="BD32" s="17">
        <f t="shared" si="9"/>
        <v>0.2</v>
      </c>
      <c r="BE32" s="17">
        <f t="shared" si="9"/>
        <v>0.2</v>
      </c>
      <c r="BF32" s="17">
        <f t="shared" si="9"/>
        <v>0.2</v>
      </c>
    </row>
    <row r="33" spans="2:58" x14ac:dyDescent="0.25">
      <c r="C33" s="3"/>
      <c r="D33" s="3"/>
      <c r="E33" s="3"/>
      <c r="F33" s="3"/>
      <c r="G33" s="3"/>
      <c r="H33" s="3"/>
      <c r="I33" s="3"/>
      <c r="J33" s="3"/>
    </row>
    <row r="34" spans="2:58" x14ac:dyDescent="0.25">
      <c r="C34" s="3"/>
      <c r="D34" s="11">
        <f>+C35*(1+D23)</f>
        <v>2736.0000000000005</v>
      </c>
      <c r="E34" s="11">
        <f t="shared" ref="E34:BF34" si="10">+D35*(1+E23)</f>
        <v>3023.2799999999997</v>
      </c>
      <c r="F34" s="11">
        <f t="shared" si="10"/>
        <v>3265.1423999999997</v>
      </c>
      <c r="G34" s="11">
        <f t="shared" si="10"/>
        <v>3461.0509440000001</v>
      </c>
      <c r="H34" s="11">
        <f t="shared" si="10"/>
        <v>3651.4087459199995</v>
      </c>
      <c r="I34" s="11">
        <f t="shared" si="10"/>
        <v>3852.2362269455994</v>
      </c>
      <c r="J34" s="11">
        <f t="shared" si="10"/>
        <v>6163.577963112959</v>
      </c>
      <c r="K34" s="11">
        <f t="shared" si="10"/>
        <v>9861.7247409807351</v>
      </c>
      <c r="L34" s="11">
        <f t="shared" si="10"/>
        <v>15778.759585569176</v>
      </c>
      <c r="M34" s="11">
        <f t="shared" si="10"/>
        <v>25246.015336910685</v>
      </c>
      <c r="N34" s="11">
        <f t="shared" si="10"/>
        <v>40393.624539057091</v>
      </c>
      <c r="O34" s="11">
        <f t="shared" si="10"/>
        <v>64629.799262491346</v>
      </c>
      <c r="P34" s="11">
        <f t="shared" si="10"/>
        <v>103407.67881998616</v>
      </c>
      <c r="Q34" s="11">
        <f t="shared" si="10"/>
        <v>165452.28611197785</v>
      </c>
      <c r="R34" s="11">
        <f t="shared" si="10"/>
        <v>264723.65777916455</v>
      </c>
      <c r="S34" s="11">
        <f t="shared" si="10"/>
        <v>423557.85244666319</v>
      </c>
      <c r="T34" s="11">
        <f t="shared" si="10"/>
        <v>677692.56391466118</v>
      </c>
      <c r="U34" s="11">
        <f t="shared" si="10"/>
        <v>1084308.1022634578</v>
      </c>
      <c r="V34" s="11">
        <f t="shared" si="10"/>
        <v>1734892.9636215323</v>
      </c>
      <c r="W34" s="11">
        <f t="shared" si="10"/>
        <v>2775828.7417944516</v>
      </c>
      <c r="X34" s="11">
        <f t="shared" si="10"/>
        <v>4441325.9868711224</v>
      </c>
      <c r="Y34" s="11">
        <f t="shared" si="10"/>
        <v>7106121.5789937945</v>
      </c>
      <c r="Z34" s="11">
        <f t="shared" si="10"/>
        <v>11369794.52639007</v>
      </c>
      <c r="AA34" s="11">
        <f t="shared" si="10"/>
        <v>18191671.242224112</v>
      </c>
      <c r="AB34" s="11">
        <f t="shared" si="10"/>
        <v>29106673.987558581</v>
      </c>
      <c r="AC34" s="11">
        <f t="shared" si="10"/>
        <v>46570678.380093731</v>
      </c>
      <c r="AD34" s="11">
        <f t="shared" si="10"/>
        <v>74513085.408149973</v>
      </c>
      <c r="AE34" s="11">
        <f t="shared" si="10"/>
        <v>119220936.65303996</v>
      </c>
      <c r="AF34" s="11">
        <f t="shared" si="10"/>
        <v>190753498.64486396</v>
      </c>
      <c r="AG34" s="11">
        <f t="shared" si="10"/>
        <v>305205597.83178228</v>
      </c>
      <c r="AH34" s="11">
        <f t="shared" si="10"/>
        <v>488328956.53085166</v>
      </c>
      <c r="AI34" s="11">
        <f t="shared" si="10"/>
        <v>781326330.44936264</v>
      </c>
      <c r="AJ34" s="11">
        <f t="shared" si="10"/>
        <v>1250122128.7189801</v>
      </c>
      <c r="AK34" s="11">
        <f t="shared" si="10"/>
        <v>2000195405.9503682</v>
      </c>
      <c r="AL34" s="11">
        <f t="shared" si="10"/>
        <v>3200312649.5205894</v>
      </c>
      <c r="AM34" s="11">
        <f t="shared" si="10"/>
        <v>5120500239.2329426</v>
      </c>
      <c r="AN34" s="11">
        <f t="shared" si="10"/>
        <v>8192800382.7727089</v>
      </c>
      <c r="AO34" s="11">
        <f t="shared" si="10"/>
        <v>13108480612.436333</v>
      </c>
      <c r="AP34" s="11">
        <f t="shared" si="10"/>
        <v>20973568979.898132</v>
      </c>
      <c r="AQ34" s="11">
        <f t="shared" si="10"/>
        <v>33557710367.837013</v>
      </c>
      <c r="AR34" s="11">
        <f t="shared" si="10"/>
        <v>53692336588.539223</v>
      </c>
      <c r="AS34" s="11">
        <f t="shared" si="10"/>
        <v>85907738541.662766</v>
      </c>
      <c r="AT34" s="11">
        <f t="shared" si="10"/>
        <v>137452381666.6604</v>
      </c>
      <c r="AU34" s="11">
        <f t="shared" si="10"/>
        <v>219923810666.65665</v>
      </c>
      <c r="AV34" s="11">
        <f t="shared" si="10"/>
        <v>351878097066.65063</v>
      </c>
      <c r="AW34" s="11">
        <f t="shared" si="10"/>
        <v>563004955306.64099</v>
      </c>
      <c r="AX34" s="11">
        <f t="shared" si="10"/>
        <v>900807928490.62549</v>
      </c>
      <c r="AY34" s="11">
        <f t="shared" si="10"/>
        <v>1441292685585.001</v>
      </c>
      <c r="AZ34" s="11">
        <f t="shared" si="10"/>
        <v>2306068296936.0015</v>
      </c>
      <c r="BA34" s="11">
        <f t="shared" si="10"/>
        <v>3689709275097.6016</v>
      </c>
      <c r="BB34" s="11">
        <f t="shared" si="10"/>
        <v>5903534840156.1631</v>
      </c>
      <c r="BC34" s="11">
        <f t="shared" si="10"/>
        <v>9445655744249.8594</v>
      </c>
      <c r="BD34" s="11">
        <f t="shared" si="10"/>
        <v>15113049190799.775</v>
      </c>
      <c r="BE34" s="11">
        <f t="shared" si="10"/>
        <v>24180878705279.641</v>
      </c>
      <c r="BF34" s="11">
        <f t="shared" si="10"/>
        <v>38689405928447.422</v>
      </c>
    </row>
    <row r="35" spans="2:58" x14ac:dyDescent="0.25">
      <c r="B35" t="s">
        <v>9</v>
      </c>
      <c r="C35" s="4">
        <f>+C20*C21</f>
        <v>2400</v>
      </c>
      <c r="D35" s="4">
        <f>+D22*C36+C35</f>
        <v>2736</v>
      </c>
      <c r="E35" s="4">
        <f t="shared" ref="E35:BF35" si="11">+E22*D36+D35</f>
        <v>3023.2799999999997</v>
      </c>
      <c r="F35" s="4">
        <f t="shared" si="11"/>
        <v>3265.1423999999997</v>
      </c>
      <c r="G35" s="4">
        <f t="shared" si="11"/>
        <v>3461.0509439999996</v>
      </c>
      <c r="H35" s="4">
        <f t="shared" si="11"/>
        <v>3651.4087459199995</v>
      </c>
      <c r="I35" s="4">
        <f t="shared" si="11"/>
        <v>3852.2362269455994</v>
      </c>
      <c r="J35" s="4">
        <f t="shared" si="11"/>
        <v>6163.577963112959</v>
      </c>
      <c r="K35" s="4">
        <f t="shared" si="11"/>
        <v>9861.7247409807351</v>
      </c>
      <c r="L35" s="4">
        <f t="shared" si="11"/>
        <v>15778.759585569176</v>
      </c>
      <c r="M35" s="4">
        <f t="shared" si="11"/>
        <v>25246.015336910681</v>
      </c>
      <c r="N35" s="4">
        <f t="shared" si="11"/>
        <v>40393.624539057091</v>
      </c>
      <c r="O35" s="4">
        <f t="shared" si="11"/>
        <v>64629.799262491346</v>
      </c>
      <c r="P35" s="4">
        <f t="shared" si="11"/>
        <v>103407.67881998615</v>
      </c>
      <c r="Q35" s="4">
        <f t="shared" si="11"/>
        <v>165452.28611197782</v>
      </c>
      <c r="R35" s="4">
        <f t="shared" si="11"/>
        <v>264723.6577791645</v>
      </c>
      <c r="S35" s="4">
        <f t="shared" si="11"/>
        <v>423557.85244666319</v>
      </c>
      <c r="T35" s="4">
        <f t="shared" si="11"/>
        <v>677692.56391466106</v>
      </c>
      <c r="U35" s="4">
        <f t="shared" si="11"/>
        <v>1084308.1022634576</v>
      </c>
      <c r="V35" s="4">
        <f t="shared" si="11"/>
        <v>1734892.9636215321</v>
      </c>
      <c r="W35" s="4">
        <f t="shared" si="11"/>
        <v>2775828.7417944511</v>
      </c>
      <c r="X35" s="4">
        <f t="shared" si="11"/>
        <v>4441325.9868711215</v>
      </c>
      <c r="Y35" s="4">
        <f t="shared" si="11"/>
        <v>7106121.5789937936</v>
      </c>
      <c r="Z35" s="4">
        <f t="shared" si="11"/>
        <v>11369794.52639007</v>
      </c>
      <c r="AA35" s="4">
        <f t="shared" si="11"/>
        <v>18191671.242224112</v>
      </c>
      <c r="AB35" s="4">
        <f t="shared" si="11"/>
        <v>29106673.987558581</v>
      </c>
      <c r="AC35" s="4">
        <f t="shared" si="11"/>
        <v>46570678.380093731</v>
      </c>
      <c r="AD35" s="4">
        <f t="shared" si="11"/>
        <v>74513085.408149973</v>
      </c>
      <c r="AE35" s="4">
        <f t="shared" si="11"/>
        <v>119220936.65303996</v>
      </c>
      <c r="AF35" s="4">
        <f t="shared" si="11"/>
        <v>190753498.64486393</v>
      </c>
      <c r="AG35" s="4">
        <f t="shared" si="11"/>
        <v>305205597.83178228</v>
      </c>
      <c r="AH35" s="4">
        <f t="shared" si="11"/>
        <v>488328956.5308516</v>
      </c>
      <c r="AI35" s="4">
        <f t="shared" si="11"/>
        <v>781326330.44936252</v>
      </c>
      <c r="AJ35" s="4">
        <f t="shared" si="11"/>
        <v>1250122128.7189801</v>
      </c>
      <c r="AK35" s="4">
        <f t="shared" si="11"/>
        <v>2000195405.9503682</v>
      </c>
      <c r="AL35" s="4">
        <f t="shared" si="11"/>
        <v>3200312649.5205889</v>
      </c>
      <c r="AM35" s="4">
        <f t="shared" si="11"/>
        <v>5120500239.2329426</v>
      </c>
      <c r="AN35" s="4">
        <f t="shared" si="11"/>
        <v>8192800382.7727079</v>
      </c>
      <c r="AO35" s="4">
        <f t="shared" si="11"/>
        <v>13108480612.436333</v>
      </c>
      <c r="AP35" s="4">
        <f t="shared" si="11"/>
        <v>20973568979.898132</v>
      </c>
      <c r="AQ35" s="4">
        <f t="shared" si="11"/>
        <v>33557710367.837013</v>
      </c>
      <c r="AR35" s="4">
        <f t="shared" si="11"/>
        <v>53692336588.539223</v>
      </c>
      <c r="AS35" s="4">
        <f t="shared" si="11"/>
        <v>85907738541.66275</v>
      </c>
      <c r="AT35" s="4">
        <f t="shared" si="11"/>
        <v>137452381666.6604</v>
      </c>
      <c r="AU35" s="4">
        <f t="shared" si="11"/>
        <v>219923810666.65662</v>
      </c>
      <c r="AV35" s="4">
        <f t="shared" si="11"/>
        <v>351878097066.65057</v>
      </c>
      <c r="AW35" s="4">
        <f t="shared" si="11"/>
        <v>563004955306.64087</v>
      </c>
      <c r="AX35" s="4">
        <f t="shared" si="11"/>
        <v>900807928490.62549</v>
      </c>
      <c r="AY35" s="4">
        <f t="shared" si="11"/>
        <v>1441292685585.0007</v>
      </c>
      <c r="AZ35" s="4">
        <f t="shared" si="11"/>
        <v>2306068296936.001</v>
      </c>
      <c r="BA35" s="4">
        <f t="shared" si="11"/>
        <v>3689709275097.6016</v>
      </c>
      <c r="BB35" s="4">
        <f t="shared" si="11"/>
        <v>5903534840156.1621</v>
      </c>
      <c r="BC35" s="4">
        <f t="shared" si="11"/>
        <v>9445655744249.8594</v>
      </c>
      <c r="BD35" s="4">
        <f t="shared" si="11"/>
        <v>15113049190799.773</v>
      </c>
      <c r="BE35" s="4">
        <f t="shared" si="11"/>
        <v>24180878705279.637</v>
      </c>
      <c r="BF35" s="4">
        <f t="shared" si="11"/>
        <v>38689405928447.422</v>
      </c>
    </row>
    <row r="36" spans="2:58" x14ac:dyDescent="0.25">
      <c r="B36" t="s">
        <v>10</v>
      </c>
      <c r="C36" s="4">
        <f>+C35*C30</f>
        <v>1920.0000000000005</v>
      </c>
      <c r="D36" s="4">
        <f t="shared" ref="D36:BF36" si="12">+D35*D30</f>
        <v>1689.8823529411764</v>
      </c>
      <c r="E36" s="4">
        <f t="shared" si="12"/>
        <v>1465.8327272727272</v>
      </c>
      <c r="F36" s="4">
        <f t="shared" si="12"/>
        <v>1224.4283999999998</v>
      </c>
      <c r="G36" s="4">
        <f t="shared" si="12"/>
        <v>1269.0520128000001</v>
      </c>
      <c r="H36" s="4">
        <f t="shared" si="12"/>
        <v>1722.3626159999999</v>
      </c>
      <c r="I36" s="4">
        <f t="shared" si="12"/>
        <v>19822.827925963633</v>
      </c>
      <c r="J36" s="4">
        <f t="shared" si="12"/>
        <v>31716.524681541814</v>
      </c>
      <c r="K36" s="4">
        <f t="shared" si="12"/>
        <v>50746.439490466902</v>
      </c>
      <c r="L36" s="4">
        <f t="shared" si="12"/>
        <v>81194.303184747041</v>
      </c>
      <c r="M36" s="4">
        <f t="shared" si="12"/>
        <v>129910.88509559527</v>
      </c>
      <c r="N36" s="4">
        <f t="shared" si="12"/>
        <v>207857.41615295244</v>
      </c>
      <c r="O36" s="4">
        <f t="shared" si="12"/>
        <v>332571.86584472388</v>
      </c>
      <c r="P36" s="4">
        <f t="shared" si="12"/>
        <v>532114.98535155819</v>
      </c>
      <c r="Q36" s="4">
        <f t="shared" si="12"/>
        <v>851383.97656249313</v>
      </c>
      <c r="R36" s="4">
        <f t="shared" si="12"/>
        <v>1362214.3624999889</v>
      </c>
      <c r="S36" s="4">
        <f t="shared" si="12"/>
        <v>2179542.9799999823</v>
      </c>
      <c r="T36" s="4">
        <f t="shared" si="12"/>
        <v>3487268.7679999713</v>
      </c>
      <c r="U36" s="4">
        <f t="shared" si="12"/>
        <v>5579630.0287999529</v>
      </c>
      <c r="V36" s="4">
        <f t="shared" si="12"/>
        <v>8927408.0460799243</v>
      </c>
      <c r="W36" s="4">
        <f t="shared" si="12"/>
        <v>14283852.873727879</v>
      </c>
      <c r="X36" s="4">
        <f t="shared" si="12"/>
        <v>22854164.597964603</v>
      </c>
      <c r="Y36" s="4">
        <f t="shared" si="12"/>
        <v>36566663.356743366</v>
      </c>
      <c r="Z36" s="4">
        <f t="shared" si="12"/>
        <v>58506661.370789386</v>
      </c>
      <c r="AA36" s="4">
        <f t="shared" si="12"/>
        <v>93610658.193263009</v>
      </c>
      <c r="AB36" s="4">
        <f t="shared" si="12"/>
        <v>149777053.10922083</v>
      </c>
      <c r="AC36" s="4">
        <f t="shared" si="12"/>
        <v>239643284.97475332</v>
      </c>
      <c r="AD36" s="4">
        <f t="shared" si="12"/>
        <v>383429255.95960534</v>
      </c>
      <c r="AE36" s="4">
        <f t="shared" si="12"/>
        <v>613486809.53536856</v>
      </c>
      <c r="AF36" s="4">
        <f t="shared" si="12"/>
        <v>981578895.25658965</v>
      </c>
      <c r="AG36" s="4">
        <f t="shared" si="12"/>
        <v>1570526232.4105434</v>
      </c>
      <c r="AH36" s="4">
        <f t="shared" si="12"/>
        <v>2512841971.8568692</v>
      </c>
      <c r="AI36" s="4">
        <f t="shared" si="12"/>
        <v>4020547154.9709907</v>
      </c>
      <c r="AJ36" s="4">
        <f t="shared" si="12"/>
        <v>6432875447.9535856</v>
      </c>
      <c r="AK36" s="4">
        <f t="shared" si="12"/>
        <v>10292600716.725737</v>
      </c>
      <c r="AL36" s="4">
        <f t="shared" si="12"/>
        <v>16468161146.761177</v>
      </c>
      <c r="AM36" s="4">
        <f t="shared" si="12"/>
        <v>26349057834.817886</v>
      </c>
      <c r="AN36" s="4">
        <f t="shared" si="12"/>
        <v>42158492535.708618</v>
      </c>
      <c r="AO36" s="4">
        <f t="shared" si="12"/>
        <v>67453588057.133789</v>
      </c>
      <c r="AP36" s="4">
        <f t="shared" si="12"/>
        <v>107925740891.41406</v>
      </c>
      <c r="AQ36" s="4">
        <f t="shared" si="12"/>
        <v>172681185426.26251</v>
      </c>
      <c r="AR36" s="4">
        <f t="shared" si="12"/>
        <v>276289896682.02002</v>
      </c>
      <c r="AS36" s="4">
        <f t="shared" si="12"/>
        <v>442063834691.23199</v>
      </c>
      <c r="AT36" s="4">
        <f t="shared" si="12"/>
        <v>707302135505.97119</v>
      </c>
      <c r="AU36" s="4">
        <f t="shared" si="12"/>
        <v>1131683416809.5537</v>
      </c>
      <c r="AV36" s="4">
        <f t="shared" si="12"/>
        <v>1810693466895.2859</v>
      </c>
      <c r="AW36" s="4">
        <f t="shared" si="12"/>
        <v>2897109547032.4575</v>
      </c>
      <c r="AX36" s="4">
        <f t="shared" si="12"/>
        <v>4635375275251.9326</v>
      </c>
      <c r="AY36" s="4">
        <f t="shared" si="12"/>
        <v>7416600440403.0908</v>
      </c>
      <c r="AZ36" s="4">
        <f t="shared" si="12"/>
        <v>11866560704644.945</v>
      </c>
      <c r="BA36" s="4">
        <f t="shared" si="12"/>
        <v>18986497127431.91</v>
      </c>
      <c r="BB36" s="4">
        <f t="shared" si="12"/>
        <v>30378395403891.059</v>
      </c>
      <c r="BC36" s="4">
        <f t="shared" si="12"/>
        <v>48605432646225.688</v>
      </c>
      <c r="BD36" s="4">
        <f t="shared" si="12"/>
        <v>77768692233961.094</v>
      </c>
      <c r="BE36" s="4">
        <f t="shared" si="12"/>
        <v>124429907574337.75</v>
      </c>
      <c r="BF36" s="4">
        <f t="shared" si="12"/>
        <v>199087852118940.41</v>
      </c>
    </row>
    <row r="37" spans="2:58" x14ac:dyDescent="0.25">
      <c r="B37" t="s">
        <v>11</v>
      </c>
      <c r="C37" s="4">
        <f>+C35-C36</f>
        <v>479.99999999999955</v>
      </c>
      <c r="D37" s="4">
        <f t="shared" ref="D37:BF37" si="13">+D35-D36</f>
        <v>1046.1176470588236</v>
      </c>
      <c r="E37" s="4">
        <f t="shared" si="13"/>
        <v>1557.4472727272725</v>
      </c>
      <c r="F37" s="4">
        <f t="shared" si="13"/>
        <v>2040.7139999999999</v>
      </c>
      <c r="G37" s="4">
        <f t="shared" si="13"/>
        <v>2191.9989311999998</v>
      </c>
      <c r="H37" s="4">
        <f t="shared" si="13"/>
        <v>1929.0461299199997</v>
      </c>
      <c r="I37" s="4">
        <f>+I35-I36</f>
        <v>-15970.591699018034</v>
      </c>
      <c r="J37" s="4">
        <f t="shared" si="13"/>
        <v>-25552.946718428855</v>
      </c>
      <c r="K37" s="4">
        <f t="shared" si="13"/>
        <v>-40884.714749486171</v>
      </c>
      <c r="L37" s="4">
        <f t="shared" si="13"/>
        <v>-65415.543599177865</v>
      </c>
      <c r="M37" s="4">
        <f t="shared" si="13"/>
        <v>-104664.86975868458</v>
      </c>
      <c r="N37" s="4">
        <f t="shared" si="13"/>
        <v>-167463.79161389536</v>
      </c>
      <c r="O37" s="4">
        <f t="shared" si="13"/>
        <v>-267942.06658223254</v>
      </c>
      <c r="P37" s="4">
        <f t="shared" si="13"/>
        <v>-428707.30653157202</v>
      </c>
      <c r="Q37" s="4">
        <f t="shared" si="13"/>
        <v>-685931.69045051537</v>
      </c>
      <c r="R37" s="4">
        <f t="shared" si="13"/>
        <v>-1097490.7047208245</v>
      </c>
      <c r="S37" s="4">
        <f t="shared" si="13"/>
        <v>-1755985.1275533191</v>
      </c>
      <c r="T37" s="4">
        <f t="shared" si="13"/>
        <v>-2809576.20408531</v>
      </c>
      <c r="U37" s="4">
        <f t="shared" si="13"/>
        <v>-4495321.9265364949</v>
      </c>
      <c r="V37" s="4">
        <f t="shared" si="13"/>
        <v>-7192515.0824583918</v>
      </c>
      <c r="W37" s="4">
        <f t="shared" si="13"/>
        <v>-11508024.131933428</v>
      </c>
      <c r="X37" s="4">
        <f t="shared" si="13"/>
        <v>-18412838.611093484</v>
      </c>
      <c r="Y37" s="4">
        <f t="shared" si="13"/>
        <v>-29460541.777749572</v>
      </c>
      <c r="Z37" s="4">
        <f t="shared" si="13"/>
        <v>-47136866.844399318</v>
      </c>
      <c r="AA37" s="4">
        <f t="shared" si="13"/>
        <v>-75418986.951038897</v>
      </c>
      <c r="AB37" s="4">
        <f t="shared" si="13"/>
        <v>-120670379.12166226</v>
      </c>
      <c r="AC37" s="4">
        <f t="shared" si="13"/>
        <v>-193072606.5946596</v>
      </c>
      <c r="AD37" s="4">
        <f t="shared" si="13"/>
        <v>-308916170.55145538</v>
      </c>
      <c r="AE37" s="4">
        <f t="shared" si="13"/>
        <v>-494265872.88232863</v>
      </c>
      <c r="AF37" s="4">
        <f t="shared" si="13"/>
        <v>-790825396.61172569</v>
      </c>
      <c r="AG37" s="4">
        <f t="shared" si="13"/>
        <v>-1265320634.5787611</v>
      </c>
      <c r="AH37" s="4">
        <f t="shared" si="13"/>
        <v>-2024513015.3260176</v>
      </c>
      <c r="AI37" s="4">
        <f t="shared" si="13"/>
        <v>-3239220824.5216284</v>
      </c>
      <c r="AJ37" s="4">
        <f t="shared" si="13"/>
        <v>-5182753319.2346058</v>
      </c>
      <c r="AK37" s="4">
        <f t="shared" si="13"/>
        <v>-8292405310.7753687</v>
      </c>
      <c r="AL37" s="4">
        <f t="shared" si="13"/>
        <v>-13267848497.240589</v>
      </c>
      <c r="AM37" s="4">
        <f t="shared" si="13"/>
        <v>-21228557595.584946</v>
      </c>
      <c r="AN37" s="4">
        <f t="shared" si="13"/>
        <v>-33965692152.935909</v>
      </c>
      <c r="AO37" s="4">
        <f t="shared" si="13"/>
        <v>-54345107444.697456</v>
      </c>
      <c r="AP37" s="4">
        <f t="shared" si="13"/>
        <v>-86952171911.51593</v>
      </c>
      <c r="AQ37" s="4">
        <f t="shared" si="13"/>
        <v>-139123475058.42551</v>
      </c>
      <c r="AR37" s="4">
        <f t="shared" si="13"/>
        <v>-222597560093.4808</v>
      </c>
      <c r="AS37" s="4">
        <f t="shared" si="13"/>
        <v>-356156096149.56921</v>
      </c>
      <c r="AT37" s="4">
        <f t="shared" si="13"/>
        <v>-569849753839.31079</v>
      </c>
      <c r="AU37" s="4">
        <f t="shared" si="13"/>
        <v>-911759606142.89709</v>
      </c>
      <c r="AV37" s="4">
        <f t="shared" si="13"/>
        <v>-1458815369828.6353</v>
      </c>
      <c r="AW37" s="4">
        <f t="shared" si="13"/>
        <v>-2334104591725.8164</v>
      </c>
      <c r="AX37" s="4">
        <f t="shared" si="13"/>
        <v>-3734567346761.3071</v>
      </c>
      <c r="AY37" s="4">
        <f t="shared" si="13"/>
        <v>-5975307754818.0898</v>
      </c>
      <c r="AZ37" s="4">
        <f t="shared" si="13"/>
        <v>-9560492407708.9453</v>
      </c>
      <c r="BA37" s="4">
        <f t="shared" si="13"/>
        <v>-15296787852334.309</v>
      </c>
      <c r="BB37" s="4">
        <f t="shared" si="13"/>
        <v>-24474860563734.898</v>
      </c>
      <c r="BC37" s="4">
        <f t="shared" si="13"/>
        <v>-39159776901975.828</v>
      </c>
      <c r="BD37" s="4">
        <f t="shared" si="13"/>
        <v>-62655643043161.32</v>
      </c>
      <c r="BE37" s="4">
        <f t="shared" si="13"/>
        <v>-100249028869058.11</v>
      </c>
      <c r="BF37" s="4">
        <f t="shared" si="13"/>
        <v>-160398446190493</v>
      </c>
    </row>
    <row r="38" spans="2:58" x14ac:dyDescent="0.25">
      <c r="B38" t="s">
        <v>68</v>
      </c>
      <c r="C38" s="4">
        <f>+C64*C25</f>
        <v>0</v>
      </c>
      <c r="D38" s="4">
        <f t="shared" ref="D38:BF38" si="14">+D64*D25</f>
        <v>78.986314669834599</v>
      </c>
      <c r="E38" s="4">
        <f t="shared" si="14"/>
        <v>182.39922956515167</v>
      </c>
      <c r="F38" s="4">
        <f t="shared" si="14"/>
        <v>332.58167364754286</v>
      </c>
      <c r="G38" s="4">
        <f t="shared" si="14"/>
        <v>484.56627431280424</v>
      </c>
      <c r="H38" s="4">
        <f t="shared" si="14"/>
        <v>532.36662676361107</v>
      </c>
      <c r="I38" s="4">
        <f t="shared" si="14"/>
        <v>561.64679123560802</v>
      </c>
      <c r="J38" s="4">
        <f t="shared" si="14"/>
        <v>898.63486597698659</v>
      </c>
      <c r="K38" s="4">
        <f t="shared" si="14"/>
        <v>1437.8157855631937</v>
      </c>
      <c r="L38" s="4">
        <f t="shared" si="14"/>
        <v>2300.5052569011273</v>
      </c>
      <c r="M38" s="4">
        <f t="shared" si="14"/>
        <v>3680.8084110418226</v>
      </c>
      <c r="N38" s="4">
        <f t="shared" si="14"/>
        <v>5889.2934576669377</v>
      </c>
      <c r="O38" s="4">
        <f t="shared" si="14"/>
        <v>9422.8695322671247</v>
      </c>
      <c r="P38" s="4">
        <f t="shared" si="14"/>
        <v>15076.591251627424</v>
      </c>
      <c r="Q38" s="4">
        <f t="shared" si="14"/>
        <v>24122.546002603907</v>
      </c>
      <c r="R38" s="4">
        <f t="shared" si="14"/>
        <v>38596.073604166289</v>
      </c>
      <c r="S38" s="4">
        <f t="shared" si="14"/>
        <v>61753.717766666094</v>
      </c>
      <c r="T38" s="4">
        <f t="shared" si="14"/>
        <v>98805.948426665796</v>
      </c>
      <c r="U38" s="4">
        <f t="shared" si="14"/>
        <v>158089.51748266531</v>
      </c>
      <c r="V38" s="4">
        <f t="shared" si="14"/>
        <v>252943.22797226455</v>
      </c>
      <c r="W38" s="4">
        <f t="shared" si="14"/>
        <v>404709.16475562326</v>
      </c>
      <c r="X38" s="4">
        <f t="shared" si="14"/>
        <v>647534.66360899725</v>
      </c>
      <c r="Y38" s="4">
        <f t="shared" si="14"/>
        <v>1036055.4617743955</v>
      </c>
      <c r="Z38" s="4">
        <f t="shared" si="14"/>
        <v>1657688.7388390331</v>
      </c>
      <c r="AA38" s="4">
        <f t="shared" si="14"/>
        <v>2652301.9821424522</v>
      </c>
      <c r="AB38" s="4">
        <f t="shared" si="14"/>
        <v>4243683.1714279242</v>
      </c>
      <c r="AC38" s="4">
        <f t="shared" si="14"/>
        <v>6789893.0742846783</v>
      </c>
      <c r="AD38" s="4">
        <f t="shared" si="14"/>
        <v>10863828.918855486</v>
      </c>
      <c r="AE38" s="4">
        <f t="shared" si="14"/>
        <v>17382126.270168778</v>
      </c>
      <c r="AF38" s="4">
        <f t="shared" si="14"/>
        <v>27811402.03227004</v>
      </c>
      <c r="AG38" s="4">
        <f t="shared" si="14"/>
        <v>44498243.251632065</v>
      </c>
      <c r="AH38" s="4">
        <f t="shared" si="14"/>
        <v>71197189.202611297</v>
      </c>
      <c r="AI38" s="4">
        <f t="shared" si="14"/>
        <v>113915502.72417809</v>
      </c>
      <c r="AJ38" s="4">
        <f t="shared" si="14"/>
        <v>182264804.35868496</v>
      </c>
      <c r="AK38" s="4">
        <f t="shared" si="14"/>
        <v>291623686.97389591</v>
      </c>
      <c r="AL38" s="4">
        <f t="shared" si="14"/>
        <v>466597899.15823346</v>
      </c>
      <c r="AM38" s="4">
        <f t="shared" si="14"/>
        <v>746556638.65317369</v>
      </c>
      <c r="AN38" s="4">
        <f t="shared" si="14"/>
        <v>1194490621.8450775</v>
      </c>
      <c r="AO38" s="4">
        <f t="shared" si="14"/>
        <v>1911184994.9521241</v>
      </c>
      <c r="AP38" s="4">
        <f t="shared" si="14"/>
        <v>3057895991.9233985</v>
      </c>
      <c r="AQ38" s="4">
        <f t="shared" si="14"/>
        <v>4892633587.0774393</v>
      </c>
      <c r="AR38" s="4">
        <f t="shared" si="14"/>
        <v>7828213739.3239031</v>
      </c>
      <c r="AS38" s="4">
        <f t="shared" si="14"/>
        <v>12525141982.91824</v>
      </c>
      <c r="AT38" s="4">
        <f t="shared" si="14"/>
        <v>20040227172.669186</v>
      </c>
      <c r="AU38" s="4">
        <f t="shared" si="14"/>
        <v>32064363476.270691</v>
      </c>
      <c r="AV38" s="4">
        <f t="shared" si="14"/>
        <v>51302981562.033104</v>
      </c>
      <c r="AW38" s="4">
        <f t="shared" si="14"/>
        <v>82084770499.25296</v>
      </c>
      <c r="AX38" s="4">
        <f t="shared" si="14"/>
        <v>131335632798.80479</v>
      </c>
      <c r="AY38" s="4">
        <f t="shared" si="14"/>
        <v>210137012478.08759</v>
      </c>
      <c r="AZ38" s="4">
        <f t="shared" si="14"/>
        <v>336219219964.94025</v>
      </c>
      <c r="BA38" s="4">
        <f t="shared" si="14"/>
        <v>537950751943.90417</v>
      </c>
      <c r="BB38" s="4">
        <f t="shared" si="14"/>
        <v>860721203110.24695</v>
      </c>
      <c r="BC38" s="4">
        <f t="shared" si="14"/>
        <v>1377153924976.3945</v>
      </c>
      <c r="BD38" s="4">
        <f t="shared" si="14"/>
        <v>2203446279962.2314</v>
      </c>
      <c r="BE38" s="4">
        <f t="shared" si="14"/>
        <v>3525514047939.5698</v>
      </c>
      <c r="BF38" s="4">
        <f t="shared" si="14"/>
        <v>5640822476703.3125</v>
      </c>
    </row>
    <row r="39" spans="2:58" x14ac:dyDescent="0.25">
      <c r="B39" t="s">
        <v>69</v>
      </c>
      <c r="C39" s="4">
        <f>+C38*C31</f>
        <v>0</v>
      </c>
      <c r="D39" s="4">
        <f t="shared" ref="D39:BF39" si="15">+D38*D31</f>
        <v>15.79726293396692</v>
      </c>
      <c r="E39" s="4">
        <f t="shared" si="15"/>
        <v>36.479845913030339</v>
      </c>
      <c r="F39" s="4">
        <f t="shared" si="15"/>
        <v>66.516334729508571</v>
      </c>
      <c r="G39" s="4">
        <f t="shared" si="15"/>
        <v>96.913254862560848</v>
      </c>
      <c r="H39" s="4">
        <f t="shared" si="15"/>
        <v>106.47332535272221</v>
      </c>
      <c r="I39" s="4">
        <f t="shared" si="15"/>
        <v>112.3293582471216</v>
      </c>
      <c r="J39" s="4">
        <f t="shared" si="15"/>
        <v>179.72697319539733</v>
      </c>
      <c r="K39" s="4">
        <f t="shared" si="15"/>
        <v>287.56315711263875</v>
      </c>
      <c r="L39" s="4">
        <f t="shared" si="15"/>
        <v>460.1010513802255</v>
      </c>
      <c r="M39" s="4">
        <f t="shared" si="15"/>
        <v>736.1616822083646</v>
      </c>
      <c r="N39" s="4">
        <f t="shared" si="15"/>
        <v>1177.8586915333876</v>
      </c>
      <c r="O39" s="4">
        <f t="shared" si="15"/>
        <v>1884.573906453425</v>
      </c>
      <c r="P39" s="4">
        <f t="shared" si="15"/>
        <v>3015.3182503254848</v>
      </c>
      <c r="Q39" s="4">
        <f t="shared" si="15"/>
        <v>4824.5092005207816</v>
      </c>
      <c r="R39" s="4">
        <f t="shared" si="15"/>
        <v>7719.2147208332581</v>
      </c>
      <c r="S39" s="4">
        <f t="shared" si="15"/>
        <v>12350.743553333219</v>
      </c>
      <c r="T39" s="4">
        <f t="shared" si="15"/>
        <v>19761.18968533316</v>
      </c>
      <c r="U39" s="4">
        <f t="shared" si="15"/>
        <v>31617.903496533065</v>
      </c>
      <c r="V39" s="4">
        <f t="shared" si="15"/>
        <v>50588.645594452915</v>
      </c>
      <c r="W39" s="4">
        <f t="shared" si="15"/>
        <v>80941.832951124656</v>
      </c>
      <c r="X39" s="4">
        <f t="shared" si="15"/>
        <v>129506.93272179946</v>
      </c>
      <c r="Y39" s="4">
        <f t="shared" si="15"/>
        <v>207211.09235487913</v>
      </c>
      <c r="Z39" s="4">
        <f t="shared" si="15"/>
        <v>331537.74776780664</v>
      </c>
      <c r="AA39" s="4">
        <f t="shared" si="15"/>
        <v>530460.39642849041</v>
      </c>
      <c r="AB39" s="4">
        <f t="shared" si="15"/>
        <v>848736.63428558491</v>
      </c>
      <c r="AC39" s="4">
        <f t="shared" si="15"/>
        <v>1357978.6148569358</v>
      </c>
      <c r="AD39" s="4">
        <f t="shared" si="15"/>
        <v>2172765.7837710972</v>
      </c>
      <c r="AE39" s="4">
        <f t="shared" si="15"/>
        <v>3476425.2540337555</v>
      </c>
      <c r="AF39" s="4">
        <f t="shared" si="15"/>
        <v>5562280.4064540081</v>
      </c>
      <c r="AG39" s="4">
        <f t="shared" si="15"/>
        <v>8899648.650326414</v>
      </c>
      <c r="AH39" s="4">
        <f t="shared" si="15"/>
        <v>14239437.840522259</v>
      </c>
      <c r="AI39" s="4">
        <f t="shared" si="15"/>
        <v>22783100.54483562</v>
      </c>
      <c r="AJ39" s="4">
        <f t="shared" si="15"/>
        <v>36452960.871736996</v>
      </c>
      <c r="AK39" s="4">
        <f t="shared" si="15"/>
        <v>58324737.394779183</v>
      </c>
      <c r="AL39" s="4">
        <f t="shared" si="15"/>
        <v>93319579.831646696</v>
      </c>
      <c r="AM39" s="4">
        <f t="shared" si="15"/>
        <v>149311327.73063475</v>
      </c>
      <c r="AN39" s="4">
        <f t="shared" si="15"/>
        <v>238898124.36901551</v>
      </c>
      <c r="AO39" s="4">
        <f t="shared" si="15"/>
        <v>382236998.99042487</v>
      </c>
      <c r="AP39" s="4">
        <f t="shared" si="15"/>
        <v>611579198.38467968</v>
      </c>
      <c r="AQ39" s="4">
        <f t="shared" si="15"/>
        <v>978526717.41548789</v>
      </c>
      <c r="AR39" s="4">
        <f t="shared" si="15"/>
        <v>1565642747.8647807</v>
      </c>
      <c r="AS39" s="4">
        <f t="shared" si="15"/>
        <v>2505028396.5836482</v>
      </c>
      <c r="AT39" s="4">
        <f t="shared" si="15"/>
        <v>4008045434.5338373</v>
      </c>
      <c r="AU39" s="4">
        <f t="shared" si="15"/>
        <v>6412872695.2541389</v>
      </c>
      <c r="AV39" s="4">
        <f t="shared" si="15"/>
        <v>10260596312.406622</v>
      </c>
      <c r="AW39" s="4">
        <f t="shared" si="15"/>
        <v>16416954099.850594</v>
      </c>
      <c r="AX39" s="4">
        <f t="shared" si="15"/>
        <v>26267126559.76096</v>
      </c>
      <c r="AY39" s="4">
        <f t="shared" si="15"/>
        <v>42027402495.617523</v>
      </c>
      <c r="AZ39" s="4">
        <f t="shared" si="15"/>
        <v>67243843992.988052</v>
      </c>
      <c r="BA39" s="4">
        <f t="shared" si="15"/>
        <v>107590150388.78084</v>
      </c>
      <c r="BB39" s="4">
        <f t="shared" si="15"/>
        <v>172144240622.04941</v>
      </c>
      <c r="BC39" s="4">
        <f t="shared" si="15"/>
        <v>275430784995.27893</v>
      </c>
      <c r="BD39" s="4">
        <f t="shared" si="15"/>
        <v>440689255992.44629</v>
      </c>
      <c r="BE39" s="4">
        <f t="shared" si="15"/>
        <v>705102809587.91406</v>
      </c>
      <c r="BF39" s="4">
        <f t="shared" si="15"/>
        <v>1128164495340.6626</v>
      </c>
    </row>
    <row r="40" spans="2:58" x14ac:dyDescent="0.25">
      <c r="B40" t="s">
        <v>70</v>
      </c>
      <c r="C40" s="4">
        <f>+D64-C64</f>
        <v>1128.3759238547798</v>
      </c>
      <c r="D40" s="4">
        <f t="shared" ref="D40:BF40" si="16">+E64-D64</f>
        <v>1303.6138036805758</v>
      </c>
      <c r="E40" s="4">
        <f t="shared" si="16"/>
        <v>1725.2811930589301</v>
      </c>
      <c r="F40" s="4">
        <f t="shared" si="16"/>
        <v>1543.5087772034112</v>
      </c>
      <c r="G40" s="4">
        <f t="shared" si="16"/>
        <v>562.35708765654999</v>
      </c>
      <c r="H40" s="4">
        <f t="shared" si="16"/>
        <v>344.4725231999646</v>
      </c>
      <c r="I40" s="4">
        <f t="shared" si="16"/>
        <v>3964.5655851926895</v>
      </c>
      <c r="J40" s="4">
        <f t="shared" si="16"/>
        <v>6343.3049363083173</v>
      </c>
      <c r="K40" s="4">
        <f t="shared" si="16"/>
        <v>10149.287898093335</v>
      </c>
      <c r="L40" s="4">
        <f t="shared" si="16"/>
        <v>16238.860636949357</v>
      </c>
      <c r="M40" s="4">
        <f t="shared" si="16"/>
        <v>25982.177019118993</v>
      </c>
      <c r="N40" s="4">
        <f t="shared" si="16"/>
        <v>41571.483230590427</v>
      </c>
      <c r="O40" s="4">
        <f t="shared" si="16"/>
        <v>66514.373168944701</v>
      </c>
      <c r="P40" s="4">
        <f t="shared" si="16"/>
        <v>106422.99707031157</v>
      </c>
      <c r="Q40" s="4">
        <f t="shared" si="16"/>
        <v>170276.79531249858</v>
      </c>
      <c r="R40" s="4">
        <f t="shared" si="16"/>
        <v>272442.87249999773</v>
      </c>
      <c r="S40" s="4">
        <f t="shared" si="16"/>
        <v>435908.59599999641</v>
      </c>
      <c r="T40" s="4">
        <f t="shared" si="16"/>
        <v>697453.75359999435</v>
      </c>
      <c r="U40" s="4">
        <f t="shared" si="16"/>
        <v>1115926.0057599908</v>
      </c>
      <c r="V40" s="4">
        <f t="shared" si="16"/>
        <v>1785481.6092159851</v>
      </c>
      <c r="W40" s="4">
        <f t="shared" si="16"/>
        <v>2856770.5747455759</v>
      </c>
      <c r="X40" s="4">
        <f t="shared" si="16"/>
        <v>4570832.9195929207</v>
      </c>
      <c r="Y40" s="4">
        <f t="shared" si="16"/>
        <v>7313332.6713486761</v>
      </c>
      <c r="Z40" s="4">
        <f t="shared" si="16"/>
        <v>11701332.274157871</v>
      </c>
      <c r="AA40" s="4">
        <f t="shared" si="16"/>
        <v>18722131.638652615</v>
      </c>
      <c r="AB40" s="4">
        <f t="shared" si="16"/>
        <v>29955410.621844165</v>
      </c>
      <c r="AC40" s="4">
        <f t="shared" si="16"/>
        <v>47928656.994950682</v>
      </c>
      <c r="AD40" s="4">
        <f t="shared" si="16"/>
        <v>76685851.191921055</v>
      </c>
      <c r="AE40" s="4">
        <f t="shared" si="16"/>
        <v>122697361.90707368</v>
      </c>
      <c r="AF40" s="4">
        <f t="shared" si="16"/>
        <v>196315779.05131793</v>
      </c>
      <c r="AG40" s="4">
        <f t="shared" si="16"/>
        <v>314105246.48210865</v>
      </c>
      <c r="AH40" s="4">
        <f t="shared" si="16"/>
        <v>502568394.37137401</v>
      </c>
      <c r="AI40" s="4">
        <f t="shared" si="16"/>
        <v>804109430.99419832</v>
      </c>
      <c r="AJ40" s="4">
        <f t="shared" si="16"/>
        <v>1286575089.5907171</v>
      </c>
      <c r="AK40" s="4">
        <f t="shared" si="16"/>
        <v>2058520143.3451471</v>
      </c>
      <c r="AL40" s="4">
        <f t="shared" si="16"/>
        <v>3293632229.3522377</v>
      </c>
      <c r="AM40" s="4">
        <f t="shared" si="16"/>
        <v>5269811566.9635754</v>
      </c>
      <c r="AN40" s="4">
        <f t="shared" si="16"/>
        <v>8431698507.1417236</v>
      </c>
      <c r="AO40" s="4">
        <f t="shared" si="16"/>
        <v>13490717611.426758</v>
      </c>
      <c r="AP40" s="4">
        <f t="shared" si="16"/>
        <v>21585148178.282829</v>
      </c>
      <c r="AQ40" s="4">
        <f t="shared" si="16"/>
        <v>34536237085.25251</v>
      </c>
      <c r="AR40" s="4">
        <f t="shared" si="16"/>
        <v>55257979336.403961</v>
      </c>
      <c r="AS40" s="4">
        <f t="shared" si="16"/>
        <v>88412766938.246399</v>
      </c>
      <c r="AT40" s="4">
        <f t="shared" si="16"/>
        <v>141460427101.19418</v>
      </c>
      <c r="AU40" s="4">
        <f t="shared" si="16"/>
        <v>226336683361.91077</v>
      </c>
      <c r="AV40" s="4">
        <f t="shared" si="16"/>
        <v>362138693379.05701</v>
      </c>
      <c r="AW40" s="4">
        <f t="shared" si="16"/>
        <v>579421909406.49219</v>
      </c>
      <c r="AX40" s="4">
        <f t="shared" si="16"/>
        <v>927075055050.38574</v>
      </c>
      <c r="AY40" s="4">
        <f t="shared" si="16"/>
        <v>1483320088080.6191</v>
      </c>
      <c r="AZ40" s="4">
        <f t="shared" si="16"/>
        <v>2373312140928.9873</v>
      </c>
      <c r="BA40" s="4">
        <f t="shared" si="16"/>
        <v>3797299425486.3848</v>
      </c>
      <c r="BB40" s="4">
        <f t="shared" si="16"/>
        <v>6075679080778.207</v>
      </c>
      <c r="BC40" s="4">
        <f t="shared" si="16"/>
        <v>9721086529245.1387</v>
      </c>
      <c r="BD40" s="4">
        <f t="shared" si="16"/>
        <v>15553738446792.219</v>
      </c>
      <c r="BE40" s="4">
        <f t="shared" si="16"/>
        <v>24885981514867.555</v>
      </c>
      <c r="BF40" s="4">
        <f t="shared" si="16"/>
        <v>-66362617372980.141</v>
      </c>
    </row>
    <row r="41" spans="2:58" x14ac:dyDescent="0.25">
      <c r="B41" t="s">
        <v>71</v>
      </c>
      <c r="C41" s="4">
        <f>+C37-C38+C39+C40</f>
        <v>1608.3759238547793</v>
      </c>
      <c r="D41" s="4">
        <f t="shared" ref="D41:BF41" si="17">+D37-D38+D39+D40</f>
        <v>2286.5423990035315</v>
      </c>
      <c r="E41" s="4">
        <f t="shared" si="17"/>
        <v>3136.8090821340811</v>
      </c>
      <c r="F41" s="4">
        <f t="shared" si="17"/>
        <v>3318.1574382853769</v>
      </c>
      <c r="G41" s="4">
        <f t="shared" si="17"/>
        <v>2366.7029994063064</v>
      </c>
      <c r="H41" s="4">
        <f t="shared" si="17"/>
        <v>1847.6253517090754</v>
      </c>
      <c r="I41" s="4">
        <f t="shared" si="17"/>
        <v>-12455.34354681383</v>
      </c>
      <c r="J41" s="4">
        <f t="shared" si="17"/>
        <v>-19928.549674902126</v>
      </c>
      <c r="K41" s="4">
        <f t="shared" si="17"/>
        <v>-31885.679479843395</v>
      </c>
      <c r="L41" s="4">
        <f t="shared" si="17"/>
        <v>-51017.087167749407</v>
      </c>
      <c r="M41" s="4">
        <f t="shared" si="17"/>
        <v>-81627.339468399063</v>
      </c>
      <c r="N41" s="4">
        <f t="shared" si="17"/>
        <v>-130603.74314943848</v>
      </c>
      <c r="O41" s="4">
        <f t="shared" si="17"/>
        <v>-208965.98903910149</v>
      </c>
      <c r="P41" s="4">
        <f t="shared" si="17"/>
        <v>-334345.58246256236</v>
      </c>
      <c r="Q41" s="4">
        <f t="shared" si="17"/>
        <v>-534952.93194009992</v>
      </c>
      <c r="R41" s="4">
        <f t="shared" si="17"/>
        <v>-855924.69110415969</v>
      </c>
      <c r="S41" s="4">
        <f t="shared" si="17"/>
        <v>-1369479.5057666556</v>
      </c>
      <c r="T41" s="4">
        <f t="shared" si="17"/>
        <v>-2191167.2092266483</v>
      </c>
      <c r="U41" s="4">
        <f t="shared" si="17"/>
        <v>-3505867.5347626368</v>
      </c>
      <c r="V41" s="4">
        <f t="shared" si="17"/>
        <v>-5609388.0556202186</v>
      </c>
      <c r="W41" s="4">
        <f t="shared" si="17"/>
        <v>-8975020.8889923505</v>
      </c>
      <c r="X41" s="4">
        <f t="shared" si="17"/>
        <v>-14360033.42238776</v>
      </c>
      <c r="Y41" s="4">
        <f t="shared" si="17"/>
        <v>-22976053.475820411</v>
      </c>
      <c r="Z41" s="4">
        <f t="shared" si="17"/>
        <v>-36761685.561312675</v>
      </c>
      <c r="AA41" s="4">
        <f t="shared" si="17"/>
        <v>-58818696.898100235</v>
      </c>
      <c r="AB41" s="4">
        <f t="shared" si="17"/>
        <v>-94109915.036960423</v>
      </c>
      <c r="AC41" s="4">
        <f t="shared" si="17"/>
        <v>-150575864.05913666</v>
      </c>
      <c r="AD41" s="4">
        <f t="shared" si="17"/>
        <v>-240921382.49461871</v>
      </c>
      <c r="AE41" s="4">
        <f t="shared" si="17"/>
        <v>-385474211.99138999</v>
      </c>
      <c r="AF41" s="4">
        <f t="shared" si="17"/>
        <v>-616758739.18622386</v>
      </c>
      <c r="AG41" s="4">
        <f t="shared" si="17"/>
        <v>-986813982.69795799</v>
      </c>
      <c r="AH41" s="4">
        <f t="shared" si="17"/>
        <v>-1578902372.3167324</v>
      </c>
      <c r="AI41" s="4">
        <f t="shared" si="17"/>
        <v>-2526243795.7067728</v>
      </c>
      <c r="AJ41" s="4">
        <f t="shared" si="17"/>
        <v>-4041990073.1308365</v>
      </c>
      <c r="AK41" s="4">
        <f t="shared" si="17"/>
        <v>-6467184117.0093384</v>
      </c>
      <c r="AL41" s="4">
        <f t="shared" si="17"/>
        <v>-10347494587.214939</v>
      </c>
      <c r="AM41" s="4">
        <f t="shared" si="17"/>
        <v>-16555991339.543909</v>
      </c>
      <c r="AN41" s="4">
        <f t="shared" si="17"/>
        <v>-26489586143.270248</v>
      </c>
      <c r="AO41" s="4">
        <f t="shared" si="17"/>
        <v>-42383337829.232399</v>
      </c>
      <c r="AP41" s="4">
        <f t="shared" si="17"/>
        <v>-67813340526.771828</v>
      </c>
      <c r="AQ41" s="4">
        <f t="shared" si="17"/>
        <v>-108501344842.83496</v>
      </c>
      <c r="AR41" s="4">
        <f t="shared" si="17"/>
        <v>-173602151748.53598</v>
      </c>
      <c r="AS41" s="4">
        <f t="shared" si="17"/>
        <v>-277763442797.65741</v>
      </c>
      <c r="AT41" s="4">
        <f t="shared" si="17"/>
        <v>-444421508476.25195</v>
      </c>
      <c r="AU41" s="4">
        <f t="shared" si="17"/>
        <v>-711074413562.00281</v>
      </c>
      <c r="AV41" s="4">
        <f t="shared" si="17"/>
        <v>-1137719061699.2046</v>
      </c>
      <c r="AW41" s="4">
        <f t="shared" si="17"/>
        <v>-1820350498718.7266</v>
      </c>
      <c r="AX41" s="4">
        <f t="shared" si="17"/>
        <v>-2912560797949.9653</v>
      </c>
      <c r="AY41" s="4">
        <f t="shared" si="17"/>
        <v>-4660097276719.9414</v>
      </c>
      <c r="AZ41" s="4">
        <f t="shared" si="17"/>
        <v>-7456155642751.9092</v>
      </c>
      <c r="BA41" s="4">
        <f t="shared" si="17"/>
        <v>-11929849028403.047</v>
      </c>
      <c r="BB41" s="4">
        <f t="shared" si="17"/>
        <v>-19087758445444.887</v>
      </c>
      <c r="BC41" s="4">
        <f t="shared" si="17"/>
        <v>-30540413512711.797</v>
      </c>
      <c r="BD41" s="4">
        <f t="shared" si="17"/>
        <v>-48864661620338.891</v>
      </c>
      <c r="BE41" s="4">
        <f t="shared" si="17"/>
        <v>-78183458592542.188</v>
      </c>
      <c r="BF41" s="4">
        <f t="shared" si="17"/>
        <v>-231273721544835.81</v>
      </c>
    </row>
    <row r="42" spans="2:58" x14ac:dyDescent="0.25">
      <c r="B42" s="4" t="str">
        <f>+B52</f>
        <v>Dividend</v>
      </c>
      <c r="C42" s="4">
        <f t="shared" ref="C42:BE42" si="18">+C52</f>
        <v>1608.3759238547791</v>
      </c>
      <c r="D42" s="4">
        <f t="shared" si="18"/>
        <v>2286.5423990035347</v>
      </c>
      <c r="E42" s="4">
        <f t="shared" si="18"/>
        <v>2877.3606163478785</v>
      </c>
      <c r="F42" s="4">
        <f t="shared" si="18"/>
        <v>2999.077061081965</v>
      </c>
      <c r="G42" s="4">
        <f t="shared" si="18"/>
        <v>2366.7029994063073</v>
      </c>
      <c r="H42" s="4">
        <f t="shared" si="18"/>
        <v>1847.6253517090781</v>
      </c>
      <c r="I42" s="4">
        <f t="shared" si="18"/>
        <v>0</v>
      </c>
      <c r="J42" s="4">
        <f t="shared" si="18"/>
        <v>0</v>
      </c>
      <c r="K42" s="4">
        <f t="shared" si="18"/>
        <v>0</v>
      </c>
      <c r="L42" s="4">
        <f t="shared" si="18"/>
        <v>0</v>
      </c>
      <c r="M42" s="4">
        <f t="shared" si="18"/>
        <v>0</v>
      </c>
      <c r="N42" s="4">
        <f t="shared" si="18"/>
        <v>0</v>
      </c>
      <c r="O42" s="4">
        <f t="shared" si="18"/>
        <v>0</v>
      </c>
      <c r="P42" s="4">
        <f t="shared" si="18"/>
        <v>0</v>
      </c>
      <c r="Q42" s="4">
        <f t="shared" si="18"/>
        <v>0</v>
      </c>
      <c r="R42" s="4">
        <f t="shared" si="18"/>
        <v>0</v>
      </c>
      <c r="S42" s="4">
        <f t="shared" si="18"/>
        <v>0</v>
      </c>
      <c r="T42" s="4">
        <f t="shared" si="18"/>
        <v>0</v>
      </c>
      <c r="U42" s="4">
        <f t="shared" si="18"/>
        <v>0</v>
      </c>
      <c r="V42" s="4">
        <f t="shared" si="18"/>
        <v>0</v>
      </c>
      <c r="W42" s="4">
        <f t="shared" si="18"/>
        <v>0</v>
      </c>
      <c r="X42" s="4">
        <f t="shared" si="18"/>
        <v>0</v>
      </c>
      <c r="Y42" s="4">
        <f t="shared" si="18"/>
        <v>0</v>
      </c>
      <c r="Z42" s="4">
        <f t="shared" si="18"/>
        <v>0</v>
      </c>
      <c r="AA42" s="4">
        <f t="shared" si="18"/>
        <v>0</v>
      </c>
      <c r="AB42" s="4">
        <f t="shared" si="18"/>
        <v>0</v>
      </c>
      <c r="AC42" s="4">
        <f t="shared" si="18"/>
        <v>0</v>
      </c>
      <c r="AD42" s="4">
        <f t="shared" si="18"/>
        <v>0</v>
      </c>
      <c r="AE42" s="4">
        <f t="shared" si="18"/>
        <v>0</v>
      </c>
      <c r="AF42" s="4">
        <f t="shared" si="18"/>
        <v>0</v>
      </c>
      <c r="AG42" s="4">
        <f t="shared" si="18"/>
        <v>0</v>
      </c>
      <c r="AH42" s="4">
        <f t="shared" si="18"/>
        <v>0</v>
      </c>
      <c r="AI42" s="4">
        <f t="shared" si="18"/>
        <v>0</v>
      </c>
      <c r="AJ42" s="4">
        <f t="shared" si="18"/>
        <v>0</v>
      </c>
      <c r="AK42" s="4">
        <f t="shared" si="18"/>
        <v>0</v>
      </c>
      <c r="AL42" s="4">
        <f t="shared" si="18"/>
        <v>0</v>
      </c>
      <c r="AM42" s="4">
        <f t="shared" si="18"/>
        <v>0</v>
      </c>
      <c r="AN42" s="4">
        <f t="shared" si="18"/>
        <v>0</v>
      </c>
      <c r="AO42" s="4">
        <f t="shared" si="18"/>
        <v>0</v>
      </c>
      <c r="AP42" s="4">
        <f t="shared" si="18"/>
        <v>0</v>
      </c>
      <c r="AQ42" s="4">
        <f t="shared" si="18"/>
        <v>0</v>
      </c>
      <c r="AR42" s="4">
        <f t="shared" si="18"/>
        <v>0</v>
      </c>
      <c r="AS42" s="4">
        <f t="shared" si="18"/>
        <v>0</v>
      </c>
      <c r="AT42" s="4">
        <f t="shared" si="18"/>
        <v>0</v>
      </c>
      <c r="AU42" s="4">
        <f t="shared" si="18"/>
        <v>0</v>
      </c>
      <c r="AV42" s="4">
        <f t="shared" si="18"/>
        <v>0</v>
      </c>
      <c r="AW42" s="4">
        <f t="shared" si="18"/>
        <v>0</v>
      </c>
      <c r="AX42" s="4">
        <f t="shared" si="18"/>
        <v>0</v>
      </c>
      <c r="AY42" s="4">
        <f t="shared" si="18"/>
        <v>0</v>
      </c>
      <c r="AZ42" s="4">
        <f t="shared" si="18"/>
        <v>0</v>
      </c>
      <c r="BA42" s="4">
        <f t="shared" si="18"/>
        <v>0</v>
      </c>
      <c r="BB42" s="4">
        <f t="shared" si="18"/>
        <v>0</v>
      </c>
      <c r="BC42" s="4">
        <f t="shared" si="18"/>
        <v>0</v>
      </c>
      <c r="BD42" s="4">
        <f t="shared" si="18"/>
        <v>0</v>
      </c>
      <c r="BE42" s="4">
        <f t="shared" si="18"/>
        <v>0</v>
      </c>
      <c r="BF42" s="4"/>
    </row>
    <row r="43" spans="2:58" x14ac:dyDescent="0.25">
      <c r="B43" t="s">
        <v>84</v>
      </c>
      <c r="C43" s="4">
        <f>+D65-C65-C53</f>
        <v>0</v>
      </c>
      <c r="D43" s="4">
        <f t="shared" ref="D43:BF43" si="19">+E65-D65-D53</f>
        <v>0</v>
      </c>
      <c r="E43" s="4">
        <f t="shared" si="19"/>
        <v>-259.44846578620309</v>
      </c>
      <c r="F43" s="4">
        <f t="shared" si="19"/>
        <v>-319.08037720341235</v>
      </c>
      <c r="G43" s="4">
        <f t="shared" si="19"/>
        <v>0</v>
      </c>
      <c r="H43" s="4">
        <f t="shared" si="19"/>
        <v>0</v>
      </c>
      <c r="I43" s="4">
        <f t="shared" si="19"/>
        <v>12455.343546813834</v>
      </c>
      <c r="J43" s="4">
        <f t="shared" si="19"/>
        <v>19928.549674902119</v>
      </c>
      <c r="K43" s="4">
        <f t="shared" si="19"/>
        <v>31885.679479843391</v>
      </c>
      <c r="L43" s="4">
        <f t="shared" si="19"/>
        <v>51017.087167749414</v>
      </c>
      <c r="M43" s="4">
        <f t="shared" si="19"/>
        <v>81627.339468399077</v>
      </c>
      <c r="N43" s="4">
        <f t="shared" si="19"/>
        <v>130603.74314943852</v>
      </c>
      <c r="O43" s="4">
        <f t="shared" si="19"/>
        <v>208965.98903910152</v>
      </c>
      <c r="P43" s="4">
        <f t="shared" si="19"/>
        <v>334345.58246256219</v>
      </c>
      <c r="Q43" s="4">
        <f t="shared" si="19"/>
        <v>534952.93194009992</v>
      </c>
      <c r="R43" s="4">
        <f t="shared" si="19"/>
        <v>855924.69110416016</v>
      </c>
      <c r="S43" s="4">
        <f t="shared" si="19"/>
        <v>1369479.5057666562</v>
      </c>
      <c r="T43" s="4">
        <f t="shared" si="19"/>
        <v>2191167.2092266483</v>
      </c>
      <c r="U43" s="4">
        <f t="shared" si="19"/>
        <v>3505867.5347626368</v>
      </c>
      <c r="V43" s="4">
        <f t="shared" si="19"/>
        <v>5609388.0556202196</v>
      </c>
      <c r="W43" s="4">
        <f t="shared" si="19"/>
        <v>8975020.8889923505</v>
      </c>
      <c r="X43" s="4">
        <f t="shared" si="19"/>
        <v>14360033.42238776</v>
      </c>
      <c r="Y43" s="4">
        <f t="shared" si="19"/>
        <v>22976053.475820415</v>
      </c>
      <c r="Z43" s="4">
        <f t="shared" si="19"/>
        <v>36761685.561312668</v>
      </c>
      <c r="AA43" s="4">
        <f t="shared" si="19"/>
        <v>58818696.898100235</v>
      </c>
      <c r="AB43" s="4">
        <f t="shared" si="19"/>
        <v>94109915.036960423</v>
      </c>
      <c r="AC43" s="4">
        <f t="shared" si="19"/>
        <v>150575864.05913669</v>
      </c>
      <c r="AD43" s="4">
        <f t="shared" si="19"/>
        <v>240921382.49461871</v>
      </c>
      <c r="AE43" s="4">
        <f t="shared" si="19"/>
        <v>385474211.99138999</v>
      </c>
      <c r="AF43" s="4">
        <f t="shared" si="19"/>
        <v>616758739.18622363</v>
      </c>
      <c r="AG43" s="4">
        <f t="shared" si="19"/>
        <v>986813982.69795799</v>
      </c>
      <c r="AH43" s="4">
        <f t="shared" si="19"/>
        <v>1578902372.3167322</v>
      </c>
      <c r="AI43" s="4">
        <f t="shared" si="19"/>
        <v>2526243795.7067733</v>
      </c>
      <c r="AJ43" s="4">
        <f t="shared" si="19"/>
        <v>4041990073.1308384</v>
      </c>
      <c r="AK43" s="4">
        <f t="shared" si="19"/>
        <v>6467184117.0093374</v>
      </c>
      <c r="AL43" s="4">
        <f t="shared" si="19"/>
        <v>10347494587.214941</v>
      </c>
      <c r="AM43" s="4">
        <f t="shared" si="19"/>
        <v>16555991339.543905</v>
      </c>
      <c r="AN43" s="4">
        <f t="shared" si="19"/>
        <v>26489586143.270248</v>
      </c>
      <c r="AO43" s="4">
        <f t="shared" si="19"/>
        <v>42383337829.232399</v>
      </c>
      <c r="AP43" s="4">
        <f t="shared" si="19"/>
        <v>67813340526.771843</v>
      </c>
      <c r="AQ43" s="4">
        <f t="shared" si="19"/>
        <v>108501344842.83495</v>
      </c>
      <c r="AR43" s="4">
        <f t="shared" si="19"/>
        <v>173602151748.53601</v>
      </c>
      <c r="AS43" s="4">
        <f t="shared" si="19"/>
        <v>277763442797.65747</v>
      </c>
      <c r="AT43" s="4">
        <f t="shared" si="19"/>
        <v>444421508476.25195</v>
      </c>
      <c r="AU43" s="4">
        <f t="shared" si="19"/>
        <v>711074413562.00281</v>
      </c>
      <c r="AV43" s="4">
        <f t="shared" si="19"/>
        <v>1137719061699.2051</v>
      </c>
      <c r="AW43" s="4">
        <f t="shared" si="19"/>
        <v>1820350498718.7273</v>
      </c>
      <c r="AX43" s="4">
        <f t="shared" si="19"/>
        <v>2912560797949.9634</v>
      </c>
      <c r="AY43" s="4">
        <f t="shared" si="19"/>
        <v>4660097276719.9424</v>
      </c>
      <c r="AZ43" s="4">
        <f t="shared" si="19"/>
        <v>7456155642751.9082</v>
      </c>
      <c r="BA43" s="4">
        <f t="shared" si="19"/>
        <v>11929849028403.045</v>
      </c>
      <c r="BB43" s="4">
        <f t="shared" si="19"/>
        <v>19087758445444.895</v>
      </c>
      <c r="BC43" s="4">
        <f t="shared" si="19"/>
        <v>30540413512711.813</v>
      </c>
      <c r="BD43" s="4">
        <f t="shared" si="19"/>
        <v>48864661620338.859</v>
      </c>
      <c r="BE43" s="4">
        <f t="shared" si="19"/>
        <v>78183458592542.25</v>
      </c>
      <c r="BF43" s="4"/>
    </row>
    <row r="44" spans="2:58" x14ac:dyDescent="0.25">
      <c r="B44" t="s">
        <v>85</v>
      </c>
      <c r="C44" s="4">
        <f>+C41-C42+C43</f>
        <v>2.2737367544323206E-13</v>
      </c>
      <c r="D44" s="4">
        <f t="shared" ref="D44:BE44" si="20">+D41-D42+D43</f>
        <v>-3.1832314562052488E-12</v>
      </c>
      <c r="E44" s="4">
        <f t="shared" si="20"/>
        <v>-4.5474735088646412E-13</v>
      </c>
      <c r="F44" s="4">
        <f t="shared" si="20"/>
        <v>-4.5474735088646412E-13</v>
      </c>
      <c r="G44" s="4">
        <f t="shared" si="20"/>
        <v>-9.0949470177292824E-13</v>
      </c>
      <c r="H44" s="4">
        <f t="shared" si="20"/>
        <v>-2.7284841053187847E-12</v>
      </c>
      <c r="I44" s="4">
        <f t="shared" si="20"/>
        <v>0</v>
      </c>
      <c r="J44" s="4">
        <f t="shared" si="20"/>
        <v>0</v>
      </c>
      <c r="K44" s="4">
        <f t="shared" si="20"/>
        <v>0</v>
      </c>
      <c r="L44" s="4">
        <f t="shared" si="20"/>
        <v>0</v>
      </c>
      <c r="M44" s="4">
        <f t="shared" si="20"/>
        <v>0</v>
      </c>
      <c r="N44" s="4">
        <f t="shared" si="20"/>
        <v>0</v>
      </c>
      <c r="O44" s="4">
        <f t="shared" si="20"/>
        <v>0</v>
      </c>
      <c r="P44" s="4">
        <f t="shared" si="20"/>
        <v>0</v>
      </c>
      <c r="Q44" s="4">
        <f t="shared" si="20"/>
        <v>0</v>
      </c>
      <c r="R44" s="4">
        <f t="shared" si="20"/>
        <v>0</v>
      </c>
      <c r="S44" s="4">
        <f t="shared" si="20"/>
        <v>0</v>
      </c>
      <c r="T44" s="4">
        <f t="shared" si="20"/>
        <v>0</v>
      </c>
      <c r="U44" s="4">
        <f t="shared" si="20"/>
        <v>0</v>
      </c>
      <c r="V44" s="4">
        <f t="shared" si="20"/>
        <v>0</v>
      </c>
      <c r="W44" s="4">
        <f t="shared" si="20"/>
        <v>0</v>
      </c>
      <c r="X44" s="4">
        <f t="shared" si="20"/>
        <v>0</v>
      </c>
      <c r="Y44" s="4">
        <f t="shared" si="20"/>
        <v>0</v>
      </c>
      <c r="Z44" s="4">
        <f t="shared" si="20"/>
        <v>0</v>
      </c>
      <c r="AA44" s="4">
        <f t="shared" si="20"/>
        <v>0</v>
      </c>
      <c r="AB44" s="4">
        <f t="shared" si="20"/>
        <v>0</v>
      </c>
      <c r="AC44" s="4">
        <f t="shared" si="20"/>
        <v>0</v>
      </c>
      <c r="AD44" s="4">
        <f t="shared" si="20"/>
        <v>0</v>
      </c>
      <c r="AE44" s="4">
        <f t="shared" si="20"/>
        <v>0</v>
      </c>
      <c r="AF44" s="4">
        <f t="shared" si="20"/>
        <v>0</v>
      </c>
      <c r="AG44" s="4">
        <f t="shared" si="20"/>
        <v>0</v>
      </c>
      <c r="AH44" s="4">
        <f t="shared" si="20"/>
        <v>0</v>
      </c>
      <c r="AI44" s="4">
        <f t="shared" si="20"/>
        <v>0</v>
      </c>
      <c r="AJ44" s="4">
        <f t="shared" si="20"/>
        <v>0</v>
      </c>
      <c r="AK44" s="4">
        <f t="shared" si="20"/>
        <v>0</v>
      </c>
      <c r="AL44" s="4">
        <f t="shared" si="20"/>
        <v>0</v>
      </c>
      <c r="AM44" s="4">
        <f t="shared" si="20"/>
        <v>0</v>
      </c>
      <c r="AN44" s="4">
        <f t="shared" si="20"/>
        <v>0</v>
      </c>
      <c r="AO44" s="4">
        <f t="shared" si="20"/>
        <v>0</v>
      </c>
      <c r="AP44" s="4">
        <f t="shared" si="20"/>
        <v>0</v>
      </c>
      <c r="AQ44" s="4">
        <f t="shared" si="20"/>
        <v>0</v>
      </c>
      <c r="AR44" s="4">
        <f t="shared" si="20"/>
        <v>0</v>
      </c>
      <c r="AS44" s="4">
        <f t="shared" si="20"/>
        <v>0</v>
      </c>
      <c r="AT44" s="4">
        <f t="shared" si="20"/>
        <v>0</v>
      </c>
      <c r="AU44" s="4">
        <f t="shared" si="20"/>
        <v>0</v>
      </c>
      <c r="AV44" s="4">
        <f t="shared" si="20"/>
        <v>0</v>
      </c>
      <c r="AW44" s="4">
        <f t="shared" si="20"/>
        <v>0</v>
      </c>
      <c r="AX44" s="4">
        <f t="shared" si="20"/>
        <v>0</v>
      </c>
      <c r="AY44" s="4">
        <f t="shared" si="20"/>
        <v>0</v>
      </c>
      <c r="AZ44" s="4">
        <f t="shared" si="20"/>
        <v>0</v>
      </c>
      <c r="BA44" s="4">
        <f t="shared" si="20"/>
        <v>0</v>
      </c>
      <c r="BB44" s="4">
        <f t="shared" si="20"/>
        <v>0</v>
      </c>
      <c r="BC44" s="4">
        <f t="shared" si="20"/>
        <v>0</v>
      </c>
      <c r="BD44" s="4">
        <f t="shared" si="20"/>
        <v>0</v>
      </c>
      <c r="BE44" s="4">
        <f t="shared" si="20"/>
        <v>0</v>
      </c>
      <c r="BF44" s="4"/>
    </row>
    <row r="46" spans="2:58" x14ac:dyDescent="0.25">
      <c r="B46" t="s">
        <v>73</v>
      </c>
    </row>
    <row r="47" spans="2:58" x14ac:dyDescent="0.25">
      <c r="B47" t="s">
        <v>74</v>
      </c>
      <c r="C47" s="4">
        <f>+C35/(1-C31)</f>
        <v>3000</v>
      </c>
      <c r="D47" s="4">
        <f t="shared" ref="D47:BF47" si="21">+D35/(1-D31)</f>
        <v>3420</v>
      </c>
      <c r="E47" s="4">
        <f t="shared" si="21"/>
        <v>3779.0999999999995</v>
      </c>
      <c r="F47" s="4">
        <f t="shared" si="21"/>
        <v>4081.4279999999994</v>
      </c>
      <c r="G47" s="4">
        <f t="shared" si="21"/>
        <v>4326.3136799999993</v>
      </c>
      <c r="H47" s="4">
        <f t="shared" si="21"/>
        <v>4564.2609323999995</v>
      </c>
      <c r="I47" s="4">
        <f t="shared" si="21"/>
        <v>4815.2952836819986</v>
      </c>
      <c r="J47" s="4">
        <f t="shared" si="21"/>
        <v>7704.4724538911987</v>
      </c>
      <c r="K47" s="4">
        <f t="shared" si="21"/>
        <v>12327.155926225918</v>
      </c>
      <c r="L47" s="4">
        <f t="shared" si="21"/>
        <v>19723.44948196147</v>
      </c>
      <c r="M47" s="4">
        <f t="shared" si="21"/>
        <v>31557.519171138349</v>
      </c>
      <c r="N47" s="4">
        <f t="shared" si="21"/>
        <v>50492.030673821362</v>
      </c>
      <c r="O47" s="4">
        <f t="shared" si="21"/>
        <v>80787.249078114182</v>
      </c>
      <c r="P47" s="4">
        <f t="shared" si="21"/>
        <v>129259.59852498268</v>
      </c>
      <c r="Q47" s="4">
        <f t="shared" si="21"/>
        <v>206815.35763997227</v>
      </c>
      <c r="R47" s="4">
        <f t="shared" si="21"/>
        <v>330904.57222395559</v>
      </c>
      <c r="S47" s="4">
        <f t="shared" si="21"/>
        <v>529447.31555832899</v>
      </c>
      <c r="T47" s="4">
        <f t="shared" si="21"/>
        <v>847115.70489332627</v>
      </c>
      <c r="U47" s="4">
        <f t="shared" si="21"/>
        <v>1355385.1278293219</v>
      </c>
      <c r="V47" s="4">
        <f t="shared" si="21"/>
        <v>2168616.2045269147</v>
      </c>
      <c r="W47" s="4">
        <f t="shared" si="21"/>
        <v>3469785.9272430637</v>
      </c>
      <c r="X47" s="4">
        <f t="shared" si="21"/>
        <v>5551657.4835889013</v>
      </c>
      <c r="Y47" s="4">
        <f t="shared" si="21"/>
        <v>8882651.973742241</v>
      </c>
      <c r="Z47" s="4">
        <f t="shared" si="21"/>
        <v>14212243.157987587</v>
      </c>
      <c r="AA47" s="4">
        <f t="shared" si="21"/>
        <v>22739589.05278014</v>
      </c>
      <c r="AB47" s="4">
        <f t="shared" si="21"/>
        <v>36383342.484448224</v>
      </c>
      <c r="AC47" s="4">
        <f t="shared" si="21"/>
        <v>58213347.975117162</v>
      </c>
      <c r="AD47" s="4">
        <f t="shared" si="21"/>
        <v>93141356.760187462</v>
      </c>
      <c r="AE47" s="4">
        <f t="shared" si="21"/>
        <v>149026170.81629995</v>
      </c>
      <c r="AF47" s="4">
        <f t="shared" si="21"/>
        <v>238441873.30607989</v>
      </c>
      <c r="AG47" s="4">
        <f t="shared" si="21"/>
        <v>381506997.28972781</v>
      </c>
      <c r="AH47" s="4">
        <f t="shared" si="21"/>
        <v>610411195.66356444</v>
      </c>
      <c r="AI47" s="4">
        <f t="shared" si="21"/>
        <v>976657913.06170309</v>
      </c>
      <c r="AJ47" s="4">
        <f t="shared" si="21"/>
        <v>1562652660.898725</v>
      </c>
      <c r="AK47" s="4">
        <f t="shared" si="21"/>
        <v>2500244257.4379601</v>
      </c>
      <c r="AL47" s="4">
        <f t="shared" si="21"/>
        <v>4000390811.9007359</v>
      </c>
      <c r="AM47" s="4">
        <f t="shared" si="21"/>
        <v>6400625299.0411777</v>
      </c>
      <c r="AN47" s="4">
        <f t="shared" si="21"/>
        <v>10241000478.465885</v>
      </c>
      <c r="AO47" s="4">
        <f t="shared" si="21"/>
        <v>16385600765.545416</v>
      </c>
      <c r="AP47" s="4">
        <f t="shared" si="21"/>
        <v>26216961224.872665</v>
      </c>
      <c r="AQ47" s="4">
        <f t="shared" si="21"/>
        <v>41947137959.796265</v>
      </c>
      <c r="AR47" s="4">
        <f t="shared" si="21"/>
        <v>67115420735.674026</v>
      </c>
      <c r="AS47" s="4">
        <f t="shared" si="21"/>
        <v>107384673177.07843</v>
      </c>
      <c r="AT47" s="4">
        <f t="shared" si="21"/>
        <v>171815477083.3255</v>
      </c>
      <c r="AU47" s="4">
        <f t="shared" si="21"/>
        <v>274904763333.32074</v>
      </c>
      <c r="AV47" s="4">
        <f t="shared" si="21"/>
        <v>439847621333.31317</v>
      </c>
      <c r="AW47" s="4">
        <f t="shared" si="21"/>
        <v>703756194133.30103</v>
      </c>
      <c r="AX47" s="4">
        <f t="shared" si="21"/>
        <v>1126009910613.2817</v>
      </c>
      <c r="AY47" s="4">
        <f t="shared" si="21"/>
        <v>1801615856981.2507</v>
      </c>
      <c r="AZ47" s="4">
        <f t="shared" si="21"/>
        <v>2882585371170.001</v>
      </c>
      <c r="BA47" s="4">
        <f t="shared" si="21"/>
        <v>4612136593872.002</v>
      </c>
      <c r="BB47" s="4">
        <f t="shared" si="21"/>
        <v>7379418550195.2021</v>
      </c>
      <c r="BC47" s="4">
        <f t="shared" si="21"/>
        <v>11807069680312.324</v>
      </c>
      <c r="BD47" s="4">
        <f t="shared" si="21"/>
        <v>18891311488499.715</v>
      </c>
      <c r="BE47" s="4">
        <f t="shared" si="21"/>
        <v>30226098381599.543</v>
      </c>
      <c r="BF47" s="4">
        <f t="shared" si="21"/>
        <v>48361757410559.273</v>
      </c>
    </row>
    <row r="48" spans="2:58" x14ac:dyDescent="0.25">
      <c r="B48" s="4" t="str">
        <f>+B38</f>
        <v>D*rD</v>
      </c>
      <c r="C48" s="4">
        <f t="shared" ref="C48:BF48" si="22">+C38</f>
        <v>0</v>
      </c>
      <c r="D48" s="4">
        <f t="shared" si="22"/>
        <v>78.986314669834599</v>
      </c>
      <c r="E48" s="4">
        <f t="shared" si="22"/>
        <v>182.39922956515167</v>
      </c>
      <c r="F48" s="4">
        <f t="shared" si="22"/>
        <v>332.58167364754286</v>
      </c>
      <c r="G48" s="4">
        <f t="shared" si="22"/>
        <v>484.56627431280424</v>
      </c>
      <c r="H48" s="4">
        <f t="shared" si="22"/>
        <v>532.36662676361107</v>
      </c>
      <c r="I48" s="4">
        <f t="shared" si="22"/>
        <v>561.64679123560802</v>
      </c>
      <c r="J48" s="4">
        <f t="shared" si="22"/>
        <v>898.63486597698659</v>
      </c>
      <c r="K48" s="4">
        <f t="shared" si="22"/>
        <v>1437.8157855631937</v>
      </c>
      <c r="L48" s="4">
        <f t="shared" si="22"/>
        <v>2300.5052569011273</v>
      </c>
      <c r="M48" s="4">
        <f t="shared" si="22"/>
        <v>3680.8084110418226</v>
      </c>
      <c r="N48" s="4">
        <f t="shared" si="22"/>
        <v>5889.2934576669377</v>
      </c>
      <c r="O48" s="4">
        <f t="shared" si="22"/>
        <v>9422.8695322671247</v>
      </c>
      <c r="P48" s="4">
        <f t="shared" si="22"/>
        <v>15076.591251627424</v>
      </c>
      <c r="Q48" s="4">
        <f t="shared" si="22"/>
        <v>24122.546002603907</v>
      </c>
      <c r="R48" s="4">
        <f t="shared" si="22"/>
        <v>38596.073604166289</v>
      </c>
      <c r="S48" s="4">
        <f t="shared" si="22"/>
        <v>61753.717766666094</v>
      </c>
      <c r="T48" s="4">
        <f t="shared" si="22"/>
        <v>98805.948426665796</v>
      </c>
      <c r="U48" s="4">
        <f t="shared" si="22"/>
        <v>158089.51748266531</v>
      </c>
      <c r="V48" s="4">
        <f t="shared" si="22"/>
        <v>252943.22797226455</v>
      </c>
      <c r="W48" s="4">
        <f t="shared" si="22"/>
        <v>404709.16475562326</v>
      </c>
      <c r="X48" s="4">
        <f t="shared" si="22"/>
        <v>647534.66360899725</v>
      </c>
      <c r="Y48" s="4">
        <f t="shared" si="22"/>
        <v>1036055.4617743955</v>
      </c>
      <c r="Z48" s="4">
        <f t="shared" si="22"/>
        <v>1657688.7388390331</v>
      </c>
      <c r="AA48" s="4">
        <f t="shared" si="22"/>
        <v>2652301.9821424522</v>
      </c>
      <c r="AB48" s="4">
        <f t="shared" si="22"/>
        <v>4243683.1714279242</v>
      </c>
      <c r="AC48" s="4">
        <f t="shared" si="22"/>
        <v>6789893.0742846783</v>
      </c>
      <c r="AD48" s="4">
        <f t="shared" si="22"/>
        <v>10863828.918855486</v>
      </c>
      <c r="AE48" s="4">
        <f t="shared" si="22"/>
        <v>17382126.270168778</v>
      </c>
      <c r="AF48" s="4">
        <f t="shared" si="22"/>
        <v>27811402.03227004</v>
      </c>
      <c r="AG48" s="4">
        <f t="shared" si="22"/>
        <v>44498243.251632065</v>
      </c>
      <c r="AH48" s="4">
        <f t="shared" si="22"/>
        <v>71197189.202611297</v>
      </c>
      <c r="AI48" s="4">
        <f t="shared" si="22"/>
        <v>113915502.72417809</v>
      </c>
      <c r="AJ48" s="4">
        <f t="shared" si="22"/>
        <v>182264804.35868496</v>
      </c>
      <c r="AK48" s="4">
        <f t="shared" si="22"/>
        <v>291623686.97389591</v>
      </c>
      <c r="AL48" s="4">
        <f t="shared" si="22"/>
        <v>466597899.15823346</v>
      </c>
      <c r="AM48" s="4">
        <f t="shared" si="22"/>
        <v>746556638.65317369</v>
      </c>
      <c r="AN48" s="4">
        <f t="shared" si="22"/>
        <v>1194490621.8450775</v>
      </c>
      <c r="AO48" s="4">
        <f t="shared" si="22"/>
        <v>1911184994.9521241</v>
      </c>
      <c r="AP48" s="4">
        <f t="shared" si="22"/>
        <v>3057895991.9233985</v>
      </c>
      <c r="AQ48" s="4">
        <f t="shared" si="22"/>
        <v>4892633587.0774393</v>
      </c>
      <c r="AR48" s="4">
        <f t="shared" si="22"/>
        <v>7828213739.3239031</v>
      </c>
      <c r="AS48" s="4">
        <f t="shared" si="22"/>
        <v>12525141982.91824</v>
      </c>
      <c r="AT48" s="4">
        <f t="shared" si="22"/>
        <v>20040227172.669186</v>
      </c>
      <c r="AU48" s="4">
        <f t="shared" si="22"/>
        <v>32064363476.270691</v>
      </c>
      <c r="AV48" s="4">
        <f t="shared" si="22"/>
        <v>51302981562.033104</v>
      </c>
      <c r="AW48" s="4">
        <f t="shared" si="22"/>
        <v>82084770499.25296</v>
      </c>
      <c r="AX48" s="4">
        <f t="shared" si="22"/>
        <v>131335632798.80479</v>
      </c>
      <c r="AY48" s="4">
        <f t="shared" si="22"/>
        <v>210137012478.08759</v>
      </c>
      <c r="AZ48" s="4">
        <f t="shared" si="22"/>
        <v>336219219964.94025</v>
      </c>
      <c r="BA48" s="4">
        <f t="shared" si="22"/>
        <v>537950751943.90417</v>
      </c>
      <c r="BB48" s="4">
        <f t="shared" si="22"/>
        <v>860721203110.24695</v>
      </c>
      <c r="BC48" s="4">
        <f t="shared" si="22"/>
        <v>1377153924976.3945</v>
      </c>
      <c r="BD48" s="4">
        <f t="shared" si="22"/>
        <v>2203446279962.2314</v>
      </c>
      <c r="BE48" s="4">
        <f t="shared" si="22"/>
        <v>3525514047939.5698</v>
      </c>
      <c r="BF48" s="4">
        <f t="shared" si="22"/>
        <v>5640822476703.3125</v>
      </c>
    </row>
    <row r="49" spans="2:59" x14ac:dyDescent="0.25">
      <c r="B49" t="s">
        <v>76</v>
      </c>
      <c r="C49" s="4">
        <f>+C47-C48</f>
        <v>3000</v>
      </c>
      <c r="D49" s="4">
        <f t="shared" ref="D49:BF49" si="23">+D47-D48</f>
        <v>3341.0136853301656</v>
      </c>
      <c r="E49" s="4">
        <f t="shared" si="23"/>
        <v>3596.700770434848</v>
      </c>
      <c r="F49" s="4">
        <f t="shared" si="23"/>
        <v>3748.8463263524563</v>
      </c>
      <c r="G49" s="4">
        <f t="shared" si="23"/>
        <v>3841.7474056871952</v>
      </c>
      <c r="H49" s="4">
        <f t="shared" si="23"/>
        <v>4031.8943056363887</v>
      </c>
      <c r="I49" s="4">
        <f t="shared" si="23"/>
        <v>4253.6484924463903</v>
      </c>
      <c r="J49" s="4">
        <f t="shared" si="23"/>
        <v>6805.8375879142122</v>
      </c>
      <c r="K49" s="4">
        <f t="shared" si="23"/>
        <v>10889.340140662724</v>
      </c>
      <c r="L49" s="4">
        <f t="shared" si="23"/>
        <v>17422.944225060342</v>
      </c>
      <c r="M49" s="4">
        <f t="shared" si="23"/>
        <v>27876.710760096525</v>
      </c>
      <c r="N49" s="4">
        <f t="shared" si="23"/>
        <v>44602.737216154426</v>
      </c>
      <c r="O49" s="4">
        <f t="shared" si="23"/>
        <v>71364.379545847056</v>
      </c>
      <c r="P49" s="4">
        <f t="shared" si="23"/>
        <v>114183.00727335525</v>
      </c>
      <c r="Q49" s="4">
        <f t="shared" si="23"/>
        <v>182692.81163736834</v>
      </c>
      <c r="R49" s="4">
        <f t="shared" si="23"/>
        <v>292308.49861978932</v>
      </c>
      <c r="S49" s="4">
        <f t="shared" si="23"/>
        <v>467693.59779166291</v>
      </c>
      <c r="T49" s="4">
        <f t="shared" si="23"/>
        <v>748309.75646666042</v>
      </c>
      <c r="U49" s="4">
        <f t="shared" si="23"/>
        <v>1197295.6103466565</v>
      </c>
      <c r="V49" s="4">
        <f t="shared" si="23"/>
        <v>1915672.9765546501</v>
      </c>
      <c r="W49" s="4">
        <f t="shared" si="23"/>
        <v>3065076.7624874404</v>
      </c>
      <c r="X49" s="4">
        <f t="shared" si="23"/>
        <v>4904122.8199799042</v>
      </c>
      <c r="Y49" s="4">
        <f t="shared" si="23"/>
        <v>7846596.5119678453</v>
      </c>
      <c r="Z49" s="4">
        <f t="shared" si="23"/>
        <v>12554554.419148553</v>
      </c>
      <c r="AA49" s="4">
        <f t="shared" si="23"/>
        <v>20087287.070637688</v>
      </c>
      <c r="AB49" s="4">
        <f t="shared" si="23"/>
        <v>32139659.3130203</v>
      </c>
      <c r="AC49" s="4">
        <f t="shared" si="23"/>
        <v>51423454.900832482</v>
      </c>
      <c r="AD49" s="4">
        <f t="shared" si="23"/>
        <v>82277527.841331974</v>
      </c>
      <c r="AE49" s="4">
        <f t="shared" si="23"/>
        <v>131644044.54613116</v>
      </c>
      <c r="AF49" s="4">
        <f t="shared" si="23"/>
        <v>210630471.27380985</v>
      </c>
      <c r="AG49" s="4">
        <f t="shared" si="23"/>
        <v>337008754.03809571</v>
      </c>
      <c r="AH49" s="4">
        <f t="shared" si="23"/>
        <v>539214006.46095312</v>
      </c>
      <c r="AI49" s="4">
        <f t="shared" si="23"/>
        <v>862742410.33752501</v>
      </c>
      <c r="AJ49" s="4">
        <f t="shared" si="23"/>
        <v>1380387856.54004</v>
      </c>
      <c r="AK49" s="4">
        <f t="shared" si="23"/>
        <v>2208620570.4640641</v>
      </c>
      <c r="AL49" s="4">
        <f t="shared" si="23"/>
        <v>3533792912.7425022</v>
      </c>
      <c r="AM49" s="4">
        <f t="shared" si="23"/>
        <v>5654068660.3880043</v>
      </c>
      <c r="AN49" s="4">
        <f t="shared" si="23"/>
        <v>9046509856.6208076</v>
      </c>
      <c r="AO49" s="4">
        <f t="shared" si="23"/>
        <v>14474415770.593292</v>
      </c>
      <c r="AP49" s="4">
        <f t="shared" si="23"/>
        <v>23159065232.949268</v>
      </c>
      <c r="AQ49" s="4">
        <f t="shared" si="23"/>
        <v>37054504372.718826</v>
      </c>
      <c r="AR49" s="4">
        <f t="shared" si="23"/>
        <v>59287206996.350121</v>
      </c>
      <c r="AS49" s="4">
        <f t="shared" si="23"/>
        <v>94859531194.160187</v>
      </c>
      <c r="AT49" s="4">
        <f t="shared" si="23"/>
        <v>151775249910.65631</v>
      </c>
      <c r="AU49" s="4">
        <f t="shared" si="23"/>
        <v>242840399857.05005</v>
      </c>
      <c r="AV49" s="4">
        <f t="shared" si="23"/>
        <v>388544639771.28009</v>
      </c>
      <c r="AW49" s="4">
        <f t="shared" si="23"/>
        <v>621671423634.0481</v>
      </c>
      <c r="AX49" s="4">
        <f t="shared" si="23"/>
        <v>994674277814.47693</v>
      </c>
      <c r="AY49" s="4">
        <f t="shared" si="23"/>
        <v>1591478844503.1631</v>
      </c>
      <c r="AZ49" s="4">
        <f t="shared" si="23"/>
        <v>2546366151205.0605</v>
      </c>
      <c r="BA49" s="4">
        <f t="shared" si="23"/>
        <v>4074185841928.0977</v>
      </c>
      <c r="BB49" s="4">
        <f t="shared" si="23"/>
        <v>6518697347084.9551</v>
      </c>
      <c r="BC49" s="4">
        <f t="shared" si="23"/>
        <v>10429915755335.93</v>
      </c>
      <c r="BD49" s="4">
        <f t="shared" si="23"/>
        <v>16687865208537.484</v>
      </c>
      <c r="BE49" s="4">
        <f t="shared" si="23"/>
        <v>26700584333659.973</v>
      </c>
      <c r="BF49" s="4">
        <f t="shared" si="23"/>
        <v>42720934933855.961</v>
      </c>
    </row>
    <row r="50" spans="2:59" x14ac:dyDescent="0.25">
      <c r="B50" t="s">
        <v>77</v>
      </c>
      <c r="C50" s="4">
        <f>+IF(C49&lt;0,0,C49*C27)</f>
        <v>600</v>
      </c>
      <c r="D50" s="4">
        <f t="shared" ref="D50:BF50" si="24">+IF(D49&lt;0,0,D49*D27)</f>
        <v>668.20273706603314</v>
      </c>
      <c r="E50" s="4">
        <f t="shared" si="24"/>
        <v>719.34015408696962</v>
      </c>
      <c r="F50" s="4">
        <f t="shared" si="24"/>
        <v>749.76926527049136</v>
      </c>
      <c r="G50" s="4">
        <f t="shared" si="24"/>
        <v>768.34948113743906</v>
      </c>
      <c r="H50" s="4">
        <f t="shared" si="24"/>
        <v>806.37886112727779</v>
      </c>
      <c r="I50" s="4">
        <f t="shared" si="24"/>
        <v>850.72969848927812</v>
      </c>
      <c r="J50" s="4">
        <f t="shared" si="24"/>
        <v>1361.1675175828425</v>
      </c>
      <c r="K50" s="4">
        <f t="shared" si="24"/>
        <v>2177.8680281325446</v>
      </c>
      <c r="L50" s="4">
        <f t="shared" si="24"/>
        <v>3484.5888450120688</v>
      </c>
      <c r="M50" s="4">
        <f t="shared" si="24"/>
        <v>5575.3421520193051</v>
      </c>
      <c r="N50" s="4">
        <f t="shared" si="24"/>
        <v>8920.5474432308856</v>
      </c>
      <c r="O50" s="4">
        <f t="shared" si="24"/>
        <v>14272.875909169412</v>
      </c>
      <c r="P50" s="4">
        <f t="shared" si="24"/>
        <v>22836.60145467105</v>
      </c>
      <c r="Q50" s="4">
        <f t="shared" si="24"/>
        <v>36538.562327473672</v>
      </c>
      <c r="R50" s="4">
        <f t="shared" si="24"/>
        <v>58461.699723957863</v>
      </c>
      <c r="S50" s="4">
        <f t="shared" si="24"/>
        <v>93538.719558332581</v>
      </c>
      <c r="T50" s="4">
        <f t="shared" si="24"/>
        <v>149661.95129333209</v>
      </c>
      <c r="U50" s="4">
        <f t="shared" si="24"/>
        <v>239459.12206933132</v>
      </c>
      <c r="V50" s="4">
        <f t="shared" si="24"/>
        <v>383134.59531093005</v>
      </c>
      <c r="W50" s="4">
        <f t="shared" si="24"/>
        <v>613015.35249748814</v>
      </c>
      <c r="X50" s="4">
        <f t="shared" si="24"/>
        <v>980824.56399598089</v>
      </c>
      <c r="Y50" s="4">
        <f t="shared" si="24"/>
        <v>1569319.3023935691</v>
      </c>
      <c r="Z50" s="4">
        <f t="shared" si="24"/>
        <v>2510910.8838297105</v>
      </c>
      <c r="AA50" s="4">
        <f t="shared" si="24"/>
        <v>4017457.414127538</v>
      </c>
      <c r="AB50" s="4">
        <f t="shared" si="24"/>
        <v>6427931.8626040602</v>
      </c>
      <c r="AC50" s="4">
        <f t="shared" si="24"/>
        <v>10284690.980166497</v>
      </c>
      <c r="AD50" s="4">
        <f t="shared" si="24"/>
        <v>16455505.568266395</v>
      </c>
      <c r="AE50" s="4">
        <f t="shared" si="24"/>
        <v>26328808.909226235</v>
      </c>
      <c r="AF50" s="4">
        <f t="shared" si="24"/>
        <v>42126094.254761972</v>
      </c>
      <c r="AG50" s="4">
        <f t="shared" si="24"/>
        <v>67401750.80761914</v>
      </c>
      <c r="AH50" s="4">
        <f t="shared" si="24"/>
        <v>107842801.29219063</v>
      </c>
      <c r="AI50" s="4">
        <f t="shared" si="24"/>
        <v>172548482.067505</v>
      </c>
      <c r="AJ50" s="4">
        <f t="shared" si="24"/>
        <v>276077571.30800802</v>
      </c>
      <c r="AK50" s="4">
        <f t="shared" si="24"/>
        <v>441724114.09281284</v>
      </c>
      <c r="AL50" s="4">
        <f t="shared" si="24"/>
        <v>706758582.54850054</v>
      </c>
      <c r="AM50" s="4">
        <f t="shared" si="24"/>
        <v>1130813732.077601</v>
      </c>
      <c r="AN50" s="4">
        <f t="shared" si="24"/>
        <v>1809301971.3241615</v>
      </c>
      <c r="AO50" s="4">
        <f t="shared" si="24"/>
        <v>2894883154.1186585</v>
      </c>
      <c r="AP50" s="4">
        <f t="shared" si="24"/>
        <v>4631813046.5898542</v>
      </c>
      <c r="AQ50" s="4">
        <f t="shared" si="24"/>
        <v>7410900874.543766</v>
      </c>
      <c r="AR50" s="4">
        <f t="shared" si="24"/>
        <v>11857441399.270025</v>
      </c>
      <c r="AS50" s="4">
        <f t="shared" si="24"/>
        <v>18971906238.832039</v>
      </c>
      <c r="AT50" s="4">
        <f t="shared" si="24"/>
        <v>30355049982.131264</v>
      </c>
      <c r="AU50" s="4">
        <f t="shared" si="24"/>
        <v>48568079971.410011</v>
      </c>
      <c r="AV50" s="4">
        <f t="shared" si="24"/>
        <v>77708927954.256027</v>
      </c>
      <c r="AW50" s="4">
        <f t="shared" si="24"/>
        <v>124334284726.80963</v>
      </c>
      <c r="AX50" s="4">
        <f t="shared" si="24"/>
        <v>198934855562.89539</v>
      </c>
      <c r="AY50" s="4">
        <f t="shared" si="24"/>
        <v>318295768900.63263</v>
      </c>
      <c r="AZ50" s="4">
        <f t="shared" si="24"/>
        <v>509273230241.01215</v>
      </c>
      <c r="BA50" s="4">
        <f t="shared" si="24"/>
        <v>814837168385.61963</v>
      </c>
      <c r="BB50" s="4">
        <f t="shared" si="24"/>
        <v>1303739469416.991</v>
      </c>
      <c r="BC50" s="4">
        <f t="shared" si="24"/>
        <v>2085983151067.186</v>
      </c>
      <c r="BD50" s="4">
        <f t="shared" si="24"/>
        <v>3337573041707.4971</v>
      </c>
      <c r="BE50" s="4">
        <f t="shared" si="24"/>
        <v>5340116866731.9951</v>
      </c>
      <c r="BF50" s="4">
        <f t="shared" si="24"/>
        <v>8544186986771.1924</v>
      </c>
    </row>
    <row r="51" spans="2:59" x14ac:dyDescent="0.25">
      <c r="B51" t="s">
        <v>78</v>
      </c>
      <c r="C51" s="4">
        <f>+C49-C50</f>
        <v>2400</v>
      </c>
      <c r="D51" s="4">
        <f t="shared" ref="D51:BF51" si="25">+D49-D50</f>
        <v>2672.8109482641325</v>
      </c>
      <c r="E51" s="4">
        <f t="shared" si="25"/>
        <v>2877.3606163478785</v>
      </c>
      <c r="F51" s="4">
        <f t="shared" si="25"/>
        <v>2999.077061081965</v>
      </c>
      <c r="G51" s="4">
        <f t="shared" si="25"/>
        <v>3073.3979245497562</v>
      </c>
      <c r="H51" s="4">
        <f t="shared" si="25"/>
        <v>3225.5154445091111</v>
      </c>
      <c r="I51" s="4">
        <f t="shared" si="25"/>
        <v>3402.918793957112</v>
      </c>
      <c r="J51" s="4">
        <f t="shared" si="25"/>
        <v>5444.67007033137</v>
      </c>
      <c r="K51" s="4">
        <f t="shared" si="25"/>
        <v>8711.4721125301785</v>
      </c>
      <c r="L51" s="4">
        <f t="shared" si="25"/>
        <v>13938.355380048273</v>
      </c>
      <c r="M51" s="4">
        <f t="shared" si="25"/>
        <v>22301.36860807722</v>
      </c>
      <c r="N51" s="4">
        <f t="shared" si="25"/>
        <v>35682.189772923542</v>
      </c>
      <c r="O51" s="4">
        <f t="shared" si="25"/>
        <v>57091.503636677648</v>
      </c>
      <c r="P51" s="4">
        <f t="shared" si="25"/>
        <v>91346.405818684201</v>
      </c>
      <c r="Q51" s="4">
        <f t="shared" si="25"/>
        <v>146154.24930989469</v>
      </c>
      <c r="R51" s="4">
        <f t="shared" si="25"/>
        <v>233846.79889583145</v>
      </c>
      <c r="S51" s="4">
        <f t="shared" si="25"/>
        <v>374154.87823333032</v>
      </c>
      <c r="T51" s="4">
        <f t="shared" si="25"/>
        <v>598647.80517332838</v>
      </c>
      <c r="U51" s="4">
        <f t="shared" si="25"/>
        <v>957836.48827732517</v>
      </c>
      <c r="V51" s="4">
        <f t="shared" si="25"/>
        <v>1532538.3812437202</v>
      </c>
      <c r="W51" s="4">
        <f t="shared" si="25"/>
        <v>2452061.4099899521</v>
      </c>
      <c r="X51" s="4">
        <f t="shared" si="25"/>
        <v>3923298.2559839236</v>
      </c>
      <c r="Y51" s="4">
        <f t="shared" si="25"/>
        <v>6277277.2095742766</v>
      </c>
      <c r="Z51" s="4">
        <f t="shared" si="25"/>
        <v>10043643.535318842</v>
      </c>
      <c r="AA51" s="4">
        <f t="shared" si="25"/>
        <v>16069829.65651015</v>
      </c>
      <c r="AB51" s="4">
        <f t="shared" si="25"/>
        <v>25711727.450416241</v>
      </c>
      <c r="AC51" s="4">
        <f t="shared" si="25"/>
        <v>41138763.920665987</v>
      </c>
      <c r="AD51" s="4">
        <f t="shared" si="25"/>
        <v>65822022.273065582</v>
      </c>
      <c r="AE51" s="4">
        <f t="shared" si="25"/>
        <v>105315235.63690493</v>
      </c>
      <c r="AF51" s="4">
        <f t="shared" si="25"/>
        <v>168504377.01904789</v>
      </c>
      <c r="AG51" s="4">
        <f t="shared" si="25"/>
        <v>269607003.23047656</v>
      </c>
      <c r="AH51" s="4">
        <f t="shared" si="25"/>
        <v>431371205.16876251</v>
      </c>
      <c r="AI51" s="4">
        <f t="shared" si="25"/>
        <v>690193928.27002001</v>
      </c>
      <c r="AJ51" s="4">
        <f t="shared" si="25"/>
        <v>1104310285.2320321</v>
      </c>
      <c r="AK51" s="4">
        <f t="shared" si="25"/>
        <v>1766896456.3712513</v>
      </c>
      <c r="AL51" s="4">
        <f t="shared" si="25"/>
        <v>2827034330.1940017</v>
      </c>
      <c r="AM51" s="4">
        <f t="shared" si="25"/>
        <v>4523254928.3104038</v>
      </c>
      <c r="AN51" s="4">
        <f t="shared" si="25"/>
        <v>7237207885.2966461</v>
      </c>
      <c r="AO51" s="4">
        <f t="shared" si="25"/>
        <v>11579532616.474634</v>
      </c>
      <c r="AP51" s="4">
        <f t="shared" si="25"/>
        <v>18527252186.359413</v>
      </c>
      <c r="AQ51" s="4">
        <f t="shared" si="25"/>
        <v>29643603498.17506</v>
      </c>
      <c r="AR51" s="4">
        <f t="shared" si="25"/>
        <v>47429765597.080093</v>
      </c>
      <c r="AS51" s="4">
        <f t="shared" si="25"/>
        <v>75887624955.328156</v>
      </c>
      <c r="AT51" s="4">
        <f t="shared" si="25"/>
        <v>121420199928.52505</v>
      </c>
      <c r="AU51" s="4">
        <f t="shared" si="25"/>
        <v>194272319885.64005</v>
      </c>
      <c r="AV51" s="4">
        <f t="shared" si="25"/>
        <v>310835711817.02405</v>
      </c>
      <c r="AW51" s="4">
        <f t="shared" si="25"/>
        <v>497337138907.23846</v>
      </c>
      <c r="AX51" s="4">
        <f t="shared" si="25"/>
        <v>795739422251.58154</v>
      </c>
      <c r="AY51" s="4">
        <f t="shared" si="25"/>
        <v>1273183075602.5305</v>
      </c>
      <c r="AZ51" s="4">
        <f t="shared" si="25"/>
        <v>2037092920964.0483</v>
      </c>
      <c r="BA51" s="4">
        <f t="shared" si="25"/>
        <v>3259348673542.478</v>
      </c>
      <c r="BB51" s="4">
        <f t="shared" si="25"/>
        <v>5214957877667.9639</v>
      </c>
      <c r="BC51" s="4">
        <f t="shared" si="25"/>
        <v>8343932604268.7441</v>
      </c>
      <c r="BD51" s="4">
        <f t="shared" si="25"/>
        <v>13350292166829.988</v>
      </c>
      <c r="BE51" s="4">
        <f t="shared" si="25"/>
        <v>21360467466927.977</v>
      </c>
      <c r="BF51" s="4">
        <f t="shared" si="25"/>
        <v>34176747947084.77</v>
      </c>
    </row>
    <row r="52" spans="2:59" x14ac:dyDescent="0.25">
      <c r="B52" t="s">
        <v>80</v>
      </c>
      <c r="C52" s="4">
        <f>+C51-C53</f>
        <v>1608.3759238547791</v>
      </c>
      <c r="D52" s="4">
        <f t="shared" ref="D52:BF52" si="26">+D51-D53</f>
        <v>2286.5423990035347</v>
      </c>
      <c r="E52" s="4">
        <f t="shared" si="26"/>
        <v>2877.3606163478785</v>
      </c>
      <c r="F52" s="4">
        <f t="shared" si="26"/>
        <v>2999.077061081965</v>
      </c>
      <c r="G52" s="4">
        <f t="shared" si="26"/>
        <v>2366.7029994063073</v>
      </c>
      <c r="H52" s="4">
        <f t="shared" si="26"/>
        <v>1847.6253517090781</v>
      </c>
      <c r="I52" s="4">
        <f t="shared" si="26"/>
        <v>0</v>
      </c>
      <c r="J52" s="4">
        <f t="shared" si="26"/>
        <v>0</v>
      </c>
      <c r="K52" s="4">
        <f t="shared" si="26"/>
        <v>0</v>
      </c>
      <c r="L52" s="4">
        <f t="shared" si="26"/>
        <v>0</v>
      </c>
      <c r="M52" s="4">
        <f t="shared" si="26"/>
        <v>0</v>
      </c>
      <c r="N52" s="4">
        <f t="shared" si="26"/>
        <v>0</v>
      </c>
      <c r="O52" s="4">
        <f t="shared" si="26"/>
        <v>0</v>
      </c>
      <c r="P52" s="4">
        <f t="shared" si="26"/>
        <v>0</v>
      </c>
      <c r="Q52" s="4">
        <f t="shared" si="26"/>
        <v>0</v>
      </c>
      <c r="R52" s="4">
        <f t="shared" si="26"/>
        <v>0</v>
      </c>
      <c r="S52" s="4">
        <f t="shared" si="26"/>
        <v>0</v>
      </c>
      <c r="T52" s="4">
        <f t="shared" si="26"/>
        <v>0</v>
      </c>
      <c r="U52" s="4">
        <f t="shared" si="26"/>
        <v>0</v>
      </c>
      <c r="V52" s="4">
        <f t="shared" si="26"/>
        <v>0</v>
      </c>
      <c r="W52" s="4">
        <f t="shared" si="26"/>
        <v>0</v>
      </c>
      <c r="X52" s="4">
        <f t="shared" si="26"/>
        <v>0</v>
      </c>
      <c r="Y52" s="4">
        <f t="shared" si="26"/>
        <v>0</v>
      </c>
      <c r="Z52" s="4">
        <f t="shared" si="26"/>
        <v>0</v>
      </c>
      <c r="AA52" s="4">
        <f t="shared" si="26"/>
        <v>0</v>
      </c>
      <c r="AB52" s="4">
        <f t="shared" si="26"/>
        <v>0</v>
      </c>
      <c r="AC52" s="4">
        <f t="shared" si="26"/>
        <v>0</v>
      </c>
      <c r="AD52" s="4">
        <f t="shared" si="26"/>
        <v>0</v>
      </c>
      <c r="AE52" s="4">
        <f t="shared" si="26"/>
        <v>0</v>
      </c>
      <c r="AF52" s="4">
        <f t="shared" si="26"/>
        <v>0</v>
      </c>
      <c r="AG52" s="4">
        <f t="shared" si="26"/>
        <v>0</v>
      </c>
      <c r="AH52" s="4">
        <f t="shared" si="26"/>
        <v>0</v>
      </c>
      <c r="AI52" s="4">
        <f t="shared" si="26"/>
        <v>0</v>
      </c>
      <c r="AJ52" s="4">
        <f t="shared" si="26"/>
        <v>0</v>
      </c>
      <c r="AK52" s="4">
        <f t="shared" si="26"/>
        <v>0</v>
      </c>
      <c r="AL52" s="4">
        <f t="shared" si="26"/>
        <v>0</v>
      </c>
      <c r="AM52" s="4">
        <f t="shared" si="26"/>
        <v>0</v>
      </c>
      <c r="AN52" s="4">
        <f t="shared" si="26"/>
        <v>0</v>
      </c>
      <c r="AO52" s="4">
        <f t="shared" si="26"/>
        <v>0</v>
      </c>
      <c r="AP52" s="4">
        <f t="shared" si="26"/>
        <v>0</v>
      </c>
      <c r="AQ52" s="4">
        <f t="shared" si="26"/>
        <v>0</v>
      </c>
      <c r="AR52" s="4">
        <f t="shared" si="26"/>
        <v>0</v>
      </c>
      <c r="AS52" s="4">
        <f t="shared" si="26"/>
        <v>0</v>
      </c>
      <c r="AT52" s="4">
        <f t="shared" si="26"/>
        <v>0</v>
      </c>
      <c r="AU52" s="4">
        <f t="shared" si="26"/>
        <v>0</v>
      </c>
      <c r="AV52" s="4">
        <f t="shared" si="26"/>
        <v>0</v>
      </c>
      <c r="AW52" s="4">
        <f t="shared" si="26"/>
        <v>0</v>
      </c>
      <c r="AX52" s="4">
        <f t="shared" si="26"/>
        <v>0</v>
      </c>
      <c r="AY52" s="4">
        <f t="shared" si="26"/>
        <v>0</v>
      </c>
      <c r="AZ52" s="4">
        <f t="shared" si="26"/>
        <v>0</v>
      </c>
      <c r="BA52" s="4">
        <f t="shared" si="26"/>
        <v>0</v>
      </c>
      <c r="BB52" s="4">
        <f t="shared" si="26"/>
        <v>0</v>
      </c>
      <c r="BC52" s="4">
        <f t="shared" si="26"/>
        <v>0</v>
      </c>
      <c r="BD52" s="4">
        <f t="shared" si="26"/>
        <v>0</v>
      </c>
      <c r="BE52" s="4">
        <f t="shared" si="26"/>
        <v>0</v>
      </c>
      <c r="BF52" s="4">
        <f t="shared" si="26"/>
        <v>0</v>
      </c>
    </row>
    <row r="53" spans="2:59" x14ac:dyDescent="0.25">
      <c r="B53" t="s">
        <v>81</v>
      </c>
      <c r="C53" s="4">
        <f>+IF(C51&lt;0,C51,MAX(0,MIN(C51,C55)))</f>
        <v>791.6240761452209</v>
      </c>
      <c r="D53" s="4">
        <f t="shared" ref="D53:BF53" si="27">+IF(D51&lt;0,D51,MAX(0,MIN(D51,D55)))</f>
        <v>386.26854926059787</v>
      </c>
      <c r="E53" s="4">
        <f t="shared" si="27"/>
        <v>0</v>
      </c>
      <c r="F53" s="4">
        <f t="shared" si="27"/>
        <v>0</v>
      </c>
      <c r="G53" s="4">
        <f t="shared" si="27"/>
        <v>706.69492514344893</v>
      </c>
      <c r="H53" s="4">
        <f t="shared" si="27"/>
        <v>1377.890092800033</v>
      </c>
      <c r="I53" s="4">
        <f t="shared" si="27"/>
        <v>3402.918793957112</v>
      </c>
      <c r="J53" s="4">
        <f t="shared" si="27"/>
        <v>5444.67007033137</v>
      </c>
      <c r="K53" s="4">
        <f t="shared" si="27"/>
        <v>8711.4721125301785</v>
      </c>
      <c r="L53" s="4">
        <f t="shared" si="27"/>
        <v>13938.355380048273</v>
      </c>
      <c r="M53" s="4">
        <f t="shared" si="27"/>
        <v>22301.36860807722</v>
      </c>
      <c r="N53" s="4">
        <f t="shared" si="27"/>
        <v>35682.189772923542</v>
      </c>
      <c r="O53" s="4">
        <f t="shared" si="27"/>
        <v>57091.503636677648</v>
      </c>
      <c r="P53" s="4">
        <f t="shared" si="27"/>
        <v>91346.405818684201</v>
      </c>
      <c r="Q53" s="4">
        <f t="shared" si="27"/>
        <v>146154.24930989469</v>
      </c>
      <c r="R53" s="4">
        <f t="shared" si="27"/>
        <v>233846.79889583145</v>
      </c>
      <c r="S53" s="4">
        <f t="shared" si="27"/>
        <v>374154.87823333032</v>
      </c>
      <c r="T53" s="4">
        <f t="shared" si="27"/>
        <v>598647.80517332838</v>
      </c>
      <c r="U53" s="4">
        <f t="shared" si="27"/>
        <v>957836.48827732517</v>
      </c>
      <c r="V53" s="4">
        <f t="shared" si="27"/>
        <v>1532538.3812437202</v>
      </c>
      <c r="W53" s="4">
        <f t="shared" si="27"/>
        <v>2452061.4099899521</v>
      </c>
      <c r="X53" s="4">
        <f t="shared" si="27"/>
        <v>3923298.2559839236</v>
      </c>
      <c r="Y53" s="4">
        <f t="shared" si="27"/>
        <v>6277277.2095742766</v>
      </c>
      <c r="Z53" s="4">
        <f t="shared" si="27"/>
        <v>10043643.535318842</v>
      </c>
      <c r="AA53" s="4">
        <f t="shared" si="27"/>
        <v>16069829.65651015</v>
      </c>
      <c r="AB53" s="4">
        <f t="shared" si="27"/>
        <v>25711727.450416241</v>
      </c>
      <c r="AC53" s="4">
        <f t="shared" si="27"/>
        <v>41138763.920665987</v>
      </c>
      <c r="AD53" s="4">
        <f t="shared" si="27"/>
        <v>65822022.273065582</v>
      </c>
      <c r="AE53" s="4">
        <f t="shared" si="27"/>
        <v>105315235.63690493</v>
      </c>
      <c r="AF53" s="4">
        <f t="shared" si="27"/>
        <v>168504377.01904789</v>
      </c>
      <c r="AG53" s="4">
        <f t="shared" si="27"/>
        <v>269607003.23047656</v>
      </c>
      <c r="AH53" s="4">
        <f t="shared" si="27"/>
        <v>431371205.16876251</v>
      </c>
      <c r="AI53" s="4">
        <f t="shared" si="27"/>
        <v>690193928.27002001</v>
      </c>
      <c r="AJ53" s="4">
        <f t="shared" si="27"/>
        <v>1104310285.2320321</v>
      </c>
      <c r="AK53" s="4">
        <f t="shared" si="27"/>
        <v>1766896456.3712513</v>
      </c>
      <c r="AL53" s="4">
        <f t="shared" si="27"/>
        <v>2827034330.1940017</v>
      </c>
      <c r="AM53" s="4">
        <f t="shared" si="27"/>
        <v>4523254928.3104038</v>
      </c>
      <c r="AN53" s="4">
        <f t="shared" si="27"/>
        <v>7237207885.2966461</v>
      </c>
      <c r="AO53" s="4">
        <f t="shared" si="27"/>
        <v>11579532616.474634</v>
      </c>
      <c r="AP53" s="4">
        <f t="shared" si="27"/>
        <v>18527252186.359413</v>
      </c>
      <c r="AQ53" s="4">
        <f t="shared" si="27"/>
        <v>29643603498.17506</v>
      </c>
      <c r="AR53" s="4">
        <f t="shared" si="27"/>
        <v>47429765597.080093</v>
      </c>
      <c r="AS53" s="4">
        <f t="shared" si="27"/>
        <v>75887624955.328156</v>
      </c>
      <c r="AT53" s="4">
        <f t="shared" si="27"/>
        <v>121420199928.52505</v>
      </c>
      <c r="AU53" s="4">
        <f t="shared" si="27"/>
        <v>194272319885.64005</v>
      </c>
      <c r="AV53" s="4">
        <f t="shared" si="27"/>
        <v>310835711817.02405</v>
      </c>
      <c r="AW53" s="4">
        <f t="shared" si="27"/>
        <v>497337138907.23846</v>
      </c>
      <c r="AX53" s="4">
        <f t="shared" si="27"/>
        <v>795739422251.58154</v>
      </c>
      <c r="AY53" s="4">
        <f t="shared" si="27"/>
        <v>1273183075602.5305</v>
      </c>
      <c r="AZ53" s="4">
        <f t="shared" si="27"/>
        <v>2037092920964.0483</v>
      </c>
      <c r="BA53" s="4">
        <f t="shared" si="27"/>
        <v>3259348673542.478</v>
      </c>
      <c r="BB53" s="4">
        <f t="shared" si="27"/>
        <v>5214957877667.9639</v>
      </c>
      <c r="BC53" s="4">
        <f t="shared" si="27"/>
        <v>8343932604268.7441</v>
      </c>
      <c r="BD53" s="4">
        <f t="shared" si="27"/>
        <v>13350292166829.988</v>
      </c>
      <c r="BE53" s="4">
        <f t="shared" si="27"/>
        <v>21360467466927.977</v>
      </c>
      <c r="BF53" s="4">
        <f t="shared" si="27"/>
        <v>34176747947084.77</v>
      </c>
    </row>
    <row r="55" spans="2:59" x14ac:dyDescent="0.25">
      <c r="B55" t="s">
        <v>82</v>
      </c>
      <c r="C55" s="4">
        <f>+D65-C65</f>
        <v>791.6240761452209</v>
      </c>
      <c r="D55" s="4">
        <f t="shared" ref="D55:BF55" si="28">+E65-D65</f>
        <v>386.26854926059787</v>
      </c>
      <c r="E55" s="4">
        <f t="shared" si="28"/>
        <v>-259.44846578620309</v>
      </c>
      <c r="F55" s="4">
        <f t="shared" si="28"/>
        <v>-319.08037720341235</v>
      </c>
      <c r="G55" s="4">
        <f t="shared" si="28"/>
        <v>706.69492514344893</v>
      </c>
      <c r="H55" s="4">
        <f t="shared" si="28"/>
        <v>1377.890092800033</v>
      </c>
      <c r="I55" s="4">
        <f t="shared" si="28"/>
        <v>15858.262340770947</v>
      </c>
      <c r="J55" s="4">
        <f t="shared" si="28"/>
        <v>25373.219745233488</v>
      </c>
      <c r="K55" s="4">
        <f t="shared" si="28"/>
        <v>40597.151592373571</v>
      </c>
      <c r="L55" s="4">
        <f t="shared" si="28"/>
        <v>64955.442547797691</v>
      </c>
      <c r="M55" s="4">
        <f t="shared" si="28"/>
        <v>103928.70807647629</v>
      </c>
      <c r="N55" s="4">
        <f t="shared" si="28"/>
        <v>166285.93292236206</v>
      </c>
      <c r="O55" s="4">
        <f t="shared" si="28"/>
        <v>266057.49267577915</v>
      </c>
      <c r="P55" s="4">
        <f t="shared" si="28"/>
        <v>425691.98828124639</v>
      </c>
      <c r="Q55" s="4">
        <f t="shared" si="28"/>
        <v>681107.18124999455</v>
      </c>
      <c r="R55" s="4">
        <f t="shared" si="28"/>
        <v>1089771.4899999916</v>
      </c>
      <c r="S55" s="4">
        <f t="shared" si="28"/>
        <v>1743634.3839999866</v>
      </c>
      <c r="T55" s="4">
        <f t="shared" si="28"/>
        <v>2789815.0143999765</v>
      </c>
      <c r="U55" s="4">
        <f t="shared" si="28"/>
        <v>4463704.0230399622</v>
      </c>
      <c r="V55" s="4">
        <f t="shared" si="28"/>
        <v>7141926.4368639402</v>
      </c>
      <c r="W55" s="4">
        <f t="shared" si="28"/>
        <v>11427082.298982304</v>
      </c>
      <c r="X55" s="4">
        <f t="shared" si="28"/>
        <v>18283331.678371683</v>
      </c>
      <c r="Y55" s="4">
        <f t="shared" si="28"/>
        <v>29253330.685394689</v>
      </c>
      <c r="Z55" s="4">
        <f t="shared" si="28"/>
        <v>46805329.096631512</v>
      </c>
      <c r="AA55" s="4">
        <f t="shared" si="28"/>
        <v>74888526.554610386</v>
      </c>
      <c r="AB55" s="4">
        <f t="shared" si="28"/>
        <v>119821642.48737666</v>
      </c>
      <c r="AC55" s="4">
        <f t="shared" si="28"/>
        <v>191714627.97980267</v>
      </c>
      <c r="AD55" s="4">
        <f t="shared" si="28"/>
        <v>306743404.76768428</v>
      </c>
      <c r="AE55" s="4">
        <f t="shared" si="28"/>
        <v>490789447.62829494</v>
      </c>
      <c r="AF55" s="4">
        <f t="shared" si="28"/>
        <v>785263116.20527148</v>
      </c>
      <c r="AG55" s="4">
        <f t="shared" si="28"/>
        <v>1256420985.9284346</v>
      </c>
      <c r="AH55" s="4">
        <f t="shared" si="28"/>
        <v>2010273577.4854946</v>
      </c>
      <c r="AI55" s="4">
        <f t="shared" si="28"/>
        <v>3216437723.9767933</v>
      </c>
      <c r="AJ55" s="4">
        <f t="shared" si="28"/>
        <v>5146300358.3628702</v>
      </c>
      <c r="AK55" s="4">
        <f t="shared" si="28"/>
        <v>8234080573.3805885</v>
      </c>
      <c r="AL55" s="4">
        <f t="shared" si="28"/>
        <v>13174528917.408943</v>
      </c>
      <c r="AM55" s="4">
        <f t="shared" si="28"/>
        <v>21079246267.854309</v>
      </c>
      <c r="AN55" s="4">
        <f t="shared" si="28"/>
        <v>33726794028.566895</v>
      </c>
      <c r="AO55" s="4">
        <f t="shared" si="28"/>
        <v>53962870445.707031</v>
      </c>
      <c r="AP55" s="4">
        <f t="shared" si="28"/>
        <v>86340592713.131256</v>
      </c>
      <c r="AQ55" s="4">
        <f t="shared" si="28"/>
        <v>138144948341.01001</v>
      </c>
      <c r="AR55" s="4">
        <f t="shared" si="28"/>
        <v>221031917345.61609</v>
      </c>
      <c r="AS55" s="4">
        <f t="shared" si="28"/>
        <v>353651067752.9856</v>
      </c>
      <c r="AT55" s="4">
        <f t="shared" si="28"/>
        <v>565841708404.77698</v>
      </c>
      <c r="AU55" s="4">
        <f t="shared" si="28"/>
        <v>905346733447.64282</v>
      </c>
      <c r="AV55" s="4">
        <f t="shared" si="28"/>
        <v>1448554773516.229</v>
      </c>
      <c r="AW55" s="4">
        <f t="shared" si="28"/>
        <v>2317687637625.9658</v>
      </c>
      <c r="AX55" s="4">
        <f t="shared" si="28"/>
        <v>3708300220201.5449</v>
      </c>
      <c r="AY55" s="4">
        <f t="shared" si="28"/>
        <v>5933280352322.4727</v>
      </c>
      <c r="AZ55" s="4">
        <f t="shared" si="28"/>
        <v>9493248563715.957</v>
      </c>
      <c r="BA55" s="4">
        <f t="shared" si="28"/>
        <v>15189197701945.523</v>
      </c>
      <c r="BB55" s="4">
        <f t="shared" si="28"/>
        <v>24302716323112.859</v>
      </c>
      <c r="BC55" s="4">
        <f t="shared" si="28"/>
        <v>38884346116980.555</v>
      </c>
      <c r="BD55" s="4">
        <f t="shared" si="28"/>
        <v>62214953787168.844</v>
      </c>
      <c r="BE55" s="4">
        <f t="shared" si="28"/>
        <v>99543926059470.219</v>
      </c>
      <c r="BF55" s="4"/>
    </row>
    <row r="56" spans="2:59" x14ac:dyDescent="0.25">
      <c r="B56" t="s">
        <v>83</v>
      </c>
      <c r="C56" s="4">
        <f>+C55-C53</f>
        <v>0</v>
      </c>
      <c r="D56" s="4">
        <f t="shared" ref="D56:BE56" si="29">+D55-D53</f>
        <v>0</v>
      </c>
      <c r="E56" s="4">
        <f t="shared" si="29"/>
        <v>-259.44846578620309</v>
      </c>
      <c r="F56" s="4">
        <f t="shared" si="29"/>
        <v>-319.08037720341235</v>
      </c>
      <c r="G56" s="4">
        <f t="shared" si="29"/>
        <v>0</v>
      </c>
      <c r="H56" s="4">
        <f t="shared" si="29"/>
        <v>0</v>
      </c>
      <c r="I56" s="4">
        <f t="shared" si="29"/>
        <v>12455.343546813834</v>
      </c>
      <c r="J56" s="4">
        <f t="shared" si="29"/>
        <v>19928.549674902119</v>
      </c>
      <c r="K56" s="4">
        <f t="shared" si="29"/>
        <v>31885.679479843391</v>
      </c>
      <c r="L56" s="4">
        <f t="shared" si="29"/>
        <v>51017.087167749414</v>
      </c>
      <c r="M56" s="4">
        <f t="shared" si="29"/>
        <v>81627.339468399077</v>
      </c>
      <c r="N56" s="4">
        <f t="shared" si="29"/>
        <v>130603.74314943852</v>
      </c>
      <c r="O56" s="4">
        <f t="shared" si="29"/>
        <v>208965.98903910152</v>
      </c>
      <c r="P56" s="4">
        <f t="shared" si="29"/>
        <v>334345.58246256219</v>
      </c>
      <c r="Q56" s="4">
        <f t="shared" si="29"/>
        <v>534952.93194009992</v>
      </c>
      <c r="R56" s="4">
        <f t="shared" si="29"/>
        <v>855924.69110416016</v>
      </c>
      <c r="S56" s="4">
        <f t="shared" si="29"/>
        <v>1369479.5057666562</v>
      </c>
      <c r="T56" s="4">
        <f t="shared" si="29"/>
        <v>2191167.2092266483</v>
      </c>
      <c r="U56" s="4">
        <f t="shared" si="29"/>
        <v>3505867.5347626368</v>
      </c>
      <c r="V56" s="4">
        <f t="shared" si="29"/>
        <v>5609388.0556202196</v>
      </c>
      <c r="W56" s="4">
        <f t="shared" si="29"/>
        <v>8975020.8889923505</v>
      </c>
      <c r="X56" s="4">
        <f t="shared" si="29"/>
        <v>14360033.42238776</v>
      </c>
      <c r="Y56" s="4">
        <f t="shared" si="29"/>
        <v>22976053.475820415</v>
      </c>
      <c r="Z56" s="4">
        <f t="shared" si="29"/>
        <v>36761685.561312668</v>
      </c>
      <c r="AA56" s="4">
        <f t="shared" si="29"/>
        <v>58818696.898100235</v>
      </c>
      <c r="AB56" s="4">
        <f t="shared" si="29"/>
        <v>94109915.036960423</v>
      </c>
      <c r="AC56" s="4">
        <f t="shared" si="29"/>
        <v>150575864.05913669</v>
      </c>
      <c r="AD56" s="4">
        <f t="shared" si="29"/>
        <v>240921382.49461871</v>
      </c>
      <c r="AE56" s="4">
        <f t="shared" si="29"/>
        <v>385474211.99138999</v>
      </c>
      <c r="AF56" s="4">
        <f t="shared" si="29"/>
        <v>616758739.18622363</v>
      </c>
      <c r="AG56" s="4">
        <f t="shared" si="29"/>
        <v>986813982.69795799</v>
      </c>
      <c r="AH56" s="4">
        <f t="shared" si="29"/>
        <v>1578902372.3167322</v>
      </c>
      <c r="AI56" s="4">
        <f t="shared" si="29"/>
        <v>2526243795.7067733</v>
      </c>
      <c r="AJ56" s="4">
        <f t="shared" si="29"/>
        <v>4041990073.1308384</v>
      </c>
      <c r="AK56" s="4">
        <f t="shared" si="29"/>
        <v>6467184117.0093374</v>
      </c>
      <c r="AL56" s="4">
        <f t="shared" si="29"/>
        <v>10347494587.214941</v>
      </c>
      <c r="AM56" s="4">
        <f t="shared" si="29"/>
        <v>16555991339.543905</v>
      </c>
      <c r="AN56" s="4">
        <f t="shared" si="29"/>
        <v>26489586143.270248</v>
      </c>
      <c r="AO56" s="4">
        <f t="shared" si="29"/>
        <v>42383337829.232399</v>
      </c>
      <c r="AP56" s="4">
        <f t="shared" si="29"/>
        <v>67813340526.771843</v>
      </c>
      <c r="AQ56" s="4">
        <f t="shared" si="29"/>
        <v>108501344842.83495</v>
      </c>
      <c r="AR56" s="4">
        <f t="shared" si="29"/>
        <v>173602151748.53601</v>
      </c>
      <c r="AS56" s="4">
        <f t="shared" si="29"/>
        <v>277763442797.65747</v>
      </c>
      <c r="AT56" s="4">
        <f t="shared" si="29"/>
        <v>444421508476.25195</v>
      </c>
      <c r="AU56" s="4">
        <f t="shared" si="29"/>
        <v>711074413562.00281</v>
      </c>
      <c r="AV56" s="4">
        <f t="shared" si="29"/>
        <v>1137719061699.2051</v>
      </c>
      <c r="AW56" s="4">
        <f t="shared" si="29"/>
        <v>1820350498718.7273</v>
      </c>
      <c r="AX56" s="4">
        <f t="shared" si="29"/>
        <v>2912560797949.9634</v>
      </c>
      <c r="AY56" s="4">
        <f t="shared" si="29"/>
        <v>4660097276719.9424</v>
      </c>
      <c r="AZ56" s="4">
        <f t="shared" si="29"/>
        <v>7456155642751.9082</v>
      </c>
      <c r="BA56" s="4">
        <f t="shared" si="29"/>
        <v>11929849028403.045</v>
      </c>
      <c r="BB56" s="4">
        <f t="shared" si="29"/>
        <v>19087758445444.895</v>
      </c>
      <c r="BC56" s="4">
        <f t="shared" si="29"/>
        <v>30540413512711.813</v>
      </c>
      <c r="BD56" s="4">
        <f t="shared" si="29"/>
        <v>48864661620338.859</v>
      </c>
      <c r="BE56" s="4">
        <f t="shared" si="29"/>
        <v>78183458592542.25</v>
      </c>
      <c r="BF56" s="4"/>
    </row>
    <row r="58" spans="2:59" x14ac:dyDescent="0.25">
      <c r="B58" t="s">
        <v>18</v>
      </c>
      <c r="I58" s="2" t="s">
        <v>7</v>
      </c>
      <c r="J58" s="2" t="s">
        <v>8</v>
      </c>
      <c r="K58" s="2" t="s">
        <v>16</v>
      </c>
      <c r="L58" s="2" t="s">
        <v>17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  <c r="V58" s="2" t="s">
        <v>29</v>
      </c>
      <c r="W58" s="2" t="s">
        <v>30</v>
      </c>
      <c r="X58" s="2" t="s">
        <v>31</v>
      </c>
      <c r="Y58" s="2" t="s">
        <v>32</v>
      </c>
      <c r="Z58" s="2" t="s">
        <v>33</v>
      </c>
      <c r="AA58" s="2" t="s">
        <v>34</v>
      </c>
      <c r="AB58" s="2" t="s">
        <v>35</v>
      </c>
      <c r="AC58" s="2" t="s">
        <v>36</v>
      </c>
      <c r="AD58" s="2" t="s">
        <v>37</v>
      </c>
      <c r="AE58" s="2" t="s">
        <v>38</v>
      </c>
      <c r="AF58" s="2" t="s">
        <v>39</v>
      </c>
      <c r="AG58" s="2" t="s">
        <v>40</v>
      </c>
      <c r="AH58" s="2" t="s">
        <v>41</v>
      </c>
      <c r="AI58" s="2" t="s">
        <v>42</v>
      </c>
      <c r="AJ58" s="2" t="s">
        <v>43</v>
      </c>
      <c r="AK58" s="2" t="s">
        <v>44</v>
      </c>
      <c r="AL58" s="2" t="s">
        <v>45</v>
      </c>
      <c r="AM58" s="2" t="s">
        <v>46</v>
      </c>
      <c r="AN58" s="2" t="s">
        <v>47</v>
      </c>
      <c r="AO58" s="2" t="s">
        <v>48</v>
      </c>
      <c r="AP58" s="2" t="s">
        <v>49</v>
      </c>
      <c r="AQ58" s="2" t="s">
        <v>50</v>
      </c>
      <c r="AR58" s="2" t="s">
        <v>51</v>
      </c>
      <c r="AS58" s="2" t="s">
        <v>52</v>
      </c>
      <c r="AT58" s="2" t="s">
        <v>53</v>
      </c>
      <c r="AU58" s="2" t="s">
        <v>54</v>
      </c>
      <c r="AV58" s="2" t="s">
        <v>55</v>
      </c>
      <c r="AW58" s="2" t="s">
        <v>56</v>
      </c>
      <c r="AX58" s="2" t="s">
        <v>57</v>
      </c>
      <c r="AY58" s="2" t="s">
        <v>58</v>
      </c>
      <c r="AZ58" s="2" t="s">
        <v>59</v>
      </c>
      <c r="BA58" s="2" t="s">
        <v>60</v>
      </c>
      <c r="BB58" s="2" t="s">
        <v>61</v>
      </c>
      <c r="BC58" s="2" t="s">
        <v>62</v>
      </c>
      <c r="BD58" s="2" t="s">
        <v>63</v>
      </c>
      <c r="BE58" s="2" t="s">
        <v>64</v>
      </c>
      <c r="BF58" s="2" t="s">
        <v>65</v>
      </c>
    </row>
    <row r="59" spans="2:59" x14ac:dyDescent="0.25">
      <c r="B59" s="4" t="str">
        <f>+B37</f>
        <v>FCFF</v>
      </c>
      <c r="C59" s="4">
        <f t="shared" ref="C59:BF59" si="30">+C37</f>
        <v>479.99999999999955</v>
      </c>
      <c r="D59" s="4">
        <f t="shared" si="30"/>
        <v>1046.1176470588236</v>
      </c>
      <c r="E59" s="4">
        <f t="shared" si="30"/>
        <v>1557.4472727272725</v>
      </c>
      <c r="F59" s="4">
        <f t="shared" si="30"/>
        <v>2040.7139999999999</v>
      </c>
      <c r="G59" s="4">
        <f t="shared" si="30"/>
        <v>2191.9989311999998</v>
      </c>
      <c r="H59" s="4">
        <f t="shared" si="30"/>
        <v>1929.0461299199997</v>
      </c>
      <c r="I59" s="4">
        <f t="shared" si="30"/>
        <v>-15970.591699018034</v>
      </c>
      <c r="J59" s="4">
        <f t="shared" si="30"/>
        <v>-25552.946718428855</v>
      </c>
      <c r="K59" s="4">
        <f t="shared" si="30"/>
        <v>-40884.714749486171</v>
      </c>
      <c r="L59" s="4">
        <f t="shared" si="30"/>
        <v>-65415.543599177865</v>
      </c>
      <c r="M59" s="4">
        <f t="shared" si="30"/>
        <v>-104664.86975868458</v>
      </c>
      <c r="N59" s="4">
        <f t="shared" si="30"/>
        <v>-167463.79161389536</v>
      </c>
      <c r="O59" s="4">
        <f t="shared" si="30"/>
        <v>-267942.06658223254</v>
      </c>
      <c r="P59" s="4">
        <f t="shared" si="30"/>
        <v>-428707.30653157202</v>
      </c>
      <c r="Q59" s="4">
        <f t="shared" si="30"/>
        <v>-685931.69045051537</v>
      </c>
      <c r="R59" s="4">
        <f t="shared" si="30"/>
        <v>-1097490.7047208245</v>
      </c>
      <c r="S59" s="4">
        <f t="shared" si="30"/>
        <v>-1755985.1275533191</v>
      </c>
      <c r="T59" s="4">
        <f t="shared" si="30"/>
        <v>-2809576.20408531</v>
      </c>
      <c r="U59" s="4">
        <f t="shared" si="30"/>
        <v>-4495321.9265364949</v>
      </c>
      <c r="V59" s="4">
        <f t="shared" si="30"/>
        <v>-7192515.0824583918</v>
      </c>
      <c r="W59" s="4">
        <f t="shared" si="30"/>
        <v>-11508024.131933428</v>
      </c>
      <c r="X59" s="4">
        <f t="shared" si="30"/>
        <v>-18412838.611093484</v>
      </c>
      <c r="Y59" s="4">
        <f t="shared" si="30"/>
        <v>-29460541.777749572</v>
      </c>
      <c r="Z59" s="4">
        <f t="shared" si="30"/>
        <v>-47136866.844399318</v>
      </c>
      <c r="AA59" s="4">
        <f t="shared" si="30"/>
        <v>-75418986.951038897</v>
      </c>
      <c r="AB59" s="4">
        <f t="shared" si="30"/>
        <v>-120670379.12166226</v>
      </c>
      <c r="AC59" s="4">
        <f t="shared" si="30"/>
        <v>-193072606.5946596</v>
      </c>
      <c r="AD59" s="4">
        <f t="shared" si="30"/>
        <v>-308916170.55145538</v>
      </c>
      <c r="AE59" s="4">
        <f t="shared" si="30"/>
        <v>-494265872.88232863</v>
      </c>
      <c r="AF59" s="4">
        <f t="shared" si="30"/>
        <v>-790825396.61172569</v>
      </c>
      <c r="AG59" s="4">
        <f t="shared" si="30"/>
        <v>-1265320634.5787611</v>
      </c>
      <c r="AH59" s="4">
        <f t="shared" si="30"/>
        <v>-2024513015.3260176</v>
      </c>
      <c r="AI59" s="4">
        <f t="shared" si="30"/>
        <v>-3239220824.5216284</v>
      </c>
      <c r="AJ59" s="4">
        <f t="shared" si="30"/>
        <v>-5182753319.2346058</v>
      </c>
      <c r="AK59" s="4">
        <f t="shared" si="30"/>
        <v>-8292405310.7753687</v>
      </c>
      <c r="AL59" s="4">
        <f t="shared" si="30"/>
        <v>-13267848497.240589</v>
      </c>
      <c r="AM59" s="4">
        <f t="shared" si="30"/>
        <v>-21228557595.584946</v>
      </c>
      <c r="AN59" s="4">
        <f t="shared" si="30"/>
        <v>-33965692152.935909</v>
      </c>
      <c r="AO59" s="4">
        <f t="shared" si="30"/>
        <v>-54345107444.697456</v>
      </c>
      <c r="AP59" s="4">
        <f t="shared" si="30"/>
        <v>-86952171911.51593</v>
      </c>
      <c r="AQ59" s="4">
        <f t="shared" si="30"/>
        <v>-139123475058.42551</v>
      </c>
      <c r="AR59" s="4">
        <f t="shared" si="30"/>
        <v>-222597560093.4808</v>
      </c>
      <c r="AS59" s="4">
        <f t="shared" si="30"/>
        <v>-356156096149.56921</v>
      </c>
      <c r="AT59" s="4">
        <f t="shared" si="30"/>
        <v>-569849753839.31079</v>
      </c>
      <c r="AU59" s="4">
        <f t="shared" si="30"/>
        <v>-911759606142.89709</v>
      </c>
      <c r="AV59" s="4">
        <f t="shared" si="30"/>
        <v>-1458815369828.6353</v>
      </c>
      <c r="AW59" s="4">
        <f t="shared" si="30"/>
        <v>-2334104591725.8164</v>
      </c>
      <c r="AX59" s="4">
        <f t="shared" si="30"/>
        <v>-3734567346761.3071</v>
      </c>
      <c r="AY59" s="4">
        <f t="shared" si="30"/>
        <v>-5975307754818.0898</v>
      </c>
      <c r="AZ59" s="4">
        <f t="shared" si="30"/>
        <v>-9560492407708.9453</v>
      </c>
      <c r="BA59" s="4">
        <f t="shared" si="30"/>
        <v>-15296787852334.309</v>
      </c>
      <c r="BB59" s="4">
        <f t="shared" si="30"/>
        <v>-24474860563734.898</v>
      </c>
      <c r="BC59" s="4">
        <f t="shared" si="30"/>
        <v>-39159776901975.828</v>
      </c>
      <c r="BD59" s="4">
        <f t="shared" si="30"/>
        <v>-62655643043161.32</v>
      </c>
      <c r="BE59" s="4">
        <f t="shared" si="30"/>
        <v>-100249028869058.11</v>
      </c>
      <c r="BF59" s="4">
        <f t="shared" si="30"/>
        <v>-160398446190493</v>
      </c>
      <c r="BG59" s="4"/>
    </row>
    <row r="60" spans="2:59" x14ac:dyDescent="0.25">
      <c r="B60" s="3" t="str">
        <f>+B29</f>
        <v>WACC=rA-D/V*rD*t</v>
      </c>
      <c r="C60" s="3">
        <f t="shared" ref="C60:BF60" si="31">+C29</f>
        <v>0.12</v>
      </c>
      <c r="D60" s="3">
        <f t="shared" si="31"/>
        <v>0.11936999999999999</v>
      </c>
      <c r="E60" s="3">
        <f t="shared" si="31"/>
        <v>0.11864999999999999</v>
      </c>
      <c r="F60" s="3">
        <f t="shared" si="31"/>
        <v>0.11767999999999999</v>
      </c>
      <c r="G60" s="3">
        <f t="shared" si="31"/>
        <v>0.11677</v>
      </c>
      <c r="H60" s="3">
        <f t="shared" si="31"/>
        <v>0.1166</v>
      </c>
      <c r="I60" s="3">
        <f t="shared" si="31"/>
        <v>0.1166</v>
      </c>
      <c r="J60" s="3">
        <f t="shared" si="31"/>
        <v>0.1166</v>
      </c>
      <c r="K60" s="3">
        <f t="shared" si="31"/>
        <v>0.1166</v>
      </c>
      <c r="L60" s="3">
        <f t="shared" si="31"/>
        <v>0.1166</v>
      </c>
      <c r="M60" s="3">
        <f t="shared" si="31"/>
        <v>0.1166</v>
      </c>
      <c r="N60" s="3">
        <f t="shared" si="31"/>
        <v>0.1166</v>
      </c>
      <c r="O60" s="3">
        <f t="shared" si="31"/>
        <v>0.1166</v>
      </c>
      <c r="P60" s="3">
        <f t="shared" si="31"/>
        <v>0.1166</v>
      </c>
      <c r="Q60" s="3">
        <f t="shared" si="31"/>
        <v>0.1166</v>
      </c>
      <c r="R60" s="3">
        <f t="shared" si="31"/>
        <v>0.1166</v>
      </c>
      <c r="S60" s="3">
        <f t="shared" si="31"/>
        <v>0.1166</v>
      </c>
      <c r="T60" s="3">
        <f t="shared" si="31"/>
        <v>0.1166</v>
      </c>
      <c r="U60" s="3">
        <f t="shared" si="31"/>
        <v>0.1166</v>
      </c>
      <c r="V60" s="3">
        <f t="shared" si="31"/>
        <v>0.1166</v>
      </c>
      <c r="W60" s="3">
        <f t="shared" si="31"/>
        <v>0.1166</v>
      </c>
      <c r="X60" s="3">
        <f t="shared" si="31"/>
        <v>0.1166</v>
      </c>
      <c r="Y60" s="3">
        <f t="shared" si="31"/>
        <v>0.1166</v>
      </c>
      <c r="Z60" s="3">
        <f t="shared" si="31"/>
        <v>0.1166</v>
      </c>
      <c r="AA60" s="3">
        <f t="shared" si="31"/>
        <v>0.1166</v>
      </c>
      <c r="AB60" s="3">
        <f t="shared" si="31"/>
        <v>0.1166</v>
      </c>
      <c r="AC60" s="3">
        <f t="shared" si="31"/>
        <v>0.1166</v>
      </c>
      <c r="AD60" s="3">
        <f t="shared" si="31"/>
        <v>0.1166</v>
      </c>
      <c r="AE60" s="3">
        <f t="shared" si="31"/>
        <v>0.1166</v>
      </c>
      <c r="AF60" s="3">
        <f t="shared" si="31"/>
        <v>0.1166</v>
      </c>
      <c r="AG60" s="3">
        <f t="shared" si="31"/>
        <v>0.1166</v>
      </c>
      <c r="AH60" s="3">
        <f t="shared" si="31"/>
        <v>0.1166</v>
      </c>
      <c r="AI60" s="3">
        <f t="shared" si="31"/>
        <v>0.1166</v>
      </c>
      <c r="AJ60" s="3">
        <f t="shared" si="31"/>
        <v>0.1166</v>
      </c>
      <c r="AK60" s="3">
        <f t="shared" si="31"/>
        <v>0.1166</v>
      </c>
      <c r="AL60" s="3">
        <f t="shared" si="31"/>
        <v>0.1166</v>
      </c>
      <c r="AM60" s="3">
        <f t="shared" si="31"/>
        <v>0.1166</v>
      </c>
      <c r="AN60" s="3">
        <f t="shared" si="31"/>
        <v>0.1166</v>
      </c>
      <c r="AO60" s="3">
        <f t="shared" si="31"/>
        <v>0.1166</v>
      </c>
      <c r="AP60" s="3">
        <f t="shared" si="31"/>
        <v>0.1166</v>
      </c>
      <c r="AQ60" s="3">
        <f t="shared" si="31"/>
        <v>0.1166</v>
      </c>
      <c r="AR60" s="3">
        <f t="shared" si="31"/>
        <v>0.1166</v>
      </c>
      <c r="AS60" s="3">
        <f t="shared" si="31"/>
        <v>0.1166</v>
      </c>
      <c r="AT60" s="3">
        <f t="shared" si="31"/>
        <v>0.1166</v>
      </c>
      <c r="AU60" s="3">
        <f t="shared" si="31"/>
        <v>0.1166</v>
      </c>
      <c r="AV60" s="3">
        <f t="shared" si="31"/>
        <v>0.1166</v>
      </c>
      <c r="AW60" s="3">
        <f t="shared" si="31"/>
        <v>0.1166</v>
      </c>
      <c r="AX60" s="3">
        <f t="shared" si="31"/>
        <v>0.1166</v>
      </c>
      <c r="AY60" s="3">
        <f t="shared" si="31"/>
        <v>0.1166</v>
      </c>
      <c r="AZ60" s="3">
        <f t="shared" si="31"/>
        <v>0.1166</v>
      </c>
      <c r="BA60" s="3">
        <f t="shared" si="31"/>
        <v>0.1166</v>
      </c>
      <c r="BB60" s="3">
        <f t="shared" si="31"/>
        <v>0.1166</v>
      </c>
      <c r="BC60" s="3">
        <f t="shared" si="31"/>
        <v>0.1166</v>
      </c>
      <c r="BD60" s="3">
        <f t="shared" si="31"/>
        <v>0.1166</v>
      </c>
      <c r="BE60" s="3">
        <f t="shared" si="31"/>
        <v>0.1166</v>
      </c>
      <c r="BF60" s="3">
        <f t="shared" si="31"/>
        <v>0.1166</v>
      </c>
      <c r="BG60" s="3"/>
    </row>
    <row r="61" spans="2:59" x14ac:dyDescent="0.25">
      <c r="B61" s="12" t="s">
        <v>19</v>
      </c>
      <c r="C61" s="13">
        <f t="shared" ref="C61:G61" si="32">+(C59+D61)/(1+C60)</f>
        <v>22816.982616166264</v>
      </c>
      <c r="D61" s="13">
        <f t="shared" si="32"/>
        <v>25075.02053010622</v>
      </c>
      <c r="E61" s="13">
        <f t="shared" si="32"/>
        <v>27022.108083726172</v>
      </c>
      <c r="F61" s="13">
        <f t="shared" si="32"/>
        <v>28670.833935133007</v>
      </c>
      <c r="G61" s="13">
        <f t="shared" si="32"/>
        <v>30004.103672619458</v>
      </c>
      <c r="H61" s="13">
        <f>+(H59+I61)/(1+H60)</f>
        <v>31315.683927271231</v>
      </c>
      <c r="I61" s="13">
        <f t="shared" ref="I61:T61" si="33">+(I59+J61)/(1+I60)</f>
        <v>33038.046543271055</v>
      </c>
      <c r="J61" s="13">
        <f t="shared" si="33"/>
        <v>52860.874469234499</v>
      </c>
      <c r="K61" s="13">
        <f t="shared" si="33"/>
        <v>84577.399150776095</v>
      </c>
      <c r="L61" s="13">
        <f t="shared" si="33"/>
        <v>135323.83864124276</v>
      </c>
      <c r="M61" s="13">
        <f t="shared" si="33"/>
        <v>216518.14182598953</v>
      </c>
      <c r="N61" s="13">
        <f t="shared" si="33"/>
        <v>346429.0269215845</v>
      </c>
      <c r="O61" s="13">
        <f t="shared" si="33"/>
        <v>554286.44307453663</v>
      </c>
      <c r="P61" s="13">
        <f t="shared" si="33"/>
        <v>886858.30891926016</v>
      </c>
      <c r="Q61" s="13">
        <f t="shared" si="33"/>
        <v>1418973.2942708179</v>
      </c>
      <c r="R61" s="13">
        <f t="shared" si="33"/>
        <v>2270357.2708333107</v>
      </c>
      <c r="S61" s="13">
        <f t="shared" si="33"/>
        <v>3632571.6333332993</v>
      </c>
      <c r="T61" s="13">
        <f t="shared" si="33"/>
        <v>5812114.6133332811</v>
      </c>
      <c r="U61" s="13">
        <f>+(U59+V61)/(1+U60)</f>
        <v>9299383.3813332524</v>
      </c>
      <c r="V61" s="15">
        <f>+V59/(V60-W23)</f>
        <v>14879013.410133205</v>
      </c>
      <c r="W61" s="15">
        <f t="shared" ref="W61:BF61" si="34">+W59/(W60-X23)</f>
        <v>23806421.456213132</v>
      </c>
      <c r="X61" s="15">
        <f t="shared" si="34"/>
        <v>38090274.329941012</v>
      </c>
      <c r="Y61" s="15">
        <f t="shared" si="34"/>
        <v>60944438.927905612</v>
      </c>
      <c r="Z61" s="15">
        <f t="shared" si="34"/>
        <v>97511102.284648985</v>
      </c>
      <c r="AA61" s="15">
        <f t="shared" si="34"/>
        <v>156017763.65543833</v>
      </c>
      <c r="AB61" s="15">
        <f t="shared" si="34"/>
        <v>249628421.84870142</v>
      </c>
      <c r="AC61" s="15">
        <f t="shared" si="34"/>
        <v>399405474.95792222</v>
      </c>
      <c r="AD61" s="15">
        <f t="shared" si="34"/>
        <v>639048759.9326756</v>
      </c>
      <c r="AE61" s="15">
        <f t="shared" si="34"/>
        <v>1022478015.8922809</v>
      </c>
      <c r="AF61" s="15">
        <f t="shared" si="34"/>
        <v>1635964825.4276493</v>
      </c>
      <c r="AG61" s="15">
        <f t="shared" si="34"/>
        <v>2617543720.6842389</v>
      </c>
      <c r="AH61" s="15">
        <f t="shared" si="34"/>
        <v>4188069953.0947819</v>
      </c>
      <c r="AI61" s="15">
        <f t="shared" si="34"/>
        <v>6700911924.9516516</v>
      </c>
      <c r="AJ61" s="15">
        <f t="shared" si="34"/>
        <v>10721459079.922644</v>
      </c>
      <c r="AK61" s="15">
        <f t="shared" si="34"/>
        <v>17154334527.876228</v>
      </c>
      <c r="AL61" s="15">
        <f t="shared" si="34"/>
        <v>27446935244.601963</v>
      </c>
      <c r="AM61" s="15">
        <f t="shared" si="34"/>
        <v>43915096391.363152</v>
      </c>
      <c r="AN61" s="15">
        <f t="shared" si="34"/>
        <v>70264154226.18103</v>
      </c>
      <c r="AO61" s="15">
        <f t="shared" si="34"/>
        <v>112422646761.88965</v>
      </c>
      <c r="AP61" s="15">
        <f t="shared" si="34"/>
        <v>179876234819.02344</v>
      </c>
      <c r="AQ61" s="15">
        <f t="shared" si="34"/>
        <v>287801975710.43756</v>
      </c>
      <c r="AR61" s="15">
        <f t="shared" si="34"/>
        <v>460483161136.70007</v>
      </c>
      <c r="AS61" s="15">
        <f t="shared" si="34"/>
        <v>736773057818.71997</v>
      </c>
      <c r="AT61" s="15">
        <f t="shared" si="34"/>
        <v>1178836892509.9519</v>
      </c>
      <c r="AU61" s="15">
        <f t="shared" si="34"/>
        <v>1886139028015.9229</v>
      </c>
      <c r="AV61" s="15">
        <f t="shared" si="34"/>
        <v>3017822444825.4766</v>
      </c>
      <c r="AW61" s="15">
        <f t="shared" si="34"/>
        <v>4828515911720.7617</v>
      </c>
      <c r="AX61" s="15">
        <f t="shared" si="34"/>
        <v>7725625458753.2217</v>
      </c>
      <c r="AY61" s="15">
        <f t="shared" si="34"/>
        <v>12361000734005.15</v>
      </c>
      <c r="AZ61" s="15">
        <f t="shared" si="34"/>
        <v>19777601174408.246</v>
      </c>
      <c r="BA61" s="15">
        <f t="shared" si="34"/>
        <v>31644161879053.184</v>
      </c>
      <c r="BB61" s="15">
        <f t="shared" si="34"/>
        <v>50630659006485.102</v>
      </c>
      <c r="BC61" s="15">
        <f t="shared" si="34"/>
        <v>81009054410376.141</v>
      </c>
      <c r="BD61" s="15">
        <f t="shared" si="34"/>
        <v>129614487056601.83</v>
      </c>
      <c r="BE61" s="15">
        <f t="shared" si="34"/>
        <v>207383179290562.91</v>
      </c>
      <c r="BF61" s="15">
        <f t="shared" si="34"/>
        <v>331813086864900.69</v>
      </c>
      <c r="BG61" s="15"/>
    </row>
    <row r="63" spans="2:59" x14ac:dyDescent="0.25">
      <c r="B63" s="4" t="str">
        <f>+B20</f>
        <v>IC boy</v>
      </c>
      <c r="C63" s="4">
        <f t="shared" ref="C63:BF63" si="35">+C20</f>
        <v>15000</v>
      </c>
      <c r="D63" s="4">
        <f t="shared" si="35"/>
        <v>16920</v>
      </c>
      <c r="E63" s="4">
        <f t="shared" si="35"/>
        <v>18609.882352941175</v>
      </c>
      <c r="F63" s="4">
        <f t="shared" si="35"/>
        <v>20075.7150802139</v>
      </c>
      <c r="G63" s="4">
        <f t="shared" si="35"/>
        <v>21300.143480213901</v>
      </c>
      <c r="H63" s="4">
        <f t="shared" si="35"/>
        <v>22569.1954930139</v>
      </c>
      <c r="I63" s="4">
        <f t="shared" si="35"/>
        <v>24291.558109013899</v>
      </c>
      <c r="J63" s="4">
        <f t="shared" si="35"/>
        <v>44114.386034977535</v>
      </c>
      <c r="K63" s="4">
        <f t="shared" si="35"/>
        <v>75830.910716519342</v>
      </c>
      <c r="L63" s="4">
        <f t="shared" si="35"/>
        <v>126577.35020698624</v>
      </c>
      <c r="M63" s="4">
        <f t="shared" si="35"/>
        <v>207771.6533917333</v>
      </c>
      <c r="N63" s="4">
        <f t="shared" si="35"/>
        <v>337682.53848732857</v>
      </c>
      <c r="O63" s="4">
        <f t="shared" si="35"/>
        <v>545539.95464028104</v>
      </c>
      <c r="P63" s="4">
        <f t="shared" si="35"/>
        <v>878111.82048500492</v>
      </c>
      <c r="Q63" s="4">
        <f t="shared" si="35"/>
        <v>1410226.805836563</v>
      </c>
      <c r="R63" s="4">
        <f t="shared" si="35"/>
        <v>2261610.782399056</v>
      </c>
      <c r="S63" s="4">
        <f t="shared" si="35"/>
        <v>3623825.1448990451</v>
      </c>
      <c r="T63" s="4">
        <f t="shared" si="35"/>
        <v>5803368.1248990279</v>
      </c>
      <c r="U63" s="4">
        <f t="shared" si="35"/>
        <v>9290636.8928989992</v>
      </c>
      <c r="V63" s="4">
        <f t="shared" si="35"/>
        <v>14870266.921698952</v>
      </c>
      <c r="W63" s="4">
        <f t="shared" si="35"/>
        <v>23797674.967778876</v>
      </c>
      <c r="X63" s="4">
        <f t="shared" si="35"/>
        <v>38081527.841506757</v>
      </c>
      <c r="Y63" s="4">
        <f t="shared" si="35"/>
        <v>60935692.439471364</v>
      </c>
      <c r="Z63" s="4">
        <f t="shared" si="35"/>
        <v>97502355.79621473</v>
      </c>
      <c r="AA63" s="4">
        <f t="shared" si="35"/>
        <v>156009017.16700411</v>
      </c>
      <c r="AB63" s="4">
        <f t="shared" si="35"/>
        <v>249619675.3602671</v>
      </c>
      <c r="AC63" s="4">
        <f t="shared" si="35"/>
        <v>399396728.46948791</v>
      </c>
      <c r="AD63" s="4">
        <f t="shared" si="35"/>
        <v>639040013.44424129</v>
      </c>
      <c r="AE63" s="4">
        <f t="shared" si="35"/>
        <v>1022469269.4038466</v>
      </c>
      <c r="AF63" s="4">
        <f t="shared" si="35"/>
        <v>1635956078.9392152</v>
      </c>
      <c r="AG63" s="4">
        <f t="shared" si="35"/>
        <v>2617534974.1958046</v>
      </c>
      <c r="AH63" s="4">
        <f t="shared" si="35"/>
        <v>4188061206.606348</v>
      </c>
      <c r="AI63" s="4">
        <f t="shared" si="35"/>
        <v>6700903178.4632168</v>
      </c>
      <c r="AJ63" s="4">
        <f t="shared" si="35"/>
        <v>10721450333.434208</v>
      </c>
      <c r="AK63" s="4">
        <f t="shared" si="35"/>
        <v>17154325781.387794</v>
      </c>
      <c r="AL63" s="4">
        <f t="shared" si="35"/>
        <v>27446926498.113533</v>
      </c>
      <c r="AM63" s="4">
        <f t="shared" si="35"/>
        <v>43915087644.87471</v>
      </c>
      <c r="AN63" s="4">
        <f t="shared" si="35"/>
        <v>70264145479.692596</v>
      </c>
      <c r="AO63" s="4">
        <f t="shared" si="35"/>
        <v>112422638015.40121</v>
      </c>
      <c r="AP63" s="4">
        <f t="shared" si="35"/>
        <v>179876226072.535</v>
      </c>
      <c r="AQ63" s="4">
        <f t="shared" si="35"/>
        <v>287801966963.9491</v>
      </c>
      <c r="AR63" s="4">
        <f t="shared" si="35"/>
        <v>460483152390.21161</v>
      </c>
      <c r="AS63" s="4">
        <f t="shared" si="35"/>
        <v>736773049072.23169</v>
      </c>
      <c r="AT63" s="4">
        <f t="shared" si="35"/>
        <v>1178836883763.4636</v>
      </c>
      <c r="AU63" s="4">
        <f t="shared" si="35"/>
        <v>1886139019269.4348</v>
      </c>
      <c r="AV63" s="4">
        <f t="shared" si="35"/>
        <v>3017822436078.9883</v>
      </c>
      <c r="AW63" s="4">
        <f t="shared" si="35"/>
        <v>4828515902974.2744</v>
      </c>
      <c r="AX63" s="4">
        <f t="shared" si="35"/>
        <v>7725625450006.7324</v>
      </c>
      <c r="AY63" s="4">
        <f t="shared" si="35"/>
        <v>12361000725258.664</v>
      </c>
      <c r="AZ63" s="4">
        <f t="shared" si="35"/>
        <v>19777601165661.754</v>
      </c>
      <c r="BA63" s="4">
        <f t="shared" si="35"/>
        <v>31644161870306.699</v>
      </c>
      <c r="BB63" s="4">
        <f t="shared" si="35"/>
        <v>50630658997738.609</v>
      </c>
      <c r="BC63" s="4">
        <f t="shared" si="35"/>
        <v>81009054401629.672</v>
      </c>
      <c r="BD63" s="4">
        <f t="shared" si="35"/>
        <v>129614487047855.36</v>
      </c>
      <c r="BE63" s="4">
        <f t="shared" si="35"/>
        <v>207383179281816.44</v>
      </c>
      <c r="BF63" s="4">
        <f t="shared" si="35"/>
        <v>331813086856154.19</v>
      </c>
      <c r="BG63" s="4"/>
    </row>
    <row r="64" spans="2:59" x14ac:dyDescent="0.25">
      <c r="B64" t="s">
        <v>66</v>
      </c>
      <c r="C64" s="4">
        <f>+C61*C24</f>
        <v>0</v>
      </c>
      <c r="D64" s="4">
        <f t="shared" ref="D64:BF64" si="36">+D61*D24</f>
        <v>1128.3759238547798</v>
      </c>
      <c r="E64" s="4">
        <f t="shared" si="36"/>
        <v>2431.9897275353555</v>
      </c>
      <c r="F64" s="4">
        <f t="shared" si="36"/>
        <v>4157.2709205942856</v>
      </c>
      <c r="G64" s="4">
        <f t="shared" si="36"/>
        <v>5700.7796977976968</v>
      </c>
      <c r="H64" s="4">
        <f t="shared" si="36"/>
        <v>6263.1367854542468</v>
      </c>
      <c r="I64" s="4">
        <f t="shared" si="36"/>
        <v>6607.6093086542114</v>
      </c>
      <c r="J64" s="4">
        <f t="shared" si="36"/>
        <v>10572.174893846901</v>
      </c>
      <c r="K64" s="4">
        <f t="shared" si="36"/>
        <v>16915.479830155218</v>
      </c>
      <c r="L64" s="4">
        <f t="shared" si="36"/>
        <v>27064.767728248553</v>
      </c>
      <c r="M64" s="4">
        <f t="shared" si="36"/>
        <v>43303.62836519791</v>
      </c>
      <c r="N64" s="4">
        <f t="shared" si="36"/>
        <v>69285.805384316904</v>
      </c>
      <c r="O64" s="4">
        <f t="shared" si="36"/>
        <v>110857.28861490733</v>
      </c>
      <c r="P64" s="4">
        <f t="shared" si="36"/>
        <v>177371.66178385203</v>
      </c>
      <c r="Q64" s="4">
        <f t="shared" si="36"/>
        <v>283794.6588541636</v>
      </c>
      <c r="R64" s="4">
        <f t="shared" si="36"/>
        <v>454071.45416666218</v>
      </c>
      <c r="S64" s="4">
        <f t="shared" si="36"/>
        <v>726514.32666665991</v>
      </c>
      <c r="T64" s="4">
        <f t="shared" si="36"/>
        <v>1162422.9226666563</v>
      </c>
      <c r="U64" s="4">
        <f t="shared" si="36"/>
        <v>1859876.6762666507</v>
      </c>
      <c r="V64" s="4">
        <f t="shared" si="36"/>
        <v>2975802.6820266414</v>
      </c>
      <c r="W64" s="4">
        <f t="shared" si="36"/>
        <v>4761284.2912426265</v>
      </c>
      <c r="X64" s="4">
        <f t="shared" si="36"/>
        <v>7618054.8659882024</v>
      </c>
      <c r="Y64" s="4">
        <f t="shared" si="36"/>
        <v>12188887.785581123</v>
      </c>
      <c r="Z64" s="4">
        <f t="shared" si="36"/>
        <v>19502220.456929799</v>
      </c>
      <c r="AA64" s="4">
        <f t="shared" si="36"/>
        <v>31203552.73108767</v>
      </c>
      <c r="AB64" s="4">
        <f t="shared" si="36"/>
        <v>49925684.369740285</v>
      </c>
      <c r="AC64" s="4">
        <f t="shared" si="36"/>
        <v>79881094.99158445</v>
      </c>
      <c r="AD64" s="4">
        <f t="shared" si="36"/>
        <v>127809751.98653513</v>
      </c>
      <c r="AE64" s="4">
        <f t="shared" si="36"/>
        <v>204495603.17845619</v>
      </c>
      <c r="AF64" s="4">
        <f t="shared" si="36"/>
        <v>327192965.08552986</v>
      </c>
      <c r="AG64" s="4">
        <f t="shared" si="36"/>
        <v>523508744.13684779</v>
      </c>
      <c r="AH64" s="4">
        <f t="shared" si="36"/>
        <v>837613990.61895645</v>
      </c>
      <c r="AI64" s="4">
        <f t="shared" si="36"/>
        <v>1340182384.9903305</v>
      </c>
      <c r="AJ64" s="4">
        <f t="shared" si="36"/>
        <v>2144291815.9845288</v>
      </c>
      <c r="AK64" s="4">
        <f t="shared" si="36"/>
        <v>3430866905.5752459</v>
      </c>
      <c r="AL64" s="4">
        <f t="shared" si="36"/>
        <v>5489387048.920393</v>
      </c>
      <c r="AM64" s="4">
        <f t="shared" si="36"/>
        <v>8783019278.2726307</v>
      </c>
      <c r="AN64" s="4">
        <f t="shared" si="36"/>
        <v>14052830845.236206</v>
      </c>
      <c r="AO64" s="4">
        <f t="shared" si="36"/>
        <v>22484529352.37793</v>
      </c>
      <c r="AP64" s="4">
        <f t="shared" si="36"/>
        <v>35975246963.804688</v>
      </c>
      <c r="AQ64" s="4">
        <f t="shared" si="36"/>
        <v>57560395142.087517</v>
      </c>
      <c r="AR64" s="4">
        <f t="shared" si="36"/>
        <v>92096632227.340027</v>
      </c>
      <c r="AS64" s="4">
        <f t="shared" si="36"/>
        <v>147354611563.74399</v>
      </c>
      <c r="AT64" s="4">
        <f t="shared" si="36"/>
        <v>235767378501.99039</v>
      </c>
      <c r="AU64" s="4">
        <f t="shared" si="36"/>
        <v>377227805603.18457</v>
      </c>
      <c r="AV64" s="4">
        <f t="shared" si="36"/>
        <v>603564488965.09534</v>
      </c>
      <c r="AW64" s="4">
        <f t="shared" si="36"/>
        <v>965703182344.15234</v>
      </c>
      <c r="AX64" s="4">
        <f t="shared" si="36"/>
        <v>1545125091750.6445</v>
      </c>
      <c r="AY64" s="4">
        <f t="shared" si="36"/>
        <v>2472200146801.0303</v>
      </c>
      <c r="AZ64" s="4">
        <f t="shared" si="36"/>
        <v>3955520234881.6494</v>
      </c>
      <c r="BA64" s="4">
        <f t="shared" si="36"/>
        <v>6328832375810.6367</v>
      </c>
      <c r="BB64" s="4">
        <f t="shared" si="36"/>
        <v>10126131801297.021</v>
      </c>
      <c r="BC64" s="4">
        <f t="shared" si="36"/>
        <v>16201810882075.229</v>
      </c>
      <c r="BD64" s="4">
        <f t="shared" si="36"/>
        <v>25922897411320.367</v>
      </c>
      <c r="BE64" s="4">
        <f t="shared" si="36"/>
        <v>41476635858112.586</v>
      </c>
      <c r="BF64" s="4">
        <f t="shared" si="36"/>
        <v>66362617372980.141</v>
      </c>
      <c r="BG64" s="4"/>
    </row>
    <row r="65" spans="2:59" x14ac:dyDescent="0.25">
      <c r="B65" t="s">
        <v>67</v>
      </c>
      <c r="C65" s="4">
        <f>+C63-C64</f>
        <v>15000</v>
      </c>
      <c r="D65" s="4">
        <f t="shared" ref="D65:BF65" si="37">+D63-D64</f>
        <v>15791.624076145221</v>
      </c>
      <c r="E65" s="4">
        <f t="shared" si="37"/>
        <v>16177.892625405819</v>
      </c>
      <c r="F65" s="4">
        <f t="shared" si="37"/>
        <v>15918.444159619616</v>
      </c>
      <c r="G65" s="4">
        <f t="shared" si="37"/>
        <v>15599.363782416203</v>
      </c>
      <c r="H65" s="4">
        <f t="shared" si="37"/>
        <v>16306.058707559652</v>
      </c>
      <c r="I65" s="4">
        <f t="shared" si="37"/>
        <v>17683.948800359685</v>
      </c>
      <c r="J65" s="4">
        <f t="shared" si="37"/>
        <v>33542.211141130632</v>
      </c>
      <c r="K65" s="4">
        <f t="shared" si="37"/>
        <v>58915.43088636412</v>
      </c>
      <c r="L65" s="4">
        <f t="shared" si="37"/>
        <v>99512.582478737691</v>
      </c>
      <c r="M65" s="4">
        <f t="shared" si="37"/>
        <v>164468.02502653538</v>
      </c>
      <c r="N65" s="4">
        <f t="shared" si="37"/>
        <v>268396.73310301168</v>
      </c>
      <c r="O65" s="4">
        <f t="shared" si="37"/>
        <v>434682.66602537374</v>
      </c>
      <c r="P65" s="4">
        <f t="shared" si="37"/>
        <v>700740.15870115289</v>
      </c>
      <c r="Q65" s="4">
        <f t="shared" si="37"/>
        <v>1126432.1469823993</v>
      </c>
      <c r="R65" s="4">
        <f t="shared" si="37"/>
        <v>1807539.3282323938</v>
      </c>
      <c r="S65" s="4">
        <f t="shared" si="37"/>
        <v>2897310.8182323854</v>
      </c>
      <c r="T65" s="4">
        <f t="shared" si="37"/>
        <v>4640945.202232372</v>
      </c>
      <c r="U65" s="4">
        <f t="shared" si="37"/>
        <v>7430760.2166323485</v>
      </c>
      <c r="V65" s="4">
        <f t="shared" si="37"/>
        <v>11894464.239672311</v>
      </c>
      <c r="W65" s="4">
        <f t="shared" si="37"/>
        <v>19036390.676536251</v>
      </c>
      <c r="X65" s="4">
        <f t="shared" si="37"/>
        <v>30463472.975518554</v>
      </c>
      <c r="Y65" s="4">
        <f t="shared" si="37"/>
        <v>48746804.653890237</v>
      </c>
      <c r="Z65" s="4">
        <f t="shared" si="37"/>
        <v>78000135.339284927</v>
      </c>
      <c r="AA65" s="4">
        <f t="shared" si="37"/>
        <v>124805464.43591644</v>
      </c>
      <c r="AB65" s="4">
        <f t="shared" si="37"/>
        <v>199693990.99052683</v>
      </c>
      <c r="AC65" s="4">
        <f t="shared" si="37"/>
        <v>319515633.47790349</v>
      </c>
      <c r="AD65" s="4">
        <f t="shared" si="37"/>
        <v>511230261.45770615</v>
      </c>
      <c r="AE65" s="4">
        <f t="shared" si="37"/>
        <v>817973666.22539043</v>
      </c>
      <c r="AF65" s="4">
        <f t="shared" si="37"/>
        <v>1308763113.8536854</v>
      </c>
      <c r="AG65" s="4">
        <f t="shared" si="37"/>
        <v>2094026230.0589569</v>
      </c>
      <c r="AH65" s="4">
        <f t="shared" si="37"/>
        <v>3350447215.9873915</v>
      </c>
      <c r="AI65" s="4">
        <f t="shared" si="37"/>
        <v>5360720793.4728861</v>
      </c>
      <c r="AJ65" s="4">
        <f t="shared" si="37"/>
        <v>8577158517.4496794</v>
      </c>
      <c r="AK65" s="4">
        <f t="shared" si="37"/>
        <v>13723458875.81255</v>
      </c>
      <c r="AL65" s="4">
        <f t="shared" si="37"/>
        <v>21957539449.193138</v>
      </c>
      <c r="AM65" s="4">
        <f t="shared" si="37"/>
        <v>35132068366.602081</v>
      </c>
      <c r="AN65" s="4">
        <f t="shared" si="37"/>
        <v>56211314634.45639</v>
      </c>
      <c r="AO65" s="4">
        <f t="shared" si="37"/>
        <v>89938108663.023285</v>
      </c>
      <c r="AP65" s="4">
        <f t="shared" si="37"/>
        <v>143900979108.73032</v>
      </c>
      <c r="AQ65" s="4">
        <f t="shared" si="37"/>
        <v>230241571821.86157</v>
      </c>
      <c r="AR65" s="4">
        <f t="shared" si="37"/>
        <v>368386520162.87158</v>
      </c>
      <c r="AS65" s="4">
        <f t="shared" si="37"/>
        <v>589418437508.48767</v>
      </c>
      <c r="AT65" s="4">
        <f t="shared" si="37"/>
        <v>943069505261.47327</v>
      </c>
      <c r="AU65" s="4">
        <f t="shared" si="37"/>
        <v>1508911213666.2502</v>
      </c>
      <c r="AV65" s="4">
        <f t="shared" si="37"/>
        <v>2414257947113.8931</v>
      </c>
      <c r="AW65" s="4">
        <f t="shared" si="37"/>
        <v>3862812720630.1221</v>
      </c>
      <c r="AX65" s="4">
        <f t="shared" si="37"/>
        <v>6180500358256.0879</v>
      </c>
      <c r="AY65" s="4">
        <f t="shared" si="37"/>
        <v>9888800578457.6328</v>
      </c>
      <c r="AZ65" s="4">
        <f t="shared" si="37"/>
        <v>15822080930780.105</v>
      </c>
      <c r="BA65" s="4">
        <f t="shared" si="37"/>
        <v>25315329494496.063</v>
      </c>
      <c r="BB65" s="4">
        <f t="shared" si="37"/>
        <v>40504527196441.586</v>
      </c>
      <c r="BC65" s="4">
        <f t="shared" si="37"/>
        <v>64807243519554.445</v>
      </c>
      <c r="BD65" s="4">
        <f t="shared" si="37"/>
        <v>103691589636535</v>
      </c>
      <c r="BE65" s="4">
        <f t="shared" si="37"/>
        <v>165906543423703.84</v>
      </c>
      <c r="BF65" s="4">
        <f t="shared" si="37"/>
        <v>265450469483174.06</v>
      </c>
      <c r="BG65" s="4"/>
    </row>
    <row r="68" spans="2:59" x14ac:dyDescent="0.25">
      <c r="B68" t="s">
        <v>86</v>
      </c>
    </row>
    <row r="69" spans="2:59" x14ac:dyDescent="0.25">
      <c r="B69" t="s">
        <v>87</v>
      </c>
      <c r="C69" s="4">
        <f t="shared" ref="C69:V69" si="38">+C37+C39</f>
        <v>479.99999999999955</v>
      </c>
      <c r="D69" s="4">
        <f t="shared" si="38"/>
        <v>1061.9149099927906</v>
      </c>
      <c r="E69" s="4">
        <f t="shared" si="38"/>
        <v>1593.927118640303</v>
      </c>
      <c r="F69" s="4">
        <f t="shared" si="38"/>
        <v>2107.2303347295083</v>
      </c>
      <c r="G69" s="4">
        <f t="shared" si="38"/>
        <v>2288.9121860625605</v>
      </c>
      <c r="H69" s="4">
        <f t="shared" si="38"/>
        <v>2035.5194552727219</v>
      </c>
      <c r="I69" s="4">
        <f t="shared" si="38"/>
        <v>-15858.262340770912</v>
      </c>
      <c r="J69" s="4">
        <f t="shared" si="38"/>
        <v>-25373.219745233459</v>
      </c>
      <c r="K69" s="4">
        <f t="shared" si="38"/>
        <v>-40597.151592373535</v>
      </c>
      <c r="L69" s="4">
        <f t="shared" si="38"/>
        <v>-64955.44254779764</v>
      </c>
      <c r="M69" s="4">
        <f t="shared" si="38"/>
        <v>-103928.70807647622</v>
      </c>
      <c r="N69" s="4">
        <f t="shared" si="38"/>
        <v>-166285.93292236197</v>
      </c>
      <c r="O69" s="4">
        <f t="shared" si="38"/>
        <v>-266057.4926757791</v>
      </c>
      <c r="P69" s="4">
        <f t="shared" si="38"/>
        <v>-425691.98828124651</v>
      </c>
      <c r="Q69" s="4">
        <f t="shared" si="38"/>
        <v>-681107.18124999455</v>
      </c>
      <c r="R69" s="4">
        <f t="shared" si="38"/>
        <v>-1089771.4899999911</v>
      </c>
      <c r="S69" s="4">
        <f t="shared" si="38"/>
        <v>-1743634.3839999859</v>
      </c>
      <c r="T69" s="4">
        <f t="shared" si="38"/>
        <v>-2789815.0143999769</v>
      </c>
      <c r="U69" s="4">
        <f t="shared" si="38"/>
        <v>-4463704.0230399622</v>
      </c>
      <c r="V69" s="4">
        <f t="shared" si="38"/>
        <v>-7141926.4368639393</v>
      </c>
      <c r="W69" s="4">
        <f>+W37+W39</f>
        <v>-11427082.298982304</v>
      </c>
    </row>
    <row r="70" spans="2:59" x14ac:dyDescent="0.25">
      <c r="B70" t="str">
        <f>+B26</f>
        <v>rA</v>
      </c>
      <c r="C70" s="3">
        <f>+C26</f>
        <v>0.12</v>
      </c>
      <c r="D70" s="3">
        <f t="shared" ref="D70:W70" si="39">+D26</f>
        <v>0.12</v>
      </c>
      <c r="E70" s="3">
        <f t="shared" si="39"/>
        <v>0.12</v>
      </c>
      <c r="F70" s="3">
        <f t="shared" si="39"/>
        <v>0.12</v>
      </c>
      <c r="G70" s="3">
        <f t="shared" si="39"/>
        <v>0.12</v>
      </c>
      <c r="H70" s="3">
        <f t="shared" si="39"/>
        <v>0.12</v>
      </c>
      <c r="I70" s="3">
        <f t="shared" si="39"/>
        <v>0.12</v>
      </c>
      <c r="J70" s="3">
        <f t="shared" si="39"/>
        <v>0.12</v>
      </c>
      <c r="K70" s="3">
        <f t="shared" si="39"/>
        <v>0.12</v>
      </c>
      <c r="L70" s="3">
        <f t="shared" si="39"/>
        <v>0.12</v>
      </c>
      <c r="M70" s="3">
        <f t="shared" si="39"/>
        <v>0.12</v>
      </c>
      <c r="N70" s="3">
        <f t="shared" si="39"/>
        <v>0.12</v>
      </c>
      <c r="O70" s="3">
        <f t="shared" si="39"/>
        <v>0.12</v>
      </c>
      <c r="P70" s="3">
        <f t="shared" si="39"/>
        <v>0.12</v>
      </c>
      <c r="Q70" s="3">
        <f t="shared" si="39"/>
        <v>0.12</v>
      </c>
      <c r="R70" s="3">
        <f t="shared" si="39"/>
        <v>0.12</v>
      </c>
      <c r="S70" s="3">
        <f t="shared" si="39"/>
        <v>0.12</v>
      </c>
      <c r="T70" s="3">
        <f t="shared" si="39"/>
        <v>0.12</v>
      </c>
      <c r="U70" s="3">
        <f t="shared" si="39"/>
        <v>0.12</v>
      </c>
      <c r="V70" s="3">
        <f t="shared" si="39"/>
        <v>0.12</v>
      </c>
      <c r="W70" s="3">
        <f t="shared" si="39"/>
        <v>0.12</v>
      </c>
    </row>
    <row r="71" spans="2:59" s="12" customFormat="1" x14ac:dyDescent="0.25">
      <c r="B71" s="12" t="s">
        <v>19</v>
      </c>
      <c r="C71" s="13">
        <f t="shared" ref="C71:U71" si="40">+(C69+D71)/(1+C70)</f>
        <v>22816.982616165908</v>
      </c>
      <c r="D71" s="13">
        <f t="shared" si="40"/>
        <v>25075.020530105819</v>
      </c>
      <c r="E71" s="13">
        <f t="shared" si="40"/>
        <v>27022.108083725732</v>
      </c>
      <c r="F71" s="13">
        <f t="shared" si="40"/>
        <v>28670.833935132519</v>
      </c>
      <c r="G71" s="13">
        <f t="shared" si="40"/>
        <v>30004.103672618916</v>
      </c>
      <c r="H71" s="13">
        <f t="shared" si="40"/>
        <v>31315.683927270627</v>
      </c>
      <c r="I71" s="13">
        <f t="shared" si="40"/>
        <v>33038.046543270386</v>
      </c>
      <c r="J71" s="13">
        <f t="shared" si="40"/>
        <v>52860.87446923375</v>
      </c>
      <c r="K71" s="13">
        <f t="shared" si="40"/>
        <v>84577.399150775265</v>
      </c>
      <c r="L71" s="13">
        <f t="shared" si="40"/>
        <v>135323.83864124183</v>
      </c>
      <c r="M71" s="13">
        <f t="shared" si="40"/>
        <v>216518.14182598851</v>
      </c>
      <c r="N71" s="13">
        <f t="shared" si="40"/>
        <v>346429.0269215834</v>
      </c>
      <c r="O71" s="13">
        <f t="shared" si="40"/>
        <v>554286.44307453546</v>
      </c>
      <c r="P71" s="13">
        <f t="shared" si="40"/>
        <v>886858.30891925888</v>
      </c>
      <c r="Q71" s="13">
        <f t="shared" si="40"/>
        <v>1418973.2942708165</v>
      </c>
      <c r="R71" s="13">
        <f t="shared" si="40"/>
        <v>2270357.2708333093</v>
      </c>
      <c r="S71" s="13">
        <f t="shared" si="40"/>
        <v>3632571.6333332974</v>
      </c>
      <c r="T71" s="13">
        <f t="shared" si="40"/>
        <v>5812114.6133332793</v>
      </c>
      <c r="U71" s="13">
        <f t="shared" si="40"/>
        <v>9299383.3813332506</v>
      </c>
      <c r="V71" s="13">
        <f>+(V69+W71)/(1+V70)</f>
        <v>14879013.410133205</v>
      </c>
      <c r="W71" s="13">
        <f>+W69/(W70-X23)</f>
        <v>23806421.456213132</v>
      </c>
    </row>
    <row r="74" spans="2:59" x14ac:dyDescent="0.25">
      <c r="B74" t="s">
        <v>88</v>
      </c>
    </row>
    <row r="75" spans="2:59" x14ac:dyDescent="0.25">
      <c r="B75" t="str">
        <f>+B41</f>
        <v>FCFE</v>
      </c>
      <c r="C75" s="4">
        <f t="shared" ref="C75:T75" si="41">+C41</f>
        <v>1608.3759238547793</v>
      </c>
      <c r="D75" s="4">
        <f t="shared" si="41"/>
        <v>2286.5423990035315</v>
      </c>
      <c r="E75" s="4">
        <f t="shared" si="41"/>
        <v>3136.8090821340811</v>
      </c>
      <c r="F75" s="4">
        <f t="shared" si="41"/>
        <v>3318.1574382853769</v>
      </c>
      <c r="G75" s="4">
        <f t="shared" si="41"/>
        <v>2366.7029994063064</v>
      </c>
      <c r="H75" s="4">
        <f t="shared" si="41"/>
        <v>1847.6253517090754</v>
      </c>
      <c r="I75" s="4">
        <f t="shared" si="41"/>
        <v>-12455.34354681383</v>
      </c>
      <c r="J75" s="4">
        <f t="shared" si="41"/>
        <v>-19928.549674902126</v>
      </c>
      <c r="K75" s="4">
        <f t="shared" si="41"/>
        <v>-31885.679479843395</v>
      </c>
      <c r="L75" s="4">
        <f t="shared" si="41"/>
        <v>-51017.087167749407</v>
      </c>
      <c r="M75" s="4">
        <f t="shared" si="41"/>
        <v>-81627.339468399063</v>
      </c>
      <c r="N75" s="4">
        <f t="shared" si="41"/>
        <v>-130603.74314943848</v>
      </c>
      <c r="O75" s="4">
        <f t="shared" si="41"/>
        <v>-208965.98903910149</v>
      </c>
      <c r="P75" s="4">
        <f t="shared" si="41"/>
        <v>-334345.58246256236</v>
      </c>
      <c r="Q75" s="4">
        <f t="shared" si="41"/>
        <v>-534952.93194009992</v>
      </c>
      <c r="R75" s="4">
        <f t="shared" si="41"/>
        <v>-855924.69110415969</v>
      </c>
      <c r="S75" s="4">
        <f t="shared" si="41"/>
        <v>-1369479.5057666556</v>
      </c>
      <c r="T75" s="4">
        <f t="shared" si="41"/>
        <v>-2191167.2092266483</v>
      </c>
    </row>
    <row r="76" spans="2:59" x14ac:dyDescent="0.25">
      <c r="B76" t="str">
        <f>+B28</f>
        <v>rE=(rA-D/V*rD)/(1-D/V)</v>
      </c>
      <c r="C76" s="3">
        <f t="shared" ref="C76:T76" si="42">+C28</f>
        <v>0.12</v>
      </c>
      <c r="D76" s="3">
        <f t="shared" si="42"/>
        <v>0.12235602094240838</v>
      </c>
      <c r="E76" s="3">
        <f t="shared" si="42"/>
        <v>0.12445054945054944</v>
      </c>
      <c r="F76" s="3">
        <f t="shared" si="42"/>
        <v>0.12678362573099414</v>
      </c>
      <c r="G76" s="3">
        <f t="shared" si="42"/>
        <v>0.12820987654320987</v>
      </c>
      <c r="H76" s="3">
        <f t="shared" si="42"/>
        <v>0.12874999999999998</v>
      </c>
      <c r="I76" s="3">
        <f t="shared" si="42"/>
        <v>0.12874999999999998</v>
      </c>
      <c r="J76" s="3">
        <f t="shared" si="42"/>
        <v>0.12874999999999998</v>
      </c>
      <c r="K76" s="3">
        <f t="shared" si="42"/>
        <v>0.12874999999999998</v>
      </c>
      <c r="L76" s="3">
        <f t="shared" si="42"/>
        <v>0.12874999999999998</v>
      </c>
      <c r="M76" s="3">
        <f t="shared" si="42"/>
        <v>0.12874999999999998</v>
      </c>
      <c r="N76" s="3">
        <f t="shared" si="42"/>
        <v>0.12874999999999998</v>
      </c>
      <c r="O76" s="3">
        <f t="shared" si="42"/>
        <v>0.12874999999999998</v>
      </c>
      <c r="P76" s="3">
        <f t="shared" si="42"/>
        <v>0.12874999999999998</v>
      </c>
      <c r="Q76" s="3">
        <f t="shared" si="42"/>
        <v>0.12874999999999998</v>
      </c>
      <c r="R76" s="3">
        <f t="shared" si="42"/>
        <v>0.12874999999999998</v>
      </c>
      <c r="S76" s="3">
        <f t="shared" si="42"/>
        <v>0.12874999999999998</v>
      </c>
      <c r="T76" s="3">
        <f t="shared" si="42"/>
        <v>0.12874999999999998</v>
      </c>
    </row>
    <row r="77" spans="2:59" x14ac:dyDescent="0.25">
      <c r="B77" t="s">
        <v>89</v>
      </c>
      <c r="C77" s="4">
        <f t="shared" ref="C77:R77" si="43">+(C75+D77)/(1+C76)</f>
        <v>22816.982616166872</v>
      </c>
      <c r="D77" s="4">
        <f t="shared" si="43"/>
        <v>23946.644606252121</v>
      </c>
      <c r="E77" s="4">
        <f t="shared" si="43"/>
        <v>24590.118356191586</v>
      </c>
      <c r="F77" s="4">
        <f t="shared" si="43"/>
        <v>24513.563014539588</v>
      </c>
      <c r="G77" s="4">
        <f t="shared" si="43"/>
        <v>24303.323974822742</v>
      </c>
      <c r="H77" s="4">
        <f t="shared" si="43"/>
        <v>25052.547141818093</v>
      </c>
      <c r="I77" s="4">
        <f t="shared" si="43"/>
        <v>26430.437234618093</v>
      </c>
      <c r="J77" s="4">
        <f t="shared" si="43"/>
        <v>42288.699575389001</v>
      </c>
      <c r="K77" s="4">
        <f t="shared" si="43"/>
        <v>67661.919320622459</v>
      </c>
      <c r="L77" s="4">
        <f t="shared" si="43"/>
        <v>108259.070912996</v>
      </c>
      <c r="M77" s="4">
        <f t="shared" si="43"/>
        <v>173214.51346079365</v>
      </c>
      <c r="N77" s="4">
        <f t="shared" si="43"/>
        <v>277143.22153726988</v>
      </c>
      <c r="O77" s="4">
        <f t="shared" si="43"/>
        <v>443429.15445963183</v>
      </c>
      <c r="P77" s="4">
        <f t="shared" si="43"/>
        <v>709486.64713541092</v>
      </c>
      <c r="Q77" s="4">
        <f t="shared" si="43"/>
        <v>1135178.6354166574</v>
      </c>
      <c r="R77" s="4">
        <f t="shared" si="43"/>
        <v>1816285.816666652</v>
      </c>
      <c r="S77" s="4">
        <f>+(S75+T77)/(1+S76)</f>
        <v>2906057.3066666429</v>
      </c>
      <c r="T77" s="4">
        <f>+T75/(T76-U23)</f>
        <v>4649691.6906666281</v>
      </c>
    </row>
    <row r="78" spans="2:59" x14ac:dyDescent="0.25">
      <c r="B78" t="str">
        <f>+B64</f>
        <v>D boy</v>
      </c>
      <c r="C78" s="4">
        <f>+C64</f>
        <v>0</v>
      </c>
      <c r="D78" s="4">
        <f t="shared" ref="D78:T78" si="44">+D64</f>
        <v>1128.3759238547798</v>
      </c>
      <c r="E78" s="4">
        <f t="shared" si="44"/>
        <v>2431.9897275353555</v>
      </c>
      <c r="F78" s="4">
        <f t="shared" si="44"/>
        <v>4157.2709205942856</v>
      </c>
      <c r="G78" s="4">
        <f t="shared" si="44"/>
        <v>5700.7796977976968</v>
      </c>
      <c r="H78" s="4">
        <f t="shared" si="44"/>
        <v>6263.1367854542468</v>
      </c>
      <c r="I78" s="4">
        <f t="shared" si="44"/>
        <v>6607.6093086542114</v>
      </c>
      <c r="J78" s="4">
        <f t="shared" si="44"/>
        <v>10572.174893846901</v>
      </c>
      <c r="K78" s="4">
        <f t="shared" si="44"/>
        <v>16915.479830155218</v>
      </c>
      <c r="L78" s="4">
        <f t="shared" si="44"/>
        <v>27064.767728248553</v>
      </c>
      <c r="M78" s="4">
        <f t="shared" si="44"/>
        <v>43303.62836519791</v>
      </c>
      <c r="N78" s="4">
        <f t="shared" si="44"/>
        <v>69285.805384316904</v>
      </c>
      <c r="O78" s="4">
        <f t="shared" si="44"/>
        <v>110857.28861490733</v>
      </c>
      <c r="P78" s="4">
        <f t="shared" si="44"/>
        <v>177371.66178385203</v>
      </c>
      <c r="Q78" s="4">
        <f t="shared" si="44"/>
        <v>283794.6588541636</v>
      </c>
      <c r="R78" s="4">
        <f t="shared" si="44"/>
        <v>454071.45416666218</v>
      </c>
      <c r="S78" s="4">
        <f t="shared" si="44"/>
        <v>726514.32666665991</v>
      </c>
      <c r="T78" s="4">
        <f t="shared" si="44"/>
        <v>1162422.9226666563</v>
      </c>
    </row>
    <row r="79" spans="2:59" x14ac:dyDescent="0.25">
      <c r="B79" s="12" t="s">
        <v>19</v>
      </c>
      <c r="C79" s="13">
        <f>+C77+C78</f>
        <v>22816.982616166872</v>
      </c>
      <c r="D79" s="13">
        <f t="shared" ref="D79:T79" si="45">+D77+D78</f>
        <v>25075.0205301069</v>
      </c>
      <c r="E79" s="13">
        <f t="shared" si="45"/>
        <v>27022.10808372694</v>
      </c>
      <c r="F79" s="13">
        <f t="shared" si="45"/>
        <v>28670.833935133873</v>
      </c>
      <c r="G79" s="13">
        <f t="shared" si="45"/>
        <v>30004.10367262044</v>
      </c>
      <c r="H79" s="13">
        <f t="shared" si="45"/>
        <v>31315.683927272341</v>
      </c>
      <c r="I79" s="13">
        <f t="shared" si="45"/>
        <v>33038.046543272307</v>
      </c>
      <c r="J79" s="13">
        <f t="shared" si="45"/>
        <v>52860.874469235903</v>
      </c>
      <c r="K79" s="13">
        <f t="shared" si="45"/>
        <v>84577.399150777681</v>
      </c>
      <c r="L79" s="13">
        <f t="shared" si="45"/>
        <v>135323.83864124457</v>
      </c>
      <c r="M79" s="13">
        <f t="shared" si="45"/>
        <v>216518.14182599157</v>
      </c>
      <c r="N79" s="13">
        <f t="shared" si="45"/>
        <v>346429.02692158677</v>
      </c>
      <c r="O79" s="13">
        <f t="shared" si="45"/>
        <v>554286.44307453919</v>
      </c>
      <c r="P79" s="13">
        <f t="shared" si="45"/>
        <v>886858.30891926296</v>
      </c>
      <c r="Q79" s="13">
        <f t="shared" si="45"/>
        <v>1418973.2942708209</v>
      </c>
      <c r="R79" s="13">
        <f t="shared" si="45"/>
        <v>2270357.2708333144</v>
      </c>
      <c r="S79" s="13">
        <f t="shared" si="45"/>
        <v>3632571.633333303</v>
      </c>
      <c r="T79" s="13">
        <f t="shared" si="45"/>
        <v>5812114.6133332849</v>
      </c>
    </row>
    <row r="82" spans="2:21" x14ac:dyDescent="0.25">
      <c r="B82" t="s">
        <v>90</v>
      </c>
    </row>
    <row r="83" spans="2:21" x14ac:dyDescent="0.25">
      <c r="B83" s="4" t="str">
        <f>+B35</f>
        <v>Noplat</v>
      </c>
      <c r="C83" s="4">
        <f t="shared" ref="C83:T83" si="46">+C35</f>
        <v>2400</v>
      </c>
      <c r="D83" s="4">
        <f t="shared" si="46"/>
        <v>2736</v>
      </c>
      <c r="E83" s="4">
        <f t="shared" si="46"/>
        <v>3023.2799999999997</v>
      </c>
      <c r="F83" s="4">
        <f t="shared" si="46"/>
        <v>3265.1423999999997</v>
      </c>
      <c r="G83" s="4">
        <f t="shared" si="46"/>
        <v>3461.0509439999996</v>
      </c>
      <c r="H83" s="4">
        <f t="shared" si="46"/>
        <v>3651.4087459199995</v>
      </c>
      <c r="I83" s="4">
        <f t="shared" si="46"/>
        <v>3852.2362269455994</v>
      </c>
      <c r="J83" s="4">
        <f t="shared" si="46"/>
        <v>6163.577963112959</v>
      </c>
      <c r="K83" s="4">
        <f t="shared" si="46"/>
        <v>9861.7247409807351</v>
      </c>
      <c r="L83" s="4">
        <f t="shared" si="46"/>
        <v>15778.759585569176</v>
      </c>
      <c r="M83" s="4">
        <f t="shared" si="46"/>
        <v>25246.015336910681</v>
      </c>
      <c r="N83" s="4">
        <f t="shared" si="46"/>
        <v>40393.624539057091</v>
      </c>
      <c r="O83" s="4">
        <f t="shared" si="46"/>
        <v>64629.799262491346</v>
      </c>
      <c r="P83" s="4">
        <f t="shared" si="46"/>
        <v>103407.67881998615</v>
      </c>
      <c r="Q83" s="4">
        <f t="shared" si="46"/>
        <v>165452.28611197782</v>
      </c>
      <c r="R83" s="4">
        <f t="shared" si="46"/>
        <v>264723.6577791645</v>
      </c>
      <c r="S83" s="4">
        <f t="shared" si="46"/>
        <v>423557.85244666319</v>
      </c>
      <c r="T83" s="4">
        <f t="shared" si="46"/>
        <v>677692.56391466106</v>
      </c>
    </row>
    <row r="84" spans="2:21" x14ac:dyDescent="0.25">
      <c r="B84" s="4" t="str">
        <f>+B63</f>
        <v>IC boy</v>
      </c>
      <c r="C84" s="4">
        <f t="shared" ref="C84:T84" si="47">+C63</f>
        <v>15000</v>
      </c>
      <c r="D84" s="4">
        <f t="shared" si="47"/>
        <v>16920</v>
      </c>
      <c r="E84" s="4">
        <f t="shared" si="47"/>
        <v>18609.882352941175</v>
      </c>
      <c r="F84" s="4">
        <f t="shared" si="47"/>
        <v>20075.7150802139</v>
      </c>
      <c r="G84" s="4">
        <f t="shared" si="47"/>
        <v>21300.143480213901</v>
      </c>
      <c r="H84" s="4">
        <f t="shared" si="47"/>
        <v>22569.1954930139</v>
      </c>
      <c r="I84" s="4">
        <f t="shared" si="47"/>
        <v>24291.558109013899</v>
      </c>
      <c r="J84" s="4">
        <f t="shared" si="47"/>
        <v>44114.386034977535</v>
      </c>
      <c r="K84" s="4">
        <f t="shared" si="47"/>
        <v>75830.910716519342</v>
      </c>
      <c r="L84" s="4">
        <f t="shared" si="47"/>
        <v>126577.35020698624</v>
      </c>
      <c r="M84" s="4">
        <f t="shared" si="47"/>
        <v>207771.6533917333</v>
      </c>
      <c r="N84" s="4">
        <f t="shared" si="47"/>
        <v>337682.53848732857</v>
      </c>
      <c r="O84" s="4">
        <f t="shared" si="47"/>
        <v>545539.95464028104</v>
      </c>
      <c r="P84" s="4">
        <f t="shared" si="47"/>
        <v>878111.82048500492</v>
      </c>
      <c r="Q84" s="4">
        <f t="shared" si="47"/>
        <v>1410226.805836563</v>
      </c>
      <c r="R84" s="4">
        <f t="shared" si="47"/>
        <v>2261610.782399056</v>
      </c>
      <c r="S84" s="4">
        <f t="shared" si="47"/>
        <v>3623825.1448990451</v>
      </c>
      <c r="T84" s="4">
        <f t="shared" si="47"/>
        <v>5803368.1248990279</v>
      </c>
    </row>
    <row r="85" spans="2:21" x14ac:dyDescent="0.25">
      <c r="B85" s="3" t="str">
        <f>+B29</f>
        <v>WACC=rA-D/V*rD*t</v>
      </c>
      <c r="C85" s="3">
        <f t="shared" ref="C85:T85" si="48">+C29</f>
        <v>0.12</v>
      </c>
      <c r="D85" s="3">
        <f t="shared" si="48"/>
        <v>0.11936999999999999</v>
      </c>
      <c r="E85" s="3">
        <f t="shared" si="48"/>
        <v>0.11864999999999999</v>
      </c>
      <c r="F85" s="3">
        <f t="shared" si="48"/>
        <v>0.11767999999999999</v>
      </c>
      <c r="G85" s="3">
        <f t="shared" si="48"/>
        <v>0.11677</v>
      </c>
      <c r="H85" s="3">
        <f t="shared" si="48"/>
        <v>0.1166</v>
      </c>
      <c r="I85" s="3">
        <f t="shared" si="48"/>
        <v>0.1166</v>
      </c>
      <c r="J85" s="3">
        <f t="shared" si="48"/>
        <v>0.1166</v>
      </c>
      <c r="K85" s="3">
        <f t="shared" si="48"/>
        <v>0.1166</v>
      </c>
      <c r="L85" s="3">
        <f t="shared" si="48"/>
        <v>0.1166</v>
      </c>
      <c r="M85" s="3">
        <f t="shared" si="48"/>
        <v>0.1166</v>
      </c>
      <c r="N85" s="3">
        <f t="shared" si="48"/>
        <v>0.1166</v>
      </c>
      <c r="O85" s="3">
        <f t="shared" si="48"/>
        <v>0.1166</v>
      </c>
      <c r="P85" s="3">
        <f t="shared" si="48"/>
        <v>0.1166</v>
      </c>
      <c r="Q85" s="3">
        <f t="shared" si="48"/>
        <v>0.1166</v>
      </c>
      <c r="R85" s="3">
        <f t="shared" si="48"/>
        <v>0.1166</v>
      </c>
      <c r="S85" s="3">
        <f t="shared" si="48"/>
        <v>0.1166</v>
      </c>
      <c r="T85" s="3">
        <f t="shared" si="48"/>
        <v>0.1166</v>
      </c>
    </row>
    <row r="86" spans="2:21" x14ac:dyDescent="0.25">
      <c r="B86" t="s">
        <v>91</v>
      </c>
      <c r="C86" s="4">
        <f>+C84*C85</f>
        <v>1800</v>
      </c>
      <c r="D86" s="4">
        <f>+D84*D85</f>
        <v>2019.7403999999999</v>
      </c>
      <c r="E86" s="4">
        <f t="shared" ref="E86:T86" si="49">+E84*E85</f>
        <v>2208.0625411764704</v>
      </c>
      <c r="F86" s="4">
        <f t="shared" si="49"/>
        <v>2362.5101506395717</v>
      </c>
      <c r="G86" s="4">
        <f t="shared" si="49"/>
        <v>2487.2177541845772</v>
      </c>
      <c r="H86" s="4">
        <f t="shared" si="49"/>
        <v>2631.5681944854205</v>
      </c>
      <c r="I86" s="4">
        <f t="shared" si="49"/>
        <v>2832.3956755110203</v>
      </c>
      <c r="J86" s="4">
        <f t="shared" si="49"/>
        <v>5143.7374116783803</v>
      </c>
      <c r="K86" s="4">
        <f t="shared" si="49"/>
        <v>8841.8841895461555</v>
      </c>
      <c r="L86" s="4">
        <f t="shared" si="49"/>
        <v>14758.919034134595</v>
      </c>
      <c r="M86" s="4">
        <f t="shared" si="49"/>
        <v>24226.174785476102</v>
      </c>
      <c r="N86" s="4">
        <f t="shared" si="49"/>
        <v>39373.783987622512</v>
      </c>
      <c r="O86" s="4">
        <f t="shared" si="49"/>
        <v>63609.958711056766</v>
      </c>
      <c r="P86" s="4">
        <f t="shared" si="49"/>
        <v>102387.83826855157</v>
      </c>
      <c r="Q86" s="4">
        <f t="shared" si="49"/>
        <v>164432.44556054324</v>
      </c>
      <c r="R86" s="4">
        <f t="shared" si="49"/>
        <v>263703.81722772995</v>
      </c>
      <c r="S86" s="4">
        <f t="shared" si="49"/>
        <v>422538.01189522864</v>
      </c>
      <c r="T86" s="4">
        <f t="shared" si="49"/>
        <v>676672.72336322663</v>
      </c>
    </row>
    <row r="87" spans="2:21" x14ac:dyDescent="0.25">
      <c r="B87" t="s">
        <v>90</v>
      </c>
      <c r="C87" s="4">
        <f>+C83-C86</f>
        <v>600</v>
      </c>
      <c r="D87" s="4">
        <f>+D83-D86</f>
        <v>716.25960000000009</v>
      </c>
      <c r="E87" s="4">
        <f t="shared" ref="E87:T87" si="50">+E83-E86</f>
        <v>815.21745882352934</v>
      </c>
      <c r="F87" s="4">
        <f t="shared" si="50"/>
        <v>902.63224936042798</v>
      </c>
      <c r="G87" s="4">
        <f t="shared" si="50"/>
        <v>973.83318981542243</v>
      </c>
      <c r="H87" s="4">
        <f t="shared" si="50"/>
        <v>1019.8405514345791</v>
      </c>
      <c r="I87" s="4">
        <f t="shared" si="50"/>
        <v>1019.8405514345791</v>
      </c>
      <c r="J87" s="4">
        <f t="shared" si="50"/>
        <v>1019.8405514345786</v>
      </c>
      <c r="K87" s="4">
        <f t="shared" si="50"/>
        <v>1019.8405514345795</v>
      </c>
      <c r="L87" s="4">
        <f t="shared" si="50"/>
        <v>1019.8405514345814</v>
      </c>
      <c r="M87" s="4">
        <f t="shared" si="50"/>
        <v>1019.8405514345795</v>
      </c>
      <c r="N87" s="4">
        <f t="shared" si="50"/>
        <v>1019.8405514345795</v>
      </c>
      <c r="O87" s="4">
        <f t="shared" si="50"/>
        <v>1019.8405514345795</v>
      </c>
      <c r="P87" s="4">
        <f t="shared" si="50"/>
        <v>1019.8405514345795</v>
      </c>
      <c r="Q87" s="4">
        <f t="shared" si="50"/>
        <v>1019.8405514345795</v>
      </c>
      <c r="R87" s="4">
        <f t="shared" si="50"/>
        <v>1019.8405514345504</v>
      </c>
      <c r="S87" s="4">
        <f t="shared" si="50"/>
        <v>1019.8405514345504</v>
      </c>
      <c r="T87" s="4">
        <f t="shared" si="50"/>
        <v>1019.840551434434</v>
      </c>
      <c r="U87" s="4"/>
    </row>
    <row r="88" spans="2:21" x14ac:dyDescent="0.25">
      <c r="B88" t="s">
        <v>92</v>
      </c>
      <c r="C88" s="4">
        <f t="shared" ref="C88:R88" si="51">+(C87+D88)/(1+C85)</f>
        <v>7816.982616166827</v>
      </c>
      <c r="D88" s="4">
        <f t="shared" si="51"/>
        <v>8155.0205301068472</v>
      </c>
      <c r="E88" s="4">
        <f t="shared" si="51"/>
        <v>8412.2257307857017</v>
      </c>
      <c r="F88" s="4">
        <f t="shared" si="51"/>
        <v>8595.118854919896</v>
      </c>
      <c r="G88" s="4">
        <f t="shared" si="51"/>
        <v>8703.9601924064409</v>
      </c>
      <c r="H88" s="4">
        <f t="shared" si="51"/>
        <v>8746.4884342583191</v>
      </c>
      <c r="I88" s="4">
        <f t="shared" si="51"/>
        <v>8746.4884342582609</v>
      </c>
      <c r="J88" s="4">
        <f t="shared" si="51"/>
        <v>8746.4884342581954</v>
      </c>
      <c r="K88" s="4">
        <f t="shared" si="51"/>
        <v>8746.4884342581208</v>
      </c>
      <c r="L88" s="4">
        <f t="shared" si="51"/>
        <v>8746.488434258039</v>
      </c>
      <c r="M88" s="4">
        <f t="shared" si="51"/>
        <v>8746.4884342579462</v>
      </c>
      <c r="N88" s="4">
        <f t="shared" si="51"/>
        <v>8746.4884342578443</v>
      </c>
      <c r="O88" s="4">
        <f t="shared" si="51"/>
        <v>8746.4884342577298</v>
      </c>
      <c r="P88" s="4">
        <f t="shared" si="51"/>
        <v>8746.4884342576024</v>
      </c>
      <c r="Q88" s="4">
        <f t="shared" si="51"/>
        <v>8746.4884342574605</v>
      </c>
      <c r="R88" s="4">
        <f t="shared" si="51"/>
        <v>8746.4884342573005</v>
      </c>
      <c r="S88" s="4">
        <f>+(S87+T88)/(1+S85)</f>
        <v>8746.4884342571513</v>
      </c>
      <c r="T88" s="14">
        <f>+T79-T84</f>
        <v>8746.4884342569858</v>
      </c>
      <c r="U88" s="4">
        <f>+T87/T85+U36*(V22-V29)/V29/(V29-W23)</f>
        <v>8746.4884342575824</v>
      </c>
    </row>
    <row r="89" spans="2:21" x14ac:dyDescent="0.25">
      <c r="B89" s="12" t="s">
        <v>19</v>
      </c>
      <c r="C89" s="13">
        <f>+C88+C84</f>
        <v>22816.982616166828</v>
      </c>
      <c r="D89" s="13">
        <f t="shared" ref="D89:T89" si="52">+D88+D84</f>
        <v>25075.020530106849</v>
      </c>
      <c r="E89" s="13">
        <f t="shared" si="52"/>
        <v>27022.108083726875</v>
      </c>
      <c r="F89" s="13">
        <f t="shared" si="52"/>
        <v>28670.833935133796</v>
      </c>
      <c r="G89" s="13">
        <f t="shared" si="52"/>
        <v>30004.103672620342</v>
      </c>
      <c r="H89" s="13">
        <f t="shared" si="52"/>
        <v>31315.683927272221</v>
      </c>
      <c r="I89" s="13">
        <f t="shared" si="52"/>
        <v>33038.046543272161</v>
      </c>
      <c r="J89" s="13">
        <f t="shared" si="52"/>
        <v>52860.874469235729</v>
      </c>
      <c r="K89" s="13">
        <f t="shared" si="52"/>
        <v>84577.399150777463</v>
      </c>
      <c r="L89" s="13">
        <f t="shared" si="52"/>
        <v>135323.83864124428</v>
      </c>
      <c r="M89" s="13">
        <f t="shared" si="52"/>
        <v>216518.14182599125</v>
      </c>
      <c r="N89" s="13">
        <f t="shared" si="52"/>
        <v>346429.02692158642</v>
      </c>
      <c r="O89" s="13">
        <f t="shared" si="52"/>
        <v>554286.44307453872</v>
      </c>
      <c r="P89" s="13">
        <f t="shared" si="52"/>
        <v>886858.30891926249</v>
      </c>
      <c r="Q89" s="13">
        <f t="shared" si="52"/>
        <v>1418973.2942708205</v>
      </c>
      <c r="R89" s="13">
        <f t="shared" si="52"/>
        <v>2270357.2708333135</v>
      </c>
      <c r="S89" s="13">
        <f t="shared" si="52"/>
        <v>3632571.6333333021</v>
      </c>
      <c r="T89" s="13">
        <f t="shared" si="52"/>
        <v>5812114.6133332849</v>
      </c>
    </row>
    <row r="92" spans="2:21" x14ac:dyDescent="0.25">
      <c r="B92" t="s">
        <v>93</v>
      </c>
    </row>
    <row r="93" spans="2:21" x14ac:dyDescent="0.25">
      <c r="B93" t="str">
        <f>+B51</f>
        <v>PAT</v>
      </c>
      <c r="C93" s="4">
        <f t="shared" ref="C93:R93" si="53">+C51</f>
        <v>2400</v>
      </c>
      <c r="D93" s="4">
        <f t="shared" si="53"/>
        <v>2672.8109482641325</v>
      </c>
      <c r="E93" s="4">
        <f t="shared" si="53"/>
        <v>2877.3606163478785</v>
      </c>
      <c r="F93" s="4">
        <f t="shared" si="53"/>
        <v>2999.077061081965</v>
      </c>
      <c r="G93" s="4">
        <f t="shared" si="53"/>
        <v>3073.3979245497562</v>
      </c>
      <c r="H93" s="4">
        <f t="shared" si="53"/>
        <v>3225.5154445091111</v>
      </c>
      <c r="I93" s="4">
        <f t="shared" si="53"/>
        <v>3402.918793957112</v>
      </c>
      <c r="J93" s="4">
        <f t="shared" si="53"/>
        <v>5444.67007033137</v>
      </c>
      <c r="K93" s="4">
        <f t="shared" si="53"/>
        <v>8711.4721125301785</v>
      </c>
      <c r="L93" s="4">
        <f t="shared" si="53"/>
        <v>13938.355380048273</v>
      </c>
      <c r="M93" s="4">
        <f t="shared" si="53"/>
        <v>22301.36860807722</v>
      </c>
      <c r="N93" s="4">
        <f t="shared" si="53"/>
        <v>35682.189772923542</v>
      </c>
      <c r="O93" s="4">
        <f t="shared" si="53"/>
        <v>57091.503636677648</v>
      </c>
      <c r="P93" s="4">
        <f t="shared" si="53"/>
        <v>91346.405818684201</v>
      </c>
      <c r="Q93" s="4">
        <f t="shared" si="53"/>
        <v>146154.24930989469</v>
      </c>
      <c r="R93" s="4">
        <f t="shared" si="53"/>
        <v>233846.79889583145</v>
      </c>
    </row>
    <row r="94" spans="2:21" x14ac:dyDescent="0.25">
      <c r="B94" t="str">
        <f>+B65</f>
        <v>BV E boy</v>
      </c>
      <c r="C94" s="4">
        <f t="shared" ref="C94:R94" si="54">+C65</f>
        <v>15000</v>
      </c>
      <c r="D94" s="4">
        <f t="shared" si="54"/>
        <v>15791.624076145221</v>
      </c>
      <c r="E94" s="4">
        <f t="shared" si="54"/>
        <v>16177.892625405819</v>
      </c>
      <c r="F94" s="4">
        <f t="shared" si="54"/>
        <v>15918.444159619616</v>
      </c>
      <c r="G94" s="4">
        <f t="shared" si="54"/>
        <v>15599.363782416203</v>
      </c>
      <c r="H94" s="4">
        <f t="shared" si="54"/>
        <v>16306.058707559652</v>
      </c>
      <c r="I94" s="4">
        <f t="shared" si="54"/>
        <v>17683.948800359685</v>
      </c>
      <c r="J94" s="4">
        <f t="shared" si="54"/>
        <v>33542.211141130632</v>
      </c>
      <c r="K94" s="4">
        <f t="shared" si="54"/>
        <v>58915.43088636412</v>
      </c>
      <c r="L94" s="4">
        <f t="shared" si="54"/>
        <v>99512.582478737691</v>
      </c>
      <c r="M94" s="4">
        <f t="shared" si="54"/>
        <v>164468.02502653538</v>
      </c>
      <c r="N94" s="4">
        <f t="shared" si="54"/>
        <v>268396.73310301168</v>
      </c>
      <c r="O94" s="4">
        <f t="shared" si="54"/>
        <v>434682.66602537374</v>
      </c>
      <c r="P94" s="4">
        <f t="shared" si="54"/>
        <v>700740.15870115289</v>
      </c>
      <c r="Q94" s="4">
        <f t="shared" si="54"/>
        <v>1126432.1469823993</v>
      </c>
      <c r="R94" s="4">
        <f t="shared" si="54"/>
        <v>1807539.3282323938</v>
      </c>
    </row>
    <row r="95" spans="2:21" x14ac:dyDescent="0.25">
      <c r="B95" s="3" t="str">
        <f>+B28</f>
        <v>rE=(rA-D/V*rD)/(1-D/V)</v>
      </c>
      <c r="C95" s="3">
        <f t="shared" ref="C95:R95" si="55">+C28</f>
        <v>0.12</v>
      </c>
      <c r="D95" s="3">
        <f t="shared" si="55"/>
        <v>0.12235602094240838</v>
      </c>
      <c r="E95" s="3">
        <f t="shared" si="55"/>
        <v>0.12445054945054944</v>
      </c>
      <c r="F95" s="3">
        <f t="shared" si="55"/>
        <v>0.12678362573099414</v>
      </c>
      <c r="G95" s="3">
        <f t="shared" si="55"/>
        <v>0.12820987654320987</v>
      </c>
      <c r="H95" s="3">
        <f t="shared" si="55"/>
        <v>0.12874999999999998</v>
      </c>
      <c r="I95" s="3">
        <f t="shared" si="55"/>
        <v>0.12874999999999998</v>
      </c>
      <c r="J95" s="3">
        <f t="shared" si="55"/>
        <v>0.12874999999999998</v>
      </c>
      <c r="K95" s="3">
        <f t="shared" si="55"/>
        <v>0.12874999999999998</v>
      </c>
      <c r="L95" s="3">
        <f t="shared" si="55"/>
        <v>0.12874999999999998</v>
      </c>
      <c r="M95" s="3">
        <f t="shared" si="55"/>
        <v>0.12874999999999998</v>
      </c>
      <c r="N95" s="3">
        <f t="shared" si="55"/>
        <v>0.12874999999999998</v>
      </c>
      <c r="O95" s="3">
        <f t="shared" si="55"/>
        <v>0.12874999999999998</v>
      </c>
      <c r="P95" s="3">
        <f t="shared" si="55"/>
        <v>0.12874999999999998</v>
      </c>
      <c r="Q95" s="3">
        <f t="shared" si="55"/>
        <v>0.12874999999999998</v>
      </c>
      <c r="R95" s="3">
        <f t="shared" si="55"/>
        <v>0.12874999999999998</v>
      </c>
    </row>
    <row r="96" spans="2:21" x14ac:dyDescent="0.25">
      <c r="B96" t="s">
        <v>94</v>
      </c>
      <c r="C96" s="4">
        <f>+C94*C95</f>
        <v>1800</v>
      </c>
      <c r="D96" s="4">
        <f t="shared" ref="D96:R96" si="56">+D94*D95</f>
        <v>1932.2002861754652</v>
      </c>
      <c r="E96" s="4">
        <f t="shared" si="56"/>
        <v>2013.3476261837459</v>
      </c>
      <c r="F96" s="4">
        <f t="shared" si="56"/>
        <v>2018.1980665529429</v>
      </c>
      <c r="G96" s="4">
        <f t="shared" si="56"/>
        <v>1999.9925046962007</v>
      </c>
      <c r="H96" s="4">
        <f t="shared" si="56"/>
        <v>2099.405058598305</v>
      </c>
      <c r="I96" s="4">
        <f t="shared" si="56"/>
        <v>2276.8084080463091</v>
      </c>
      <c r="J96" s="4">
        <f t="shared" si="56"/>
        <v>4318.5596844205684</v>
      </c>
      <c r="K96" s="4">
        <f t="shared" si="56"/>
        <v>7585.3617266193787</v>
      </c>
      <c r="L96" s="4">
        <f t="shared" si="56"/>
        <v>12812.244994137476</v>
      </c>
      <c r="M96" s="4">
        <f t="shared" si="56"/>
        <v>21175.258222166427</v>
      </c>
      <c r="N96" s="4">
        <f t="shared" si="56"/>
        <v>34556.079387012745</v>
      </c>
      <c r="O96" s="4">
        <f t="shared" si="56"/>
        <v>55965.393250766858</v>
      </c>
      <c r="P96" s="4">
        <f t="shared" si="56"/>
        <v>90220.295432773419</v>
      </c>
      <c r="Q96" s="4">
        <f t="shared" si="56"/>
        <v>145028.13892398388</v>
      </c>
      <c r="R96" s="4">
        <f t="shared" si="56"/>
        <v>232720.68850992067</v>
      </c>
    </row>
    <row r="97" spans="2:19" x14ac:dyDescent="0.25">
      <c r="B97" t="s">
        <v>95</v>
      </c>
      <c r="C97" s="4">
        <f>+C93-C96</f>
        <v>600</v>
      </c>
      <c r="D97" s="4">
        <f t="shared" ref="D97:R97" si="57">+D93-D96</f>
        <v>740.61066208866737</v>
      </c>
      <c r="E97" s="4">
        <f t="shared" si="57"/>
        <v>864.01299016413259</v>
      </c>
      <c r="F97" s="4">
        <f t="shared" si="57"/>
        <v>980.87899452902207</v>
      </c>
      <c r="G97" s="4">
        <f t="shared" si="57"/>
        <v>1073.4054198535555</v>
      </c>
      <c r="H97" s="4">
        <f t="shared" si="57"/>
        <v>1126.1103859108061</v>
      </c>
      <c r="I97" s="4">
        <f t="shared" si="57"/>
        <v>1126.110385910803</v>
      </c>
      <c r="J97" s="4">
        <f t="shared" si="57"/>
        <v>1126.1103859108016</v>
      </c>
      <c r="K97" s="4">
        <f t="shared" si="57"/>
        <v>1126.1103859107998</v>
      </c>
      <c r="L97" s="4">
        <f t="shared" si="57"/>
        <v>1126.110385910797</v>
      </c>
      <c r="M97" s="4">
        <f t="shared" si="57"/>
        <v>1126.1103859107934</v>
      </c>
      <c r="N97" s="4">
        <f t="shared" si="57"/>
        <v>1126.110385910797</v>
      </c>
      <c r="O97" s="4">
        <f t="shared" si="57"/>
        <v>1126.1103859107898</v>
      </c>
      <c r="P97" s="4">
        <f t="shared" si="57"/>
        <v>1126.1103859107825</v>
      </c>
      <c r="Q97" s="4">
        <f t="shared" si="57"/>
        <v>1126.1103859108116</v>
      </c>
      <c r="R97" s="4">
        <f t="shared" si="57"/>
        <v>1126.1103859107825</v>
      </c>
    </row>
    <row r="98" spans="2:19" x14ac:dyDescent="0.25">
      <c r="B98" t="s">
        <v>96</v>
      </c>
      <c r="C98" s="4">
        <f t="shared" ref="C98:P98" si="58">+(C97+D98)/(1+C95)</f>
        <v>7816.9826161669134</v>
      </c>
      <c r="D98" s="4">
        <f t="shared" si="58"/>
        <v>8155.0205301069427</v>
      </c>
      <c r="E98" s="4">
        <f t="shared" si="58"/>
        <v>8412.2257307858108</v>
      </c>
      <c r="F98" s="4">
        <f t="shared" si="58"/>
        <v>8595.1188549200233</v>
      </c>
      <c r="G98" s="4">
        <f t="shared" si="58"/>
        <v>8703.9601924065919</v>
      </c>
      <c r="H98" s="4">
        <f t="shared" si="58"/>
        <v>8746.4884342584974</v>
      </c>
      <c r="I98" s="4">
        <f t="shared" si="58"/>
        <v>8746.4884342584719</v>
      </c>
      <c r="J98" s="4">
        <f t="shared" si="58"/>
        <v>8746.4884342584464</v>
      </c>
      <c r="K98" s="4">
        <f t="shared" si="58"/>
        <v>8746.4884342584173</v>
      </c>
      <c r="L98" s="4">
        <f t="shared" si="58"/>
        <v>8746.4884342583864</v>
      </c>
      <c r="M98" s="4">
        <f t="shared" si="58"/>
        <v>8746.4884342583555</v>
      </c>
      <c r="N98" s="4">
        <f t="shared" si="58"/>
        <v>8746.4884342583246</v>
      </c>
      <c r="O98" s="4">
        <f t="shared" si="58"/>
        <v>8746.4884342582864</v>
      </c>
      <c r="P98" s="4">
        <f t="shared" si="58"/>
        <v>8746.48843425825</v>
      </c>
      <c r="Q98" s="4">
        <f>+(Q97+R98)/(1+Q95)</f>
        <v>8746.4884342582172</v>
      </c>
      <c r="R98" s="14">
        <f>+R77-R94</f>
        <v>8746.4884342581499</v>
      </c>
      <c r="S98" t="s">
        <v>97</v>
      </c>
    </row>
    <row r="99" spans="2:19" x14ac:dyDescent="0.25">
      <c r="B99" t="s">
        <v>89</v>
      </c>
      <c r="C99" s="4">
        <f>+C98+C94</f>
        <v>22816.982616166912</v>
      </c>
      <c r="D99" s="4">
        <f t="shared" ref="D99:R99" si="59">+D98+D94</f>
        <v>23946.644606252165</v>
      </c>
      <c r="E99" s="4">
        <f t="shared" si="59"/>
        <v>24590.11835619163</v>
      </c>
      <c r="F99" s="4">
        <f t="shared" si="59"/>
        <v>24513.563014539639</v>
      </c>
      <c r="G99" s="4">
        <f t="shared" si="59"/>
        <v>24303.323974822793</v>
      </c>
      <c r="H99" s="4">
        <f t="shared" si="59"/>
        <v>25052.547141818148</v>
      </c>
      <c r="I99" s="4">
        <f t="shared" si="59"/>
        <v>26430.437234618155</v>
      </c>
      <c r="J99" s="4">
        <f t="shared" si="59"/>
        <v>42288.699575389081</v>
      </c>
      <c r="K99" s="4">
        <f t="shared" si="59"/>
        <v>67661.919320622532</v>
      </c>
      <c r="L99" s="4">
        <f t="shared" si="59"/>
        <v>108259.07091299607</v>
      </c>
      <c r="M99" s="4">
        <f t="shared" si="59"/>
        <v>173214.51346079374</v>
      </c>
      <c r="N99" s="4">
        <f t="shared" si="59"/>
        <v>277143.22153727</v>
      </c>
      <c r="O99" s="4">
        <f t="shared" si="59"/>
        <v>443429.154459632</v>
      </c>
      <c r="P99" s="4">
        <f t="shared" si="59"/>
        <v>709486.64713541116</v>
      </c>
      <c r="Q99" s="4">
        <f t="shared" si="59"/>
        <v>1135178.6354166574</v>
      </c>
      <c r="R99" s="4">
        <f t="shared" si="59"/>
        <v>1816285.816666652</v>
      </c>
    </row>
    <row r="100" spans="2:19" x14ac:dyDescent="0.25">
      <c r="B100" s="4" t="str">
        <f>+B78</f>
        <v>D boy</v>
      </c>
      <c r="C100" s="4">
        <f>+C78</f>
        <v>0</v>
      </c>
      <c r="D100" s="4">
        <f t="shared" ref="D100:R100" si="60">+D78</f>
        <v>1128.3759238547798</v>
      </c>
      <c r="E100" s="4">
        <f t="shared" si="60"/>
        <v>2431.9897275353555</v>
      </c>
      <c r="F100" s="4">
        <f t="shared" si="60"/>
        <v>4157.2709205942856</v>
      </c>
      <c r="G100" s="4">
        <f t="shared" si="60"/>
        <v>5700.7796977976968</v>
      </c>
      <c r="H100" s="4">
        <f t="shared" si="60"/>
        <v>6263.1367854542468</v>
      </c>
      <c r="I100" s="4">
        <f t="shared" si="60"/>
        <v>6607.6093086542114</v>
      </c>
      <c r="J100" s="4">
        <f t="shared" si="60"/>
        <v>10572.174893846901</v>
      </c>
      <c r="K100" s="4">
        <f t="shared" si="60"/>
        <v>16915.479830155218</v>
      </c>
      <c r="L100" s="4">
        <f t="shared" si="60"/>
        <v>27064.767728248553</v>
      </c>
      <c r="M100" s="4">
        <f t="shared" si="60"/>
        <v>43303.62836519791</v>
      </c>
      <c r="N100" s="4">
        <f t="shared" si="60"/>
        <v>69285.805384316904</v>
      </c>
      <c r="O100" s="4">
        <f t="shared" si="60"/>
        <v>110857.28861490733</v>
      </c>
      <c r="P100" s="4">
        <f t="shared" si="60"/>
        <v>177371.66178385203</v>
      </c>
      <c r="Q100" s="4">
        <f t="shared" si="60"/>
        <v>283794.6588541636</v>
      </c>
      <c r="R100" s="4">
        <f t="shared" si="60"/>
        <v>454071.45416666218</v>
      </c>
    </row>
    <row r="101" spans="2:19" x14ac:dyDescent="0.25">
      <c r="B101" s="12" t="s">
        <v>19</v>
      </c>
      <c r="C101" s="13">
        <f>+C99+C100</f>
        <v>22816.982616166912</v>
      </c>
      <c r="D101" s="13">
        <f t="shared" ref="D101:R101" si="61">+D99+D100</f>
        <v>25075.020530106944</v>
      </c>
      <c r="E101" s="13">
        <f t="shared" si="61"/>
        <v>27022.108083726984</v>
      </c>
      <c r="F101" s="13">
        <f t="shared" si="61"/>
        <v>28670.833935133924</v>
      </c>
      <c r="G101" s="13">
        <f t="shared" si="61"/>
        <v>30004.103672620491</v>
      </c>
      <c r="H101" s="13">
        <f t="shared" si="61"/>
        <v>31315.683927272396</v>
      </c>
      <c r="I101" s="13">
        <f t="shared" si="61"/>
        <v>33038.046543272365</v>
      </c>
      <c r="J101" s="13">
        <f t="shared" si="61"/>
        <v>52860.874469235983</v>
      </c>
      <c r="K101" s="13">
        <f t="shared" si="61"/>
        <v>84577.399150777754</v>
      </c>
      <c r="L101" s="13">
        <f t="shared" si="61"/>
        <v>135323.83864124463</v>
      </c>
      <c r="M101" s="13">
        <f t="shared" si="61"/>
        <v>216518.14182599165</v>
      </c>
      <c r="N101" s="13">
        <f t="shared" si="61"/>
        <v>346429.02692158689</v>
      </c>
      <c r="O101" s="13">
        <f t="shared" si="61"/>
        <v>554286.4430745393</v>
      </c>
      <c r="P101" s="13">
        <f t="shared" si="61"/>
        <v>886858.30891926319</v>
      </c>
      <c r="Q101" s="13">
        <f t="shared" si="61"/>
        <v>1418973.2942708209</v>
      </c>
      <c r="R101" s="13">
        <f t="shared" si="61"/>
        <v>2270357.2708333144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585B-AE30-493C-9108-D686E1FAED68}">
  <dimension ref="B17:BG101"/>
  <sheetViews>
    <sheetView topLeftCell="A52" zoomScale="200" zoomScaleNormal="200" workbookViewId="0">
      <selection activeCell="C62" sqref="C62"/>
    </sheetView>
  </sheetViews>
  <sheetFormatPr defaultRowHeight="15.75" x14ac:dyDescent="0.25"/>
  <cols>
    <col min="2" max="2" width="24.875" bestFit="1" customWidth="1"/>
    <col min="3" max="8" width="8.875" bestFit="1" customWidth="1"/>
    <col min="9" max="9" width="12.375" bestFit="1" customWidth="1"/>
    <col min="10" max="11" width="9.5" bestFit="1" customWidth="1"/>
    <col min="12" max="12" width="9.875" bestFit="1" customWidth="1"/>
    <col min="13" max="16" width="10.5" bestFit="1" customWidth="1"/>
    <col min="17" max="17" width="11.375" bestFit="1" customWidth="1"/>
    <col min="18" max="21" width="12" bestFit="1" customWidth="1"/>
    <col min="22" max="22" width="12.375" bestFit="1" customWidth="1"/>
    <col min="23" max="26" width="13.125" bestFit="1" customWidth="1"/>
    <col min="27" max="27" width="13.5" bestFit="1" customWidth="1"/>
    <col min="28" max="30" width="14.125" bestFit="1" customWidth="1"/>
    <col min="31" max="32" width="15" bestFit="1" customWidth="1"/>
    <col min="33" max="35" width="15.625" bestFit="1" customWidth="1"/>
    <col min="36" max="37" width="16" bestFit="1" customWidth="1"/>
    <col min="38" max="40" width="16.625" bestFit="1" customWidth="1"/>
    <col min="41" max="42" width="17.125" bestFit="1" customWidth="1"/>
    <col min="43" max="45" width="17.75" bestFit="1" customWidth="1"/>
    <col min="46" max="47" width="18.625" bestFit="1" customWidth="1"/>
    <col min="48" max="50" width="19.25" bestFit="1" customWidth="1"/>
    <col min="51" max="52" width="19.625" bestFit="1" customWidth="1"/>
    <col min="53" max="55" width="20.25" bestFit="1" customWidth="1"/>
    <col min="56" max="56" width="20.625" bestFit="1" customWidth="1"/>
    <col min="57" max="58" width="21.375" bestFit="1" customWidth="1"/>
    <col min="59" max="59" width="20.625" bestFit="1" customWidth="1"/>
  </cols>
  <sheetData>
    <row r="17" spans="2:59" x14ac:dyDescent="0.25">
      <c r="I17">
        <f>+I22/I29</f>
        <v>1.0291595197255574</v>
      </c>
    </row>
    <row r="18" spans="2:59" x14ac:dyDescent="0.25">
      <c r="I18" t="s">
        <v>13</v>
      </c>
    </row>
    <row r="19" spans="2:59" x14ac:dyDescent="0.25">
      <c r="C19" s="1">
        <v>2025</v>
      </c>
      <c r="D19" s="2">
        <f>+C19+1</f>
        <v>2026</v>
      </c>
      <c r="E19" s="2">
        <f t="shared" ref="E19:H19" si="0">+D19+1</f>
        <v>2027</v>
      </c>
      <c r="F19" s="2">
        <f t="shared" si="0"/>
        <v>2028</v>
      </c>
      <c r="G19" s="2">
        <f t="shared" si="0"/>
        <v>2029</v>
      </c>
      <c r="H19" s="2">
        <f t="shared" si="0"/>
        <v>2030</v>
      </c>
      <c r="I19" s="2" t="s">
        <v>7</v>
      </c>
      <c r="J19" s="2" t="s">
        <v>8</v>
      </c>
      <c r="K19" s="2" t="s">
        <v>16</v>
      </c>
      <c r="L19" s="2" t="s">
        <v>17</v>
      </c>
      <c r="M19" s="2" t="s">
        <v>20</v>
      </c>
      <c r="N19" s="2" t="s">
        <v>21</v>
      </c>
      <c r="O19" s="2" t="s">
        <v>22</v>
      </c>
      <c r="P19" s="2" t="s">
        <v>23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  <c r="V19" s="2" t="s">
        <v>29</v>
      </c>
      <c r="W19" s="2" t="s">
        <v>30</v>
      </c>
      <c r="X19" s="2" t="s">
        <v>31</v>
      </c>
      <c r="Y19" s="2" t="s">
        <v>32</v>
      </c>
      <c r="Z19" s="2" t="s">
        <v>33</v>
      </c>
      <c r="AA19" s="2" t="s">
        <v>34</v>
      </c>
      <c r="AB19" s="2" t="s">
        <v>35</v>
      </c>
      <c r="AC19" s="2" t="s">
        <v>36</v>
      </c>
      <c r="AD19" s="2" t="s">
        <v>37</v>
      </c>
      <c r="AE19" s="2" t="s">
        <v>38</v>
      </c>
      <c r="AF19" s="2" t="s">
        <v>39</v>
      </c>
      <c r="AG19" s="2" t="s">
        <v>40</v>
      </c>
      <c r="AH19" s="2" t="s">
        <v>41</v>
      </c>
      <c r="AI19" s="2" t="s">
        <v>42</v>
      </c>
      <c r="AJ19" s="2" t="s">
        <v>43</v>
      </c>
      <c r="AK19" s="2" t="s">
        <v>44</v>
      </c>
      <c r="AL19" s="2" t="s">
        <v>45</v>
      </c>
      <c r="AM19" s="2" t="s">
        <v>46</v>
      </c>
      <c r="AN19" s="2" t="s">
        <v>47</v>
      </c>
      <c r="AO19" s="2" t="s">
        <v>48</v>
      </c>
      <c r="AP19" s="2" t="s">
        <v>49</v>
      </c>
      <c r="AQ19" s="2" t="s">
        <v>50</v>
      </c>
      <c r="AR19" s="2" t="s">
        <v>51</v>
      </c>
      <c r="AS19" s="2" t="s">
        <v>52</v>
      </c>
      <c r="AT19" s="2" t="s">
        <v>53</v>
      </c>
      <c r="AU19" s="2" t="s">
        <v>54</v>
      </c>
      <c r="AV19" s="2" t="s">
        <v>55</v>
      </c>
      <c r="AW19" s="2" t="s">
        <v>56</v>
      </c>
      <c r="AX19" s="2" t="s">
        <v>57</v>
      </c>
      <c r="AY19" s="2" t="s">
        <v>58</v>
      </c>
      <c r="AZ19" s="2" t="s">
        <v>59</v>
      </c>
      <c r="BA19" s="2" t="s">
        <v>60</v>
      </c>
      <c r="BB19" s="2" t="s">
        <v>61</v>
      </c>
      <c r="BC19" s="2" t="s">
        <v>62</v>
      </c>
      <c r="BD19" s="2" t="s">
        <v>63</v>
      </c>
      <c r="BE19" s="2" t="s">
        <v>64</v>
      </c>
      <c r="BF19" s="2" t="s">
        <v>65</v>
      </c>
    </row>
    <row r="20" spans="2:59" x14ac:dyDescent="0.25">
      <c r="B20" t="s">
        <v>1</v>
      </c>
      <c r="C20" s="7">
        <v>15000</v>
      </c>
      <c r="D20" s="4">
        <f>+C20+C36</f>
        <v>16920</v>
      </c>
      <c r="E20" s="4">
        <f>+D20+D36</f>
        <v>18609.882352941175</v>
      </c>
      <c r="F20" s="4">
        <f>+E20+E36</f>
        <v>20075.7150802139</v>
      </c>
      <c r="G20" s="4">
        <f>+F20+F36</f>
        <v>21300.143480213901</v>
      </c>
      <c r="H20" s="4">
        <f>+G20+G36</f>
        <v>22569.1954930139</v>
      </c>
      <c r="I20" s="4">
        <f>+H20+H36</f>
        <v>24242.757834893899</v>
      </c>
      <c r="J20" s="4">
        <f>+I20+I36</f>
        <v>25847.8562627879</v>
      </c>
      <c r="K20" s="4">
        <f>+J20+J36</f>
        <v>27533.2096120766</v>
      </c>
      <c r="L20" s="4">
        <f t="shared" ref="L20:BG20" si="1">+K20+K36</f>
        <v>29302.830628829735</v>
      </c>
      <c r="M20" s="4">
        <f t="shared" si="1"/>
        <v>31160.932696420528</v>
      </c>
      <c r="N20" s="4">
        <f t="shared" si="1"/>
        <v>33111.939867390858</v>
      </c>
      <c r="O20" s="4">
        <f t="shared" si="1"/>
        <v>35160.497396909705</v>
      </c>
      <c r="P20" s="4">
        <f t="shared" si="1"/>
        <v>37311.482802904495</v>
      </c>
      <c r="Q20" s="4">
        <f t="shared" si="1"/>
        <v>39570.017479199021</v>
      </c>
      <c r="R20" s="4">
        <f t="shared" si="1"/>
        <v>41941.478889308273</v>
      </c>
      <c r="S20" s="4">
        <f t="shared" si="1"/>
        <v>44431.513369922992</v>
      </c>
      <c r="T20" s="4">
        <f t="shared" si="1"/>
        <v>47046.049574568446</v>
      </c>
      <c r="U20" s="4">
        <f t="shared" si="1"/>
        <v>49791.31258944617</v>
      </c>
      <c r="V20" s="4">
        <f t="shared" si="1"/>
        <v>52673.838755067787</v>
      </c>
      <c r="W20" s="4">
        <f t="shared" si="1"/>
        <v>55700.491228970481</v>
      </c>
      <c r="X20" s="4">
        <f t="shared" si="1"/>
        <v>58878.476326568307</v>
      </c>
      <c r="Y20" s="4">
        <f t="shared" si="1"/>
        <v>62215.360679046025</v>
      </c>
      <c r="Z20" s="4">
        <f t="shared" si="1"/>
        <v>65719.089249147626</v>
      </c>
      <c r="AA20" s="4">
        <f t="shared" si="1"/>
        <v>69398.004247754317</v>
      </c>
      <c r="AB20" s="4">
        <f t="shared" si="1"/>
        <v>73260.864996291333</v>
      </c>
      <c r="AC20" s="4">
        <f t="shared" si="1"/>
        <v>77316.868782255202</v>
      </c>
      <c r="AD20" s="4">
        <f t="shared" si="1"/>
        <v>81575.67275751727</v>
      </c>
      <c r="AE20" s="4">
        <f t="shared" si="1"/>
        <v>86047.416931542437</v>
      </c>
      <c r="AF20" s="4">
        <f t="shared" si="1"/>
        <v>90742.748314268858</v>
      </c>
      <c r="AG20" s="4">
        <f t="shared" si="1"/>
        <v>95672.846266131601</v>
      </c>
      <c r="AH20" s="4">
        <f t="shared" si="1"/>
        <v>100849.44911558749</v>
      </c>
      <c r="AI20" s="4">
        <f t="shared" si="1"/>
        <v>106284.88210751617</v>
      </c>
      <c r="AJ20" s="4">
        <f t="shared" si="1"/>
        <v>111992.08674904128</v>
      </c>
      <c r="AK20" s="4">
        <f t="shared" si="1"/>
        <v>117984.65162264265</v>
      </c>
      <c r="AL20" s="4">
        <f t="shared" si="1"/>
        <v>124276.84473992408</v>
      </c>
      <c r="AM20" s="4">
        <f t="shared" si="1"/>
        <v>130883.64751306959</v>
      </c>
      <c r="AN20" s="4">
        <f t="shared" si="1"/>
        <v>137820.79042487236</v>
      </c>
      <c r="AO20" s="4">
        <f t="shared" si="1"/>
        <v>145104.79048226529</v>
      </c>
      <c r="AP20" s="4">
        <f t="shared" si="1"/>
        <v>152752.99054252787</v>
      </c>
      <c r="AQ20" s="4">
        <f t="shared" si="1"/>
        <v>160783.60060580357</v>
      </c>
      <c r="AR20" s="4">
        <f t="shared" si="1"/>
        <v>169215.74117224306</v>
      </c>
      <c r="AS20" s="4">
        <f t="shared" si="1"/>
        <v>178069.48876700451</v>
      </c>
      <c r="AT20" s="4">
        <f t="shared" si="1"/>
        <v>187365.92374150406</v>
      </c>
      <c r="AU20" s="4">
        <f t="shared" si="1"/>
        <v>197127.18046472856</v>
      </c>
      <c r="AV20" s="4">
        <f t="shared" si="1"/>
        <v>207376.5000241143</v>
      </c>
      <c r="AW20" s="4">
        <f t="shared" si="1"/>
        <v>218138.28556146933</v>
      </c>
      <c r="AX20" s="4">
        <f t="shared" si="1"/>
        <v>229438.1603756921</v>
      </c>
      <c r="AY20" s="4">
        <f t="shared" si="1"/>
        <v>241303.02893062599</v>
      </c>
      <c r="AZ20" s="4">
        <f t="shared" si="1"/>
        <v>253761.14091330662</v>
      </c>
      <c r="BA20" s="4">
        <f t="shared" si="1"/>
        <v>266842.15849512129</v>
      </c>
      <c r="BB20" s="4">
        <f t="shared" si="1"/>
        <v>280577.22695602663</v>
      </c>
      <c r="BC20" s="4">
        <f t="shared" si="1"/>
        <v>294999.04883997724</v>
      </c>
      <c r="BD20" s="4">
        <f t="shared" si="1"/>
        <v>310141.96181812539</v>
      </c>
      <c r="BE20" s="4">
        <f t="shared" si="1"/>
        <v>326042.020445181</v>
      </c>
      <c r="BF20" s="4">
        <f t="shared" si="1"/>
        <v>342737.08200358937</v>
      </c>
      <c r="BG20" s="4">
        <f t="shared" si="1"/>
        <v>360266.89663991815</v>
      </c>
    </row>
    <row r="21" spans="2:59" x14ac:dyDescent="0.25">
      <c r="B21" t="s">
        <v>2</v>
      </c>
      <c r="C21" s="8">
        <v>0.16</v>
      </c>
      <c r="D21" s="3"/>
      <c r="E21" s="3"/>
      <c r="F21" s="3"/>
      <c r="G21" s="3"/>
      <c r="H21" s="3"/>
    </row>
    <row r="22" spans="2:59" x14ac:dyDescent="0.25">
      <c r="B22" t="s">
        <v>3</v>
      </c>
      <c r="C22" s="3">
        <f>+C21</f>
        <v>0.16</v>
      </c>
      <c r="D22" s="8">
        <v>0.17499999999999999</v>
      </c>
      <c r="E22" s="8">
        <v>0.17</v>
      </c>
      <c r="F22" s="8">
        <v>0.16500000000000001</v>
      </c>
      <c r="G22" s="8">
        <v>0.16</v>
      </c>
      <c r="H22" s="8">
        <v>0.15</v>
      </c>
      <c r="I22" s="20">
        <v>0.12</v>
      </c>
      <c r="J22" s="17">
        <f>+I22</f>
        <v>0.12</v>
      </c>
      <c r="K22" s="17">
        <f t="shared" ref="K22:BG22" si="2">+J22</f>
        <v>0.12</v>
      </c>
      <c r="L22" s="17">
        <f t="shared" si="2"/>
        <v>0.12</v>
      </c>
      <c r="M22" s="17">
        <f t="shared" si="2"/>
        <v>0.12</v>
      </c>
      <c r="N22" s="17">
        <f t="shared" si="2"/>
        <v>0.12</v>
      </c>
      <c r="O22" s="17">
        <f t="shared" si="2"/>
        <v>0.12</v>
      </c>
      <c r="P22" s="17">
        <f t="shared" si="2"/>
        <v>0.12</v>
      </c>
      <c r="Q22" s="17">
        <f t="shared" si="2"/>
        <v>0.12</v>
      </c>
      <c r="R22" s="17">
        <f t="shared" si="2"/>
        <v>0.12</v>
      </c>
      <c r="S22" s="17">
        <f t="shared" si="2"/>
        <v>0.12</v>
      </c>
      <c r="T22" s="17">
        <f t="shared" si="2"/>
        <v>0.12</v>
      </c>
      <c r="U22" s="17">
        <f t="shared" si="2"/>
        <v>0.12</v>
      </c>
      <c r="V22" s="17">
        <f t="shared" si="2"/>
        <v>0.12</v>
      </c>
      <c r="W22" s="17">
        <f t="shared" si="2"/>
        <v>0.12</v>
      </c>
      <c r="X22" s="17">
        <f t="shared" si="2"/>
        <v>0.12</v>
      </c>
      <c r="Y22" s="17">
        <f t="shared" si="2"/>
        <v>0.12</v>
      </c>
      <c r="Z22" s="17">
        <f t="shared" si="2"/>
        <v>0.12</v>
      </c>
      <c r="AA22" s="17">
        <f t="shared" si="2"/>
        <v>0.12</v>
      </c>
      <c r="AB22" s="17">
        <f t="shared" si="2"/>
        <v>0.12</v>
      </c>
      <c r="AC22" s="17">
        <f t="shared" si="2"/>
        <v>0.12</v>
      </c>
      <c r="AD22" s="17">
        <f t="shared" si="2"/>
        <v>0.12</v>
      </c>
      <c r="AE22" s="17">
        <f t="shared" si="2"/>
        <v>0.12</v>
      </c>
      <c r="AF22" s="17">
        <f t="shared" si="2"/>
        <v>0.12</v>
      </c>
      <c r="AG22" s="17">
        <f t="shared" si="2"/>
        <v>0.12</v>
      </c>
      <c r="AH22" s="17">
        <f t="shared" si="2"/>
        <v>0.12</v>
      </c>
      <c r="AI22" s="17">
        <f t="shared" si="2"/>
        <v>0.12</v>
      </c>
      <c r="AJ22" s="17">
        <f t="shared" si="2"/>
        <v>0.12</v>
      </c>
      <c r="AK22" s="17">
        <f t="shared" si="2"/>
        <v>0.12</v>
      </c>
      <c r="AL22" s="17">
        <f t="shared" si="2"/>
        <v>0.12</v>
      </c>
      <c r="AM22" s="17">
        <f t="shared" si="2"/>
        <v>0.12</v>
      </c>
      <c r="AN22" s="17">
        <f t="shared" si="2"/>
        <v>0.12</v>
      </c>
      <c r="AO22" s="17">
        <f t="shared" si="2"/>
        <v>0.12</v>
      </c>
      <c r="AP22" s="17">
        <f t="shared" si="2"/>
        <v>0.12</v>
      </c>
      <c r="AQ22" s="17">
        <f t="shared" si="2"/>
        <v>0.12</v>
      </c>
      <c r="AR22" s="17">
        <f t="shared" si="2"/>
        <v>0.12</v>
      </c>
      <c r="AS22" s="17">
        <f t="shared" si="2"/>
        <v>0.12</v>
      </c>
      <c r="AT22" s="17">
        <f t="shared" si="2"/>
        <v>0.12</v>
      </c>
      <c r="AU22" s="17">
        <f t="shared" si="2"/>
        <v>0.12</v>
      </c>
      <c r="AV22" s="17">
        <f t="shared" si="2"/>
        <v>0.12</v>
      </c>
      <c r="AW22" s="17">
        <f t="shared" si="2"/>
        <v>0.12</v>
      </c>
      <c r="AX22" s="17">
        <f t="shared" si="2"/>
        <v>0.12</v>
      </c>
      <c r="AY22" s="17">
        <f t="shared" si="2"/>
        <v>0.12</v>
      </c>
      <c r="AZ22" s="17">
        <f t="shared" si="2"/>
        <v>0.12</v>
      </c>
      <c r="BA22" s="17">
        <f t="shared" si="2"/>
        <v>0.12</v>
      </c>
      <c r="BB22" s="17">
        <f t="shared" si="2"/>
        <v>0.12</v>
      </c>
      <c r="BC22" s="17">
        <f t="shared" si="2"/>
        <v>0.12</v>
      </c>
      <c r="BD22" s="17">
        <f t="shared" si="2"/>
        <v>0.12</v>
      </c>
      <c r="BE22" s="17">
        <f t="shared" si="2"/>
        <v>0.12</v>
      </c>
      <c r="BF22" s="17">
        <f t="shared" si="2"/>
        <v>0.12</v>
      </c>
      <c r="BG22" s="17">
        <f t="shared" si="2"/>
        <v>0.12</v>
      </c>
    </row>
    <row r="23" spans="2:59" x14ac:dyDescent="0.25">
      <c r="B23" t="s">
        <v>5</v>
      </c>
      <c r="C23" s="3"/>
      <c r="D23" s="8">
        <v>0.14000000000000001</v>
      </c>
      <c r="E23" s="8">
        <v>0.105</v>
      </c>
      <c r="F23" s="8">
        <v>0.08</v>
      </c>
      <c r="G23" s="8">
        <v>0.06</v>
      </c>
      <c r="H23" s="8">
        <v>5.5E-2</v>
      </c>
      <c r="I23" s="8">
        <v>5.5E-2</v>
      </c>
      <c r="J23" s="18">
        <v>0.05</v>
      </c>
      <c r="K23" s="18">
        <f>+J23</f>
        <v>0.05</v>
      </c>
      <c r="L23" s="18">
        <f t="shared" ref="L22:BG23" si="3">+K23</f>
        <v>0.05</v>
      </c>
      <c r="M23" s="18">
        <f t="shared" si="3"/>
        <v>0.05</v>
      </c>
      <c r="N23" s="18">
        <f t="shared" si="3"/>
        <v>0.05</v>
      </c>
      <c r="O23" s="18">
        <f t="shared" si="3"/>
        <v>0.05</v>
      </c>
      <c r="P23" s="18">
        <f t="shared" si="3"/>
        <v>0.05</v>
      </c>
      <c r="Q23" s="18">
        <f t="shared" si="3"/>
        <v>0.05</v>
      </c>
      <c r="R23" s="18">
        <f t="shared" si="3"/>
        <v>0.05</v>
      </c>
      <c r="S23" s="18">
        <f t="shared" si="3"/>
        <v>0.05</v>
      </c>
      <c r="T23" s="18">
        <f t="shared" si="3"/>
        <v>0.05</v>
      </c>
      <c r="U23" s="18">
        <f t="shared" si="3"/>
        <v>0.05</v>
      </c>
      <c r="V23" s="18">
        <f t="shared" si="3"/>
        <v>0.05</v>
      </c>
      <c r="W23" s="18">
        <f t="shared" si="3"/>
        <v>0.05</v>
      </c>
      <c r="X23" s="18">
        <f t="shared" si="3"/>
        <v>0.05</v>
      </c>
      <c r="Y23" s="18">
        <f t="shared" si="3"/>
        <v>0.05</v>
      </c>
      <c r="Z23" s="18">
        <f t="shared" si="3"/>
        <v>0.05</v>
      </c>
      <c r="AA23" s="18">
        <f t="shared" si="3"/>
        <v>0.05</v>
      </c>
      <c r="AB23" s="18">
        <f t="shared" si="3"/>
        <v>0.05</v>
      </c>
      <c r="AC23" s="18">
        <f t="shared" si="3"/>
        <v>0.05</v>
      </c>
      <c r="AD23" s="18">
        <f t="shared" si="3"/>
        <v>0.05</v>
      </c>
      <c r="AE23" s="18">
        <f t="shared" si="3"/>
        <v>0.05</v>
      </c>
      <c r="AF23" s="18">
        <f t="shared" si="3"/>
        <v>0.05</v>
      </c>
      <c r="AG23" s="18">
        <f t="shared" si="3"/>
        <v>0.05</v>
      </c>
      <c r="AH23" s="18">
        <f t="shared" si="3"/>
        <v>0.05</v>
      </c>
      <c r="AI23" s="18">
        <f t="shared" si="3"/>
        <v>0.05</v>
      </c>
      <c r="AJ23" s="18">
        <f t="shared" si="3"/>
        <v>0.05</v>
      </c>
      <c r="AK23" s="18">
        <f t="shared" si="3"/>
        <v>0.05</v>
      </c>
      <c r="AL23" s="18">
        <f t="shared" si="3"/>
        <v>0.05</v>
      </c>
      <c r="AM23" s="18">
        <f t="shared" si="3"/>
        <v>0.05</v>
      </c>
      <c r="AN23" s="18">
        <f t="shared" si="3"/>
        <v>0.05</v>
      </c>
      <c r="AO23" s="18">
        <f t="shared" si="3"/>
        <v>0.05</v>
      </c>
      <c r="AP23" s="18">
        <f t="shared" si="3"/>
        <v>0.05</v>
      </c>
      <c r="AQ23" s="18">
        <f t="shared" si="3"/>
        <v>0.05</v>
      </c>
      <c r="AR23" s="18">
        <f t="shared" si="3"/>
        <v>0.05</v>
      </c>
      <c r="AS23" s="18">
        <f t="shared" si="3"/>
        <v>0.05</v>
      </c>
      <c r="AT23" s="18">
        <f t="shared" si="3"/>
        <v>0.05</v>
      </c>
      <c r="AU23" s="18">
        <f t="shared" si="3"/>
        <v>0.05</v>
      </c>
      <c r="AV23" s="18">
        <f t="shared" si="3"/>
        <v>0.05</v>
      </c>
      <c r="AW23" s="18">
        <f t="shared" si="3"/>
        <v>0.05</v>
      </c>
      <c r="AX23" s="18">
        <f t="shared" si="3"/>
        <v>0.05</v>
      </c>
      <c r="AY23" s="18">
        <f t="shared" si="3"/>
        <v>0.05</v>
      </c>
      <c r="AZ23" s="18">
        <f t="shared" si="3"/>
        <v>0.05</v>
      </c>
      <c r="BA23" s="18">
        <f t="shared" si="3"/>
        <v>0.05</v>
      </c>
      <c r="BB23" s="18">
        <f t="shared" si="3"/>
        <v>0.05</v>
      </c>
      <c r="BC23" s="18">
        <f t="shared" si="3"/>
        <v>0.05</v>
      </c>
      <c r="BD23" s="18">
        <f t="shared" si="3"/>
        <v>0.05</v>
      </c>
      <c r="BE23" s="18">
        <f t="shared" si="3"/>
        <v>0.05</v>
      </c>
      <c r="BF23" s="18">
        <f t="shared" si="3"/>
        <v>0.05</v>
      </c>
      <c r="BG23" s="18">
        <f t="shared" si="3"/>
        <v>0.05</v>
      </c>
    </row>
    <row r="24" spans="2:59" x14ac:dyDescent="0.25">
      <c r="B24" t="s">
        <v>6</v>
      </c>
      <c r="C24" s="8">
        <v>0</v>
      </c>
      <c r="D24" s="8">
        <v>4.4999999999999998E-2</v>
      </c>
      <c r="E24" s="8">
        <v>0.09</v>
      </c>
      <c r="F24" s="8">
        <v>0.14499999999999999</v>
      </c>
      <c r="G24" s="8">
        <v>0.19</v>
      </c>
      <c r="H24" s="8">
        <v>0.2</v>
      </c>
      <c r="I24" s="8">
        <v>0.2</v>
      </c>
      <c r="J24" s="8">
        <v>0.2</v>
      </c>
      <c r="K24" s="8">
        <v>0.2</v>
      </c>
      <c r="L24" s="8">
        <v>0.2</v>
      </c>
      <c r="M24" s="8">
        <v>0.2</v>
      </c>
      <c r="N24" s="8">
        <v>0.2</v>
      </c>
      <c r="O24" s="8">
        <v>0.2</v>
      </c>
      <c r="P24" s="8">
        <v>0.2</v>
      </c>
      <c r="Q24" s="8">
        <v>0.2</v>
      </c>
      <c r="R24" s="8">
        <v>0.2</v>
      </c>
      <c r="S24" s="8">
        <v>0.2</v>
      </c>
      <c r="T24" s="8">
        <v>0.2</v>
      </c>
      <c r="U24" s="8">
        <v>0.2</v>
      </c>
      <c r="V24" s="8">
        <v>0.2</v>
      </c>
      <c r="W24" s="8">
        <v>0.2</v>
      </c>
      <c r="X24" s="8">
        <v>0.2</v>
      </c>
      <c r="Y24" s="8">
        <v>0.2</v>
      </c>
      <c r="Z24" s="8">
        <v>0.2</v>
      </c>
      <c r="AA24" s="8">
        <v>0.2</v>
      </c>
      <c r="AB24" s="8">
        <v>0.2</v>
      </c>
      <c r="AC24" s="8">
        <v>0.2</v>
      </c>
      <c r="AD24" s="8">
        <v>0.2</v>
      </c>
      <c r="AE24" s="8">
        <v>0.2</v>
      </c>
      <c r="AF24" s="8">
        <v>0.2</v>
      </c>
      <c r="AG24" s="8">
        <v>0.2</v>
      </c>
      <c r="AH24" s="8">
        <v>0.2</v>
      </c>
      <c r="AI24" s="8">
        <v>0.2</v>
      </c>
      <c r="AJ24" s="8">
        <v>0.2</v>
      </c>
      <c r="AK24" s="8">
        <v>0.2</v>
      </c>
      <c r="AL24" s="8">
        <v>0.2</v>
      </c>
      <c r="AM24" s="8">
        <v>0.2</v>
      </c>
      <c r="AN24" s="8">
        <v>0.2</v>
      </c>
      <c r="AO24" s="8">
        <v>0.2</v>
      </c>
      <c r="AP24" s="8">
        <v>0.2</v>
      </c>
      <c r="AQ24" s="8">
        <v>0.2</v>
      </c>
      <c r="AR24" s="8">
        <v>0.2</v>
      </c>
      <c r="AS24" s="8">
        <v>0.2</v>
      </c>
      <c r="AT24" s="8">
        <v>0.2</v>
      </c>
      <c r="AU24" s="8">
        <v>0.2</v>
      </c>
      <c r="AV24" s="8">
        <v>0.2</v>
      </c>
      <c r="AW24" s="8">
        <v>0.2</v>
      </c>
      <c r="AX24" s="8">
        <v>0.2</v>
      </c>
      <c r="AY24" s="8">
        <v>0.2</v>
      </c>
      <c r="AZ24" s="8">
        <v>0.2</v>
      </c>
      <c r="BA24" s="8">
        <v>0.2</v>
      </c>
      <c r="BB24" s="8">
        <v>0.2</v>
      </c>
      <c r="BC24" s="8">
        <v>0.2</v>
      </c>
      <c r="BD24" s="8">
        <v>0.2</v>
      </c>
      <c r="BE24" s="8">
        <v>0.2</v>
      </c>
      <c r="BF24" s="8">
        <v>0.2</v>
      </c>
    </row>
    <row r="25" spans="2:59" x14ac:dyDescent="0.25">
      <c r="B25" t="s">
        <v>0</v>
      </c>
      <c r="C25" s="5"/>
      <c r="D25" s="6">
        <v>7.0000000000000007E-2</v>
      </c>
      <c r="E25" s="6">
        <v>7.4999999999999997E-2</v>
      </c>
      <c r="F25" s="6">
        <v>0.08</v>
      </c>
      <c r="G25" s="6">
        <v>8.5000000000000006E-2</v>
      </c>
      <c r="H25" s="6">
        <v>8.5000000000000006E-2</v>
      </c>
      <c r="I25" s="6">
        <v>8.5000000000000006E-2</v>
      </c>
      <c r="J25" s="6">
        <v>8.5000000000000006E-2</v>
      </c>
      <c r="K25" s="6">
        <v>8.5000000000000006E-2</v>
      </c>
      <c r="L25" s="6">
        <v>8.5000000000000006E-2</v>
      </c>
      <c r="M25" s="6">
        <v>8.5000000000000006E-2</v>
      </c>
      <c r="N25" s="6">
        <v>8.5000000000000006E-2</v>
      </c>
      <c r="O25" s="6">
        <v>8.5000000000000006E-2</v>
      </c>
      <c r="P25" s="6">
        <v>8.5000000000000006E-2</v>
      </c>
      <c r="Q25" s="6">
        <v>8.5000000000000006E-2</v>
      </c>
      <c r="R25" s="6">
        <v>8.5000000000000006E-2</v>
      </c>
      <c r="S25" s="6">
        <v>8.5000000000000006E-2</v>
      </c>
      <c r="T25" s="6">
        <v>8.5000000000000006E-2</v>
      </c>
      <c r="U25" s="6">
        <v>8.5000000000000006E-2</v>
      </c>
      <c r="V25" s="6">
        <v>8.5000000000000006E-2</v>
      </c>
      <c r="W25" s="6">
        <v>8.5000000000000006E-2</v>
      </c>
      <c r="X25" s="6">
        <v>8.5000000000000006E-2</v>
      </c>
      <c r="Y25" s="6">
        <v>8.5000000000000006E-2</v>
      </c>
      <c r="Z25" s="6">
        <v>8.5000000000000006E-2</v>
      </c>
      <c r="AA25" s="6">
        <v>8.5000000000000006E-2</v>
      </c>
      <c r="AB25" s="6">
        <v>8.5000000000000006E-2</v>
      </c>
      <c r="AC25" s="6">
        <v>8.5000000000000006E-2</v>
      </c>
      <c r="AD25" s="6">
        <v>8.5000000000000006E-2</v>
      </c>
      <c r="AE25" s="6">
        <v>8.5000000000000006E-2</v>
      </c>
      <c r="AF25" s="6">
        <v>8.5000000000000006E-2</v>
      </c>
      <c r="AG25" s="6">
        <v>8.5000000000000006E-2</v>
      </c>
      <c r="AH25" s="6">
        <v>8.5000000000000006E-2</v>
      </c>
      <c r="AI25" s="6">
        <v>8.5000000000000006E-2</v>
      </c>
      <c r="AJ25" s="6">
        <v>8.5000000000000006E-2</v>
      </c>
      <c r="AK25" s="6">
        <v>8.5000000000000006E-2</v>
      </c>
      <c r="AL25" s="6">
        <v>8.5000000000000006E-2</v>
      </c>
      <c r="AM25" s="6">
        <v>8.5000000000000006E-2</v>
      </c>
      <c r="AN25" s="6">
        <v>8.5000000000000006E-2</v>
      </c>
      <c r="AO25" s="6">
        <v>8.5000000000000006E-2</v>
      </c>
      <c r="AP25" s="6">
        <v>8.5000000000000006E-2</v>
      </c>
      <c r="AQ25" s="6">
        <v>8.5000000000000006E-2</v>
      </c>
      <c r="AR25" s="6">
        <v>8.5000000000000006E-2</v>
      </c>
      <c r="AS25" s="6">
        <v>8.5000000000000006E-2</v>
      </c>
      <c r="AT25" s="6">
        <v>8.5000000000000006E-2</v>
      </c>
      <c r="AU25" s="6">
        <v>8.5000000000000006E-2</v>
      </c>
      <c r="AV25" s="6">
        <v>8.5000000000000006E-2</v>
      </c>
      <c r="AW25" s="6">
        <v>8.5000000000000006E-2</v>
      </c>
      <c r="AX25" s="6">
        <v>8.5000000000000006E-2</v>
      </c>
      <c r="AY25" s="6">
        <v>8.5000000000000006E-2</v>
      </c>
      <c r="AZ25" s="6">
        <v>8.5000000000000006E-2</v>
      </c>
      <c r="BA25" s="6">
        <v>8.5000000000000006E-2</v>
      </c>
      <c r="BB25" s="6">
        <v>8.5000000000000006E-2</v>
      </c>
      <c r="BC25" s="6">
        <v>8.5000000000000006E-2</v>
      </c>
      <c r="BD25" s="6">
        <v>8.5000000000000006E-2</v>
      </c>
      <c r="BE25" s="6">
        <v>8.5000000000000006E-2</v>
      </c>
      <c r="BF25" s="6">
        <v>8.5000000000000006E-2</v>
      </c>
    </row>
    <row r="26" spans="2:59" x14ac:dyDescent="0.25">
      <c r="B26" t="s">
        <v>4</v>
      </c>
      <c r="C26" s="6">
        <v>0.12</v>
      </c>
      <c r="D26" s="6">
        <v>0.12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6">
        <v>0.12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0.12</v>
      </c>
      <c r="AG26" s="6">
        <v>0.12</v>
      </c>
      <c r="AH26" s="6">
        <v>0.12</v>
      </c>
      <c r="AI26" s="6">
        <v>0.12</v>
      </c>
      <c r="AJ26" s="6">
        <v>0.12</v>
      </c>
      <c r="AK26" s="6">
        <v>0.12</v>
      </c>
      <c r="AL26" s="6">
        <v>0.12</v>
      </c>
      <c r="AM26" s="6">
        <v>0.12</v>
      </c>
      <c r="AN26" s="6">
        <v>0.12</v>
      </c>
      <c r="AO26" s="6">
        <v>0.12</v>
      </c>
      <c r="AP26" s="6">
        <v>0.12</v>
      </c>
      <c r="AQ26" s="6">
        <v>0.12</v>
      </c>
      <c r="AR26" s="6">
        <v>0.12</v>
      </c>
      <c r="AS26" s="6">
        <v>0.12</v>
      </c>
      <c r="AT26" s="6">
        <v>0.12</v>
      </c>
      <c r="AU26" s="6">
        <v>0.12</v>
      </c>
      <c r="AV26" s="6">
        <v>0.12</v>
      </c>
      <c r="AW26" s="6">
        <v>0.12</v>
      </c>
      <c r="AX26" s="6">
        <v>0.12</v>
      </c>
      <c r="AY26" s="6">
        <v>0.12</v>
      </c>
      <c r="AZ26" s="6">
        <v>0.12</v>
      </c>
      <c r="BA26" s="6">
        <v>0.12</v>
      </c>
      <c r="BB26" s="6">
        <v>0.12</v>
      </c>
      <c r="BC26" s="6">
        <v>0.12</v>
      </c>
      <c r="BD26" s="6">
        <v>0.12</v>
      </c>
      <c r="BE26" s="6">
        <v>0.12</v>
      </c>
      <c r="BF26" s="6">
        <v>0.12</v>
      </c>
    </row>
    <row r="27" spans="2:59" x14ac:dyDescent="0.25">
      <c r="B27" t="s">
        <v>72</v>
      </c>
      <c r="C27" s="6">
        <v>0.2</v>
      </c>
      <c r="D27" s="6">
        <v>0.2</v>
      </c>
      <c r="E27" s="6">
        <v>0.2</v>
      </c>
      <c r="F27" s="6">
        <v>0.2</v>
      </c>
      <c r="G27" s="6">
        <v>0.2</v>
      </c>
      <c r="H27" s="6">
        <v>0.2</v>
      </c>
      <c r="I27" s="6">
        <v>0.2</v>
      </c>
      <c r="J27" s="6">
        <v>0.2</v>
      </c>
      <c r="K27" s="6">
        <v>0.2</v>
      </c>
      <c r="L27" s="6">
        <v>0.2</v>
      </c>
      <c r="M27" s="6">
        <v>0.2</v>
      </c>
      <c r="N27" s="6">
        <v>0.2</v>
      </c>
      <c r="O27" s="6">
        <v>0.2</v>
      </c>
      <c r="P27" s="6">
        <v>0.2</v>
      </c>
      <c r="Q27" s="6">
        <v>0.2</v>
      </c>
      <c r="R27" s="6">
        <v>0.2</v>
      </c>
      <c r="S27" s="6">
        <v>0.2</v>
      </c>
      <c r="T27" s="6">
        <v>0.2</v>
      </c>
      <c r="U27" s="6">
        <v>0.2</v>
      </c>
      <c r="V27" s="6">
        <v>0.2</v>
      </c>
      <c r="W27" s="6">
        <v>0.2</v>
      </c>
      <c r="X27" s="6">
        <v>0.2</v>
      </c>
      <c r="Y27" s="6">
        <v>0.2</v>
      </c>
      <c r="Z27" s="6">
        <v>0.2</v>
      </c>
      <c r="AA27" s="6">
        <v>0.2</v>
      </c>
      <c r="AB27" s="6">
        <v>0.2</v>
      </c>
      <c r="AC27" s="6">
        <v>0.2</v>
      </c>
      <c r="AD27" s="6">
        <v>0.2</v>
      </c>
      <c r="AE27" s="6">
        <v>0.2</v>
      </c>
      <c r="AF27" s="6">
        <v>0.2</v>
      </c>
      <c r="AG27" s="6">
        <v>0.2</v>
      </c>
      <c r="AH27" s="6">
        <v>0.2</v>
      </c>
      <c r="AI27" s="6">
        <v>0.2</v>
      </c>
      <c r="AJ27" s="6">
        <v>0.2</v>
      </c>
      <c r="AK27" s="6">
        <v>0.2</v>
      </c>
      <c r="AL27" s="6">
        <v>0.2</v>
      </c>
      <c r="AM27" s="6">
        <v>0.2</v>
      </c>
      <c r="AN27" s="6">
        <v>0.2</v>
      </c>
      <c r="AO27" s="6">
        <v>0.2</v>
      </c>
      <c r="AP27" s="6">
        <v>0.2</v>
      </c>
      <c r="AQ27" s="6">
        <v>0.2</v>
      </c>
      <c r="AR27" s="6">
        <v>0.2</v>
      </c>
      <c r="AS27" s="6">
        <v>0.2</v>
      </c>
      <c r="AT27" s="6">
        <v>0.2</v>
      </c>
      <c r="AU27" s="6">
        <v>0.2</v>
      </c>
      <c r="AV27" s="6">
        <v>0.2</v>
      </c>
      <c r="AW27" s="6">
        <v>0.2</v>
      </c>
      <c r="AX27" s="6">
        <v>0.2</v>
      </c>
      <c r="AY27" s="6">
        <v>0.2</v>
      </c>
      <c r="AZ27" s="6">
        <v>0.2</v>
      </c>
      <c r="BA27" s="6">
        <v>0.2</v>
      </c>
      <c r="BB27" s="6">
        <v>0.2</v>
      </c>
      <c r="BC27" s="6">
        <v>0.2</v>
      </c>
      <c r="BD27" s="6">
        <v>0.2</v>
      </c>
      <c r="BE27" s="6">
        <v>0.2</v>
      </c>
      <c r="BF27" s="6">
        <v>0.2</v>
      </c>
    </row>
    <row r="28" spans="2:59" x14ac:dyDescent="0.25">
      <c r="B28" t="s">
        <v>15</v>
      </c>
      <c r="C28" s="9">
        <f>+(C26-C24*C25)/(1-C24)</f>
        <v>0.12</v>
      </c>
      <c r="D28" s="9">
        <f t="shared" ref="D28:BF28" si="4">+(D26-D24*D25)/(1-D24)</f>
        <v>0.12235602094240838</v>
      </c>
      <c r="E28" s="9">
        <f t="shared" si="4"/>
        <v>0.12445054945054944</v>
      </c>
      <c r="F28" s="9">
        <f t="shared" si="4"/>
        <v>0.12678362573099414</v>
      </c>
      <c r="G28" s="9">
        <f t="shared" si="4"/>
        <v>0.12820987654320987</v>
      </c>
      <c r="H28" s="9">
        <f t="shared" si="4"/>
        <v>0.12874999999999998</v>
      </c>
      <c r="I28" s="9">
        <f t="shared" si="4"/>
        <v>0.12874999999999998</v>
      </c>
      <c r="J28" s="9">
        <f t="shared" si="4"/>
        <v>0.12874999999999998</v>
      </c>
      <c r="K28" s="9">
        <f t="shared" si="4"/>
        <v>0.12874999999999998</v>
      </c>
      <c r="L28" s="9">
        <f t="shared" si="4"/>
        <v>0.12874999999999998</v>
      </c>
      <c r="M28" s="9">
        <f t="shared" si="4"/>
        <v>0.12874999999999998</v>
      </c>
      <c r="N28" s="9">
        <f t="shared" si="4"/>
        <v>0.12874999999999998</v>
      </c>
      <c r="O28" s="9">
        <f t="shared" si="4"/>
        <v>0.12874999999999998</v>
      </c>
      <c r="P28" s="9">
        <f t="shared" si="4"/>
        <v>0.12874999999999998</v>
      </c>
      <c r="Q28" s="9">
        <f t="shared" si="4"/>
        <v>0.12874999999999998</v>
      </c>
      <c r="R28" s="9">
        <f t="shared" si="4"/>
        <v>0.12874999999999998</v>
      </c>
      <c r="S28" s="9">
        <f t="shared" si="4"/>
        <v>0.12874999999999998</v>
      </c>
      <c r="T28" s="9">
        <f t="shared" si="4"/>
        <v>0.12874999999999998</v>
      </c>
      <c r="U28" s="9">
        <f t="shared" si="4"/>
        <v>0.12874999999999998</v>
      </c>
      <c r="V28" s="9">
        <f t="shared" si="4"/>
        <v>0.12874999999999998</v>
      </c>
      <c r="W28" s="9">
        <f t="shared" si="4"/>
        <v>0.12874999999999998</v>
      </c>
      <c r="X28" s="9">
        <f t="shared" si="4"/>
        <v>0.12874999999999998</v>
      </c>
      <c r="Y28" s="9">
        <f t="shared" si="4"/>
        <v>0.12874999999999998</v>
      </c>
      <c r="Z28" s="9">
        <f t="shared" si="4"/>
        <v>0.12874999999999998</v>
      </c>
      <c r="AA28" s="9">
        <f t="shared" si="4"/>
        <v>0.12874999999999998</v>
      </c>
      <c r="AB28" s="9">
        <f t="shared" si="4"/>
        <v>0.12874999999999998</v>
      </c>
      <c r="AC28" s="9">
        <f t="shared" si="4"/>
        <v>0.12874999999999998</v>
      </c>
      <c r="AD28" s="9">
        <f t="shared" si="4"/>
        <v>0.12874999999999998</v>
      </c>
      <c r="AE28" s="9">
        <f t="shared" si="4"/>
        <v>0.12874999999999998</v>
      </c>
      <c r="AF28" s="9">
        <f t="shared" si="4"/>
        <v>0.12874999999999998</v>
      </c>
      <c r="AG28" s="9">
        <f t="shared" si="4"/>
        <v>0.12874999999999998</v>
      </c>
      <c r="AH28" s="9">
        <f t="shared" si="4"/>
        <v>0.12874999999999998</v>
      </c>
      <c r="AI28" s="9">
        <f t="shared" si="4"/>
        <v>0.12874999999999998</v>
      </c>
      <c r="AJ28" s="9">
        <f t="shared" si="4"/>
        <v>0.12874999999999998</v>
      </c>
      <c r="AK28" s="9">
        <f t="shared" si="4"/>
        <v>0.12874999999999998</v>
      </c>
      <c r="AL28" s="9">
        <f t="shared" si="4"/>
        <v>0.12874999999999998</v>
      </c>
      <c r="AM28" s="9">
        <f t="shared" si="4"/>
        <v>0.12874999999999998</v>
      </c>
      <c r="AN28" s="9">
        <f t="shared" si="4"/>
        <v>0.12874999999999998</v>
      </c>
      <c r="AO28" s="9">
        <f t="shared" si="4"/>
        <v>0.12874999999999998</v>
      </c>
      <c r="AP28" s="9">
        <f t="shared" si="4"/>
        <v>0.12874999999999998</v>
      </c>
      <c r="AQ28" s="9">
        <f t="shared" si="4"/>
        <v>0.12874999999999998</v>
      </c>
      <c r="AR28" s="9">
        <f t="shared" si="4"/>
        <v>0.12874999999999998</v>
      </c>
      <c r="AS28" s="9">
        <f t="shared" si="4"/>
        <v>0.12874999999999998</v>
      </c>
      <c r="AT28" s="9">
        <f t="shared" si="4"/>
        <v>0.12874999999999998</v>
      </c>
      <c r="AU28" s="9">
        <f t="shared" si="4"/>
        <v>0.12874999999999998</v>
      </c>
      <c r="AV28" s="9">
        <f t="shared" si="4"/>
        <v>0.12874999999999998</v>
      </c>
      <c r="AW28" s="9">
        <f t="shared" si="4"/>
        <v>0.12874999999999998</v>
      </c>
      <c r="AX28" s="9">
        <f t="shared" si="4"/>
        <v>0.12874999999999998</v>
      </c>
      <c r="AY28" s="9">
        <f t="shared" si="4"/>
        <v>0.12874999999999998</v>
      </c>
      <c r="AZ28" s="9">
        <f t="shared" si="4"/>
        <v>0.12874999999999998</v>
      </c>
      <c r="BA28" s="9">
        <f t="shared" si="4"/>
        <v>0.12874999999999998</v>
      </c>
      <c r="BB28" s="9">
        <f t="shared" si="4"/>
        <v>0.12874999999999998</v>
      </c>
      <c r="BC28" s="9">
        <f t="shared" si="4"/>
        <v>0.12874999999999998</v>
      </c>
      <c r="BD28" s="9">
        <f t="shared" si="4"/>
        <v>0.12874999999999998</v>
      </c>
      <c r="BE28" s="9">
        <f t="shared" si="4"/>
        <v>0.12874999999999998</v>
      </c>
      <c r="BF28" s="9">
        <f t="shared" si="4"/>
        <v>0.12874999999999998</v>
      </c>
    </row>
    <row r="29" spans="2:59" x14ac:dyDescent="0.25">
      <c r="B29" t="s">
        <v>14</v>
      </c>
      <c r="C29" s="9">
        <f>+C26-C24*C25*C31</f>
        <v>0.12</v>
      </c>
      <c r="D29" s="9">
        <f t="shared" ref="D29:BF29" si="5">+D26-D24*D25*D31</f>
        <v>0.11936999999999999</v>
      </c>
      <c r="E29" s="9">
        <f t="shared" si="5"/>
        <v>0.11864999999999999</v>
      </c>
      <c r="F29" s="9">
        <f t="shared" si="5"/>
        <v>0.11767999999999999</v>
      </c>
      <c r="G29" s="9">
        <f t="shared" si="5"/>
        <v>0.11677</v>
      </c>
      <c r="H29" s="9">
        <f t="shared" si="5"/>
        <v>0.1166</v>
      </c>
      <c r="I29" s="9">
        <f t="shared" si="5"/>
        <v>0.1166</v>
      </c>
      <c r="J29" s="9">
        <f t="shared" si="5"/>
        <v>0.1166</v>
      </c>
      <c r="K29" s="9">
        <f t="shared" si="5"/>
        <v>0.1166</v>
      </c>
      <c r="L29" s="9">
        <f t="shared" si="5"/>
        <v>0.1166</v>
      </c>
      <c r="M29" s="9">
        <f t="shared" si="5"/>
        <v>0.1166</v>
      </c>
      <c r="N29" s="9">
        <f t="shared" si="5"/>
        <v>0.1166</v>
      </c>
      <c r="O29" s="9">
        <f t="shared" si="5"/>
        <v>0.1166</v>
      </c>
      <c r="P29" s="9">
        <f t="shared" si="5"/>
        <v>0.1166</v>
      </c>
      <c r="Q29" s="9">
        <f t="shared" si="5"/>
        <v>0.1166</v>
      </c>
      <c r="R29" s="9">
        <f t="shared" si="5"/>
        <v>0.1166</v>
      </c>
      <c r="S29" s="9">
        <f t="shared" si="5"/>
        <v>0.1166</v>
      </c>
      <c r="T29" s="9">
        <f t="shared" si="5"/>
        <v>0.1166</v>
      </c>
      <c r="U29" s="9">
        <f t="shared" si="5"/>
        <v>0.1166</v>
      </c>
      <c r="V29" s="9">
        <f t="shared" si="5"/>
        <v>0.1166</v>
      </c>
      <c r="W29" s="9">
        <f t="shared" si="5"/>
        <v>0.1166</v>
      </c>
      <c r="X29" s="9">
        <f t="shared" si="5"/>
        <v>0.1166</v>
      </c>
      <c r="Y29" s="9">
        <f t="shared" si="5"/>
        <v>0.1166</v>
      </c>
      <c r="Z29" s="9">
        <f t="shared" si="5"/>
        <v>0.1166</v>
      </c>
      <c r="AA29" s="9">
        <f t="shared" si="5"/>
        <v>0.1166</v>
      </c>
      <c r="AB29" s="9">
        <f t="shared" si="5"/>
        <v>0.1166</v>
      </c>
      <c r="AC29" s="9">
        <f t="shared" si="5"/>
        <v>0.1166</v>
      </c>
      <c r="AD29" s="9">
        <f t="shared" si="5"/>
        <v>0.1166</v>
      </c>
      <c r="AE29" s="9">
        <f t="shared" si="5"/>
        <v>0.1166</v>
      </c>
      <c r="AF29" s="9">
        <f t="shared" si="5"/>
        <v>0.1166</v>
      </c>
      <c r="AG29" s="9">
        <f t="shared" si="5"/>
        <v>0.1166</v>
      </c>
      <c r="AH29" s="9">
        <f t="shared" si="5"/>
        <v>0.1166</v>
      </c>
      <c r="AI29" s="9">
        <f t="shared" si="5"/>
        <v>0.1166</v>
      </c>
      <c r="AJ29" s="9">
        <f t="shared" si="5"/>
        <v>0.1166</v>
      </c>
      <c r="AK29" s="9">
        <f t="shared" si="5"/>
        <v>0.1166</v>
      </c>
      <c r="AL29" s="9">
        <f t="shared" si="5"/>
        <v>0.1166</v>
      </c>
      <c r="AM29" s="9">
        <f t="shared" si="5"/>
        <v>0.1166</v>
      </c>
      <c r="AN29" s="9">
        <f t="shared" si="5"/>
        <v>0.1166</v>
      </c>
      <c r="AO29" s="9">
        <f t="shared" si="5"/>
        <v>0.1166</v>
      </c>
      <c r="AP29" s="9">
        <f t="shared" si="5"/>
        <v>0.1166</v>
      </c>
      <c r="AQ29" s="9">
        <f t="shared" si="5"/>
        <v>0.1166</v>
      </c>
      <c r="AR29" s="9">
        <f t="shared" si="5"/>
        <v>0.1166</v>
      </c>
      <c r="AS29" s="9">
        <f t="shared" si="5"/>
        <v>0.1166</v>
      </c>
      <c r="AT29" s="9">
        <f t="shared" si="5"/>
        <v>0.1166</v>
      </c>
      <c r="AU29" s="9">
        <f t="shared" si="5"/>
        <v>0.1166</v>
      </c>
      <c r="AV29" s="9">
        <f t="shared" si="5"/>
        <v>0.1166</v>
      </c>
      <c r="AW29" s="9">
        <f t="shared" si="5"/>
        <v>0.1166</v>
      </c>
      <c r="AX29" s="9">
        <f t="shared" si="5"/>
        <v>0.1166</v>
      </c>
      <c r="AY29" s="9">
        <f t="shared" si="5"/>
        <v>0.1166</v>
      </c>
      <c r="AZ29" s="9">
        <f t="shared" si="5"/>
        <v>0.1166</v>
      </c>
      <c r="BA29" s="9">
        <f t="shared" si="5"/>
        <v>0.1166</v>
      </c>
      <c r="BB29" s="9">
        <f t="shared" si="5"/>
        <v>0.1166</v>
      </c>
      <c r="BC29" s="9">
        <f t="shared" si="5"/>
        <v>0.1166</v>
      </c>
      <c r="BD29" s="9">
        <f t="shared" si="5"/>
        <v>0.1166</v>
      </c>
      <c r="BE29" s="9">
        <f t="shared" si="5"/>
        <v>0.1166</v>
      </c>
      <c r="BF29" s="9">
        <f t="shared" si="5"/>
        <v>0.1166</v>
      </c>
    </row>
    <row r="30" spans="2:59" x14ac:dyDescent="0.25">
      <c r="B30" t="s">
        <v>12</v>
      </c>
      <c r="C30" s="9">
        <f>+D23/D22</f>
        <v>0.80000000000000016</v>
      </c>
      <c r="D30" s="9">
        <f t="shared" ref="D30:J30" si="6">+E23/E22</f>
        <v>0.61764705882352933</v>
      </c>
      <c r="E30" s="9">
        <f t="shared" si="6"/>
        <v>0.48484848484848486</v>
      </c>
      <c r="F30" s="9">
        <f t="shared" si="6"/>
        <v>0.375</v>
      </c>
      <c r="G30" s="9">
        <f t="shared" si="6"/>
        <v>0.3666666666666667</v>
      </c>
      <c r="H30" s="9">
        <f t="shared" si="6"/>
        <v>0.45833333333333337</v>
      </c>
      <c r="I30" s="9">
        <f t="shared" si="6"/>
        <v>0.41666666666666669</v>
      </c>
      <c r="J30" s="9">
        <f t="shared" si="6"/>
        <v>0.41666666666666669</v>
      </c>
      <c r="K30" s="9">
        <f>+L23/L22</f>
        <v>0.41666666666666669</v>
      </c>
      <c r="L30" s="9">
        <f t="shared" ref="L30:BF30" si="7">+M23/M22</f>
        <v>0.41666666666666669</v>
      </c>
      <c r="M30" s="9">
        <f t="shared" si="7"/>
        <v>0.41666666666666669</v>
      </c>
      <c r="N30" s="9">
        <f t="shared" si="7"/>
        <v>0.41666666666666669</v>
      </c>
      <c r="O30" s="9">
        <f t="shared" si="7"/>
        <v>0.41666666666666669</v>
      </c>
      <c r="P30" s="9">
        <f t="shared" si="7"/>
        <v>0.41666666666666669</v>
      </c>
      <c r="Q30" s="9">
        <f t="shared" si="7"/>
        <v>0.41666666666666669</v>
      </c>
      <c r="R30" s="9">
        <f t="shared" si="7"/>
        <v>0.41666666666666669</v>
      </c>
      <c r="S30" s="9">
        <f t="shared" si="7"/>
        <v>0.41666666666666669</v>
      </c>
      <c r="T30" s="9">
        <f t="shared" si="7"/>
        <v>0.41666666666666669</v>
      </c>
      <c r="U30" s="9">
        <f t="shared" si="7"/>
        <v>0.41666666666666669</v>
      </c>
      <c r="V30" s="9">
        <f t="shared" si="7"/>
        <v>0.41666666666666669</v>
      </c>
      <c r="W30" s="9">
        <f t="shared" si="7"/>
        <v>0.41666666666666669</v>
      </c>
      <c r="X30" s="9">
        <f t="shared" si="7"/>
        <v>0.41666666666666669</v>
      </c>
      <c r="Y30" s="9">
        <f t="shared" si="7"/>
        <v>0.41666666666666669</v>
      </c>
      <c r="Z30" s="9">
        <f t="shared" si="7"/>
        <v>0.41666666666666669</v>
      </c>
      <c r="AA30" s="9">
        <f t="shared" si="7"/>
        <v>0.41666666666666669</v>
      </c>
      <c r="AB30" s="9">
        <f t="shared" si="7"/>
        <v>0.41666666666666669</v>
      </c>
      <c r="AC30" s="9">
        <f t="shared" si="7"/>
        <v>0.41666666666666669</v>
      </c>
      <c r="AD30" s="9">
        <f t="shared" si="7"/>
        <v>0.41666666666666669</v>
      </c>
      <c r="AE30" s="9">
        <f t="shared" si="7"/>
        <v>0.41666666666666669</v>
      </c>
      <c r="AF30" s="9">
        <f t="shared" si="7"/>
        <v>0.41666666666666669</v>
      </c>
      <c r="AG30" s="9">
        <f t="shared" si="7"/>
        <v>0.41666666666666669</v>
      </c>
      <c r="AH30" s="9">
        <f t="shared" si="7"/>
        <v>0.41666666666666669</v>
      </c>
      <c r="AI30" s="9">
        <f t="shared" si="7"/>
        <v>0.41666666666666669</v>
      </c>
      <c r="AJ30" s="9">
        <f t="shared" si="7"/>
        <v>0.41666666666666669</v>
      </c>
      <c r="AK30" s="9">
        <f t="shared" si="7"/>
        <v>0.41666666666666669</v>
      </c>
      <c r="AL30" s="9">
        <f t="shared" si="7"/>
        <v>0.41666666666666669</v>
      </c>
      <c r="AM30" s="9">
        <f t="shared" si="7"/>
        <v>0.41666666666666669</v>
      </c>
      <c r="AN30" s="9">
        <f t="shared" si="7"/>
        <v>0.41666666666666669</v>
      </c>
      <c r="AO30" s="9">
        <f t="shared" si="7"/>
        <v>0.41666666666666669</v>
      </c>
      <c r="AP30" s="9">
        <f t="shared" si="7"/>
        <v>0.41666666666666669</v>
      </c>
      <c r="AQ30" s="9">
        <f t="shared" si="7"/>
        <v>0.41666666666666669</v>
      </c>
      <c r="AR30" s="9">
        <f t="shared" si="7"/>
        <v>0.41666666666666669</v>
      </c>
      <c r="AS30" s="9">
        <f t="shared" si="7"/>
        <v>0.41666666666666669</v>
      </c>
      <c r="AT30" s="9">
        <f t="shared" si="7"/>
        <v>0.41666666666666669</v>
      </c>
      <c r="AU30" s="9">
        <f t="shared" si="7"/>
        <v>0.41666666666666669</v>
      </c>
      <c r="AV30" s="9">
        <f t="shared" si="7"/>
        <v>0.41666666666666669</v>
      </c>
      <c r="AW30" s="9">
        <f t="shared" si="7"/>
        <v>0.41666666666666669</v>
      </c>
      <c r="AX30" s="9">
        <f t="shared" si="7"/>
        <v>0.41666666666666669</v>
      </c>
      <c r="AY30" s="9">
        <f t="shared" si="7"/>
        <v>0.41666666666666669</v>
      </c>
      <c r="AZ30" s="9">
        <f t="shared" si="7"/>
        <v>0.41666666666666669</v>
      </c>
      <c r="BA30" s="9">
        <f t="shared" si="7"/>
        <v>0.41666666666666669</v>
      </c>
      <c r="BB30" s="9">
        <f t="shared" si="7"/>
        <v>0.41666666666666669</v>
      </c>
      <c r="BC30" s="9">
        <f t="shared" si="7"/>
        <v>0.41666666666666669</v>
      </c>
      <c r="BD30" s="9">
        <f t="shared" si="7"/>
        <v>0.41666666666666669</v>
      </c>
      <c r="BE30" s="9">
        <f t="shared" si="7"/>
        <v>0.41666666666666669</v>
      </c>
      <c r="BF30" s="9">
        <f t="shared" si="7"/>
        <v>0.41666666666666669</v>
      </c>
    </row>
    <row r="31" spans="2:59" x14ac:dyDescent="0.25">
      <c r="B31" t="s">
        <v>75</v>
      </c>
      <c r="C31" s="16">
        <f>+C27</f>
        <v>0.2</v>
      </c>
      <c r="D31" s="16">
        <f t="shared" ref="D31:BF31" si="8">+D27</f>
        <v>0.2</v>
      </c>
      <c r="E31" s="16">
        <f t="shared" si="8"/>
        <v>0.2</v>
      </c>
      <c r="F31" s="16">
        <f t="shared" si="8"/>
        <v>0.2</v>
      </c>
      <c r="G31" s="16">
        <f t="shared" si="8"/>
        <v>0.2</v>
      </c>
      <c r="H31" s="16">
        <f t="shared" si="8"/>
        <v>0.2</v>
      </c>
      <c r="I31" s="16">
        <f t="shared" si="8"/>
        <v>0.2</v>
      </c>
      <c r="J31" s="16">
        <f t="shared" si="8"/>
        <v>0.2</v>
      </c>
      <c r="K31" s="16">
        <f t="shared" si="8"/>
        <v>0.2</v>
      </c>
      <c r="L31" s="16">
        <f t="shared" si="8"/>
        <v>0.2</v>
      </c>
      <c r="M31" s="16">
        <f t="shared" si="8"/>
        <v>0.2</v>
      </c>
      <c r="N31" s="16">
        <f t="shared" si="8"/>
        <v>0.2</v>
      </c>
      <c r="O31" s="16">
        <f t="shared" si="8"/>
        <v>0.2</v>
      </c>
      <c r="P31" s="16">
        <f t="shared" si="8"/>
        <v>0.2</v>
      </c>
      <c r="Q31" s="16">
        <f t="shared" si="8"/>
        <v>0.2</v>
      </c>
      <c r="R31" s="16">
        <f t="shared" si="8"/>
        <v>0.2</v>
      </c>
      <c r="S31" s="16">
        <f t="shared" si="8"/>
        <v>0.2</v>
      </c>
      <c r="T31" s="16">
        <f t="shared" si="8"/>
        <v>0.2</v>
      </c>
      <c r="U31" s="16">
        <f t="shared" si="8"/>
        <v>0.2</v>
      </c>
      <c r="V31" s="16">
        <f t="shared" si="8"/>
        <v>0.2</v>
      </c>
      <c r="W31" s="16">
        <f t="shared" si="8"/>
        <v>0.2</v>
      </c>
      <c r="X31" s="16">
        <f t="shared" si="8"/>
        <v>0.2</v>
      </c>
      <c r="Y31" s="16">
        <f t="shared" si="8"/>
        <v>0.2</v>
      </c>
      <c r="Z31" s="16">
        <f t="shared" si="8"/>
        <v>0.2</v>
      </c>
      <c r="AA31" s="16">
        <f t="shared" si="8"/>
        <v>0.2</v>
      </c>
      <c r="AB31" s="16">
        <f t="shared" si="8"/>
        <v>0.2</v>
      </c>
      <c r="AC31" s="16">
        <f t="shared" si="8"/>
        <v>0.2</v>
      </c>
      <c r="AD31" s="16">
        <f t="shared" si="8"/>
        <v>0.2</v>
      </c>
      <c r="AE31" s="16">
        <f t="shared" si="8"/>
        <v>0.2</v>
      </c>
      <c r="AF31" s="16">
        <f t="shared" si="8"/>
        <v>0.2</v>
      </c>
      <c r="AG31" s="16">
        <f t="shared" si="8"/>
        <v>0.2</v>
      </c>
      <c r="AH31" s="16">
        <f t="shared" si="8"/>
        <v>0.2</v>
      </c>
      <c r="AI31" s="16">
        <f t="shared" si="8"/>
        <v>0.2</v>
      </c>
      <c r="AJ31" s="16">
        <f t="shared" si="8"/>
        <v>0.2</v>
      </c>
      <c r="AK31" s="16">
        <f t="shared" si="8"/>
        <v>0.2</v>
      </c>
      <c r="AL31" s="16">
        <f t="shared" si="8"/>
        <v>0.2</v>
      </c>
      <c r="AM31" s="16">
        <f t="shared" si="8"/>
        <v>0.2</v>
      </c>
      <c r="AN31" s="16">
        <f t="shared" si="8"/>
        <v>0.2</v>
      </c>
      <c r="AO31" s="16">
        <f t="shared" si="8"/>
        <v>0.2</v>
      </c>
      <c r="AP31" s="16">
        <f t="shared" si="8"/>
        <v>0.2</v>
      </c>
      <c r="AQ31" s="16">
        <f t="shared" si="8"/>
        <v>0.2</v>
      </c>
      <c r="AR31" s="16">
        <f t="shared" si="8"/>
        <v>0.2</v>
      </c>
      <c r="AS31" s="16">
        <f t="shared" si="8"/>
        <v>0.2</v>
      </c>
      <c r="AT31" s="16">
        <f t="shared" si="8"/>
        <v>0.2</v>
      </c>
      <c r="AU31" s="16">
        <f t="shared" si="8"/>
        <v>0.2</v>
      </c>
      <c r="AV31" s="16">
        <f t="shared" si="8"/>
        <v>0.2</v>
      </c>
      <c r="AW31" s="16">
        <f t="shared" si="8"/>
        <v>0.2</v>
      </c>
      <c r="AX31" s="16">
        <f t="shared" si="8"/>
        <v>0.2</v>
      </c>
      <c r="AY31" s="16">
        <f t="shared" si="8"/>
        <v>0.2</v>
      </c>
      <c r="AZ31" s="16">
        <f t="shared" si="8"/>
        <v>0.2</v>
      </c>
      <c r="BA31" s="16">
        <f t="shared" si="8"/>
        <v>0.2</v>
      </c>
      <c r="BB31" s="16">
        <f t="shared" si="8"/>
        <v>0.2</v>
      </c>
      <c r="BC31" s="16">
        <f t="shared" si="8"/>
        <v>0.2</v>
      </c>
      <c r="BD31" s="16">
        <f t="shared" si="8"/>
        <v>0.2</v>
      </c>
      <c r="BE31" s="16">
        <f t="shared" si="8"/>
        <v>0.2</v>
      </c>
      <c r="BF31" s="16">
        <f t="shared" si="8"/>
        <v>0.2</v>
      </c>
    </row>
    <row r="32" spans="2:59" x14ac:dyDescent="0.25">
      <c r="B32" t="s">
        <v>79</v>
      </c>
      <c r="C32" s="17">
        <f>+C50/C49</f>
        <v>0.2</v>
      </c>
      <c r="D32" s="17">
        <f t="shared" ref="D32:BF32" si="9">+D50/D49</f>
        <v>0.2</v>
      </c>
      <c r="E32" s="17">
        <f t="shared" si="9"/>
        <v>0.20000000000000004</v>
      </c>
      <c r="F32" s="17">
        <f t="shared" si="9"/>
        <v>0.2</v>
      </c>
      <c r="G32" s="17">
        <f t="shared" si="9"/>
        <v>0.2</v>
      </c>
      <c r="H32" s="17">
        <f t="shared" si="9"/>
        <v>0.2</v>
      </c>
      <c r="I32" s="17">
        <f t="shared" si="9"/>
        <v>0.2</v>
      </c>
      <c r="J32" s="17">
        <f t="shared" si="9"/>
        <v>0.2</v>
      </c>
      <c r="K32" s="17">
        <f t="shared" si="9"/>
        <v>0.2</v>
      </c>
      <c r="L32" s="17">
        <f t="shared" si="9"/>
        <v>0.2</v>
      </c>
      <c r="M32" s="17">
        <f t="shared" si="9"/>
        <v>0.2</v>
      </c>
      <c r="N32" s="17">
        <f t="shared" si="9"/>
        <v>0.20000000000000004</v>
      </c>
      <c r="O32" s="17">
        <f t="shared" si="9"/>
        <v>0.2</v>
      </c>
      <c r="P32" s="17">
        <f t="shared" si="9"/>
        <v>0.19999999999999998</v>
      </c>
      <c r="Q32" s="17">
        <f t="shared" si="9"/>
        <v>0.2</v>
      </c>
      <c r="R32" s="17">
        <f t="shared" si="9"/>
        <v>0.2</v>
      </c>
      <c r="S32" s="17">
        <f t="shared" si="9"/>
        <v>0.20000000000000004</v>
      </c>
      <c r="T32" s="17">
        <f t="shared" si="9"/>
        <v>0.2</v>
      </c>
      <c r="U32" s="17">
        <f t="shared" si="9"/>
        <v>0.2</v>
      </c>
      <c r="V32" s="17">
        <f t="shared" si="9"/>
        <v>0.2</v>
      </c>
      <c r="W32" s="17">
        <f t="shared" si="9"/>
        <v>0.2</v>
      </c>
      <c r="X32" s="17">
        <f t="shared" si="9"/>
        <v>0.2</v>
      </c>
      <c r="Y32" s="17">
        <f t="shared" si="9"/>
        <v>0.2</v>
      </c>
      <c r="Z32" s="17">
        <f t="shared" si="9"/>
        <v>0.2</v>
      </c>
      <c r="AA32" s="17">
        <f t="shared" si="9"/>
        <v>0.2</v>
      </c>
      <c r="AB32" s="17">
        <f t="shared" si="9"/>
        <v>0.19999999999999998</v>
      </c>
      <c r="AC32" s="17">
        <f t="shared" si="9"/>
        <v>0.2</v>
      </c>
      <c r="AD32" s="17">
        <f t="shared" si="9"/>
        <v>0.2</v>
      </c>
      <c r="AE32" s="17">
        <f t="shared" si="9"/>
        <v>0.2</v>
      </c>
      <c r="AF32" s="17">
        <f t="shared" si="9"/>
        <v>0.2</v>
      </c>
      <c r="AG32" s="17">
        <f t="shared" si="9"/>
        <v>0.2</v>
      </c>
      <c r="AH32" s="17">
        <f t="shared" si="9"/>
        <v>0.2</v>
      </c>
      <c r="AI32" s="17">
        <f t="shared" si="9"/>
        <v>0.2</v>
      </c>
      <c r="AJ32" s="17">
        <f t="shared" si="9"/>
        <v>0.2</v>
      </c>
      <c r="AK32" s="17">
        <f t="shared" si="9"/>
        <v>0.2</v>
      </c>
      <c r="AL32" s="17">
        <f t="shared" si="9"/>
        <v>0.2</v>
      </c>
      <c r="AM32" s="17">
        <f t="shared" si="9"/>
        <v>0.2</v>
      </c>
      <c r="AN32" s="17">
        <f t="shared" si="9"/>
        <v>0.2</v>
      </c>
      <c r="AO32" s="17">
        <f t="shared" si="9"/>
        <v>0.2</v>
      </c>
      <c r="AP32" s="17">
        <f t="shared" si="9"/>
        <v>0.20000000000000004</v>
      </c>
      <c r="AQ32" s="17">
        <f t="shared" si="9"/>
        <v>0.2</v>
      </c>
      <c r="AR32" s="17">
        <f t="shared" si="9"/>
        <v>0.19999999999999998</v>
      </c>
      <c r="AS32" s="17">
        <f t="shared" si="9"/>
        <v>0.2</v>
      </c>
      <c r="AT32" s="17">
        <f t="shared" si="9"/>
        <v>0.2</v>
      </c>
      <c r="AU32" s="17">
        <f t="shared" si="9"/>
        <v>0.2</v>
      </c>
      <c r="AV32" s="17">
        <f t="shared" si="9"/>
        <v>0.2</v>
      </c>
      <c r="AW32" s="17">
        <f t="shared" si="9"/>
        <v>0.2</v>
      </c>
      <c r="AX32" s="17">
        <f t="shared" si="9"/>
        <v>0.2</v>
      </c>
      <c r="AY32" s="17">
        <f t="shared" si="9"/>
        <v>0.2</v>
      </c>
      <c r="AZ32" s="17">
        <f t="shared" si="9"/>
        <v>0.2</v>
      </c>
      <c r="BA32" s="17">
        <f t="shared" si="9"/>
        <v>0.2</v>
      </c>
      <c r="BB32" s="17">
        <f t="shared" si="9"/>
        <v>0.2</v>
      </c>
      <c r="BC32" s="17">
        <f t="shared" si="9"/>
        <v>0.2</v>
      </c>
      <c r="BD32" s="17">
        <f t="shared" si="9"/>
        <v>0.2</v>
      </c>
      <c r="BE32" s="17">
        <f t="shared" si="9"/>
        <v>0.19999999999999998</v>
      </c>
      <c r="BF32" s="17">
        <f t="shared" si="9"/>
        <v>0.19999999999999998</v>
      </c>
    </row>
    <row r="33" spans="2:58" x14ac:dyDescent="0.25">
      <c r="C33" s="3"/>
      <c r="D33" s="3"/>
      <c r="E33" s="3"/>
      <c r="F33" s="3"/>
      <c r="G33" s="3"/>
      <c r="H33" s="3"/>
      <c r="I33" s="3"/>
      <c r="J33" s="3"/>
    </row>
    <row r="34" spans="2:58" x14ac:dyDescent="0.25">
      <c r="C34" s="3"/>
      <c r="D34" s="11">
        <f>+C35*(1+D23)</f>
        <v>2736.0000000000005</v>
      </c>
      <c r="E34" s="11">
        <f t="shared" ref="E34:BF34" si="10">+D35*(1+E23)</f>
        <v>3023.2799999999997</v>
      </c>
      <c r="F34" s="11">
        <f t="shared" si="10"/>
        <v>3265.1423999999997</v>
      </c>
      <c r="G34" s="11">
        <f t="shared" si="10"/>
        <v>3461.0509440000001</v>
      </c>
      <c r="H34" s="11">
        <f t="shared" si="10"/>
        <v>3651.4087459199995</v>
      </c>
      <c r="I34" s="11">
        <f t="shared" si="10"/>
        <v>3852.2362269455994</v>
      </c>
      <c r="J34" s="11">
        <f t="shared" si="10"/>
        <v>4044.8480382928797</v>
      </c>
      <c r="K34" s="11">
        <f t="shared" si="10"/>
        <v>4247.090440207523</v>
      </c>
      <c r="L34" s="11">
        <f t="shared" si="10"/>
        <v>4459.444962217899</v>
      </c>
      <c r="M34" s="11">
        <f t="shared" si="10"/>
        <v>4682.4172103287938</v>
      </c>
      <c r="N34" s="11">
        <f t="shared" si="10"/>
        <v>4916.538070845234</v>
      </c>
      <c r="O34" s="11">
        <f t="shared" si="10"/>
        <v>5162.3649743874948</v>
      </c>
      <c r="P34" s="11">
        <f t="shared" si="10"/>
        <v>5420.4832231068694</v>
      </c>
      <c r="Q34" s="11">
        <f t="shared" si="10"/>
        <v>5691.5073842622132</v>
      </c>
      <c r="R34" s="11">
        <f t="shared" si="10"/>
        <v>5976.0827534753244</v>
      </c>
      <c r="S34" s="11">
        <f t="shared" si="10"/>
        <v>6274.8868911490908</v>
      </c>
      <c r="T34" s="11">
        <f t="shared" si="10"/>
        <v>6588.6312357065453</v>
      </c>
      <c r="U34" s="11">
        <f t="shared" si="10"/>
        <v>6918.0627974918725</v>
      </c>
      <c r="V34" s="11">
        <f t="shared" si="10"/>
        <v>7263.9659373664663</v>
      </c>
      <c r="W34" s="11">
        <f t="shared" si="10"/>
        <v>7627.1642342347895</v>
      </c>
      <c r="X34" s="11">
        <f t="shared" si="10"/>
        <v>8008.5224459465289</v>
      </c>
      <c r="Y34" s="11">
        <f t="shared" si="10"/>
        <v>8408.9485682438553</v>
      </c>
      <c r="Z34" s="11">
        <f t="shared" si="10"/>
        <v>8829.3959966560487</v>
      </c>
      <c r="AA34" s="11">
        <f t="shared" si="10"/>
        <v>9270.8657964888516</v>
      </c>
      <c r="AB34" s="11">
        <f t="shared" si="10"/>
        <v>9734.4090863132951</v>
      </c>
      <c r="AC34" s="11">
        <f t="shared" si="10"/>
        <v>10221.129540628961</v>
      </c>
      <c r="AD34" s="11">
        <f t="shared" si="10"/>
        <v>10732.186017660408</v>
      </c>
      <c r="AE34" s="11">
        <f t="shared" si="10"/>
        <v>11268.795318543429</v>
      </c>
      <c r="AF34" s="11">
        <f t="shared" si="10"/>
        <v>11832.2350844706</v>
      </c>
      <c r="AG34" s="11">
        <f t="shared" si="10"/>
        <v>12423.846838694128</v>
      </c>
      <c r="AH34" s="11">
        <f t="shared" si="10"/>
        <v>13045.039180628835</v>
      </c>
      <c r="AI34" s="11">
        <f t="shared" si="10"/>
        <v>13697.291139660276</v>
      </c>
      <c r="AJ34" s="11">
        <f t="shared" si="10"/>
        <v>14382.155696643291</v>
      </c>
      <c r="AK34" s="11">
        <f t="shared" si="10"/>
        <v>15101.263481475455</v>
      </c>
      <c r="AL34" s="11">
        <f t="shared" si="10"/>
        <v>15856.326655549226</v>
      </c>
      <c r="AM34" s="11">
        <f t="shared" si="10"/>
        <v>16649.14298832669</v>
      </c>
      <c r="AN34" s="11">
        <f t="shared" si="10"/>
        <v>17481.600137743022</v>
      </c>
      <c r="AO34" s="11">
        <f t="shared" si="10"/>
        <v>18355.680144630172</v>
      </c>
      <c r="AP34" s="11">
        <f t="shared" si="10"/>
        <v>19273.464151861681</v>
      </c>
      <c r="AQ34" s="11">
        <f t="shared" si="10"/>
        <v>20237.137359454766</v>
      </c>
      <c r="AR34" s="11">
        <f t="shared" si="10"/>
        <v>21248.994227427505</v>
      </c>
      <c r="AS34" s="11">
        <f t="shared" si="10"/>
        <v>22311.443938798882</v>
      </c>
      <c r="AT34" s="11">
        <f t="shared" si="10"/>
        <v>23427.016135738828</v>
      </c>
      <c r="AU34" s="11">
        <f t="shared" si="10"/>
        <v>24598.366942525769</v>
      </c>
      <c r="AV34" s="11">
        <f t="shared" si="10"/>
        <v>25828.28528965206</v>
      </c>
      <c r="AW34" s="11">
        <f t="shared" si="10"/>
        <v>27119.699554134659</v>
      </c>
      <c r="AX34" s="11">
        <f t="shared" si="10"/>
        <v>28475.684531841394</v>
      </c>
      <c r="AY34" s="11">
        <f t="shared" si="10"/>
        <v>29899.468758433461</v>
      </c>
      <c r="AZ34" s="11">
        <f t="shared" si="10"/>
        <v>31394.442196355136</v>
      </c>
      <c r="BA34" s="11">
        <f t="shared" si="10"/>
        <v>32964.16430617289</v>
      </c>
      <c r="BB34" s="11">
        <f t="shared" si="10"/>
        <v>34612.372521481535</v>
      </c>
      <c r="BC34" s="11">
        <f t="shared" si="10"/>
        <v>36342.991147555615</v>
      </c>
      <c r="BD34" s="11">
        <f t="shared" si="10"/>
        <v>38160.140704933394</v>
      </c>
      <c r="BE34" s="11">
        <f t="shared" si="10"/>
        <v>40068.147740180066</v>
      </c>
      <c r="BF34" s="11">
        <f t="shared" si="10"/>
        <v>42071.555127189073</v>
      </c>
    </row>
    <row r="35" spans="2:58" x14ac:dyDescent="0.25">
      <c r="B35" t="s">
        <v>9</v>
      </c>
      <c r="C35" s="4">
        <f>+C20*C21</f>
        <v>2400</v>
      </c>
      <c r="D35" s="4">
        <f>+D22*C36+C35</f>
        <v>2736</v>
      </c>
      <c r="E35" s="4">
        <f t="shared" ref="E35:BF35" si="11">+E22*D36+D35</f>
        <v>3023.2799999999997</v>
      </c>
      <c r="F35" s="4">
        <f t="shared" si="11"/>
        <v>3265.1423999999997</v>
      </c>
      <c r="G35" s="4">
        <f t="shared" si="11"/>
        <v>3461.0509439999996</v>
      </c>
      <c r="H35" s="4">
        <f t="shared" si="11"/>
        <v>3651.4087459199995</v>
      </c>
      <c r="I35" s="4">
        <f t="shared" si="11"/>
        <v>3852.2362269455994</v>
      </c>
      <c r="J35" s="4">
        <f t="shared" si="11"/>
        <v>4044.8480382928792</v>
      </c>
      <c r="K35" s="4">
        <f t="shared" si="11"/>
        <v>4247.090440207523</v>
      </c>
      <c r="L35" s="4">
        <f t="shared" si="11"/>
        <v>4459.444962217899</v>
      </c>
      <c r="M35" s="4">
        <f t="shared" si="11"/>
        <v>4682.4172103287938</v>
      </c>
      <c r="N35" s="4">
        <f t="shared" si="11"/>
        <v>4916.5380708452331</v>
      </c>
      <c r="O35" s="4">
        <f t="shared" si="11"/>
        <v>5162.3649743874948</v>
      </c>
      <c r="P35" s="4">
        <f t="shared" si="11"/>
        <v>5420.4832231068694</v>
      </c>
      <c r="Q35" s="4">
        <f t="shared" si="11"/>
        <v>5691.5073842622132</v>
      </c>
      <c r="R35" s="4">
        <f t="shared" si="11"/>
        <v>5976.0827534753244</v>
      </c>
      <c r="S35" s="4">
        <f t="shared" si="11"/>
        <v>6274.8868911490908</v>
      </c>
      <c r="T35" s="4">
        <f t="shared" si="11"/>
        <v>6588.6312357065453</v>
      </c>
      <c r="U35" s="4">
        <f t="shared" si="11"/>
        <v>6918.0627974918725</v>
      </c>
      <c r="V35" s="4">
        <f t="shared" si="11"/>
        <v>7263.9659373664663</v>
      </c>
      <c r="W35" s="4">
        <f t="shared" si="11"/>
        <v>7627.1642342347895</v>
      </c>
      <c r="X35" s="4">
        <f t="shared" si="11"/>
        <v>8008.5224459465289</v>
      </c>
      <c r="Y35" s="4">
        <f t="shared" si="11"/>
        <v>8408.9485682438553</v>
      </c>
      <c r="Z35" s="4">
        <f t="shared" si="11"/>
        <v>8829.3959966560487</v>
      </c>
      <c r="AA35" s="4">
        <f t="shared" si="11"/>
        <v>9270.8657964888516</v>
      </c>
      <c r="AB35" s="4">
        <f t="shared" si="11"/>
        <v>9734.4090863132951</v>
      </c>
      <c r="AC35" s="4">
        <f t="shared" si="11"/>
        <v>10221.129540628959</v>
      </c>
      <c r="AD35" s="4">
        <f t="shared" si="11"/>
        <v>10732.186017660408</v>
      </c>
      <c r="AE35" s="4">
        <f t="shared" si="11"/>
        <v>11268.795318543427</v>
      </c>
      <c r="AF35" s="4">
        <f t="shared" si="11"/>
        <v>11832.235084470598</v>
      </c>
      <c r="AG35" s="4">
        <f t="shared" si="11"/>
        <v>12423.846838694128</v>
      </c>
      <c r="AH35" s="4">
        <f t="shared" si="11"/>
        <v>13045.039180628833</v>
      </c>
      <c r="AI35" s="4">
        <f t="shared" si="11"/>
        <v>13697.291139660276</v>
      </c>
      <c r="AJ35" s="4">
        <f t="shared" si="11"/>
        <v>14382.155696643289</v>
      </c>
      <c r="AK35" s="4">
        <f t="shared" si="11"/>
        <v>15101.263481475453</v>
      </c>
      <c r="AL35" s="4">
        <f t="shared" si="11"/>
        <v>15856.326655549226</v>
      </c>
      <c r="AM35" s="4">
        <f t="shared" si="11"/>
        <v>16649.142988326686</v>
      </c>
      <c r="AN35" s="4">
        <f t="shared" si="11"/>
        <v>17481.600137743022</v>
      </c>
      <c r="AO35" s="4">
        <f t="shared" si="11"/>
        <v>18355.680144630172</v>
      </c>
      <c r="AP35" s="4">
        <f t="shared" si="11"/>
        <v>19273.464151861681</v>
      </c>
      <c r="AQ35" s="4">
        <f t="shared" si="11"/>
        <v>20237.137359454766</v>
      </c>
      <c r="AR35" s="4">
        <f t="shared" si="11"/>
        <v>21248.994227427505</v>
      </c>
      <c r="AS35" s="4">
        <f t="shared" si="11"/>
        <v>22311.443938798882</v>
      </c>
      <c r="AT35" s="4">
        <f t="shared" si="11"/>
        <v>23427.016135738828</v>
      </c>
      <c r="AU35" s="4">
        <f t="shared" si="11"/>
        <v>24598.366942525769</v>
      </c>
      <c r="AV35" s="4">
        <f t="shared" si="11"/>
        <v>25828.285289652056</v>
      </c>
      <c r="AW35" s="4">
        <f t="shared" si="11"/>
        <v>27119.699554134659</v>
      </c>
      <c r="AX35" s="4">
        <f t="shared" si="11"/>
        <v>28475.684531841391</v>
      </c>
      <c r="AY35" s="4">
        <f t="shared" si="11"/>
        <v>29899.468758433461</v>
      </c>
      <c r="AZ35" s="4">
        <f t="shared" si="11"/>
        <v>31394.442196355132</v>
      </c>
      <c r="BA35" s="4">
        <f t="shared" si="11"/>
        <v>32964.16430617289</v>
      </c>
      <c r="BB35" s="4">
        <f t="shared" si="11"/>
        <v>34612.372521481535</v>
      </c>
      <c r="BC35" s="4">
        <f t="shared" si="11"/>
        <v>36342.991147555615</v>
      </c>
      <c r="BD35" s="4">
        <f t="shared" si="11"/>
        <v>38160.140704933394</v>
      </c>
      <c r="BE35" s="4">
        <f t="shared" si="11"/>
        <v>40068.147740180066</v>
      </c>
      <c r="BF35" s="4">
        <f t="shared" si="11"/>
        <v>42071.555127189073</v>
      </c>
    </row>
    <row r="36" spans="2:58" x14ac:dyDescent="0.25">
      <c r="B36" t="s">
        <v>10</v>
      </c>
      <c r="C36" s="4">
        <f>+C35*C30</f>
        <v>1920.0000000000005</v>
      </c>
      <c r="D36" s="4">
        <f t="shared" ref="D36:BF36" si="12">+D35*D30</f>
        <v>1689.8823529411764</v>
      </c>
      <c r="E36" s="4">
        <f t="shared" si="12"/>
        <v>1465.8327272727272</v>
      </c>
      <c r="F36" s="4">
        <f t="shared" si="12"/>
        <v>1224.4283999999998</v>
      </c>
      <c r="G36" s="4">
        <f t="shared" si="12"/>
        <v>1269.0520128000001</v>
      </c>
      <c r="H36" s="4">
        <f t="shared" si="12"/>
        <v>1673.5623418799998</v>
      </c>
      <c r="I36" s="4">
        <f t="shared" si="12"/>
        <v>1605.0984278939998</v>
      </c>
      <c r="J36" s="4">
        <f t="shared" si="12"/>
        <v>1685.3533492886997</v>
      </c>
      <c r="K36" s="4">
        <f t="shared" si="12"/>
        <v>1769.6210167531347</v>
      </c>
      <c r="L36" s="4">
        <f t="shared" si="12"/>
        <v>1858.1020675907914</v>
      </c>
      <c r="M36" s="4">
        <f t="shared" si="12"/>
        <v>1951.0071709703309</v>
      </c>
      <c r="N36" s="4">
        <f t="shared" si="12"/>
        <v>2048.5575295188473</v>
      </c>
      <c r="O36" s="4">
        <f t="shared" si="12"/>
        <v>2150.9854059947897</v>
      </c>
      <c r="P36" s="4">
        <f t="shared" si="12"/>
        <v>2258.5346762945292</v>
      </c>
      <c r="Q36" s="4">
        <f t="shared" si="12"/>
        <v>2371.4614101092557</v>
      </c>
      <c r="R36" s="4">
        <f t="shared" si="12"/>
        <v>2490.0344806147186</v>
      </c>
      <c r="S36" s="4">
        <f t="shared" si="12"/>
        <v>2614.5362046454547</v>
      </c>
      <c r="T36" s="4">
        <f t="shared" si="12"/>
        <v>2745.2630148777275</v>
      </c>
      <c r="U36" s="4">
        <f t="shared" si="12"/>
        <v>2882.5261656216135</v>
      </c>
      <c r="V36" s="4">
        <f t="shared" si="12"/>
        <v>3026.6524739026945</v>
      </c>
      <c r="W36" s="4">
        <f t="shared" si="12"/>
        <v>3177.9850975978293</v>
      </c>
      <c r="X36" s="4">
        <f t="shared" si="12"/>
        <v>3336.8843524777203</v>
      </c>
      <c r="Y36" s="4">
        <f t="shared" si="12"/>
        <v>3503.7285701016067</v>
      </c>
      <c r="Z36" s="4">
        <f t="shared" si="12"/>
        <v>3678.9149986066873</v>
      </c>
      <c r="AA36" s="4">
        <f t="shared" si="12"/>
        <v>3862.8607485370217</v>
      </c>
      <c r="AB36" s="4">
        <f t="shared" si="12"/>
        <v>4056.0037859638733</v>
      </c>
      <c r="AC36" s="4">
        <f t="shared" si="12"/>
        <v>4258.8039752620662</v>
      </c>
      <c r="AD36" s="4">
        <f t="shared" si="12"/>
        <v>4471.7441740251697</v>
      </c>
      <c r="AE36" s="4">
        <f t="shared" si="12"/>
        <v>4695.3313827264283</v>
      </c>
      <c r="AF36" s="4">
        <f t="shared" si="12"/>
        <v>4930.0979518627491</v>
      </c>
      <c r="AG36" s="4">
        <f t="shared" si="12"/>
        <v>5176.6028494558868</v>
      </c>
      <c r="AH36" s="4">
        <f t="shared" si="12"/>
        <v>5435.4329919286811</v>
      </c>
      <c r="AI36" s="4">
        <f t="shared" si="12"/>
        <v>5707.2046415251152</v>
      </c>
      <c r="AJ36" s="4">
        <f t="shared" si="12"/>
        <v>5992.5648736013709</v>
      </c>
      <c r="AK36" s="4">
        <f t="shared" si="12"/>
        <v>6292.1931172814393</v>
      </c>
      <c r="AL36" s="4">
        <f t="shared" si="12"/>
        <v>6606.8027731455113</v>
      </c>
      <c r="AM36" s="4">
        <f t="shared" si="12"/>
        <v>6937.1429118027863</v>
      </c>
      <c r="AN36" s="4">
        <f t="shared" si="12"/>
        <v>7284.0000573929265</v>
      </c>
      <c r="AO36" s="4">
        <f t="shared" si="12"/>
        <v>7648.2000602625722</v>
      </c>
      <c r="AP36" s="4">
        <f t="shared" si="12"/>
        <v>8030.6100632757007</v>
      </c>
      <c r="AQ36" s="4">
        <f t="shared" si="12"/>
        <v>8432.1405664394861</v>
      </c>
      <c r="AR36" s="4">
        <f t="shared" si="12"/>
        <v>8853.7475947614603</v>
      </c>
      <c r="AS36" s="4">
        <f t="shared" si="12"/>
        <v>9296.4349744995343</v>
      </c>
      <c r="AT36" s="4">
        <f t="shared" si="12"/>
        <v>9761.2567232245128</v>
      </c>
      <c r="AU36" s="4">
        <f t="shared" si="12"/>
        <v>10249.319559385738</v>
      </c>
      <c r="AV36" s="4">
        <f t="shared" si="12"/>
        <v>10761.785537355025</v>
      </c>
      <c r="AW36" s="4">
        <f t="shared" si="12"/>
        <v>11299.874814222774</v>
      </c>
      <c r="AX36" s="4">
        <f t="shared" si="12"/>
        <v>11864.868554933913</v>
      </c>
      <c r="AY36" s="4">
        <f t="shared" si="12"/>
        <v>12458.11198268061</v>
      </c>
      <c r="AZ36" s="4">
        <f t="shared" si="12"/>
        <v>13081.017581814638</v>
      </c>
      <c r="BA36" s="4">
        <f t="shared" si="12"/>
        <v>13735.068460905371</v>
      </c>
      <c r="BB36" s="4">
        <f t="shared" si="12"/>
        <v>14421.821883950641</v>
      </c>
      <c r="BC36" s="4">
        <f t="shared" si="12"/>
        <v>15142.912978148173</v>
      </c>
      <c r="BD36" s="4">
        <f t="shared" si="12"/>
        <v>15900.058627055581</v>
      </c>
      <c r="BE36" s="4">
        <f t="shared" si="12"/>
        <v>16695.061558408361</v>
      </c>
      <c r="BF36" s="4">
        <f t="shared" si="12"/>
        <v>17529.814636328781</v>
      </c>
    </row>
    <row r="37" spans="2:58" x14ac:dyDescent="0.25">
      <c r="B37" t="s">
        <v>11</v>
      </c>
      <c r="C37" s="4">
        <f>+C35-C36</f>
        <v>479.99999999999955</v>
      </c>
      <c r="D37" s="4">
        <f t="shared" ref="D37:BF37" si="13">+D35-D36</f>
        <v>1046.1176470588236</v>
      </c>
      <c r="E37" s="4">
        <f t="shared" si="13"/>
        <v>1557.4472727272725</v>
      </c>
      <c r="F37" s="4">
        <f t="shared" si="13"/>
        <v>2040.7139999999999</v>
      </c>
      <c r="G37" s="4">
        <f t="shared" si="13"/>
        <v>2191.9989311999998</v>
      </c>
      <c r="H37" s="4">
        <f t="shared" si="13"/>
        <v>1977.8464040399997</v>
      </c>
      <c r="I37" s="4">
        <f>+I35-I36</f>
        <v>2247.1377990515994</v>
      </c>
      <c r="J37" s="4">
        <f t="shared" si="13"/>
        <v>2359.4946890041792</v>
      </c>
      <c r="K37" s="4">
        <f t="shared" si="13"/>
        <v>2477.4694234543886</v>
      </c>
      <c r="L37" s="4">
        <f t="shared" si="13"/>
        <v>2601.3428946271079</v>
      </c>
      <c r="M37" s="4">
        <f t="shared" si="13"/>
        <v>2731.4100393584631</v>
      </c>
      <c r="N37" s="4">
        <f t="shared" si="13"/>
        <v>2867.9805413263857</v>
      </c>
      <c r="O37" s="4">
        <f t="shared" si="13"/>
        <v>3011.3795683927051</v>
      </c>
      <c r="P37" s="4">
        <f t="shared" si="13"/>
        <v>3161.9485468123403</v>
      </c>
      <c r="Q37" s="4">
        <f t="shared" si="13"/>
        <v>3320.0459741529576</v>
      </c>
      <c r="R37" s="4">
        <f t="shared" si="13"/>
        <v>3486.0482728606057</v>
      </c>
      <c r="S37" s="4">
        <f t="shared" si="13"/>
        <v>3660.3506865036361</v>
      </c>
      <c r="T37" s="4">
        <f t="shared" si="13"/>
        <v>3843.3682208288178</v>
      </c>
      <c r="U37" s="4">
        <f t="shared" si="13"/>
        <v>4035.536631870259</v>
      </c>
      <c r="V37" s="4">
        <f t="shared" si="13"/>
        <v>4237.3134634637718</v>
      </c>
      <c r="W37" s="4">
        <f t="shared" si="13"/>
        <v>4449.1791366369598</v>
      </c>
      <c r="X37" s="4">
        <f t="shared" si="13"/>
        <v>4671.6380934688086</v>
      </c>
      <c r="Y37" s="4">
        <f t="shared" si="13"/>
        <v>4905.2199981422491</v>
      </c>
      <c r="Z37" s="4">
        <f t="shared" si="13"/>
        <v>5150.480998049361</v>
      </c>
      <c r="AA37" s="4">
        <f t="shared" si="13"/>
        <v>5408.0050479518304</v>
      </c>
      <c r="AB37" s="4">
        <f t="shared" si="13"/>
        <v>5678.4053003494219</v>
      </c>
      <c r="AC37" s="4">
        <f t="shared" si="13"/>
        <v>5962.325565366893</v>
      </c>
      <c r="AD37" s="4">
        <f t="shared" si="13"/>
        <v>6260.441843635238</v>
      </c>
      <c r="AE37" s="4">
        <f t="shared" si="13"/>
        <v>6573.4639358169989</v>
      </c>
      <c r="AF37" s="4">
        <f t="shared" si="13"/>
        <v>6902.1371326078488</v>
      </c>
      <c r="AG37" s="4">
        <f t="shared" si="13"/>
        <v>7247.2439892382408</v>
      </c>
      <c r="AH37" s="4">
        <f t="shared" si="13"/>
        <v>7609.6061887001524</v>
      </c>
      <c r="AI37" s="4">
        <f t="shared" si="13"/>
        <v>7990.0864981351606</v>
      </c>
      <c r="AJ37" s="4">
        <f t="shared" si="13"/>
        <v>8389.5908230419191</v>
      </c>
      <c r="AK37" s="4">
        <f t="shared" si="13"/>
        <v>8809.0703641940127</v>
      </c>
      <c r="AL37" s="4">
        <f t="shared" si="13"/>
        <v>9249.5238824037151</v>
      </c>
      <c r="AM37" s="4">
        <f t="shared" si="13"/>
        <v>9712.0000765239001</v>
      </c>
      <c r="AN37" s="4">
        <f t="shared" si="13"/>
        <v>10197.600080350096</v>
      </c>
      <c r="AO37" s="4">
        <f t="shared" si="13"/>
        <v>10707.4800843676</v>
      </c>
      <c r="AP37" s="4">
        <f t="shared" si="13"/>
        <v>11242.85408858598</v>
      </c>
      <c r="AQ37" s="4">
        <f t="shared" si="13"/>
        <v>11804.99679301528</v>
      </c>
      <c r="AR37" s="4">
        <f t="shared" si="13"/>
        <v>12395.246632666045</v>
      </c>
      <c r="AS37" s="4">
        <f t="shared" si="13"/>
        <v>13015.008964299348</v>
      </c>
      <c r="AT37" s="4">
        <f t="shared" si="13"/>
        <v>13665.759412514315</v>
      </c>
      <c r="AU37" s="4">
        <f t="shared" si="13"/>
        <v>14349.04738314003</v>
      </c>
      <c r="AV37" s="4">
        <f t="shared" si="13"/>
        <v>15066.499752297032</v>
      </c>
      <c r="AW37" s="4">
        <f t="shared" si="13"/>
        <v>15819.824739911885</v>
      </c>
      <c r="AX37" s="4">
        <f t="shared" si="13"/>
        <v>16610.815976907477</v>
      </c>
      <c r="AY37" s="4">
        <f t="shared" si="13"/>
        <v>17441.356775752851</v>
      </c>
      <c r="AZ37" s="4">
        <f t="shared" si="13"/>
        <v>18313.424614540494</v>
      </c>
      <c r="BA37" s="4">
        <f t="shared" si="13"/>
        <v>19229.095845267519</v>
      </c>
      <c r="BB37" s="4">
        <f t="shared" si="13"/>
        <v>20190.550637530894</v>
      </c>
      <c r="BC37" s="4">
        <f t="shared" si="13"/>
        <v>21200.078169407439</v>
      </c>
      <c r="BD37" s="4">
        <f t="shared" si="13"/>
        <v>22260.082077877814</v>
      </c>
      <c r="BE37" s="4">
        <f t="shared" si="13"/>
        <v>23373.086181771705</v>
      </c>
      <c r="BF37" s="4">
        <f t="shared" si="13"/>
        <v>24541.740490860291</v>
      </c>
    </row>
    <row r="38" spans="2:58" x14ac:dyDescent="0.25">
      <c r="B38" t="s">
        <v>68</v>
      </c>
      <c r="C38" s="4">
        <f>+C64*C25</f>
        <v>0</v>
      </c>
      <c r="D38" s="4">
        <f t="shared" ref="D38:BF38" si="14">+D64*D25</f>
        <v>80.342841413172209</v>
      </c>
      <c r="E38" s="4">
        <f t="shared" si="14"/>
        <v>185.65306243805838</v>
      </c>
      <c r="F38" s="4">
        <f t="shared" si="14"/>
        <v>338.83690944932277</v>
      </c>
      <c r="G38" s="4">
        <f t="shared" si="14"/>
        <v>494.29992379621586</v>
      </c>
      <c r="H38" s="4">
        <f t="shared" si="14"/>
        <v>543.80899279896857</v>
      </c>
      <c r="I38" s="4">
        <f t="shared" si="14"/>
        <v>573.59373249064822</v>
      </c>
      <c r="J38" s="4">
        <f t="shared" si="14"/>
        <v>602.27341911518056</v>
      </c>
      <c r="K38" s="4">
        <f t="shared" si="14"/>
        <v>632.38709007093973</v>
      </c>
      <c r="L38" s="4">
        <f t="shared" si="14"/>
        <v>664.00644457448675</v>
      </c>
      <c r="M38" s="4">
        <f t="shared" si="14"/>
        <v>697.20676680321105</v>
      </c>
      <c r="N38" s="4">
        <f t="shared" si="14"/>
        <v>732.06710514337169</v>
      </c>
      <c r="O38" s="4">
        <f t="shared" si="14"/>
        <v>768.67046040054026</v>
      </c>
      <c r="P38" s="4">
        <f t="shared" si="14"/>
        <v>807.10398342056749</v>
      </c>
      <c r="Q38" s="4">
        <f t="shared" si="14"/>
        <v>847.45918259159589</v>
      </c>
      <c r="R38" s="4">
        <f t="shared" si="14"/>
        <v>889.83214172117562</v>
      </c>
      <c r="S38" s="4">
        <f t="shared" si="14"/>
        <v>934.32374880723444</v>
      </c>
      <c r="T38" s="4">
        <f t="shared" si="14"/>
        <v>981.03993624759642</v>
      </c>
      <c r="U38" s="4">
        <f t="shared" si="14"/>
        <v>1030.0919330599761</v>
      </c>
      <c r="V38" s="4">
        <f t="shared" si="14"/>
        <v>1081.5965297129749</v>
      </c>
      <c r="W38" s="4">
        <f t="shared" si="14"/>
        <v>1135.6763561986236</v>
      </c>
      <c r="X38" s="4">
        <f t="shared" si="14"/>
        <v>1192.460174008555</v>
      </c>
      <c r="Y38" s="4">
        <f t="shared" si="14"/>
        <v>1252.0831827089828</v>
      </c>
      <c r="Z38" s="4">
        <f t="shared" si="14"/>
        <v>1314.6873418444318</v>
      </c>
      <c r="AA38" s="4">
        <f t="shared" si="14"/>
        <v>1380.4217089366537</v>
      </c>
      <c r="AB38" s="4">
        <f t="shared" si="14"/>
        <v>1449.4427943834862</v>
      </c>
      <c r="AC38" s="4">
        <f t="shared" si="14"/>
        <v>1521.9149341026607</v>
      </c>
      <c r="AD38" s="4">
        <f t="shared" si="14"/>
        <v>1598.0106808077937</v>
      </c>
      <c r="AE38" s="4">
        <f t="shared" si="14"/>
        <v>1677.9112148481834</v>
      </c>
      <c r="AF38" s="4">
        <f t="shared" si="14"/>
        <v>1761.8067755905927</v>
      </c>
      <c r="AG38" s="4">
        <f t="shared" si="14"/>
        <v>1849.8971143701219</v>
      </c>
      <c r="AH38" s="4">
        <f t="shared" si="14"/>
        <v>1942.3919700886281</v>
      </c>
      <c r="AI38" s="4">
        <f t="shared" si="14"/>
        <v>2039.5115685930598</v>
      </c>
      <c r="AJ38" s="4">
        <f t="shared" si="14"/>
        <v>2141.4871470227122</v>
      </c>
      <c r="AK38" s="4">
        <f t="shared" si="14"/>
        <v>2248.561504373848</v>
      </c>
      <c r="AL38" s="4">
        <f t="shared" si="14"/>
        <v>2360.9895795925404</v>
      </c>
      <c r="AM38" s="4">
        <f t="shared" si="14"/>
        <v>2479.0390585721675</v>
      </c>
      <c r="AN38" s="4">
        <f t="shared" si="14"/>
        <v>2602.991011500776</v>
      </c>
      <c r="AO38" s="4">
        <f t="shared" si="14"/>
        <v>2733.1405620758142</v>
      </c>
      <c r="AP38" s="4">
        <f t="shared" si="14"/>
        <v>2869.7975901796053</v>
      </c>
      <c r="AQ38" s="4">
        <f t="shared" si="14"/>
        <v>3013.2874696885856</v>
      </c>
      <c r="AR38" s="4">
        <f t="shared" si="14"/>
        <v>3163.9518431730153</v>
      </c>
      <c r="AS38" s="4">
        <f t="shared" si="14"/>
        <v>3322.1494353316657</v>
      </c>
      <c r="AT38" s="4">
        <f t="shared" si="14"/>
        <v>3488.2569070982495</v>
      </c>
      <c r="AU38" s="4">
        <f t="shared" si="14"/>
        <v>3662.6697524531623</v>
      </c>
      <c r="AV38" s="4">
        <f t="shared" si="14"/>
        <v>3845.8032400758198</v>
      </c>
      <c r="AW38" s="4">
        <f t="shared" si="14"/>
        <v>4038.0934020796112</v>
      </c>
      <c r="AX38" s="4">
        <f t="shared" si="14"/>
        <v>4239.9980721835918</v>
      </c>
      <c r="AY38" s="4">
        <f t="shared" si="14"/>
        <v>4451.9979757927704</v>
      </c>
      <c r="AZ38" s="4">
        <f t="shared" si="14"/>
        <v>4674.5978745824086</v>
      </c>
      <c r="BA38" s="4">
        <f t="shared" si="14"/>
        <v>4908.3277683115302</v>
      </c>
      <c r="BB38" s="4">
        <f t="shared" si="14"/>
        <v>5153.7441567271062</v>
      </c>
      <c r="BC38" s="4">
        <f t="shared" si="14"/>
        <v>5411.431364563462</v>
      </c>
      <c r="BD38" s="4">
        <f t="shared" si="14"/>
        <v>5682.0029327916354</v>
      </c>
      <c r="BE38" s="4">
        <f t="shared" si="14"/>
        <v>5966.1030794312173</v>
      </c>
      <c r="BF38" s="4">
        <f t="shared" si="14"/>
        <v>6264.408233402778</v>
      </c>
    </row>
    <row r="39" spans="2:58" x14ac:dyDescent="0.25">
      <c r="B39" t="s">
        <v>69</v>
      </c>
      <c r="C39" s="4">
        <f>+C38*C31</f>
        <v>0</v>
      </c>
      <c r="D39" s="4">
        <f t="shared" ref="D39:BF39" si="15">+D38*D31</f>
        <v>16.068568282634441</v>
      </c>
      <c r="E39" s="4">
        <f t="shared" si="15"/>
        <v>37.130612487611678</v>
      </c>
      <c r="F39" s="4">
        <f t="shared" si="15"/>
        <v>67.767381889864552</v>
      </c>
      <c r="G39" s="4">
        <f t="shared" si="15"/>
        <v>98.859984759243176</v>
      </c>
      <c r="H39" s="4">
        <f t="shared" si="15"/>
        <v>108.76179855979372</v>
      </c>
      <c r="I39" s="4">
        <f t="shared" si="15"/>
        <v>114.71874649812965</v>
      </c>
      <c r="J39" s="4">
        <f t="shared" si="15"/>
        <v>120.45468382303612</v>
      </c>
      <c r="K39" s="4">
        <f t="shared" si="15"/>
        <v>126.47741801418795</v>
      </c>
      <c r="L39" s="4">
        <f t="shared" si="15"/>
        <v>132.80128891489736</v>
      </c>
      <c r="M39" s="4">
        <f t="shared" si="15"/>
        <v>139.44135336064221</v>
      </c>
      <c r="N39" s="4">
        <f t="shared" si="15"/>
        <v>146.41342102867435</v>
      </c>
      <c r="O39" s="4">
        <f t="shared" si="15"/>
        <v>153.73409208010807</v>
      </c>
      <c r="P39" s="4">
        <f t="shared" si="15"/>
        <v>161.4207966841135</v>
      </c>
      <c r="Q39" s="4">
        <f t="shared" si="15"/>
        <v>169.49183651831919</v>
      </c>
      <c r="R39" s="4">
        <f t="shared" si="15"/>
        <v>177.96642834423514</v>
      </c>
      <c r="S39" s="4">
        <f t="shared" si="15"/>
        <v>186.86474976144689</v>
      </c>
      <c r="T39" s="4">
        <f t="shared" si="15"/>
        <v>196.20798724951931</v>
      </c>
      <c r="U39" s="4">
        <f t="shared" si="15"/>
        <v>206.01838661199523</v>
      </c>
      <c r="V39" s="4">
        <f t="shared" si="15"/>
        <v>216.31930594259498</v>
      </c>
      <c r="W39" s="4">
        <f t="shared" si="15"/>
        <v>227.13527123972472</v>
      </c>
      <c r="X39" s="4">
        <f t="shared" si="15"/>
        <v>238.49203480171101</v>
      </c>
      <c r="Y39" s="4">
        <f t="shared" si="15"/>
        <v>250.41663654179658</v>
      </c>
      <c r="Z39" s="4">
        <f t="shared" si="15"/>
        <v>262.93746836888636</v>
      </c>
      <c r="AA39" s="4">
        <f t="shared" si="15"/>
        <v>276.08434178733074</v>
      </c>
      <c r="AB39" s="4">
        <f t="shared" si="15"/>
        <v>289.88855887669723</v>
      </c>
      <c r="AC39" s="4">
        <f t="shared" si="15"/>
        <v>304.38298682053215</v>
      </c>
      <c r="AD39" s="4">
        <f t="shared" si="15"/>
        <v>319.60213616155875</v>
      </c>
      <c r="AE39" s="4">
        <f t="shared" si="15"/>
        <v>335.5822429696367</v>
      </c>
      <c r="AF39" s="4">
        <f t="shared" si="15"/>
        <v>352.36135511811858</v>
      </c>
      <c r="AG39" s="4">
        <f t="shared" si="15"/>
        <v>369.97942287402441</v>
      </c>
      <c r="AH39" s="4">
        <f t="shared" si="15"/>
        <v>388.47839401772563</v>
      </c>
      <c r="AI39" s="4">
        <f t="shared" si="15"/>
        <v>407.90231371861199</v>
      </c>
      <c r="AJ39" s="4">
        <f t="shared" si="15"/>
        <v>428.29742940454247</v>
      </c>
      <c r="AK39" s="4">
        <f t="shared" si="15"/>
        <v>449.71230087476965</v>
      </c>
      <c r="AL39" s="4">
        <f t="shared" si="15"/>
        <v>472.1979159185081</v>
      </c>
      <c r="AM39" s="4">
        <f t="shared" si="15"/>
        <v>495.80781171443351</v>
      </c>
      <c r="AN39" s="4">
        <f t="shared" si="15"/>
        <v>520.59820230015521</v>
      </c>
      <c r="AO39" s="4">
        <f t="shared" si="15"/>
        <v>546.62811241516283</v>
      </c>
      <c r="AP39" s="4">
        <f t="shared" si="15"/>
        <v>573.95951803592106</v>
      </c>
      <c r="AQ39" s="4">
        <f t="shared" si="15"/>
        <v>602.65749393771716</v>
      </c>
      <c r="AR39" s="4">
        <f t="shared" si="15"/>
        <v>632.79036863460306</v>
      </c>
      <c r="AS39" s="4">
        <f t="shared" si="15"/>
        <v>664.42988706633321</v>
      </c>
      <c r="AT39" s="4">
        <f t="shared" si="15"/>
        <v>697.65138141964997</v>
      </c>
      <c r="AU39" s="4">
        <f t="shared" si="15"/>
        <v>732.53395049063249</v>
      </c>
      <c r="AV39" s="4">
        <f t="shared" si="15"/>
        <v>769.16064801516404</v>
      </c>
      <c r="AW39" s="4">
        <f t="shared" si="15"/>
        <v>807.61868041592231</v>
      </c>
      <c r="AX39" s="4">
        <f t="shared" si="15"/>
        <v>847.99961443671839</v>
      </c>
      <c r="AY39" s="4">
        <f t="shared" si="15"/>
        <v>890.39959515855412</v>
      </c>
      <c r="AZ39" s="4">
        <f t="shared" si="15"/>
        <v>934.91957491648179</v>
      </c>
      <c r="BA39" s="4">
        <f t="shared" si="15"/>
        <v>981.66555366230614</v>
      </c>
      <c r="BB39" s="4">
        <f t="shared" si="15"/>
        <v>1030.7488313454212</v>
      </c>
      <c r="BC39" s="4">
        <f t="shared" si="15"/>
        <v>1082.2862729126925</v>
      </c>
      <c r="BD39" s="4">
        <f t="shared" si="15"/>
        <v>1136.4005865583272</v>
      </c>
      <c r="BE39" s="4">
        <f t="shared" si="15"/>
        <v>1193.2206158862434</v>
      </c>
      <c r="BF39" s="4">
        <f t="shared" si="15"/>
        <v>1252.8816466805556</v>
      </c>
    </row>
    <row r="40" spans="2:58" x14ac:dyDescent="0.25">
      <c r="B40" t="s">
        <v>70</v>
      </c>
      <c r="C40" s="4">
        <f>+D64-C64</f>
        <v>1147.7548773310314</v>
      </c>
      <c r="D40" s="4">
        <f t="shared" ref="D40:BF40" si="16">+E64-D64</f>
        <v>1327.6192885097471</v>
      </c>
      <c r="E40" s="4">
        <f t="shared" si="16"/>
        <v>1760.0872022757562</v>
      </c>
      <c r="F40" s="4">
        <f t="shared" si="16"/>
        <v>1579.8318530154165</v>
      </c>
      <c r="G40" s="4">
        <f t="shared" si="16"/>
        <v>582.45963532650148</v>
      </c>
      <c r="H40" s="4">
        <f t="shared" si="16"/>
        <v>350.40870225505569</v>
      </c>
      <c r="I40" s="4">
        <f t="shared" si="16"/>
        <v>337.40807793567456</v>
      </c>
      <c r="J40" s="4">
        <f t="shared" si="16"/>
        <v>354.27848183245987</v>
      </c>
      <c r="K40" s="4">
        <f t="shared" si="16"/>
        <v>371.99240592408296</v>
      </c>
      <c r="L40" s="4">
        <f t="shared" si="16"/>
        <v>390.59202622028624</v>
      </c>
      <c r="M40" s="4">
        <f t="shared" si="16"/>
        <v>410.12162753130178</v>
      </c>
      <c r="N40" s="4">
        <f t="shared" si="16"/>
        <v>430.62770890786487</v>
      </c>
      <c r="O40" s="4">
        <f t="shared" si="16"/>
        <v>452.15909435326103</v>
      </c>
      <c r="P40" s="4">
        <f t="shared" si="16"/>
        <v>474.76704907092244</v>
      </c>
      <c r="Q40" s="4">
        <f t="shared" si="16"/>
        <v>498.50540152446774</v>
      </c>
      <c r="R40" s="4">
        <f t="shared" si="16"/>
        <v>523.43067160069222</v>
      </c>
      <c r="S40" s="4">
        <f t="shared" si="16"/>
        <v>549.60220518072856</v>
      </c>
      <c r="T40" s="4">
        <f t="shared" si="16"/>
        <v>577.08231543976217</v>
      </c>
      <c r="U40" s="4">
        <f t="shared" si="16"/>
        <v>605.93643121175046</v>
      </c>
      <c r="V40" s="4">
        <f t="shared" si="16"/>
        <v>636.23325277233744</v>
      </c>
      <c r="W40" s="4">
        <f t="shared" si="16"/>
        <v>668.0449154109574</v>
      </c>
      <c r="X40" s="4">
        <f t="shared" si="16"/>
        <v>701.44716118150427</v>
      </c>
      <c r="Y40" s="4">
        <f t="shared" si="16"/>
        <v>736.51951924057539</v>
      </c>
      <c r="Z40" s="4">
        <f t="shared" si="16"/>
        <v>773.34549520260953</v>
      </c>
      <c r="AA40" s="4">
        <f t="shared" si="16"/>
        <v>812.01276996273737</v>
      </c>
      <c r="AB40" s="4">
        <f t="shared" si="16"/>
        <v>852.61340846087478</v>
      </c>
      <c r="AC40" s="4">
        <f t="shared" si="16"/>
        <v>895.24407888391943</v>
      </c>
      <c r="AD40" s="4">
        <f t="shared" si="16"/>
        <v>940.00628282811158</v>
      </c>
      <c r="AE40" s="4">
        <f t="shared" si="16"/>
        <v>987.00659696952061</v>
      </c>
      <c r="AF40" s="4">
        <f t="shared" si="16"/>
        <v>1036.3569268179926</v>
      </c>
      <c r="AG40" s="4">
        <f t="shared" si="16"/>
        <v>1088.1747731588948</v>
      </c>
      <c r="AH40" s="4">
        <f t="shared" si="16"/>
        <v>1142.5835118168434</v>
      </c>
      <c r="AI40" s="4">
        <f t="shared" si="16"/>
        <v>1199.7126874076785</v>
      </c>
      <c r="AJ40" s="4">
        <f t="shared" si="16"/>
        <v>1259.6983217780653</v>
      </c>
      <c r="AK40" s="4">
        <f t="shared" si="16"/>
        <v>1322.6832378669678</v>
      </c>
      <c r="AL40" s="4">
        <f t="shared" si="16"/>
        <v>1388.8173997603189</v>
      </c>
      <c r="AM40" s="4">
        <f t="shared" si="16"/>
        <v>1458.2582697483376</v>
      </c>
      <c r="AN40" s="4">
        <f t="shared" si="16"/>
        <v>1531.1711832357432</v>
      </c>
      <c r="AO40" s="4">
        <f t="shared" si="16"/>
        <v>1607.7297423975433</v>
      </c>
      <c r="AP40" s="4">
        <f t="shared" si="16"/>
        <v>1688.1162295174145</v>
      </c>
      <c r="AQ40" s="4">
        <f t="shared" si="16"/>
        <v>1772.5220409932881</v>
      </c>
      <c r="AR40" s="4">
        <f t="shared" si="16"/>
        <v>1861.1481430429485</v>
      </c>
      <c r="AS40" s="4">
        <f t="shared" si="16"/>
        <v>1954.2055501951036</v>
      </c>
      <c r="AT40" s="4">
        <f t="shared" si="16"/>
        <v>2051.9158277048555</v>
      </c>
      <c r="AU40" s="4">
        <f t="shared" si="16"/>
        <v>2154.5116190900881</v>
      </c>
      <c r="AV40" s="4">
        <f t="shared" si="16"/>
        <v>2262.2372000446048</v>
      </c>
      <c r="AW40" s="4">
        <f t="shared" si="16"/>
        <v>2375.3490600468285</v>
      </c>
      <c r="AX40" s="4">
        <f t="shared" si="16"/>
        <v>2494.1165130491645</v>
      </c>
      <c r="AY40" s="4">
        <f t="shared" si="16"/>
        <v>2618.822338701626</v>
      </c>
      <c r="AZ40" s="4">
        <f t="shared" si="16"/>
        <v>2749.7634556367193</v>
      </c>
      <c r="BA40" s="4">
        <f t="shared" si="16"/>
        <v>2887.2516284185476</v>
      </c>
      <c r="BB40" s="4">
        <f t="shared" si="16"/>
        <v>3031.6142098394703</v>
      </c>
      <c r="BC40" s="4">
        <f t="shared" si="16"/>
        <v>3183.194920331458</v>
      </c>
      <c r="BD40" s="4">
        <f t="shared" si="16"/>
        <v>3342.3546663480229</v>
      </c>
      <c r="BE40" s="4">
        <f t="shared" si="16"/>
        <v>3509.4723996654211</v>
      </c>
      <c r="BF40" s="4">
        <f t="shared" si="16"/>
        <v>-73698.920392973858</v>
      </c>
    </row>
    <row r="41" spans="2:58" x14ac:dyDescent="0.25">
      <c r="B41" t="s">
        <v>71</v>
      </c>
      <c r="C41" s="4">
        <f>+C37-C38+C39+C40</f>
        <v>1627.7548773310309</v>
      </c>
      <c r="D41" s="4">
        <f t="shared" ref="D41:BF41" si="17">+D37-D38+D39+D40</f>
        <v>2309.462662438033</v>
      </c>
      <c r="E41" s="4">
        <f t="shared" si="17"/>
        <v>3169.012025052582</v>
      </c>
      <c r="F41" s="4">
        <f t="shared" si="17"/>
        <v>3349.4763254559584</v>
      </c>
      <c r="G41" s="4">
        <f t="shared" si="17"/>
        <v>2379.0186274895286</v>
      </c>
      <c r="H41" s="4">
        <f t="shared" si="17"/>
        <v>1893.2079120558806</v>
      </c>
      <c r="I41" s="4">
        <f t="shared" si="17"/>
        <v>2125.6708909947556</v>
      </c>
      <c r="J41" s="4">
        <f t="shared" si="17"/>
        <v>2231.9544355444946</v>
      </c>
      <c r="K41" s="4">
        <f t="shared" si="17"/>
        <v>2343.5521573217197</v>
      </c>
      <c r="L41" s="4">
        <f t="shared" si="17"/>
        <v>2460.7297651878048</v>
      </c>
      <c r="M41" s="4">
        <f t="shared" si="17"/>
        <v>2583.766253447196</v>
      </c>
      <c r="N41" s="4">
        <f t="shared" si="17"/>
        <v>2712.954566119553</v>
      </c>
      <c r="O41" s="4">
        <f t="shared" si="17"/>
        <v>2848.6022944255337</v>
      </c>
      <c r="P41" s="4">
        <f t="shared" si="17"/>
        <v>2991.0324091468087</v>
      </c>
      <c r="Q41" s="4">
        <f t="shared" si="17"/>
        <v>3140.5840296041488</v>
      </c>
      <c r="R41" s="4">
        <f t="shared" si="17"/>
        <v>3297.6132310843577</v>
      </c>
      <c r="S41" s="4">
        <f t="shared" si="17"/>
        <v>3462.4938926385771</v>
      </c>
      <c r="T41" s="4">
        <f t="shared" si="17"/>
        <v>3635.6185872705028</v>
      </c>
      <c r="U41" s="4">
        <f t="shared" si="17"/>
        <v>3817.3995166340283</v>
      </c>
      <c r="V41" s="4">
        <f t="shared" si="17"/>
        <v>4008.2694924657289</v>
      </c>
      <c r="W41" s="4">
        <f t="shared" si="17"/>
        <v>4208.6829670890183</v>
      </c>
      <c r="X41" s="4">
        <f t="shared" si="17"/>
        <v>4419.1171154434687</v>
      </c>
      <c r="Y41" s="4">
        <f t="shared" si="17"/>
        <v>4640.0729712156381</v>
      </c>
      <c r="Z41" s="4">
        <f t="shared" si="17"/>
        <v>4872.0766197764251</v>
      </c>
      <c r="AA41" s="4">
        <f t="shared" si="17"/>
        <v>5115.680450765245</v>
      </c>
      <c r="AB41" s="4">
        <f t="shared" si="17"/>
        <v>5371.4644733035075</v>
      </c>
      <c r="AC41" s="4">
        <f t="shared" si="17"/>
        <v>5640.037696968684</v>
      </c>
      <c r="AD41" s="4">
        <f t="shared" si="17"/>
        <v>5922.0395818171146</v>
      </c>
      <c r="AE41" s="4">
        <f t="shared" si="17"/>
        <v>6218.1415609079722</v>
      </c>
      <c r="AF41" s="4">
        <f t="shared" si="17"/>
        <v>6529.0486389533671</v>
      </c>
      <c r="AG41" s="4">
        <f t="shared" si="17"/>
        <v>6855.5010709010385</v>
      </c>
      <c r="AH41" s="4">
        <f t="shared" si="17"/>
        <v>7198.2761244460935</v>
      </c>
      <c r="AI41" s="4">
        <f t="shared" si="17"/>
        <v>7558.1899306683918</v>
      </c>
      <c r="AJ41" s="4">
        <f t="shared" si="17"/>
        <v>7936.0994272018152</v>
      </c>
      <c r="AK41" s="4">
        <f t="shared" si="17"/>
        <v>8332.9043985619028</v>
      </c>
      <c r="AL41" s="4">
        <f t="shared" si="17"/>
        <v>8749.5496184900021</v>
      </c>
      <c r="AM41" s="4">
        <f t="shared" si="17"/>
        <v>9187.027099414503</v>
      </c>
      <c r="AN41" s="4">
        <f t="shared" si="17"/>
        <v>9646.378454385218</v>
      </c>
      <c r="AO41" s="4">
        <f t="shared" si="17"/>
        <v>10128.697377104492</v>
      </c>
      <c r="AP41" s="4">
        <f t="shared" si="17"/>
        <v>10635.13224595971</v>
      </c>
      <c r="AQ41" s="4">
        <f t="shared" si="17"/>
        <v>11166.888858257698</v>
      </c>
      <c r="AR41" s="4">
        <f t="shared" si="17"/>
        <v>11725.233301170581</v>
      </c>
      <c r="AS41" s="4">
        <f t="shared" si="17"/>
        <v>12311.494966229118</v>
      </c>
      <c r="AT41" s="4">
        <f t="shared" si="17"/>
        <v>12927.06971454057</v>
      </c>
      <c r="AU41" s="4">
        <f t="shared" si="17"/>
        <v>13573.423200267589</v>
      </c>
      <c r="AV41" s="4">
        <f t="shared" si="17"/>
        <v>14252.09436028098</v>
      </c>
      <c r="AW41" s="4">
        <f t="shared" si="17"/>
        <v>14964.699078295023</v>
      </c>
      <c r="AX41" s="4">
        <f t="shared" si="17"/>
        <v>15712.934032209767</v>
      </c>
      <c r="AY41" s="4">
        <f t="shared" si="17"/>
        <v>16498.580733820261</v>
      </c>
      <c r="AZ41" s="4">
        <f t="shared" si="17"/>
        <v>17323.509770511286</v>
      </c>
      <c r="BA41" s="4">
        <f t="shared" si="17"/>
        <v>18189.685259036843</v>
      </c>
      <c r="BB41" s="4">
        <f t="shared" si="17"/>
        <v>19099.169521988682</v>
      </c>
      <c r="BC41" s="4">
        <f t="shared" si="17"/>
        <v>20054.12799808813</v>
      </c>
      <c r="BD41" s="4">
        <f t="shared" si="17"/>
        <v>21056.83439799253</v>
      </c>
      <c r="BE41" s="4">
        <f t="shared" si="17"/>
        <v>22109.676117892152</v>
      </c>
      <c r="BF41" s="4">
        <f t="shared" si="17"/>
        <v>-54168.706488835785</v>
      </c>
    </row>
    <row r="42" spans="2:58" x14ac:dyDescent="0.25">
      <c r="B42" s="4" t="str">
        <f>+B52</f>
        <v>Dividend</v>
      </c>
      <c r="C42" s="4">
        <f t="shared" ref="C42:BE42" si="18">+C52</f>
        <v>1627.7548773310318</v>
      </c>
      <c r="D42" s="4">
        <f t="shared" si="18"/>
        <v>2309.4626624380335</v>
      </c>
      <c r="E42" s="4">
        <f t="shared" si="18"/>
        <v>2874.7575500495527</v>
      </c>
      <c r="F42" s="4">
        <f t="shared" si="18"/>
        <v>2994.0728724405412</v>
      </c>
      <c r="G42" s="4">
        <f t="shared" si="18"/>
        <v>2379.0186274895304</v>
      </c>
      <c r="H42" s="4">
        <f t="shared" si="18"/>
        <v>1893.2079120558819</v>
      </c>
      <c r="I42" s="4">
        <f t="shared" si="18"/>
        <v>2125.6708909947529</v>
      </c>
      <c r="J42" s="4">
        <f t="shared" si="18"/>
        <v>2231.9544355444932</v>
      </c>
      <c r="K42" s="4">
        <f t="shared" si="18"/>
        <v>2343.5521573217193</v>
      </c>
      <c r="L42" s="4">
        <f t="shared" si="18"/>
        <v>2460.7297651878021</v>
      </c>
      <c r="M42" s="4">
        <f t="shared" si="18"/>
        <v>2583.7662534471965</v>
      </c>
      <c r="N42" s="4">
        <f t="shared" si="18"/>
        <v>2712.9545661195534</v>
      </c>
      <c r="O42" s="4">
        <f t="shared" si="18"/>
        <v>2848.6022944255365</v>
      </c>
      <c r="P42" s="4">
        <f t="shared" si="18"/>
        <v>2991.0324091468092</v>
      </c>
      <c r="Q42" s="4">
        <f t="shared" si="18"/>
        <v>3140.5840296041515</v>
      </c>
      <c r="R42" s="4">
        <f t="shared" si="18"/>
        <v>3297.613231084355</v>
      </c>
      <c r="S42" s="4">
        <f t="shared" si="18"/>
        <v>3462.4938926385794</v>
      </c>
      <c r="T42" s="4">
        <f t="shared" si="18"/>
        <v>3635.6185872705009</v>
      </c>
      <c r="U42" s="4">
        <f t="shared" si="18"/>
        <v>3817.3995166340283</v>
      </c>
      <c r="V42" s="4">
        <f t="shared" si="18"/>
        <v>4008.2694924657262</v>
      </c>
      <c r="W42" s="4">
        <f t="shared" si="18"/>
        <v>4208.6829670890238</v>
      </c>
      <c r="X42" s="4">
        <f t="shared" si="18"/>
        <v>4419.117115443476</v>
      </c>
      <c r="Y42" s="4">
        <f t="shared" si="18"/>
        <v>4640.0729712156417</v>
      </c>
      <c r="Z42" s="4">
        <f t="shared" si="18"/>
        <v>4872.0766197764187</v>
      </c>
      <c r="AA42" s="4">
        <f t="shared" si="18"/>
        <v>5115.680450765246</v>
      </c>
      <c r="AB42" s="4">
        <f t="shared" si="18"/>
        <v>5371.4644733035148</v>
      </c>
      <c r="AC42" s="4">
        <f t="shared" si="18"/>
        <v>5640.0376969686786</v>
      </c>
      <c r="AD42" s="4">
        <f t="shared" si="18"/>
        <v>5922.0395818171273</v>
      </c>
      <c r="AE42" s="4">
        <f t="shared" si="18"/>
        <v>6218.1415609079722</v>
      </c>
      <c r="AF42" s="4">
        <f t="shared" si="18"/>
        <v>6529.0486389533653</v>
      </c>
      <c r="AG42" s="4">
        <f t="shared" si="18"/>
        <v>6855.5010709010421</v>
      </c>
      <c r="AH42" s="4">
        <f t="shared" si="18"/>
        <v>7198.2761244460944</v>
      </c>
      <c r="AI42" s="4">
        <f t="shared" si="18"/>
        <v>7558.1899306683954</v>
      </c>
      <c r="AJ42" s="4">
        <f t="shared" si="18"/>
        <v>7936.0994272018179</v>
      </c>
      <c r="AK42" s="4">
        <f t="shared" si="18"/>
        <v>8332.904398561901</v>
      </c>
      <c r="AL42" s="4">
        <f t="shared" si="18"/>
        <v>8749.5496184900003</v>
      </c>
      <c r="AM42" s="4">
        <f t="shared" si="18"/>
        <v>9187.0270994145212</v>
      </c>
      <c r="AN42" s="4">
        <f t="shared" si="18"/>
        <v>9646.3784543852125</v>
      </c>
      <c r="AO42" s="4">
        <f t="shared" si="18"/>
        <v>10128.697377104483</v>
      </c>
      <c r="AP42" s="4">
        <f t="shared" si="18"/>
        <v>10635.132245959707</v>
      </c>
      <c r="AQ42" s="4">
        <f t="shared" si="18"/>
        <v>11166.888858257709</v>
      </c>
      <c r="AR42" s="4">
        <f t="shared" si="18"/>
        <v>11725.233301170589</v>
      </c>
      <c r="AS42" s="4">
        <f t="shared" si="18"/>
        <v>12311.494966229104</v>
      </c>
      <c r="AT42" s="4">
        <f t="shared" si="18"/>
        <v>12927.069714540579</v>
      </c>
      <c r="AU42" s="4">
        <f t="shared" si="18"/>
        <v>13573.423200267604</v>
      </c>
      <c r="AV42" s="4">
        <f t="shared" si="18"/>
        <v>14252.094360280964</v>
      </c>
      <c r="AW42" s="4">
        <f t="shared" si="18"/>
        <v>14964.699078295031</v>
      </c>
      <c r="AX42" s="4">
        <f t="shared" si="18"/>
        <v>15712.934032209785</v>
      </c>
      <c r="AY42" s="4">
        <f t="shared" si="18"/>
        <v>16498.580733820221</v>
      </c>
      <c r="AZ42" s="4">
        <f t="shared" si="18"/>
        <v>17323.509770511249</v>
      </c>
      <c r="BA42" s="4">
        <f t="shared" si="18"/>
        <v>18189.685259036887</v>
      </c>
      <c r="BB42" s="4">
        <f t="shared" si="18"/>
        <v>19099.169521988697</v>
      </c>
      <c r="BC42" s="4">
        <f t="shared" si="18"/>
        <v>20054.127998088145</v>
      </c>
      <c r="BD42" s="4">
        <f t="shared" si="18"/>
        <v>21056.834397992498</v>
      </c>
      <c r="BE42" s="4">
        <f t="shared" si="18"/>
        <v>22109.676117892166</v>
      </c>
      <c r="BF42" s="4"/>
    </row>
    <row r="43" spans="2:58" x14ac:dyDescent="0.25">
      <c r="B43" t="s">
        <v>84</v>
      </c>
      <c r="C43" s="4">
        <f>+D65-C65-C53</f>
        <v>0</v>
      </c>
      <c r="D43" s="4">
        <f t="shared" ref="D43:BF43" si="19">+E65-D65-D53</f>
        <v>0</v>
      </c>
      <c r="E43" s="4">
        <f t="shared" si="19"/>
        <v>-294.25447500303198</v>
      </c>
      <c r="F43" s="4">
        <f t="shared" si="19"/>
        <v>-355.40345301541493</v>
      </c>
      <c r="G43" s="4">
        <f t="shared" si="19"/>
        <v>0</v>
      </c>
      <c r="H43" s="4">
        <f t="shared" si="19"/>
        <v>0</v>
      </c>
      <c r="I43" s="4">
        <f t="shared" si="19"/>
        <v>0</v>
      </c>
      <c r="J43" s="4">
        <f t="shared" si="19"/>
        <v>0</v>
      </c>
      <c r="K43" s="4">
        <f t="shared" si="19"/>
        <v>0</v>
      </c>
      <c r="L43" s="4">
        <f t="shared" si="19"/>
        <v>0</v>
      </c>
      <c r="M43" s="4">
        <f t="shared" si="19"/>
        <v>0</v>
      </c>
      <c r="N43" s="4">
        <f t="shared" si="19"/>
        <v>0</v>
      </c>
      <c r="O43" s="4">
        <f t="shared" si="19"/>
        <v>0</v>
      </c>
      <c r="P43" s="4">
        <f t="shared" si="19"/>
        <v>0</v>
      </c>
      <c r="Q43" s="4">
        <f t="shared" si="19"/>
        <v>0</v>
      </c>
      <c r="R43" s="4">
        <f t="shared" si="19"/>
        <v>0</v>
      </c>
      <c r="S43" s="4">
        <f t="shared" si="19"/>
        <v>0</v>
      </c>
      <c r="T43" s="4">
        <f t="shared" si="19"/>
        <v>0</v>
      </c>
      <c r="U43" s="4">
        <f t="shared" si="19"/>
        <v>0</v>
      </c>
      <c r="V43" s="4">
        <f t="shared" si="19"/>
        <v>0</v>
      </c>
      <c r="W43" s="4">
        <f t="shared" si="19"/>
        <v>0</v>
      </c>
      <c r="X43" s="4">
        <f t="shared" si="19"/>
        <v>0</v>
      </c>
      <c r="Y43" s="4">
        <f t="shared" si="19"/>
        <v>0</v>
      </c>
      <c r="Z43" s="4">
        <f t="shared" si="19"/>
        <v>0</v>
      </c>
      <c r="AA43" s="4">
        <f t="shared" si="19"/>
        <v>0</v>
      </c>
      <c r="AB43" s="4">
        <f t="shared" si="19"/>
        <v>0</v>
      </c>
      <c r="AC43" s="4">
        <f t="shared" si="19"/>
        <v>0</v>
      </c>
      <c r="AD43" s="4">
        <f t="shared" si="19"/>
        <v>0</v>
      </c>
      <c r="AE43" s="4">
        <f t="shared" si="19"/>
        <v>0</v>
      </c>
      <c r="AF43" s="4">
        <f t="shared" si="19"/>
        <v>0</v>
      </c>
      <c r="AG43" s="4">
        <f t="shared" si="19"/>
        <v>0</v>
      </c>
      <c r="AH43" s="4">
        <f t="shared" si="19"/>
        <v>0</v>
      </c>
      <c r="AI43" s="4">
        <f t="shared" si="19"/>
        <v>0</v>
      </c>
      <c r="AJ43" s="4">
        <f t="shared" si="19"/>
        <v>0</v>
      </c>
      <c r="AK43" s="4">
        <f t="shared" si="19"/>
        <v>0</v>
      </c>
      <c r="AL43" s="4">
        <f t="shared" si="19"/>
        <v>0</v>
      </c>
      <c r="AM43" s="4">
        <f t="shared" si="19"/>
        <v>0</v>
      </c>
      <c r="AN43" s="4">
        <f t="shared" si="19"/>
        <v>0</v>
      </c>
      <c r="AO43" s="4">
        <f t="shared" si="19"/>
        <v>0</v>
      </c>
      <c r="AP43" s="4">
        <f t="shared" si="19"/>
        <v>0</v>
      </c>
      <c r="AQ43" s="4">
        <f t="shared" si="19"/>
        <v>0</v>
      </c>
      <c r="AR43" s="4">
        <f t="shared" si="19"/>
        <v>0</v>
      </c>
      <c r="AS43" s="4">
        <f t="shared" si="19"/>
        <v>0</v>
      </c>
      <c r="AT43" s="4">
        <f t="shared" si="19"/>
        <v>0</v>
      </c>
      <c r="AU43" s="4">
        <f t="shared" si="19"/>
        <v>0</v>
      </c>
      <c r="AV43" s="4">
        <f t="shared" si="19"/>
        <v>0</v>
      </c>
      <c r="AW43" s="4">
        <f t="shared" si="19"/>
        <v>0</v>
      </c>
      <c r="AX43" s="4">
        <f t="shared" si="19"/>
        <v>0</v>
      </c>
      <c r="AY43" s="4">
        <f t="shared" si="19"/>
        <v>0</v>
      </c>
      <c r="AZ43" s="4">
        <f t="shared" si="19"/>
        <v>0</v>
      </c>
      <c r="BA43" s="4">
        <f t="shared" si="19"/>
        <v>0</v>
      </c>
      <c r="BB43" s="4">
        <f t="shared" si="19"/>
        <v>0</v>
      </c>
      <c r="BC43" s="4">
        <f t="shared" si="19"/>
        <v>0</v>
      </c>
      <c r="BD43" s="4">
        <f t="shared" si="19"/>
        <v>0</v>
      </c>
      <c r="BE43" s="4">
        <f t="shared" si="19"/>
        <v>0</v>
      </c>
      <c r="BF43" s="4"/>
    </row>
    <row r="44" spans="2:58" x14ac:dyDescent="0.25">
      <c r="B44" t="s">
        <v>85</v>
      </c>
      <c r="C44" s="4">
        <f>+C41-C42+C43</f>
        <v>-9.0949470177292824E-13</v>
      </c>
      <c r="D44" s="4">
        <f t="shared" ref="D44:BE44" si="20">+D41-D42+D43</f>
        <v>-4.5474735088646412E-13</v>
      </c>
      <c r="E44" s="4">
        <f t="shared" si="20"/>
        <v>-2.7284841053187847E-12</v>
      </c>
      <c r="F44" s="4">
        <f t="shared" si="20"/>
        <v>2.2737367544323206E-12</v>
      </c>
      <c r="G44" s="4">
        <f t="shared" si="20"/>
        <v>-1.8189894035458565E-12</v>
      </c>
      <c r="H44" s="4">
        <f t="shared" si="20"/>
        <v>-1.3642420526593924E-12</v>
      </c>
      <c r="I44" s="4">
        <f t="shared" si="20"/>
        <v>2.7284841053187847E-12</v>
      </c>
      <c r="J44" s="4">
        <f t="shared" si="20"/>
        <v>1.3642420526593924E-12</v>
      </c>
      <c r="K44" s="4">
        <f t="shared" si="20"/>
        <v>4.5474735088646412E-13</v>
      </c>
      <c r="L44" s="4">
        <f t="shared" si="20"/>
        <v>2.7284841053187847E-12</v>
      </c>
      <c r="M44" s="4">
        <f t="shared" si="20"/>
        <v>-4.5474735088646412E-13</v>
      </c>
      <c r="N44" s="4">
        <f t="shared" si="20"/>
        <v>-4.5474735088646412E-13</v>
      </c>
      <c r="O44" s="4">
        <f t="shared" si="20"/>
        <v>-2.7284841053187847E-12</v>
      </c>
      <c r="P44" s="4">
        <f t="shared" si="20"/>
        <v>-4.5474735088646412E-13</v>
      </c>
      <c r="Q44" s="4">
        <f t="shared" si="20"/>
        <v>-2.7284841053187847E-12</v>
      </c>
      <c r="R44" s="4">
        <f t="shared" si="20"/>
        <v>2.7284841053187847E-12</v>
      </c>
      <c r="S44" s="4">
        <f t="shared" si="20"/>
        <v>-2.2737367544323206E-12</v>
      </c>
      <c r="T44" s="4">
        <f t="shared" si="20"/>
        <v>1.8189894035458565E-12</v>
      </c>
      <c r="U44" s="4">
        <f t="shared" si="20"/>
        <v>0</v>
      </c>
      <c r="V44" s="4">
        <f t="shared" si="20"/>
        <v>2.7284841053187847E-12</v>
      </c>
      <c r="W44" s="4">
        <f t="shared" si="20"/>
        <v>-5.4569682106375694E-12</v>
      </c>
      <c r="X44" s="4">
        <f t="shared" si="20"/>
        <v>-7.2759576141834259E-12</v>
      </c>
      <c r="Y44" s="4">
        <f t="shared" si="20"/>
        <v>-3.637978807091713E-12</v>
      </c>
      <c r="Z44" s="4">
        <f t="shared" si="20"/>
        <v>6.3664629124104977E-12</v>
      </c>
      <c r="AA44" s="4">
        <f t="shared" si="20"/>
        <v>-9.0949470177292824E-13</v>
      </c>
      <c r="AB44" s="4">
        <f t="shared" si="20"/>
        <v>-7.2759576141834259E-12</v>
      </c>
      <c r="AC44" s="4">
        <f t="shared" si="20"/>
        <v>5.4569682106375694E-12</v>
      </c>
      <c r="AD44" s="4">
        <f t="shared" si="20"/>
        <v>-1.2732925824820995E-11</v>
      </c>
      <c r="AE44" s="4">
        <f t="shared" si="20"/>
        <v>0</v>
      </c>
      <c r="AF44" s="4">
        <f t="shared" si="20"/>
        <v>1.8189894035458565E-12</v>
      </c>
      <c r="AG44" s="4">
        <f t="shared" si="20"/>
        <v>-3.637978807091713E-12</v>
      </c>
      <c r="AH44" s="4">
        <f t="shared" si="20"/>
        <v>-9.0949470177292824E-13</v>
      </c>
      <c r="AI44" s="4">
        <f t="shared" si="20"/>
        <v>-3.637978807091713E-12</v>
      </c>
      <c r="AJ44" s="4">
        <f t="shared" si="20"/>
        <v>-2.7284841053187847E-12</v>
      </c>
      <c r="AK44" s="4">
        <f t="shared" si="20"/>
        <v>1.8189894035458565E-12</v>
      </c>
      <c r="AL44" s="4">
        <f t="shared" si="20"/>
        <v>1.8189894035458565E-12</v>
      </c>
      <c r="AM44" s="4">
        <f t="shared" si="20"/>
        <v>-1.8189894035458565E-11</v>
      </c>
      <c r="AN44" s="4">
        <f t="shared" si="20"/>
        <v>5.4569682106375694E-12</v>
      </c>
      <c r="AO44" s="4">
        <f t="shared" si="20"/>
        <v>9.0949470177292824E-12</v>
      </c>
      <c r="AP44" s="4">
        <f t="shared" si="20"/>
        <v>3.637978807091713E-12</v>
      </c>
      <c r="AQ44" s="4">
        <f t="shared" si="20"/>
        <v>-1.0913936421275139E-11</v>
      </c>
      <c r="AR44" s="4">
        <f t="shared" si="20"/>
        <v>-7.2759576141834259E-12</v>
      </c>
      <c r="AS44" s="4">
        <f t="shared" si="20"/>
        <v>1.4551915228366852E-11</v>
      </c>
      <c r="AT44" s="4">
        <f t="shared" si="20"/>
        <v>-9.0949470177292824E-12</v>
      </c>
      <c r="AU44" s="4">
        <f t="shared" si="20"/>
        <v>-1.4551915228366852E-11</v>
      </c>
      <c r="AV44" s="4">
        <f t="shared" si="20"/>
        <v>1.6370904631912708E-11</v>
      </c>
      <c r="AW44" s="4">
        <f t="shared" si="20"/>
        <v>-7.2759576141834259E-12</v>
      </c>
      <c r="AX44" s="4">
        <f t="shared" si="20"/>
        <v>-1.8189894035458565E-11</v>
      </c>
      <c r="AY44" s="4">
        <f t="shared" si="20"/>
        <v>4.0017766878008842E-11</v>
      </c>
      <c r="AZ44" s="4">
        <f t="shared" si="20"/>
        <v>3.637978807091713E-11</v>
      </c>
      <c r="BA44" s="4">
        <f t="shared" si="20"/>
        <v>-4.3655745685100555E-11</v>
      </c>
      <c r="BB44" s="4">
        <f t="shared" si="20"/>
        <v>-1.4551915228366852E-11</v>
      </c>
      <c r="BC44" s="4">
        <f t="shared" si="20"/>
        <v>-1.4551915228366852E-11</v>
      </c>
      <c r="BD44" s="4">
        <f t="shared" si="20"/>
        <v>3.2741809263825417E-11</v>
      </c>
      <c r="BE44" s="4">
        <f t="shared" si="20"/>
        <v>-1.4551915228366852E-11</v>
      </c>
      <c r="BF44" s="4"/>
    </row>
    <row r="46" spans="2:58" x14ac:dyDescent="0.25">
      <c r="B46" t="s">
        <v>73</v>
      </c>
    </row>
    <row r="47" spans="2:58" x14ac:dyDescent="0.25">
      <c r="B47" t="s">
        <v>74</v>
      </c>
      <c r="C47" s="4">
        <f>+C35/(1-C31)</f>
        <v>3000</v>
      </c>
      <c r="D47" s="4">
        <f t="shared" ref="D47:BF47" si="21">+D35/(1-D31)</f>
        <v>3420</v>
      </c>
      <c r="E47" s="4">
        <f t="shared" si="21"/>
        <v>3779.0999999999995</v>
      </c>
      <c r="F47" s="4">
        <f t="shared" si="21"/>
        <v>4081.4279999999994</v>
      </c>
      <c r="G47" s="4">
        <f t="shared" si="21"/>
        <v>4326.3136799999993</v>
      </c>
      <c r="H47" s="4">
        <f t="shared" si="21"/>
        <v>4564.2609323999995</v>
      </c>
      <c r="I47" s="4">
        <f t="shared" si="21"/>
        <v>4815.2952836819986</v>
      </c>
      <c r="J47" s="4">
        <f t="shared" si="21"/>
        <v>5056.060047866099</v>
      </c>
      <c r="K47" s="4">
        <f t="shared" si="21"/>
        <v>5308.8630502594033</v>
      </c>
      <c r="L47" s="4">
        <f t="shared" si="21"/>
        <v>5574.3062027723736</v>
      </c>
      <c r="M47" s="4">
        <f t="shared" si="21"/>
        <v>5853.021512910992</v>
      </c>
      <c r="N47" s="4">
        <f t="shared" si="21"/>
        <v>6145.6725885565411</v>
      </c>
      <c r="O47" s="4">
        <f t="shared" si="21"/>
        <v>6452.9562179843679</v>
      </c>
      <c r="P47" s="4">
        <f t="shared" si="21"/>
        <v>6775.6040288835866</v>
      </c>
      <c r="Q47" s="4">
        <f t="shared" si="21"/>
        <v>7114.3842303277661</v>
      </c>
      <c r="R47" s="4">
        <f t="shared" si="21"/>
        <v>7470.103441844155</v>
      </c>
      <c r="S47" s="4">
        <f t="shared" si="21"/>
        <v>7843.6086139363633</v>
      </c>
      <c r="T47" s="4">
        <f t="shared" si="21"/>
        <v>8235.7890446331803</v>
      </c>
      <c r="U47" s="4">
        <f t="shared" si="21"/>
        <v>8647.5784968648404</v>
      </c>
      <c r="V47" s="4">
        <f t="shared" si="21"/>
        <v>9079.9574217080826</v>
      </c>
      <c r="W47" s="4">
        <f t="shared" si="21"/>
        <v>9533.9552927934856</v>
      </c>
      <c r="X47" s="4">
        <f t="shared" si="21"/>
        <v>10010.653057433161</v>
      </c>
      <c r="Y47" s="4">
        <f t="shared" si="21"/>
        <v>10511.185710304819</v>
      </c>
      <c r="Z47" s="4">
        <f t="shared" si="21"/>
        <v>11036.74499582006</v>
      </c>
      <c r="AA47" s="4">
        <f t="shared" si="21"/>
        <v>11588.582245611064</v>
      </c>
      <c r="AB47" s="4">
        <f t="shared" si="21"/>
        <v>12168.011357891619</v>
      </c>
      <c r="AC47" s="4">
        <f t="shared" si="21"/>
        <v>12776.411925786198</v>
      </c>
      <c r="AD47" s="4">
        <f t="shared" si="21"/>
        <v>13415.232522075508</v>
      </c>
      <c r="AE47" s="4">
        <f t="shared" si="21"/>
        <v>14085.994148179283</v>
      </c>
      <c r="AF47" s="4">
        <f t="shared" si="21"/>
        <v>14790.293855588247</v>
      </c>
      <c r="AG47" s="4">
        <f t="shared" si="21"/>
        <v>15529.808548367659</v>
      </c>
      <c r="AH47" s="4">
        <f t="shared" si="21"/>
        <v>16306.298975786041</v>
      </c>
      <c r="AI47" s="4">
        <f t="shared" si="21"/>
        <v>17121.613924575344</v>
      </c>
      <c r="AJ47" s="4">
        <f t="shared" si="21"/>
        <v>17977.694620804112</v>
      </c>
      <c r="AK47" s="4">
        <f t="shared" si="21"/>
        <v>18876.579351844313</v>
      </c>
      <c r="AL47" s="4">
        <f t="shared" si="21"/>
        <v>19820.40831943653</v>
      </c>
      <c r="AM47" s="4">
        <f t="shared" si="21"/>
        <v>20811.428735408357</v>
      </c>
      <c r="AN47" s="4">
        <f t="shared" si="21"/>
        <v>21852.000172178778</v>
      </c>
      <c r="AO47" s="4">
        <f t="shared" si="21"/>
        <v>22944.600180787715</v>
      </c>
      <c r="AP47" s="4">
        <f t="shared" si="21"/>
        <v>24091.830189827098</v>
      </c>
      <c r="AQ47" s="4">
        <f t="shared" si="21"/>
        <v>25296.421699318456</v>
      </c>
      <c r="AR47" s="4">
        <f t="shared" si="21"/>
        <v>26561.242784284379</v>
      </c>
      <c r="AS47" s="4">
        <f t="shared" si="21"/>
        <v>27889.304923498603</v>
      </c>
      <c r="AT47" s="4">
        <f t="shared" si="21"/>
        <v>29283.770169673535</v>
      </c>
      <c r="AU47" s="4">
        <f t="shared" si="21"/>
        <v>30747.958678157211</v>
      </c>
      <c r="AV47" s="4">
        <f t="shared" si="21"/>
        <v>32285.356612065068</v>
      </c>
      <c r="AW47" s="4">
        <f t="shared" si="21"/>
        <v>33899.624442668319</v>
      </c>
      <c r="AX47" s="4">
        <f t="shared" si="21"/>
        <v>35594.605664801733</v>
      </c>
      <c r="AY47" s="4">
        <f t="shared" si="21"/>
        <v>37374.335948041822</v>
      </c>
      <c r="AZ47" s="4">
        <f t="shared" si="21"/>
        <v>39243.052745443914</v>
      </c>
      <c r="BA47" s="4">
        <f t="shared" si="21"/>
        <v>41205.205382716107</v>
      </c>
      <c r="BB47" s="4">
        <f t="shared" si="21"/>
        <v>43265.465651851919</v>
      </c>
      <c r="BC47" s="4">
        <f t="shared" si="21"/>
        <v>45428.738934444518</v>
      </c>
      <c r="BD47" s="4">
        <f t="shared" si="21"/>
        <v>47700.175881166739</v>
      </c>
      <c r="BE47" s="4">
        <f t="shared" si="21"/>
        <v>50085.184675225079</v>
      </c>
      <c r="BF47" s="4">
        <f t="shared" si="21"/>
        <v>52589.443908986337</v>
      </c>
    </row>
    <row r="48" spans="2:58" x14ac:dyDescent="0.25">
      <c r="B48" s="4" t="str">
        <f>+B38</f>
        <v>D*rD</v>
      </c>
      <c r="C48" s="4">
        <f t="shared" ref="C48:BF48" si="22">+C38</f>
        <v>0</v>
      </c>
      <c r="D48" s="4">
        <f t="shared" si="22"/>
        <v>80.342841413172209</v>
      </c>
      <c r="E48" s="4">
        <f t="shared" si="22"/>
        <v>185.65306243805838</v>
      </c>
      <c r="F48" s="4">
        <f t="shared" si="22"/>
        <v>338.83690944932277</v>
      </c>
      <c r="G48" s="4">
        <f t="shared" si="22"/>
        <v>494.29992379621586</v>
      </c>
      <c r="H48" s="4">
        <f t="shared" si="22"/>
        <v>543.80899279896857</v>
      </c>
      <c r="I48" s="4">
        <f t="shared" si="22"/>
        <v>573.59373249064822</v>
      </c>
      <c r="J48" s="4">
        <f t="shared" si="22"/>
        <v>602.27341911518056</v>
      </c>
      <c r="K48" s="4">
        <f t="shared" si="22"/>
        <v>632.38709007093973</v>
      </c>
      <c r="L48" s="4">
        <f t="shared" si="22"/>
        <v>664.00644457448675</v>
      </c>
      <c r="M48" s="4">
        <f t="shared" si="22"/>
        <v>697.20676680321105</v>
      </c>
      <c r="N48" s="4">
        <f t="shared" si="22"/>
        <v>732.06710514337169</v>
      </c>
      <c r="O48" s="4">
        <f t="shared" si="22"/>
        <v>768.67046040054026</v>
      </c>
      <c r="P48" s="4">
        <f t="shared" si="22"/>
        <v>807.10398342056749</v>
      </c>
      <c r="Q48" s="4">
        <f t="shared" si="22"/>
        <v>847.45918259159589</v>
      </c>
      <c r="R48" s="4">
        <f t="shared" si="22"/>
        <v>889.83214172117562</v>
      </c>
      <c r="S48" s="4">
        <f t="shared" si="22"/>
        <v>934.32374880723444</v>
      </c>
      <c r="T48" s="4">
        <f t="shared" si="22"/>
        <v>981.03993624759642</v>
      </c>
      <c r="U48" s="4">
        <f t="shared" si="22"/>
        <v>1030.0919330599761</v>
      </c>
      <c r="V48" s="4">
        <f t="shared" si="22"/>
        <v>1081.5965297129749</v>
      </c>
      <c r="W48" s="4">
        <f t="shared" si="22"/>
        <v>1135.6763561986236</v>
      </c>
      <c r="X48" s="4">
        <f t="shared" si="22"/>
        <v>1192.460174008555</v>
      </c>
      <c r="Y48" s="4">
        <f t="shared" si="22"/>
        <v>1252.0831827089828</v>
      </c>
      <c r="Z48" s="4">
        <f t="shared" si="22"/>
        <v>1314.6873418444318</v>
      </c>
      <c r="AA48" s="4">
        <f t="shared" si="22"/>
        <v>1380.4217089366537</v>
      </c>
      <c r="AB48" s="4">
        <f t="shared" si="22"/>
        <v>1449.4427943834862</v>
      </c>
      <c r="AC48" s="4">
        <f t="shared" si="22"/>
        <v>1521.9149341026607</v>
      </c>
      <c r="AD48" s="4">
        <f t="shared" si="22"/>
        <v>1598.0106808077937</v>
      </c>
      <c r="AE48" s="4">
        <f t="shared" si="22"/>
        <v>1677.9112148481834</v>
      </c>
      <c r="AF48" s="4">
        <f t="shared" si="22"/>
        <v>1761.8067755905927</v>
      </c>
      <c r="AG48" s="4">
        <f t="shared" si="22"/>
        <v>1849.8971143701219</v>
      </c>
      <c r="AH48" s="4">
        <f t="shared" si="22"/>
        <v>1942.3919700886281</v>
      </c>
      <c r="AI48" s="4">
        <f t="shared" si="22"/>
        <v>2039.5115685930598</v>
      </c>
      <c r="AJ48" s="4">
        <f t="shared" si="22"/>
        <v>2141.4871470227122</v>
      </c>
      <c r="AK48" s="4">
        <f t="shared" si="22"/>
        <v>2248.561504373848</v>
      </c>
      <c r="AL48" s="4">
        <f t="shared" si="22"/>
        <v>2360.9895795925404</v>
      </c>
      <c r="AM48" s="4">
        <f t="shared" si="22"/>
        <v>2479.0390585721675</v>
      </c>
      <c r="AN48" s="4">
        <f t="shared" si="22"/>
        <v>2602.991011500776</v>
      </c>
      <c r="AO48" s="4">
        <f t="shared" si="22"/>
        <v>2733.1405620758142</v>
      </c>
      <c r="AP48" s="4">
        <f t="shared" si="22"/>
        <v>2869.7975901796053</v>
      </c>
      <c r="AQ48" s="4">
        <f t="shared" si="22"/>
        <v>3013.2874696885856</v>
      </c>
      <c r="AR48" s="4">
        <f t="shared" si="22"/>
        <v>3163.9518431730153</v>
      </c>
      <c r="AS48" s="4">
        <f t="shared" si="22"/>
        <v>3322.1494353316657</v>
      </c>
      <c r="AT48" s="4">
        <f t="shared" si="22"/>
        <v>3488.2569070982495</v>
      </c>
      <c r="AU48" s="4">
        <f t="shared" si="22"/>
        <v>3662.6697524531623</v>
      </c>
      <c r="AV48" s="4">
        <f t="shared" si="22"/>
        <v>3845.8032400758198</v>
      </c>
      <c r="AW48" s="4">
        <f t="shared" si="22"/>
        <v>4038.0934020796112</v>
      </c>
      <c r="AX48" s="4">
        <f t="shared" si="22"/>
        <v>4239.9980721835918</v>
      </c>
      <c r="AY48" s="4">
        <f t="shared" si="22"/>
        <v>4451.9979757927704</v>
      </c>
      <c r="AZ48" s="4">
        <f t="shared" si="22"/>
        <v>4674.5978745824086</v>
      </c>
      <c r="BA48" s="4">
        <f t="shared" si="22"/>
        <v>4908.3277683115302</v>
      </c>
      <c r="BB48" s="4">
        <f t="shared" si="22"/>
        <v>5153.7441567271062</v>
      </c>
      <c r="BC48" s="4">
        <f t="shared" si="22"/>
        <v>5411.431364563462</v>
      </c>
      <c r="BD48" s="4">
        <f t="shared" si="22"/>
        <v>5682.0029327916354</v>
      </c>
      <c r="BE48" s="4">
        <f t="shared" si="22"/>
        <v>5966.1030794312173</v>
      </c>
      <c r="BF48" s="4">
        <f t="shared" si="22"/>
        <v>6264.408233402778</v>
      </c>
    </row>
    <row r="49" spans="2:59" x14ac:dyDescent="0.25">
      <c r="B49" t="s">
        <v>76</v>
      </c>
      <c r="C49" s="4">
        <f>+C47-C48</f>
        <v>3000</v>
      </c>
      <c r="D49" s="4">
        <f t="shared" ref="D49:BF49" si="23">+D47-D48</f>
        <v>3339.6571585868278</v>
      </c>
      <c r="E49" s="4">
        <f t="shared" si="23"/>
        <v>3593.446937561941</v>
      </c>
      <c r="F49" s="4">
        <f t="shared" si="23"/>
        <v>3742.5910905506767</v>
      </c>
      <c r="G49" s="4">
        <f t="shared" si="23"/>
        <v>3832.0137562037835</v>
      </c>
      <c r="H49" s="4">
        <f t="shared" si="23"/>
        <v>4020.451939601031</v>
      </c>
      <c r="I49" s="4">
        <f t="shared" si="23"/>
        <v>4241.7015511913505</v>
      </c>
      <c r="J49" s="4">
        <f t="shared" si="23"/>
        <v>4453.7866287509187</v>
      </c>
      <c r="K49" s="4">
        <f t="shared" si="23"/>
        <v>4676.4759601884634</v>
      </c>
      <c r="L49" s="4">
        <f t="shared" si="23"/>
        <v>4910.2997581978871</v>
      </c>
      <c r="M49" s="4">
        <f t="shared" si="23"/>
        <v>5155.8147461077806</v>
      </c>
      <c r="N49" s="4">
        <f t="shared" si="23"/>
        <v>5413.6054834131692</v>
      </c>
      <c r="O49" s="4">
        <f t="shared" si="23"/>
        <v>5684.2857575838279</v>
      </c>
      <c r="P49" s="4">
        <f t="shared" si="23"/>
        <v>5968.500045463019</v>
      </c>
      <c r="Q49" s="4">
        <f t="shared" si="23"/>
        <v>6266.9250477361702</v>
      </c>
      <c r="R49" s="4">
        <f t="shared" si="23"/>
        <v>6580.2713001229795</v>
      </c>
      <c r="S49" s="4">
        <f t="shared" si="23"/>
        <v>6909.2848651291288</v>
      </c>
      <c r="T49" s="4">
        <f t="shared" si="23"/>
        <v>7254.7491083855839</v>
      </c>
      <c r="U49" s="4">
        <f t="shared" si="23"/>
        <v>7617.4865638048641</v>
      </c>
      <c r="V49" s="4">
        <f t="shared" si="23"/>
        <v>7998.3608919951075</v>
      </c>
      <c r="W49" s="4">
        <f t="shared" si="23"/>
        <v>8398.2789365948629</v>
      </c>
      <c r="X49" s="4">
        <f t="shared" si="23"/>
        <v>8818.1928834246064</v>
      </c>
      <c r="Y49" s="4">
        <f t="shared" si="23"/>
        <v>9259.1025275958364</v>
      </c>
      <c r="Z49" s="4">
        <f t="shared" si="23"/>
        <v>9722.0576539756275</v>
      </c>
      <c r="AA49" s="4">
        <f t="shared" si="23"/>
        <v>10208.16053667441</v>
      </c>
      <c r="AB49" s="4">
        <f t="shared" si="23"/>
        <v>10718.568563508132</v>
      </c>
      <c r="AC49" s="4">
        <f t="shared" si="23"/>
        <v>11254.496991683538</v>
      </c>
      <c r="AD49" s="4">
        <f t="shared" si="23"/>
        <v>11817.221841267714</v>
      </c>
      <c r="AE49" s="4">
        <f t="shared" si="23"/>
        <v>12408.082933331099</v>
      </c>
      <c r="AF49" s="4">
        <f t="shared" si="23"/>
        <v>13028.487079997654</v>
      </c>
      <c r="AG49" s="4">
        <f t="shared" si="23"/>
        <v>13679.911433997537</v>
      </c>
      <c r="AH49" s="4">
        <f t="shared" si="23"/>
        <v>14363.907005697412</v>
      </c>
      <c r="AI49" s="4">
        <f t="shared" si="23"/>
        <v>15082.102355982284</v>
      </c>
      <c r="AJ49" s="4">
        <f t="shared" si="23"/>
        <v>15836.2074737814</v>
      </c>
      <c r="AK49" s="4">
        <f t="shared" si="23"/>
        <v>16628.017847470466</v>
      </c>
      <c r="AL49" s="4">
        <f t="shared" si="23"/>
        <v>17459.41873984399</v>
      </c>
      <c r="AM49" s="4">
        <f t="shared" si="23"/>
        <v>18332.389676836188</v>
      </c>
      <c r="AN49" s="4">
        <f t="shared" si="23"/>
        <v>19249.009160678001</v>
      </c>
      <c r="AO49" s="4">
        <f t="shared" si="23"/>
        <v>20211.459618711902</v>
      </c>
      <c r="AP49" s="4">
        <f t="shared" si="23"/>
        <v>21222.032599647493</v>
      </c>
      <c r="AQ49" s="4">
        <f t="shared" si="23"/>
        <v>22283.134229629872</v>
      </c>
      <c r="AR49" s="4">
        <f t="shared" si="23"/>
        <v>23397.290941111365</v>
      </c>
      <c r="AS49" s="4">
        <f t="shared" si="23"/>
        <v>24567.155488166936</v>
      </c>
      <c r="AT49" s="4">
        <f t="shared" si="23"/>
        <v>25795.513262575285</v>
      </c>
      <c r="AU49" s="4">
        <f t="shared" si="23"/>
        <v>27085.288925704048</v>
      </c>
      <c r="AV49" s="4">
        <f t="shared" si="23"/>
        <v>28439.553371989248</v>
      </c>
      <c r="AW49" s="4">
        <f t="shared" si="23"/>
        <v>29861.531040588707</v>
      </c>
      <c r="AX49" s="4">
        <f t="shared" si="23"/>
        <v>31354.60759261814</v>
      </c>
      <c r="AY49" s="4">
        <f t="shared" si="23"/>
        <v>32922.33797224905</v>
      </c>
      <c r="AZ49" s="4">
        <f t="shared" si="23"/>
        <v>34568.454870861504</v>
      </c>
      <c r="BA49" s="4">
        <f t="shared" si="23"/>
        <v>36296.877614404577</v>
      </c>
      <c r="BB49" s="4">
        <f t="shared" si="23"/>
        <v>38111.72149512481</v>
      </c>
      <c r="BC49" s="4">
        <f t="shared" si="23"/>
        <v>40017.307569881057</v>
      </c>
      <c r="BD49" s="4">
        <f t="shared" si="23"/>
        <v>42018.172948375104</v>
      </c>
      <c r="BE49" s="4">
        <f t="shared" si="23"/>
        <v>44119.081595793861</v>
      </c>
      <c r="BF49" s="4">
        <f t="shared" si="23"/>
        <v>46325.03567558356</v>
      </c>
    </row>
    <row r="50" spans="2:59" x14ac:dyDescent="0.25">
      <c r="B50" t="s">
        <v>77</v>
      </c>
      <c r="C50" s="4">
        <f>+IF(C49&lt;0,0,C49*C27)</f>
        <v>600</v>
      </c>
      <c r="D50" s="4">
        <f t="shared" ref="D50:BF50" si="24">+IF(D49&lt;0,0,D49*D27)</f>
        <v>667.93143171736563</v>
      </c>
      <c r="E50" s="4">
        <f t="shared" si="24"/>
        <v>718.68938751238829</v>
      </c>
      <c r="F50" s="4">
        <f t="shared" si="24"/>
        <v>748.51821811013542</v>
      </c>
      <c r="G50" s="4">
        <f t="shared" si="24"/>
        <v>766.40275124075674</v>
      </c>
      <c r="H50" s="4">
        <f t="shared" si="24"/>
        <v>804.09038792020624</v>
      </c>
      <c r="I50" s="4">
        <f t="shared" si="24"/>
        <v>848.34031023827015</v>
      </c>
      <c r="J50" s="4">
        <f t="shared" si="24"/>
        <v>890.75732575018378</v>
      </c>
      <c r="K50" s="4">
        <f t="shared" si="24"/>
        <v>935.29519203769269</v>
      </c>
      <c r="L50" s="4">
        <f t="shared" si="24"/>
        <v>982.05995163957743</v>
      </c>
      <c r="M50" s="4">
        <f t="shared" si="24"/>
        <v>1031.1629492215561</v>
      </c>
      <c r="N50" s="4">
        <f t="shared" si="24"/>
        <v>1082.721096682634</v>
      </c>
      <c r="O50" s="4">
        <f t="shared" si="24"/>
        <v>1136.8571515167657</v>
      </c>
      <c r="P50" s="4">
        <f t="shared" si="24"/>
        <v>1193.7000090926038</v>
      </c>
      <c r="Q50" s="4">
        <f t="shared" si="24"/>
        <v>1253.3850095472342</v>
      </c>
      <c r="R50" s="4">
        <f t="shared" si="24"/>
        <v>1316.054260024596</v>
      </c>
      <c r="S50" s="4">
        <f t="shared" si="24"/>
        <v>1381.8569730258259</v>
      </c>
      <c r="T50" s="4">
        <f t="shared" si="24"/>
        <v>1450.9498216771169</v>
      </c>
      <c r="U50" s="4">
        <f t="shared" si="24"/>
        <v>1523.4973127609728</v>
      </c>
      <c r="V50" s="4">
        <f t="shared" si="24"/>
        <v>1599.6721783990215</v>
      </c>
      <c r="W50" s="4">
        <f t="shared" si="24"/>
        <v>1679.6557873189727</v>
      </c>
      <c r="X50" s="4">
        <f t="shared" si="24"/>
        <v>1763.6385766849214</v>
      </c>
      <c r="Y50" s="4">
        <f t="shared" si="24"/>
        <v>1851.8205055191675</v>
      </c>
      <c r="Z50" s="4">
        <f t="shared" si="24"/>
        <v>1944.4115307951256</v>
      </c>
      <c r="AA50" s="4">
        <f t="shared" si="24"/>
        <v>2041.632107334882</v>
      </c>
      <c r="AB50" s="4">
        <f t="shared" si="24"/>
        <v>2143.7137127016263</v>
      </c>
      <c r="AC50" s="4">
        <f t="shared" si="24"/>
        <v>2250.8993983367077</v>
      </c>
      <c r="AD50" s="4">
        <f t="shared" si="24"/>
        <v>2363.444368253543</v>
      </c>
      <c r="AE50" s="4">
        <f t="shared" si="24"/>
        <v>2481.61658666622</v>
      </c>
      <c r="AF50" s="4">
        <f t="shared" si="24"/>
        <v>2605.6974159995311</v>
      </c>
      <c r="AG50" s="4">
        <f t="shared" si="24"/>
        <v>2735.9822867995076</v>
      </c>
      <c r="AH50" s="4">
        <f t="shared" si="24"/>
        <v>2872.7814011394826</v>
      </c>
      <c r="AI50" s="4">
        <f t="shared" si="24"/>
        <v>3016.4204711964571</v>
      </c>
      <c r="AJ50" s="4">
        <f t="shared" si="24"/>
        <v>3167.2414947562802</v>
      </c>
      <c r="AK50" s="4">
        <f t="shared" si="24"/>
        <v>3325.6035694940933</v>
      </c>
      <c r="AL50" s="4">
        <f t="shared" si="24"/>
        <v>3491.8837479687982</v>
      </c>
      <c r="AM50" s="4">
        <f t="shared" si="24"/>
        <v>3666.4779353672379</v>
      </c>
      <c r="AN50" s="4">
        <f t="shared" si="24"/>
        <v>3849.8018321356003</v>
      </c>
      <c r="AO50" s="4">
        <f t="shared" si="24"/>
        <v>4042.2919237423807</v>
      </c>
      <c r="AP50" s="4">
        <f t="shared" si="24"/>
        <v>4244.4065199294992</v>
      </c>
      <c r="AQ50" s="4">
        <f t="shared" si="24"/>
        <v>4456.6268459259745</v>
      </c>
      <c r="AR50" s="4">
        <f t="shared" si="24"/>
        <v>4679.4581882222728</v>
      </c>
      <c r="AS50" s="4">
        <f t="shared" si="24"/>
        <v>4913.4310976333873</v>
      </c>
      <c r="AT50" s="4">
        <f t="shared" si="24"/>
        <v>5159.1026525150573</v>
      </c>
      <c r="AU50" s="4">
        <f t="shared" si="24"/>
        <v>5417.0577851408098</v>
      </c>
      <c r="AV50" s="4">
        <f t="shared" si="24"/>
        <v>5687.91067439785</v>
      </c>
      <c r="AW50" s="4">
        <f t="shared" si="24"/>
        <v>5972.3062081177413</v>
      </c>
      <c r="AX50" s="4">
        <f t="shared" si="24"/>
        <v>6270.921518523628</v>
      </c>
      <c r="AY50" s="4">
        <f t="shared" si="24"/>
        <v>6584.4675944498103</v>
      </c>
      <c r="AZ50" s="4">
        <f t="shared" si="24"/>
        <v>6913.6909741723011</v>
      </c>
      <c r="BA50" s="4">
        <f t="shared" si="24"/>
        <v>7259.3755228809159</v>
      </c>
      <c r="BB50" s="4">
        <f t="shared" si="24"/>
        <v>7622.3442990249623</v>
      </c>
      <c r="BC50" s="4">
        <f t="shared" si="24"/>
        <v>8003.4615139762118</v>
      </c>
      <c r="BD50" s="4">
        <f t="shared" si="24"/>
        <v>8403.6345896750208</v>
      </c>
      <c r="BE50" s="4">
        <f t="shared" si="24"/>
        <v>8823.8163191587719</v>
      </c>
      <c r="BF50" s="4">
        <f t="shared" si="24"/>
        <v>9265.0071351167117</v>
      </c>
    </row>
    <row r="51" spans="2:59" x14ac:dyDescent="0.25">
      <c r="B51" t="s">
        <v>78</v>
      </c>
      <c r="C51" s="4">
        <f>+C49-C50</f>
        <v>2400</v>
      </c>
      <c r="D51" s="4">
        <f t="shared" ref="D51:BF51" si="25">+D49-D50</f>
        <v>2671.7257268694621</v>
      </c>
      <c r="E51" s="4">
        <f t="shared" si="25"/>
        <v>2874.7575500495527</v>
      </c>
      <c r="F51" s="4">
        <f t="shared" si="25"/>
        <v>2994.0728724405412</v>
      </c>
      <c r="G51" s="4">
        <f t="shared" si="25"/>
        <v>3065.611004963027</v>
      </c>
      <c r="H51" s="4">
        <f t="shared" si="25"/>
        <v>3216.361551680825</v>
      </c>
      <c r="I51" s="4">
        <f t="shared" si="25"/>
        <v>3393.3612409530806</v>
      </c>
      <c r="J51" s="4">
        <f t="shared" si="25"/>
        <v>3563.0293030007351</v>
      </c>
      <c r="K51" s="4">
        <f t="shared" si="25"/>
        <v>3741.1807681507707</v>
      </c>
      <c r="L51" s="4">
        <f t="shared" si="25"/>
        <v>3928.2398065583097</v>
      </c>
      <c r="M51" s="4">
        <f t="shared" si="25"/>
        <v>4124.6517968862245</v>
      </c>
      <c r="N51" s="4">
        <f t="shared" si="25"/>
        <v>4330.884386730535</v>
      </c>
      <c r="O51" s="4">
        <f t="shared" si="25"/>
        <v>4547.428606067062</v>
      </c>
      <c r="P51" s="4">
        <f t="shared" si="25"/>
        <v>4774.800036370415</v>
      </c>
      <c r="Q51" s="4">
        <f t="shared" si="25"/>
        <v>5013.5400381889358</v>
      </c>
      <c r="R51" s="4">
        <f t="shared" si="25"/>
        <v>5264.2170400983832</v>
      </c>
      <c r="S51" s="4">
        <f t="shared" si="25"/>
        <v>5527.4278921033028</v>
      </c>
      <c r="T51" s="4">
        <f t="shared" si="25"/>
        <v>5803.7992867084668</v>
      </c>
      <c r="U51" s="4">
        <f t="shared" si="25"/>
        <v>6093.9892510438913</v>
      </c>
      <c r="V51" s="4">
        <f t="shared" si="25"/>
        <v>6398.688713596086</v>
      </c>
      <c r="W51" s="4">
        <f t="shared" si="25"/>
        <v>6718.6231492758907</v>
      </c>
      <c r="X51" s="4">
        <f t="shared" si="25"/>
        <v>7054.5543067396848</v>
      </c>
      <c r="Y51" s="4">
        <f t="shared" si="25"/>
        <v>7407.2820220766689</v>
      </c>
      <c r="Z51" s="4">
        <f t="shared" si="25"/>
        <v>7777.6461231805024</v>
      </c>
      <c r="AA51" s="4">
        <f t="shared" si="25"/>
        <v>8166.528429339528</v>
      </c>
      <c r="AB51" s="4">
        <f t="shared" si="25"/>
        <v>8574.8548508065051</v>
      </c>
      <c r="AC51" s="4">
        <f t="shared" si="25"/>
        <v>9003.5975933468308</v>
      </c>
      <c r="AD51" s="4">
        <f t="shared" si="25"/>
        <v>9453.7774730141718</v>
      </c>
      <c r="AE51" s="4">
        <f t="shared" si="25"/>
        <v>9926.4663466648799</v>
      </c>
      <c r="AF51" s="4">
        <f t="shared" si="25"/>
        <v>10422.789663998123</v>
      </c>
      <c r="AG51" s="4">
        <f t="shared" si="25"/>
        <v>10943.929147198029</v>
      </c>
      <c r="AH51" s="4">
        <f t="shared" si="25"/>
        <v>11491.12560455793</v>
      </c>
      <c r="AI51" s="4">
        <f t="shared" si="25"/>
        <v>12065.681884785827</v>
      </c>
      <c r="AJ51" s="4">
        <f t="shared" si="25"/>
        <v>12668.965979025121</v>
      </c>
      <c r="AK51" s="4">
        <f t="shared" si="25"/>
        <v>13302.414277976373</v>
      </c>
      <c r="AL51" s="4">
        <f t="shared" si="25"/>
        <v>13967.534991875193</v>
      </c>
      <c r="AM51" s="4">
        <f t="shared" si="25"/>
        <v>14665.91174146895</v>
      </c>
      <c r="AN51" s="4">
        <f t="shared" si="25"/>
        <v>15399.207328542401</v>
      </c>
      <c r="AO51" s="4">
        <f t="shared" si="25"/>
        <v>16169.167694969521</v>
      </c>
      <c r="AP51" s="4">
        <f t="shared" si="25"/>
        <v>16977.626079717993</v>
      </c>
      <c r="AQ51" s="4">
        <f t="shared" si="25"/>
        <v>17826.507383703898</v>
      </c>
      <c r="AR51" s="4">
        <f t="shared" si="25"/>
        <v>18717.832752889091</v>
      </c>
      <c r="AS51" s="4">
        <f t="shared" si="25"/>
        <v>19653.724390533549</v>
      </c>
      <c r="AT51" s="4">
        <f t="shared" si="25"/>
        <v>20636.410610060229</v>
      </c>
      <c r="AU51" s="4">
        <f t="shared" si="25"/>
        <v>21668.231140563239</v>
      </c>
      <c r="AV51" s="4">
        <f t="shared" si="25"/>
        <v>22751.6426975914</v>
      </c>
      <c r="AW51" s="4">
        <f t="shared" si="25"/>
        <v>23889.224832470965</v>
      </c>
      <c r="AX51" s="4">
        <f t="shared" si="25"/>
        <v>25083.686074094512</v>
      </c>
      <c r="AY51" s="4">
        <f t="shared" si="25"/>
        <v>26337.870377799241</v>
      </c>
      <c r="AZ51" s="4">
        <f t="shared" si="25"/>
        <v>27654.763896689205</v>
      </c>
      <c r="BA51" s="4">
        <f t="shared" si="25"/>
        <v>29037.50209152366</v>
      </c>
      <c r="BB51" s="4">
        <f t="shared" si="25"/>
        <v>30489.377196099849</v>
      </c>
      <c r="BC51" s="4">
        <f t="shared" si="25"/>
        <v>32013.846055904847</v>
      </c>
      <c r="BD51" s="4">
        <f t="shared" si="25"/>
        <v>33614.538358700083</v>
      </c>
      <c r="BE51" s="4">
        <f t="shared" si="25"/>
        <v>35295.265276635088</v>
      </c>
      <c r="BF51" s="4">
        <f t="shared" si="25"/>
        <v>37060.028540466847</v>
      </c>
    </row>
    <row r="52" spans="2:59" x14ac:dyDescent="0.25">
      <c r="B52" t="s">
        <v>80</v>
      </c>
      <c r="C52" s="4">
        <f>+C51-C53</f>
        <v>1627.7548773310318</v>
      </c>
      <c r="D52" s="4">
        <f t="shared" ref="D52:BF52" si="26">+D51-D53</f>
        <v>2309.4626624380335</v>
      </c>
      <c r="E52" s="4">
        <f t="shared" si="26"/>
        <v>2874.7575500495527</v>
      </c>
      <c r="F52" s="4">
        <f t="shared" si="26"/>
        <v>2994.0728724405412</v>
      </c>
      <c r="G52" s="4">
        <f t="shared" si="26"/>
        <v>2379.0186274895304</v>
      </c>
      <c r="H52" s="4">
        <f t="shared" si="26"/>
        <v>1893.2079120558819</v>
      </c>
      <c r="I52" s="4">
        <f t="shared" si="26"/>
        <v>2125.6708909947529</v>
      </c>
      <c r="J52" s="4">
        <f t="shared" si="26"/>
        <v>2231.9544355444932</v>
      </c>
      <c r="K52" s="4">
        <f t="shared" si="26"/>
        <v>2343.5521573217193</v>
      </c>
      <c r="L52" s="4">
        <f t="shared" si="26"/>
        <v>2460.7297651878021</v>
      </c>
      <c r="M52" s="4">
        <f t="shared" si="26"/>
        <v>2583.7662534471965</v>
      </c>
      <c r="N52" s="4">
        <f t="shared" si="26"/>
        <v>2712.9545661195534</v>
      </c>
      <c r="O52" s="4">
        <f t="shared" si="26"/>
        <v>2848.6022944255365</v>
      </c>
      <c r="P52" s="4">
        <f t="shared" si="26"/>
        <v>2991.0324091468092</v>
      </c>
      <c r="Q52" s="4">
        <f t="shared" si="26"/>
        <v>3140.5840296041515</v>
      </c>
      <c r="R52" s="4">
        <f t="shared" si="26"/>
        <v>3297.613231084355</v>
      </c>
      <c r="S52" s="4">
        <f t="shared" si="26"/>
        <v>3462.4938926385794</v>
      </c>
      <c r="T52" s="4">
        <f t="shared" si="26"/>
        <v>3635.6185872705009</v>
      </c>
      <c r="U52" s="4">
        <f t="shared" si="26"/>
        <v>3817.3995166340283</v>
      </c>
      <c r="V52" s="4">
        <f t="shared" si="26"/>
        <v>4008.2694924657262</v>
      </c>
      <c r="W52" s="4">
        <f t="shared" si="26"/>
        <v>4208.6829670890238</v>
      </c>
      <c r="X52" s="4">
        <f t="shared" si="26"/>
        <v>4419.117115443476</v>
      </c>
      <c r="Y52" s="4">
        <f t="shared" si="26"/>
        <v>4640.0729712156417</v>
      </c>
      <c r="Z52" s="4">
        <f t="shared" si="26"/>
        <v>4872.0766197764187</v>
      </c>
      <c r="AA52" s="4">
        <f t="shared" si="26"/>
        <v>5115.680450765246</v>
      </c>
      <c r="AB52" s="4">
        <f t="shared" si="26"/>
        <v>5371.4644733035148</v>
      </c>
      <c r="AC52" s="4">
        <f t="shared" si="26"/>
        <v>5640.0376969686786</v>
      </c>
      <c r="AD52" s="4">
        <f t="shared" si="26"/>
        <v>5922.0395818171273</v>
      </c>
      <c r="AE52" s="4">
        <f t="shared" si="26"/>
        <v>6218.1415609079722</v>
      </c>
      <c r="AF52" s="4">
        <f t="shared" si="26"/>
        <v>6529.0486389533653</v>
      </c>
      <c r="AG52" s="4">
        <f t="shared" si="26"/>
        <v>6855.5010709010421</v>
      </c>
      <c r="AH52" s="4">
        <f t="shared" si="26"/>
        <v>7198.2761244460944</v>
      </c>
      <c r="AI52" s="4">
        <f t="shared" si="26"/>
        <v>7558.1899306683954</v>
      </c>
      <c r="AJ52" s="4">
        <f t="shared" si="26"/>
        <v>7936.0994272018179</v>
      </c>
      <c r="AK52" s="4">
        <f t="shared" si="26"/>
        <v>8332.904398561901</v>
      </c>
      <c r="AL52" s="4">
        <f t="shared" si="26"/>
        <v>8749.5496184900003</v>
      </c>
      <c r="AM52" s="4">
        <f t="shared" si="26"/>
        <v>9187.0270994145212</v>
      </c>
      <c r="AN52" s="4">
        <f t="shared" si="26"/>
        <v>9646.3784543852125</v>
      </c>
      <c r="AO52" s="4">
        <f t="shared" si="26"/>
        <v>10128.697377104483</v>
      </c>
      <c r="AP52" s="4">
        <f t="shared" si="26"/>
        <v>10635.132245959707</v>
      </c>
      <c r="AQ52" s="4">
        <f t="shared" si="26"/>
        <v>11166.888858257709</v>
      </c>
      <c r="AR52" s="4">
        <f t="shared" si="26"/>
        <v>11725.233301170589</v>
      </c>
      <c r="AS52" s="4">
        <f t="shared" si="26"/>
        <v>12311.494966229104</v>
      </c>
      <c r="AT52" s="4">
        <f t="shared" si="26"/>
        <v>12927.069714540579</v>
      </c>
      <c r="AU52" s="4">
        <f t="shared" si="26"/>
        <v>13573.423200267604</v>
      </c>
      <c r="AV52" s="4">
        <f t="shared" si="26"/>
        <v>14252.094360280964</v>
      </c>
      <c r="AW52" s="4">
        <f t="shared" si="26"/>
        <v>14964.699078295031</v>
      </c>
      <c r="AX52" s="4">
        <f t="shared" si="26"/>
        <v>15712.934032209785</v>
      </c>
      <c r="AY52" s="4">
        <f t="shared" si="26"/>
        <v>16498.580733820221</v>
      </c>
      <c r="AZ52" s="4">
        <f t="shared" si="26"/>
        <v>17323.509770511249</v>
      </c>
      <c r="BA52" s="4">
        <f t="shared" si="26"/>
        <v>18189.685259036887</v>
      </c>
      <c r="BB52" s="4">
        <f t="shared" si="26"/>
        <v>19099.169521988697</v>
      </c>
      <c r="BC52" s="4">
        <f t="shared" si="26"/>
        <v>20054.127998088145</v>
      </c>
      <c r="BD52" s="4">
        <f t="shared" si="26"/>
        <v>21056.834397992498</v>
      </c>
      <c r="BE52" s="4">
        <f t="shared" si="26"/>
        <v>22109.676117892166</v>
      </c>
      <c r="BF52" s="4">
        <f t="shared" si="26"/>
        <v>0</v>
      </c>
    </row>
    <row r="53" spans="2:59" x14ac:dyDescent="0.25">
      <c r="B53" t="s">
        <v>81</v>
      </c>
      <c r="C53" s="4">
        <f>+IF(C51&lt;0,C51,MAX(0,MIN(C51,C55)))</f>
        <v>772.24512266896818</v>
      </c>
      <c r="D53" s="4">
        <f t="shared" ref="D53:BF53" si="27">+IF(D51&lt;0,D51,MAX(0,MIN(D51,D55)))</f>
        <v>362.26306443142857</v>
      </c>
      <c r="E53" s="4">
        <f t="shared" si="27"/>
        <v>0</v>
      </c>
      <c r="F53" s="4">
        <f t="shared" si="27"/>
        <v>0</v>
      </c>
      <c r="G53" s="4">
        <f t="shared" si="27"/>
        <v>686.59237747349653</v>
      </c>
      <c r="H53" s="4">
        <f t="shared" si="27"/>
        <v>1323.153639624943</v>
      </c>
      <c r="I53" s="4">
        <f t="shared" si="27"/>
        <v>1267.6903499583277</v>
      </c>
      <c r="J53" s="4">
        <f t="shared" si="27"/>
        <v>1331.0748674562419</v>
      </c>
      <c r="K53" s="4">
        <f t="shared" si="27"/>
        <v>1397.6286108290515</v>
      </c>
      <c r="L53" s="4">
        <f t="shared" si="27"/>
        <v>1467.5100413705077</v>
      </c>
      <c r="M53" s="4">
        <f t="shared" si="27"/>
        <v>1540.885543439028</v>
      </c>
      <c r="N53" s="4">
        <f t="shared" si="27"/>
        <v>1617.9298206109816</v>
      </c>
      <c r="O53" s="4">
        <f t="shared" si="27"/>
        <v>1698.8263116415255</v>
      </c>
      <c r="P53" s="4">
        <f t="shared" si="27"/>
        <v>1783.7676272236058</v>
      </c>
      <c r="Q53" s="4">
        <f t="shared" si="27"/>
        <v>1872.9560085847843</v>
      </c>
      <c r="R53" s="4">
        <f t="shared" si="27"/>
        <v>1966.6038090140282</v>
      </c>
      <c r="S53" s="4">
        <f t="shared" si="27"/>
        <v>2064.9339994647235</v>
      </c>
      <c r="T53" s="4">
        <f t="shared" si="27"/>
        <v>2168.1806994379658</v>
      </c>
      <c r="U53" s="4">
        <f t="shared" si="27"/>
        <v>2276.589734409863</v>
      </c>
      <c r="V53" s="4">
        <f t="shared" si="27"/>
        <v>2390.4192211303598</v>
      </c>
      <c r="W53" s="4">
        <f t="shared" si="27"/>
        <v>2509.9401821868669</v>
      </c>
      <c r="X53" s="4">
        <f t="shared" si="27"/>
        <v>2635.4371912962088</v>
      </c>
      <c r="Y53" s="4">
        <f t="shared" si="27"/>
        <v>2767.2090508610272</v>
      </c>
      <c r="Z53" s="4">
        <f t="shared" si="27"/>
        <v>2905.5695034040837</v>
      </c>
      <c r="AA53" s="4">
        <f t="shared" si="27"/>
        <v>3050.847978574282</v>
      </c>
      <c r="AB53" s="4">
        <f t="shared" si="27"/>
        <v>3203.3903775029903</v>
      </c>
      <c r="AC53" s="4">
        <f t="shared" si="27"/>
        <v>3363.5598963781522</v>
      </c>
      <c r="AD53" s="4">
        <f t="shared" si="27"/>
        <v>3531.7378911970445</v>
      </c>
      <c r="AE53" s="4">
        <f t="shared" si="27"/>
        <v>3708.3247857569077</v>
      </c>
      <c r="AF53" s="4">
        <f t="shared" si="27"/>
        <v>3893.7410250447574</v>
      </c>
      <c r="AG53" s="4">
        <f t="shared" si="27"/>
        <v>4088.4280762969865</v>
      </c>
      <c r="AH53" s="4">
        <f t="shared" si="27"/>
        <v>4292.8494801118359</v>
      </c>
      <c r="AI53" s="4">
        <f t="shared" si="27"/>
        <v>4507.4919541174313</v>
      </c>
      <c r="AJ53" s="4">
        <f t="shared" si="27"/>
        <v>4732.8665518233029</v>
      </c>
      <c r="AK53" s="4">
        <f t="shared" si="27"/>
        <v>4969.5098794144724</v>
      </c>
      <c r="AL53" s="4">
        <f t="shared" si="27"/>
        <v>5217.9853733851924</v>
      </c>
      <c r="AM53" s="4">
        <f t="shared" si="27"/>
        <v>5478.8846420544287</v>
      </c>
      <c r="AN53" s="4">
        <f t="shared" si="27"/>
        <v>5752.8288741571887</v>
      </c>
      <c r="AO53" s="4">
        <f t="shared" si="27"/>
        <v>6040.4703178650379</v>
      </c>
      <c r="AP53" s="4">
        <f t="shared" si="27"/>
        <v>6342.4938337582862</v>
      </c>
      <c r="AQ53" s="4">
        <f t="shared" si="27"/>
        <v>6659.6185254461889</v>
      </c>
      <c r="AR53" s="4">
        <f t="shared" si="27"/>
        <v>6992.5994517185027</v>
      </c>
      <c r="AS53" s="4">
        <f t="shared" si="27"/>
        <v>7342.2294243044453</v>
      </c>
      <c r="AT53" s="4">
        <f t="shared" si="27"/>
        <v>7709.3408955196501</v>
      </c>
      <c r="AU53" s="4">
        <f t="shared" si="27"/>
        <v>8094.8079402956355</v>
      </c>
      <c r="AV53" s="4">
        <f t="shared" si="27"/>
        <v>8499.5483373104362</v>
      </c>
      <c r="AW53" s="4">
        <f t="shared" si="27"/>
        <v>8924.5257541759347</v>
      </c>
      <c r="AX53" s="4">
        <f t="shared" si="27"/>
        <v>9370.7520418847271</v>
      </c>
      <c r="AY53" s="4">
        <f t="shared" si="27"/>
        <v>9839.2896439790202</v>
      </c>
      <c r="AZ53" s="4">
        <f t="shared" si="27"/>
        <v>10331.254126177955</v>
      </c>
      <c r="BA53" s="4">
        <f t="shared" si="27"/>
        <v>10847.816832486773</v>
      </c>
      <c r="BB53" s="4">
        <f t="shared" si="27"/>
        <v>11390.207674111152</v>
      </c>
      <c r="BC53" s="4">
        <f t="shared" si="27"/>
        <v>11959.718057816703</v>
      </c>
      <c r="BD53" s="4">
        <f t="shared" si="27"/>
        <v>12557.703960707586</v>
      </c>
      <c r="BE53" s="4">
        <f t="shared" si="27"/>
        <v>13185.589158742921</v>
      </c>
      <c r="BF53" s="4">
        <f t="shared" si="27"/>
        <v>37060.028540466847</v>
      </c>
    </row>
    <row r="55" spans="2:59" x14ac:dyDescent="0.25">
      <c r="B55" t="s">
        <v>82</v>
      </c>
      <c r="C55" s="4">
        <f>+D65-C65</f>
        <v>772.24512266896818</v>
      </c>
      <c r="D55" s="4">
        <f t="shared" ref="D55:BF55" si="28">+E65-D65</f>
        <v>362.26306443142857</v>
      </c>
      <c r="E55" s="4">
        <f t="shared" si="28"/>
        <v>-294.25447500303198</v>
      </c>
      <c r="F55" s="4">
        <f t="shared" si="28"/>
        <v>-355.40345301541493</v>
      </c>
      <c r="G55" s="4">
        <f t="shared" si="28"/>
        <v>686.59237747349653</v>
      </c>
      <c r="H55" s="4">
        <f t="shared" si="28"/>
        <v>1323.153639624943</v>
      </c>
      <c r="I55" s="4">
        <f t="shared" si="28"/>
        <v>1267.6903499583277</v>
      </c>
      <c r="J55" s="4">
        <f t="shared" si="28"/>
        <v>1331.0748674562419</v>
      </c>
      <c r="K55" s="4">
        <f t="shared" si="28"/>
        <v>1397.6286108290515</v>
      </c>
      <c r="L55" s="4">
        <f t="shared" si="28"/>
        <v>1467.5100413705077</v>
      </c>
      <c r="M55" s="4">
        <f t="shared" si="28"/>
        <v>1540.885543439028</v>
      </c>
      <c r="N55" s="4">
        <f t="shared" si="28"/>
        <v>1617.9298206109816</v>
      </c>
      <c r="O55" s="4">
        <f t="shared" si="28"/>
        <v>1698.8263116415255</v>
      </c>
      <c r="P55" s="4">
        <f t="shared" si="28"/>
        <v>1783.7676272236058</v>
      </c>
      <c r="Q55" s="4">
        <f t="shared" si="28"/>
        <v>1872.9560085847843</v>
      </c>
      <c r="R55" s="4">
        <f t="shared" si="28"/>
        <v>1966.6038090140282</v>
      </c>
      <c r="S55" s="4">
        <f t="shared" si="28"/>
        <v>2064.9339994647235</v>
      </c>
      <c r="T55" s="4">
        <f t="shared" si="28"/>
        <v>2168.1806994379658</v>
      </c>
      <c r="U55" s="4">
        <f t="shared" si="28"/>
        <v>2276.589734409863</v>
      </c>
      <c r="V55" s="4">
        <f t="shared" si="28"/>
        <v>2390.4192211303598</v>
      </c>
      <c r="W55" s="4">
        <f t="shared" si="28"/>
        <v>2509.9401821868669</v>
      </c>
      <c r="X55" s="4">
        <f t="shared" si="28"/>
        <v>2635.4371912962088</v>
      </c>
      <c r="Y55" s="4">
        <f t="shared" si="28"/>
        <v>2767.2090508610272</v>
      </c>
      <c r="Z55" s="4">
        <f t="shared" si="28"/>
        <v>2905.5695034040837</v>
      </c>
      <c r="AA55" s="4">
        <f t="shared" si="28"/>
        <v>3050.847978574282</v>
      </c>
      <c r="AB55" s="4">
        <f t="shared" si="28"/>
        <v>3203.3903775029903</v>
      </c>
      <c r="AC55" s="4">
        <f t="shared" si="28"/>
        <v>3363.5598963781522</v>
      </c>
      <c r="AD55" s="4">
        <f t="shared" si="28"/>
        <v>3531.7378911970445</v>
      </c>
      <c r="AE55" s="4">
        <f t="shared" si="28"/>
        <v>3708.3247857569077</v>
      </c>
      <c r="AF55" s="4">
        <f t="shared" si="28"/>
        <v>3893.7410250447574</v>
      </c>
      <c r="AG55" s="4">
        <f t="shared" si="28"/>
        <v>4088.4280762969865</v>
      </c>
      <c r="AH55" s="4">
        <f t="shared" si="28"/>
        <v>4292.8494801118359</v>
      </c>
      <c r="AI55" s="4">
        <f t="shared" si="28"/>
        <v>4507.4919541174313</v>
      </c>
      <c r="AJ55" s="4">
        <f t="shared" si="28"/>
        <v>4732.8665518233029</v>
      </c>
      <c r="AK55" s="4">
        <f t="shared" si="28"/>
        <v>4969.5098794144724</v>
      </c>
      <c r="AL55" s="4">
        <f t="shared" si="28"/>
        <v>5217.9853733851924</v>
      </c>
      <c r="AM55" s="4">
        <f t="shared" si="28"/>
        <v>5478.8846420544287</v>
      </c>
      <c r="AN55" s="4">
        <f t="shared" si="28"/>
        <v>5752.8288741571887</v>
      </c>
      <c r="AO55" s="4">
        <f t="shared" si="28"/>
        <v>6040.4703178650379</v>
      </c>
      <c r="AP55" s="4">
        <f t="shared" si="28"/>
        <v>6342.4938337582862</v>
      </c>
      <c r="AQ55" s="4">
        <f t="shared" si="28"/>
        <v>6659.6185254461889</v>
      </c>
      <c r="AR55" s="4">
        <f t="shared" si="28"/>
        <v>6992.5994517185027</v>
      </c>
      <c r="AS55" s="4">
        <f t="shared" si="28"/>
        <v>7342.2294243044453</v>
      </c>
      <c r="AT55" s="4">
        <f t="shared" si="28"/>
        <v>7709.3408955196501</v>
      </c>
      <c r="AU55" s="4">
        <f t="shared" si="28"/>
        <v>8094.8079402956355</v>
      </c>
      <c r="AV55" s="4">
        <f t="shared" si="28"/>
        <v>8499.5483373104362</v>
      </c>
      <c r="AW55" s="4">
        <f t="shared" si="28"/>
        <v>8924.5257541759347</v>
      </c>
      <c r="AX55" s="4">
        <f t="shared" si="28"/>
        <v>9370.7520418847271</v>
      </c>
      <c r="AY55" s="4">
        <f t="shared" si="28"/>
        <v>9839.2896439790202</v>
      </c>
      <c r="AZ55" s="4">
        <f t="shared" si="28"/>
        <v>10331.254126177955</v>
      </c>
      <c r="BA55" s="4">
        <f t="shared" si="28"/>
        <v>10847.816832486773</v>
      </c>
      <c r="BB55" s="4">
        <f t="shared" si="28"/>
        <v>11390.207674111152</v>
      </c>
      <c r="BC55" s="4">
        <f t="shared" si="28"/>
        <v>11959.718057816703</v>
      </c>
      <c r="BD55" s="4">
        <f t="shared" si="28"/>
        <v>12557.703960707586</v>
      </c>
      <c r="BE55" s="4">
        <f t="shared" si="28"/>
        <v>13185.589158742921</v>
      </c>
      <c r="BF55" s="4"/>
    </row>
    <row r="56" spans="2:59" x14ac:dyDescent="0.25">
      <c r="B56" t="s">
        <v>83</v>
      </c>
      <c r="C56" s="4">
        <f>+C55-C53</f>
        <v>0</v>
      </c>
      <c r="D56" s="4">
        <f t="shared" ref="D56:BE56" si="29">+D55-D53</f>
        <v>0</v>
      </c>
      <c r="E56" s="4">
        <f t="shared" si="29"/>
        <v>-294.25447500303198</v>
      </c>
      <c r="F56" s="4">
        <f t="shared" si="29"/>
        <v>-355.40345301541493</v>
      </c>
      <c r="G56" s="4">
        <f t="shared" si="29"/>
        <v>0</v>
      </c>
      <c r="H56" s="4">
        <f t="shared" si="29"/>
        <v>0</v>
      </c>
      <c r="I56" s="4">
        <f t="shared" si="29"/>
        <v>0</v>
      </c>
      <c r="J56" s="4">
        <f t="shared" si="29"/>
        <v>0</v>
      </c>
      <c r="K56" s="4">
        <f t="shared" si="29"/>
        <v>0</v>
      </c>
      <c r="L56" s="4">
        <f t="shared" si="29"/>
        <v>0</v>
      </c>
      <c r="M56" s="4">
        <f t="shared" si="29"/>
        <v>0</v>
      </c>
      <c r="N56" s="4">
        <f t="shared" si="29"/>
        <v>0</v>
      </c>
      <c r="O56" s="4">
        <f t="shared" si="29"/>
        <v>0</v>
      </c>
      <c r="P56" s="4">
        <f t="shared" si="29"/>
        <v>0</v>
      </c>
      <c r="Q56" s="4">
        <f t="shared" si="29"/>
        <v>0</v>
      </c>
      <c r="R56" s="4">
        <f t="shared" si="29"/>
        <v>0</v>
      </c>
      <c r="S56" s="4">
        <f t="shared" si="29"/>
        <v>0</v>
      </c>
      <c r="T56" s="4">
        <f t="shared" si="29"/>
        <v>0</v>
      </c>
      <c r="U56" s="4">
        <f t="shared" si="29"/>
        <v>0</v>
      </c>
      <c r="V56" s="4">
        <f t="shared" si="29"/>
        <v>0</v>
      </c>
      <c r="W56" s="4">
        <f t="shared" si="29"/>
        <v>0</v>
      </c>
      <c r="X56" s="4">
        <f t="shared" si="29"/>
        <v>0</v>
      </c>
      <c r="Y56" s="4">
        <f t="shared" si="29"/>
        <v>0</v>
      </c>
      <c r="Z56" s="4">
        <f t="shared" si="29"/>
        <v>0</v>
      </c>
      <c r="AA56" s="4">
        <f t="shared" si="29"/>
        <v>0</v>
      </c>
      <c r="AB56" s="4">
        <f t="shared" si="29"/>
        <v>0</v>
      </c>
      <c r="AC56" s="4">
        <f t="shared" si="29"/>
        <v>0</v>
      </c>
      <c r="AD56" s="4">
        <f t="shared" si="29"/>
        <v>0</v>
      </c>
      <c r="AE56" s="4">
        <f t="shared" si="29"/>
        <v>0</v>
      </c>
      <c r="AF56" s="4">
        <f t="shared" si="29"/>
        <v>0</v>
      </c>
      <c r="AG56" s="4">
        <f t="shared" si="29"/>
        <v>0</v>
      </c>
      <c r="AH56" s="4">
        <f t="shared" si="29"/>
        <v>0</v>
      </c>
      <c r="AI56" s="4">
        <f t="shared" si="29"/>
        <v>0</v>
      </c>
      <c r="AJ56" s="4">
        <f t="shared" si="29"/>
        <v>0</v>
      </c>
      <c r="AK56" s="4">
        <f t="shared" si="29"/>
        <v>0</v>
      </c>
      <c r="AL56" s="4">
        <f t="shared" si="29"/>
        <v>0</v>
      </c>
      <c r="AM56" s="4">
        <f t="shared" si="29"/>
        <v>0</v>
      </c>
      <c r="AN56" s="4">
        <f t="shared" si="29"/>
        <v>0</v>
      </c>
      <c r="AO56" s="4">
        <f t="shared" si="29"/>
        <v>0</v>
      </c>
      <c r="AP56" s="4">
        <f t="shared" si="29"/>
        <v>0</v>
      </c>
      <c r="AQ56" s="4">
        <f t="shared" si="29"/>
        <v>0</v>
      </c>
      <c r="AR56" s="4">
        <f t="shared" si="29"/>
        <v>0</v>
      </c>
      <c r="AS56" s="4">
        <f t="shared" si="29"/>
        <v>0</v>
      </c>
      <c r="AT56" s="4">
        <f t="shared" si="29"/>
        <v>0</v>
      </c>
      <c r="AU56" s="4">
        <f t="shared" si="29"/>
        <v>0</v>
      </c>
      <c r="AV56" s="4">
        <f t="shared" si="29"/>
        <v>0</v>
      </c>
      <c r="AW56" s="4">
        <f t="shared" si="29"/>
        <v>0</v>
      </c>
      <c r="AX56" s="4">
        <f t="shared" si="29"/>
        <v>0</v>
      </c>
      <c r="AY56" s="4">
        <f t="shared" si="29"/>
        <v>0</v>
      </c>
      <c r="AZ56" s="4">
        <f t="shared" si="29"/>
        <v>0</v>
      </c>
      <c r="BA56" s="4">
        <f t="shared" si="29"/>
        <v>0</v>
      </c>
      <c r="BB56" s="4">
        <f t="shared" si="29"/>
        <v>0</v>
      </c>
      <c r="BC56" s="4">
        <f t="shared" si="29"/>
        <v>0</v>
      </c>
      <c r="BD56" s="4">
        <f t="shared" si="29"/>
        <v>0</v>
      </c>
      <c r="BE56" s="4">
        <f t="shared" si="29"/>
        <v>0</v>
      </c>
      <c r="BF56" s="4"/>
    </row>
    <row r="58" spans="2:59" x14ac:dyDescent="0.25">
      <c r="B58" t="s">
        <v>18</v>
      </c>
      <c r="I58" s="2" t="s">
        <v>7</v>
      </c>
      <c r="J58" s="2" t="s">
        <v>8</v>
      </c>
      <c r="K58" s="2" t="s">
        <v>16</v>
      </c>
      <c r="L58" s="2" t="s">
        <v>17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  <c r="V58" s="2" t="s">
        <v>29</v>
      </c>
      <c r="W58" s="2" t="s">
        <v>30</v>
      </c>
      <c r="X58" s="2" t="s">
        <v>31</v>
      </c>
      <c r="Y58" s="2" t="s">
        <v>32</v>
      </c>
      <c r="Z58" s="2" t="s">
        <v>33</v>
      </c>
      <c r="AA58" s="2" t="s">
        <v>34</v>
      </c>
      <c r="AB58" s="2" t="s">
        <v>35</v>
      </c>
      <c r="AC58" s="2" t="s">
        <v>36</v>
      </c>
      <c r="AD58" s="2" t="s">
        <v>37</v>
      </c>
      <c r="AE58" s="2" t="s">
        <v>38</v>
      </c>
      <c r="AF58" s="2" t="s">
        <v>39</v>
      </c>
      <c r="AG58" s="2" t="s">
        <v>40</v>
      </c>
      <c r="AH58" s="2" t="s">
        <v>41</v>
      </c>
      <c r="AI58" s="2" t="s">
        <v>42</v>
      </c>
      <c r="AJ58" s="2" t="s">
        <v>43</v>
      </c>
      <c r="AK58" s="2" t="s">
        <v>44</v>
      </c>
      <c r="AL58" s="2" t="s">
        <v>45</v>
      </c>
      <c r="AM58" s="2" t="s">
        <v>46</v>
      </c>
      <c r="AN58" s="2" t="s">
        <v>47</v>
      </c>
      <c r="AO58" s="2" t="s">
        <v>48</v>
      </c>
      <c r="AP58" s="2" t="s">
        <v>49</v>
      </c>
      <c r="AQ58" s="2" t="s">
        <v>50</v>
      </c>
      <c r="AR58" s="2" t="s">
        <v>51</v>
      </c>
      <c r="AS58" s="2" t="s">
        <v>52</v>
      </c>
      <c r="AT58" s="2" t="s">
        <v>53</v>
      </c>
      <c r="AU58" s="2" t="s">
        <v>54</v>
      </c>
      <c r="AV58" s="2" t="s">
        <v>55</v>
      </c>
      <c r="AW58" s="2" t="s">
        <v>56</v>
      </c>
      <c r="AX58" s="2" t="s">
        <v>57</v>
      </c>
      <c r="AY58" s="2" t="s">
        <v>58</v>
      </c>
      <c r="AZ58" s="2" t="s">
        <v>59</v>
      </c>
      <c r="BA58" s="2" t="s">
        <v>60</v>
      </c>
      <c r="BB58" s="2" t="s">
        <v>61</v>
      </c>
      <c r="BC58" s="2" t="s">
        <v>62</v>
      </c>
      <c r="BD58" s="2" t="s">
        <v>63</v>
      </c>
      <c r="BE58" s="2" t="s">
        <v>64</v>
      </c>
      <c r="BF58" s="2" t="s">
        <v>65</v>
      </c>
    </row>
    <row r="59" spans="2:59" x14ac:dyDescent="0.25">
      <c r="B59" s="4" t="str">
        <f>+B37</f>
        <v>FCFF</v>
      </c>
      <c r="C59" s="4">
        <f t="shared" ref="C59:BF59" si="30">+C37</f>
        <v>479.99999999999955</v>
      </c>
      <c r="D59" s="4">
        <f t="shared" si="30"/>
        <v>1046.1176470588236</v>
      </c>
      <c r="E59" s="4">
        <f t="shared" si="30"/>
        <v>1557.4472727272725</v>
      </c>
      <c r="F59" s="4">
        <f t="shared" si="30"/>
        <v>2040.7139999999999</v>
      </c>
      <c r="G59" s="4">
        <f t="shared" si="30"/>
        <v>2191.9989311999998</v>
      </c>
      <c r="H59" s="4">
        <f t="shared" si="30"/>
        <v>1977.8464040399997</v>
      </c>
      <c r="I59" s="4">
        <f t="shared" si="30"/>
        <v>2247.1377990515994</v>
      </c>
      <c r="J59" s="4">
        <f t="shared" si="30"/>
        <v>2359.4946890041792</v>
      </c>
      <c r="K59" s="4">
        <f t="shared" si="30"/>
        <v>2477.4694234543886</v>
      </c>
      <c r="L59" s="4">
        <f t="shared" si="30"/>
        <v>2601.3428946271079</v>
      </c>
      <c r="M59" s="4">
        <f t="shared" si="30"/>
        <v>2731.4100393584631</v>
      </c>
      <c r="N59" s="4">
        <f t="shared" si="30"/>
        <v>2867.9805413263857</v>
      </c>
      <c r="O59" s="4">
        <f t="shared" si="30"/>
        <v>3011.3795683927051</v>
      </c>
      <c r="P59" s="4">
        <f t="shared" si="30"/>
        <v>3161.9485468123403</v>
      </c>
      <c r="Q59" s="4">
        <f t="shared" si="30"/>
        <v>3320.0459741529576</v>
      </c>
      <c r="R59" s="4">
        <f t="shared" si="30"/>
        <v>3486.0482728606057</v>
      </c>
      <c r="S59" s="4">
        <f t="shared" si="30"/>
        <v>3660.3506865036361</v>
      </c>
      <c r="T59" s="4">
        <f t="shared" si="30"/>
        <v>3843.3682208288178</v>
      </c>
      <c r="U59" s="4">
        <f t="shared" si="30"/>
        <v>4035.536631870259</v>
      </c>
      <c r="V59" s="4">
        <f t="shared" si="30"/>
        <v>4237.3134634637718</v>
      </c>
      <c r="W59" s="4">
        <f t="shared" si="30"/>
        <v>4449.1791366369598</v>
      </c>
      <c r="X59" s="4">
        <f t="shared" si="30"/>
        <v>4671.6380934688086</v>
      </c>
      <c r="Y59" s="4">
        <f t="shared" si="30"/>
        <v>4905.2199981422491</v>
      </c>
      <c r="Z59" s="4">
        <f t="shared" si="30"/>
        <v>5150.480998049361</v>
      </c>
      <c r="AA59" s="4">
        <f t="shared" si="30"/>
        <v>5408.0050479518304</v>
      </c>
      <c r="AB59" s="4">
        <f t="shared" si="30"/>
        <v>5678.4053003494219</v>
      </c>
      <c r="AC59" s="4">
        <f t="shared" si="30"/>
        <v>5962.325565366893</v>
      </c>
      <c r="AD59" s="4">
        <f t="shared" si="30"/>
        <v>6260.441843635238</v>
      </c>
      <c r="AE59" s="4">
        <f t="shared" si="30"/>
        <v>6573.4639358169989</v>
      </c>
      <c r="AF59" s="4">
        <f t="shared" si="30"/>
        <v>6902.1371326078488</v>
      </c>
      <c r="AG59" s="4">
        <f t="shared" si="30"/>
        <v>7247.2439892382408</v>
      </c>
      <c r="AH59" s="4">
        <f t="shared" si="30"/>
        <v>7609.6061887001524</v>
      </c>
      <c r="AI59" s="4">
        <f t="shared" si="30"/>
        <v>7990.0864981351606</v>
      </c>
      <c r="AJ59" s="4">
        <f t="shared" si="30"/>
        <v>8389.5908230419191</v>
      </c>
      <c r="AK59" s="4">
        <f t="shared" si="30"/>
        <v>8809.0703641940127</v>
      </c>
      <c r="AL59" s="4">
        <f t="shared" si="30"/>
        <v>9249.5238824037151</v>
      </c>
      <c r="AM59" s="4">
        <f t="shared" si="30"/>
        <v>9712.0000765239001</v>
      </c>
      <c r="AN59" s="4">
        <f t="shared" si="30"/>
        <v>10197.600080350096</v>
      </c>
      <c r="AO59" s="4">
        <f t="shared" si="30"/>
        <v>10707.4800843676</v>
      </c>
      <c r="AP59" s="4">
        <f t="shared" si="30"/>
        <v>11242.85408858598</v>
      </c>
      <c r="AQ59" s="4">
        <f t="shared" si="30"/>
        <v>11804.99679301528</v>
      </c>
      <c r="AR59" s="4">
        <f t="shared" si="30"/>
        <v>12395.246632666045</v>
      </c>
      <c r="AS59" s="4">
        <f t="shared" si="30"/>
        <v>13015.008964299348</v>
      </c>
      <c r="AT59" s="4">
        <f t="shared" si="30"/>
        <v>13665.759412514315</v>
      </c>
      <c r="AU59" s="4">
        <f t="shared" si="30"/>
        <v>14349.04738314003</v>
      </c>
      <c r="AV59" s="4">
        <f t="shared" si="30"/>
        <v>15066.499752297032</v>
      </c>
      <c r="AW59" s="4">
        <f t="shared" si="30"/>
        <v>15819.824739911885</v>
      </c>
      <c r="AX59" s="4">
        <f t="shared" si="30"/>
        <v>16610.815976907477</v>
      </c>
      <c r="AY59" s="4">
        <f t="shared" si="30"/>
        <v>17441.356775752851</v>
      </c>
      <c r="AZ59" s="4">
        <f t="shared" si="30"/>
        <v>18313.424614540494</v>
      </c>
      <c r="BA59" s="4">
        <f t="shared" si="30"/>
        <v>19229.095845267519</v>
      </c>
      <c r="BB59" s="4">
        <f t="shared" si="30"/>
        <v>20190.550637530894</v>
      </c>
      <c r="BC59" s="4">
        <f t="shared" si="30"/>
        <v>21200.078169407439</v>
      </c>
      <c r="BD59" s="4">
        <f t="shared" si="30"/>
        <v>22260.082077877814</v>
      </c>
      <c r="BE59" s="4">
        <f t="shared" si="30"/>
        <v>23373.086181771705</v>
      </c>
      <c r="BF59" s="4">
        <f t="shared" si="30"/>
        <v>24541.740490860291</v>
      </c>
      <c r="BG59" s="4"/>
    </row>
    <row r="60" spans="2:59" x14ac:dyDescent="0.25">
      <c r="B60" s="3" t="str">
        <f>+B29</f>
        <v>WACC=rA-D/V*rD*t</v>
      </c>
      <c r="C60" s="3">
        <f t="shared" ref="C60:BF60" si="31">+C29</f>
        <v>0.12</v>
      </c>
      <c r="D60" s="3">
        <f t="shared" si="31"/>
        <v>0.11936999999999999</v>
      </c>
      <c r="E60" s="3">
        <f t="shared" si="31"/>
        <v>0.11864999999999999</v>
      </c>
      <c r="F60" s="3">
        <f t="shared" si="31"/>
        <v>0.11767999999999999</v>
      </c>
      <c r="G60" s="3">
        <f t="shared" si="31"/>
        <v>0.11677</v>
      </c>
      <c r="H60" s="3">
        <f t="shared" si="31"/>
        <v>0.1166</v>
      </c>
      <c r="I60" s="3">
        <f t="shared" si="31"/>
        <v>0.1166</v>
      </c>
      <c r="J60" s="3">
        <f t="shared" si="31"/>
        <v>0.1166</v>
      </c>
      <c r="K60" s="3">
        <f t="shared" si="31"/>
        <v>0.1166</v>
      </c>
      <c r="L60" s="3">
        <f t="shared" si="31"/>
        <v>0.1166</v>
      </c>
      <c r="M60" s="3">
        <f t="shared" si="31"/>
        <v>0.1166</v>
      </c>
      <c r="N60" s="3">
        <f t="shared" si="31"/>
        <v>0.1166</v>
      </c>
      <c r="O60" s="3">
        <f t="shared" si="31"/>
        <v>0.1166</v>
      </c>
      <c r="P60" s="3">
        <f t="shared" si="31"/>
        <v>0.1166</v>
      </c>
      <c r="Q60" s="3">
        <f t="shared" si="31"/>
        <v>0.1166</v>
      </c>
      <c r="R60" s="3">
        <f t="shared" si="31"/>
        <v>0.1166</v>
      </c>
      <c r="S60" s="3">
        <f t="shared" si="31"/>
        <v>0.1166</v>
      </c>
      <c r="T60" s="3">
        <f t="shared" si="31"/>
        <v>0.1166</v>
      </c>
      <c r="U60" s="3">
        <f t="shared" si="31"/>
        <v>0.1166</v>
      </c>
      <c r="V60" s="3">
        <f t="shared" si="31"/>
        <v>0.1166</v>
      </c>
      <c r="W60" s="3">
        <f t="shared" si="31"/>
        <v>0.1166</v>
      </c>
      <c r="X60" s="3">
        <f t="shared" si="31"/>
        <v>0.1166</v>
      </c>
      <c r="Y60" s="3">
        <f t="shared" si="31"/>
        <v>0.1166</v>
      </c>
      <c r="Z60" s="3">
        <f t="shared" si="31"/>
        <v>0.1166</v>
      </c>
      <c r="AA60" s="3">
        <f t="shared" si="31"/>
        <v>0.1166</v>
      </c>
      <c r="AB60" s="3">
        <f t="shared" si="31"/>
        <v>0.1166</v>
      </c>
      <c r="AC60" s="3">
        <f t="shared" si="31"/>
        <v>0.1166</v>
      </c>
      <c r="AD60" s="3">
        <f t="shared" si="31"/>
        <v>0.1166</v>
      </c>
      <c r="AE60" s="3">
        <f t="shared" si="31"/>
        <v>0.1166</v>
      </c>
      <c r="AF60" s="3">
        <f t="shared" si="31"/>
        <v>0.1166</v>
      </c>
      <c r="AG60" s="3">
        <f t="shared" si="31"/>
        <v>0.1166</v>
      </c>
      <c r="AH60" s="3">
        <f t="shared" si="31"/>
        <v>0.1166</v>
      </c>
      <c r="AI60" s="3">
        <f t="shared" si="31"/>
        <v>0.1166</v>
      </c>
      <c r="AJ60" s="3">
        <f t="shared" si="31"/>
        <v>0.1166</v>
      </c>
      <c r="AK60" s="3">
        <f t="shared" si="31"/>
        <v>0.1166</v>
      </c>
      <c r="AL60" s="3">
        <f t="shared" si="31"/>
        <v>0.1166</v>
      </c>
      <c r="AM60" s="3">
        <f t="shared" si="31"/>
        <v>0.1166</v>
      </c>
      <c r="AN60" s="3">
        <f t="shared" si="31"/>
        <v>0.1166</v>
      </c>
      <c r="AO60" s="3">
        <f t="shared" si="31"/>
        <v>0.1166</v>
      </c>
      <c r="AP60" s="3">
        <f t="shared" si="31"/>
        <v>0.1166</v>
      </c>
      <c r="AQ60" s="3">
        <f t="shared" si="31"/>
        <v>0.1166</v>
      </c>
      <c r="AR60" s="3">
        <f t="shared" si="31"/>
        <v>0.1166</v>
      </c>
      <c r="AS60" s="3">
        <f t="shared" si="31"/>
        <v>0.1166</v>
      </c>
      <c r="AT60" s="3">
        <f t="shared" si="31"/>
        <v>0.1166</v>
      </c>
      <c r="AU60" s="3">
        <f t="shared" si="31"/>
        <v>0.1166</v>
      </c>
      <c r="AV60" s="3">
        <f t="shared" si="31"/>
        <v>0.1166</v>
      </c>
      <c r="AW60" s="3">
        <f t="shared" si="31"/>
        <v>0.1166</v>
      </c>
      <c r="AX60" s="3">
        <f t="shared" si="31"/>
        <v>0.1166</v>
      </c>
      <c r="AY60" s="3">
        <f t="shared" si="31"/>
        <v>0.1166</v>
      </c>
      <c r="AZ60" s="3">
        <f t="shared" si="31"/>
        <v>0.1166</v>
      </c>
      <c r="BA60" s="3">
        <f t="shared" si="31"/>
        <v>0.1166</v>
      </c>
      <c r="BB60" s="3">
        <f t="shared" si="31"/>
        <v>0.1166</v>
      </c>
      <c r="BC60" s="3">
        <f t="shared" si="31"/>
        <v>0.1166</v>
      </c>
      <c r="BD60" s="3">
        <f t="shared" si="31"/>
        <v>0.1166</v>
      </c>
      <c r="BE60" s="3">
        <f t="shared" si="31"/>
        <v>0.1166</v>
      </c>
      <c r="BF60" s="3">
        <f t="shared" si="31"/>
        <v>0.1166</v>
      </c>
      <c r="BG60" s="3"/>
    </row>
    <row r="61" spans="2:59" x14ac:dyDescent="0.25">
      <c r="B61" s="12" t="s">
        <v>19</v>
      </c>
      <c r="C61" s="13">
        <f t="shared" ref="C61:G61" si="32">+(C59+D61)/(1+C60)</f>
        <v>23201.485661329985</v>
      </c>
      <c r="D61" s="13">
        <f t="shared" si="32"/>
        <v>25505.663940689585</v>
      </c>
      <c r="E61" s="13">
        <f t="shared" si="32"/>
        <v>27504.157398230873</v>
      </c>
      <c r="F61" s="13">
        <f t="shared" si="32"/>
        <v>29210.07840080369</v>
      </c>
      <c r="G61" s="13">
        <f t="shared" si="32"/>
        <v>30606.80642701027</v>
      </c>
      <c r="H61" s="13">
        <f>+(H59+I61)/(1+H60)</f>
        <v>31988.764282292261</v>
      </c>
      <c r="I61" s="13">
        <f t="shared" ref="I61:T61" si="33">+(I59+J61)/(1+I60)</f>
        <v>33740.807793567539</v>
      </c>
      <c r="J61" s="13">
        <f t="shared" si="33"/>
        <v>35427.848183245915</v>
      </c>
      <c r="K61" s="13">
        <f t="shared" si="33"/>
        <v>37199.240592408212</v>
      </c>
      <c r="L61" s="13">
        <f t="shared" si="33"/>
        <v>39059.202622028628</v>
      </c>
      <c r="M61" s="13">
        <f t="shared" si="33"/>
        <v>41012.162753130062</v>
      </c>
      <c r="N61" s="13">
        <f t="shared" si="33"/>
        <v>43062.770890786567</v>
      </c>
      <c r="O61" s="13">
        <f t="shared" si="33"/>
        <v>45215.909435325892</v>
      </c>
      <c r="P61" s="13">
        <f t="shared" si="33"/>
        <v>47476.704907092193</v>
      </c>
      <c r="Q61" s="13">
        <f t="shared" si="33"/>
        <v>49850.540152446803</v>
      </c>
      <c r="R61" s="13">
        <f t="shared" si="33"/>
        <v>52343.067160069149</v>
      </c>
      <c r="S61" s="13">
        <f t="shared" si="33"/>
        <v>54960.220518072609</v>
      </c>
      <c r="T61" s="13">
        <f t="shared" si="33"/>
        <v>57708.231543976246</v>
      </c>
      <c r="U61" s="13">
        <f>+(U59+V61)/(1+U60)</f>
        <v>60593.643121175061</v>
      </c>
      <c r="V61" s="15">
        <f>+V59/(V60-W23)</f>
        <v>63623.325277233816</v>
      </c>
      <c r="W61" s="15">
        <f t="shared" ref="W61:BF61" si="34">+W59/(W60-X23)</f>
        <v>66804.4915410955</v>
      </c>
      <c r="X61" s="15">
        <f t="shared" si="34"/>
        <v>70144.716118150289</v>
      </c>
      <c r="Y61" s="15">
        <f t="shared" si="34"/>
        <v>73651.951924057808</v>
      </c>
      <c r="Z61" s="15">
        <f t="shared" si="34"/>
        <v>77334.549520260683</v>
      </c>
      <c r="AA61" s="15">
        <f t="shared" si="34"/>
        <v>81201.276996273737</v>
      </c>
      <c r="AB61" s="15">
        <f t="shared" si="34"/>
        <v>85261.34084608742</v>
      </c>
      <c r="AC61" s="15">
        <f t="shared" si="34"/>
        <v>89524.407888391797</v>
      </c>
      <c r="AD61" s="15">
        <f t="shared" si="34"/>
        <v>94000.628282811391</v>
      </c>
      <c r="AE61" s="15">
        <f t="shared" si="34"/>
        <v>98700.659696951945</v>
      </c>
      <c r="AF61" s="15">
        <f t="shared" si="34"/>
        <v>103635.69268179954</v>
      </c>
      <c r="AG61" s="15">
        <f t="shared" si="34"/>
        <v>108817.47731588951</v>
      </c>
      <c r="AH61" s="15">
        <f t="shared" si="34"/>
        <v>114258.35118168399</v>
      </c>
      <c r="AI61" s="15">
        <f t="shared" si="34"/>
        <v>119971.2687407682</v>
      </c>
      <c r="AJ61" s="15">
        <f t="shared" si="34"/>
        <v>125969.8321778066</v>
      </c>
      <c r="AK61" s="15">
        <f t="shared" si="34"/>
        <v>132268.32378669691</v>
      </c>
      <c r="AL61" s="15">
        <f t="shared" si="34"/>
        <v>138881.73997603176</v>
      </c>
      <c r="AM61" s="15">
        <f t="shared" si="34"/>
        <v>145825.82697483336</v>
      </c>
      <c r="AN61" s="15">
        <f t="shared" si="34"/>
        <v>153117.11832357504</v>
      </c>
      <c r="AO61" s="15">
        <f t="shared" si="34"/>
        <v>160772.97423975376</v>
      </c>
      <c r="AP61" s="15">
        <f t="shared" si="34"/>
        <v>168811.62295174148</v>
      </c>
      <c r="AQ61" s="15">
        <f t="shared" si="34"/>
        <v>177252.20409932855</v>
      </c>
      <c r="AR61" s="15">
        <f t="shared" si="34"/>
        <v>186114.814304295</v>
      </c>
      <c r="AS61" s="15">
        <f t="shared" si="34"/>
        <v>195420.55501950975</v>
      </c>
      <c r="AT61" s="15">
        <f t="shared" si="34"/>
        <v>205191.58277048523</v>
      </c>
      <c r="AU61" s="15">
        <f t="shared" si="34"/>
        <v>215451.1619090095</v>
      </c>
      <c r="AV61" s="15">
        <f t="shared" si="34"/>
        <v>226223.72000445996</v>
      </c>
      <c r="AW61" s="15">
        <f t="shared" si="34"/>
        <v>237534.90600468297</v>
      </c>
      <c r="AX61" s="15">
        <f t="shared" si="34"/>
        <v>249411.65130491712</v>
      </c>
      <c r="AY61" s="15">
        <f t="shared" si="34"/>
        <v>261882.23387016295</v>
      </c>
      <c r="AZ61" s="15">
        <f t="shared" si="34"/>
        <v>274976.34556367109</v>
      </c>
      <c r="BA61" s="15">
        <f t="shared" si="34"/>
        <v>288725.16284185468</v>
      </c>
      <c r="BB61" s="15">
        <f t="shared" si="34"/>
        <v>303161.42098394741</v>
      </c>
      <c r="BC61" s="15">
        <f t="shared" si="34"/>
        <v>318319.49203314475</v>
      </c>
      <c r="BD61" s="15">
        <f t="shared" si="34"/>
        <v>334235.46663480205</v>
      </c>
      <c r="BE61" s="15">
        <f t="shared" si="34"/>
        <v>350947.23996654217</v>
      </c>
      <c r="BF61" s="15">
        <f t="shared" si="34"/>
        <v>368494.6019648693</v>
      </c>
      <c r="BG61" s="15"/>
    </row>
    <row r="62" spans="2:59" x14ac:dyDescent="0.25">
      <c r="C62" s="19">
        <f>+C61/'Base Case'!$C$61</f>
        <v>1.0168516166940689</v>
      </c>
    </row>
    <row r="63" spans="2:59" x14ac:dyDescent="0.25">
      <c r="B63" s="4" t="str">
        <f>+B20</f>
        <v>IC boy</v>
      </c>
      <c r="C63" s="4">
        <f t="shared" ref="C63:BF63" si="35">+C20</f>
        <v>15000</v>
      </c>
      <c r="D63" s="4">
        <f t="shared" si="35"/>
        <v>16920</v>
      </c>
      <c r="E63" s="4">
        <f t="shared" si="35"/>
        <v>18609.882352941175</v>
      </c>
      <c r="F63" s="4">
        <f t="shared" si="35"/>
        <v>20075.7150802139</v>
      </c>
      <c r="G63" s="4">
        <f t="shared" si="35"/>
        <v>21300.143480213901</v>
      </c>
      <c r="H63" s="4">
        <f t="shared" si="35"/>
        <v>22569.1954930139</v>
      </c>
      <c r="I63" s="4">
        <f t="shared" si="35"/>
        <v>24242.757834893899</v>
      </c>
      <c r="J63" s="4">
        <f t="shared" si="35"/>
        <v>25847.8562627879</v>
      </c>
      <c r="K63" s="4">
        <f t="shared" si="35"/>
        <v>27533.2096120766</v>
      </c>
      <c r="L63" s="4">
        <f t="shared" si="35"/>
        <v>29302.830628829735</v>
      </c>
      <c r="M63" s="4">
        <f t="shared" si="35"/>
        <v>31160.932696420528</v>
      </c>
      <c r="N63" s="4">
        <f t="shared" si="35"/>
        <v>33111.939867390858</v>
      </c>
      <c r="O63" s="4">
        <f t="shared" si="35"/>
        <v>35160.497396909705</v>
      </c>
      <c r="P63" s="4">
        <f t="shared" si="35"/>
        <v>37311.482802904495</v>
      </c>
      <c r="Q63" s="4">
        <f t="shared" si="35"/>
        <v>39570.017479199021</v>
      </c>
      <c r="R63" s="4">
        <f t="shared" si="35"/>
        <v>41941.478889308273</v>
      </c>
      <c r="S63" s="4">
        <f t="shared" si="35"/>
        <v>44431.513369922992</v>
      </c>
      <c r="T63" s="4">
        <f t="shared" si="35"/>
        <v>47046.049574568446</v>
      </c>
      <c r="U63" s="4">
        <f t="shared" si="35"/>
        <v>49791.31258944617</v>
      </c>
      <c r="V63" s="4">
        <f t="shared" si="35"/>
        <v>52673.838755067787</v>
      </c>
      <c r="W63" s="4">
        <f t="shared" si="35"/>
        <v>55700.491228970481</v>
      </c>
      <c r="X63" s="4">
        <f t="shared" si="35"/>
        <v>58878.476326568307</v>
      </c>
      <c r="Y63" s="4">
        <f t="shared" si="35"/>
        <v>62215.360679046025</v>
      </c>
      <c r="Z63" s="4">
        <f t="shared" si="35"/>
        <v>65719.089249147626</v>
      </c>
      <c r="AA63" s="4">
        <f t="shared" si="35"/>
        <v>69398.004247754317</v>
      </c>
      <c r="AB63" s="4">
        <f t="shared" si="35"/>
        <v>73260.864996291333</v>
      </c>
      <c r="AC63" s="4">
        <f t="shared" si="35"/>
        <v>77316.868782255202</v>
      </c>
      <c r="AD63" s="4">
        <f t="shared" si="35"/>
        <v>81575.67275751727</v>
      </c>
      <c r="AE63" s="4">
        <f t="shared" si="35"/>
        <v>86047.416931542437</v>
      </c>
      <c r="AF63" s="4">
        <f t="shared" si="35"/>
        <v>90742.748314268858</v>
      </c>
      <c r="AG63" s="4">
        <f t="shared" si="35"/>
        <v>95672.846266131601</v>
      </c>
      <c r="AH63" s="4">
        <f t="shared" si="35"/>
        <v>100849.44911558749</v>
      </c>
      <c r="AI63" s="4">
        <f t="shared" si="35"/>
        <v>106284.88210751617</v>
      </c>
      <c r="AJ63" s="4">
        <f t="shared" si="35"/>
        <v>111992.08674904128</v>
      </c>
      <c r="AK63" s="4">
        <f t="shared" si="35"/>
        <v>117984.65162264265</v>
      </c>
      <c r="AL63" s="4">
        <f t="shared" si="35"/>
        <v>124276.84473992408</v>
      </c>
      <c r="AM63" s="4">
        <f t="shared" si="35"/>
        <v>130883.64751306959</v>
      </c>
      <c r="AN63" s="4">
        <f t="shared" si="35"/>
        <v>137820.79042487236</v>
      </c>
      <c r="AO63" s="4">
        <f t="shared" si="35"/>
        <v>145104.79048226529</v>
      </c>
      <c r="AP63" s="4">
        <f t="shared" si="35"/>
        <v>152752.99054252787</v>
      </c>
      <c r="AQ63" s="4">
        <f t="shared" si="35"/>
        <v>160783.60060580357</v>
      </c>
      <c r="AR63" s="4">
        <f t="shared" si="35"/>
        <v>169215.74117224306</v>
      </c>
      <c r="AS63" s="4">
        <f t="shared" si="35"/>
        <v>178069.48876700451</v>
      </c>
      <c r="AT63" s="4">
        <f t="shared" si="35"/>
        <v>187365.92374150406</v>
      </c>
      <c r="AU63" s="4">
        <f t="shared" si="35"/>
        <v>197127.18046472856</v>
      </c>
      <c r="AV63" s="4">
        <f t="shared" si="35"/>
        <v>207376.5000241143</v>
      </c>
      <c r="AW63" s="4">
        <f t="shared" si="35"/>
        <v>218138.28556146933</v>
      </c>
      <c r="AX63" s="4">
        <f t="shared" si="35"/>
        <v>229438.1603756921</v>
      </c>
      <c r="AY63" s="4">
        <f t="shared" si="35"/>
        <v>241303.02893062599</v>
      </c>
      <c r="AZ63" s="4">
        <f t="shared" si="35"/>
        <v>253761.14091330662</v>
      </c>
      <c r="BA63" s="4">
        <f t="shared" si="35"/>
        <v>266842.15849512129</v>
      </c>
      <c r="BB63" s="4">
        <f t="shared" si="35"/>
        <v>280577.22695602663</v>
      </c>
      <c r="BC63" s="4">
        <f t="shared" si="35"/>
        <v>294999.04883997724</v>
      </c>
      <c r="BD63" s="4">
        <f t="shared" si="35"/>
        <v>310141.96181812539</v>
      </c>
      <c r="BE63" s="4">
        <f t="shared" si="35"/>
        <v>326042.020445181</v>
      </c>
      <c r="BF63" s="4">
        <f t="shared" si="35"/>
        <v>342737.08200358937</v>
      </c>
      <c r="BG63" s="4"/>
    </row>
    <row r="64" spans="2:59" x14ac:dyDescent="0.25">
      <c r="B64" t="s">
        <v>66</v>
      </c>
      <c r="C64" s="4">
        <f>+C61*C24</f>
        <v>0</v>
      </c>
      <c r="D64" s="4">
        <f t="shared" ref="D64:BF64" si="36">+D61*D24</f>
        <v>1147.7548773310314</v>
      </c>
      <c r="E64" s="4">
        <f t="shared" si="36"/>
        <v>2475.3741658407785</v>
      </c>
      <c r="F64" s="4">
        <f t="shared" si="36"/>
        <v>4235.4613681165347</v>
      </c>
      <c r="G64" s="4">
        <f t="shared" si="36"/>
        <v>5815.2932211319512</v>
      </c>
      <c r="H64" s="4">
        <f t="shared" si="36"/>
        <v>6397.7528564584527</v>
      </c>
      <c r="I64" s="4">
        <f t="shared" si="36"/>
        <v>6748.1615587135084</v>
      </c>
      <c r="J64" s="4">
        <f t="shared" si="36"/>
        <v>7085.5696366491829</v>
      </c>
      <c r="K64" s="4">
        <f t="shared" si="36"/>
        <v>7439.8481184816428</v>
      </c>
      <c r="L64" s="4">
        <f t="shared" si="36"/>
        <v>7811.8405244057258</v>
      </c>
      <c r="M64" s="4">
        <f t="shared" si="36"/>
        <v>8202.432550626012</v>
      </c>
      <c r="N64" s="4">
        <f t="shared" si="36"/>
        <v>8612.5541781573138</v>
      </c>
      <c r="O64" s="4">
        <f t="shared" si="36"/>
        <v>9043.1818870651787</v>
      </c>
      <c r="P64" s="4">
        <f t="shared" si="36"/>
        <v>9495.3409814184397</v>
      </c>
      <c r="Q64" s="4">
        <f t="shared" si="36"/>
        <v>9970.1080304893621</v>
      </c>
      <c r="R64" s="4">
        <f t="shared" si="36"/>
        <v>10468.61343201383</v>
      </c>
      <c r="S64" s="4">
        <f t="shared" si="36"/>
        <v>10992.044103614522</v>
      </c>
      <c r="T64" s="4">
        <f t="shared" si="36"/>
        <v>11541.646308795251</v>
      </c>
      <c r="U64" s="4">
        <f t="shared" si="36"/>
        <v>12118.728624235013</v>
      </c>
      <c r="V64" s="4">
        <f t="shared" si="36"/>
        <v>12724.665055446763</v>
      </c>
      <c r="W64" s="4">
        <f t="shared" si="36"/>
        <v>13360.898308219101</v>
      </c>
      <c r="X64" s="4">
        <f t="shared" si="36"/>
        <v>14028.943223630058</v>
      </c>
      <c r="Y64" s="4">
        <f t="shared" si="36"/>
        <v>14730.390384811562</v>
      </c>
      <c r="Z64" s="4">
        <f t="shared" si="36"/>
        <v>15466.909904052138</v>
      </c>
      <c r="AA64" s="4">
        <f t="shared" si="36"/>
        <v>16240.255399254747</v>
      </c>
      <c r="AB64" s="4">
        <f t="shared" si="36"/>
        <v>17052.268169217485</v>
      </c>
      <c r="AC64" s="4">
        <f t="shared" si="36"/>
        <v>17904.881577678359</v>
      </c>
      <c r="AD64" s="4">
        <f t="shared" si="36"/>
        <v>18800.125656562279</v>
      </c>
      <c r="AE64" s="4">
        <f t="shared" si="36"/>
        <v>19740.13193939039</v>
      </c>
      <c r="AF64" s="4">
        <f t="shared" si="36"/>
        <v>20727.138536359911</v>
      </c>
      <c r="AG64" s="4">
        <f t="shared" si="36"/>
        <v>21763.495463177904</v>
      </c>
      <c r="AH64" s="4">
        <f t="shared" si="36"/>
        <v>22851.670236336799</v>
      </c>
      <c r="AI64" s="4">
        <f t="shared" si="36"/>
        <v>23994.253748153642</v>
      </c>
      <c r="AJ64" s="4">
        <f t="shared" si="36"/>
        <v>25193.96643556132</v>
      </c>
      <c r="AK64" s="4">
        <f t="shared" si="36"/>
        <v>26453.664757339386</v>
      </c>
      <c r="AL64" s="4">
        <f t="shared" si="36"/>
        <v>27776.347995206354</v>
      </c>
      <c r="AM64" s="4">
        <f t="shared" si="36"/>
        <v>29165.165394966672</v>
      </c>
      <c r="AN64" s="4">
        <f t="shared" si="36"/>
        <v>30623.42366471501</v>
      </c>
      <c r="AO64" s="4">
        <f t="shared" si="36"/>
        <v>32154.594847950753</v>
      </c>
      <c r="AP64" s="4">
        <f t="shared" si="36"/>
        <v>33762.324590348297</v>
      </c>
      <c r="AQ64" s="4">
        <f t="shared" si="36"/>
        <v>35450.440819865711</v>
      </c>
      <c r="AR64" s="4">
        <f t="shared" si="36"/>
        <v>37222.962860858999</v>
      </c>
      <c r="AS64" s="4">
        <f t="shared" si="36"/>
        <v>39084.111003901948</v>
      </c>
      <c r="AT64" s="4">
        <f t="shared" si="36"/>
        <v>41038.316554097051</v>
      </c>
      <c r="AU64" s="4">
        <f t="shared" si="36"/>
        <v>43090.232381801907</v>
      </c>
      <c r="AV64" s="4">
        <f t="shared" si="36"/>
        <v>45244.744000891995</v>
      </c>
      <c r="AW64" s="4">
        <f t="shared" si="36"/>
        <v>47506.9812009366</v>
      </c>
      <c r="AX64" s="4">
        <f t="shared" si="36"/>
        <v>49882.330260983428</v>
      </c>
      <c r="AY64" s="4">
        <f t="shared" si="36"/>
        <v>52376.446774032593</v>
      </c>
      <c r="AZ64" s="4">
        <f t="shared" si="36"/>
        <v>54995.269112734219</v>
      </c>
      <c r="BA64" s="4">
        <f t="shared" si="36"/>
        <v>57745.032568370938</v>
      </c>
      <c r="BB64" s="4">
        <f t="shared" si="36"/>
        <v>60632.284196789486</v>
      </c>
      <c r="BC64" s="4">
        <f t="shared" si="36"/>
        <v>63663.898406628956</v>
      </c>
      <c r="BD64" s="4">
        <f t="shared" si="36"/>
        <v>66847.093326960414</v>
      </c>
      <c r="BE64" s="4">
        <f t="shared" si="36"/>
        <v>70189.447993308437</v>
      </c>
      <c r="BF64" s="4">
        <f t="shared" si="36"/>
        <v>73698.920392973858</v>
      </c>
      <c r="BG64" s="4"/>
    </row>
    <row r="65" spans="2:59" x14ac:dyDescent="0.25">
      <c r="B65" t="s">
        <v>67</v>
      </c>
      <c r="C65" s="4">
        <f>+C63-C64</f>
        <v>15000</v>
      </c>
      <c r="D65" s="4">
        <f t="shared" ref="D65:BF65" si="37">+D63-D64</f>
        <v>15772.245122668968</v>
      </c>
      <c r="E65" s="4">
        <f t="shared" si="37"/>
        <v>16134.508187100397</v>
      </c>
      <c r="F65" s="4">
        <f t="shared" si="37"/>
        <v>15840.253712097365</v>
      </c>
      <c r="G65" s="4">
        <f t="shared" si="37"/>
        <v>15484.85025908195</v>
      </c>
      <c r="H65" s="4">
        <f t="shared" si="37"/>
        <v>16171.442636555446</v>
      </c>
      <c r="I65" s="4">
        <f t="shared" si="37"/>
        <v>17494.596276180389</v>
      </c>
      <c r="J65" s="4">
        <f t="shared" si="37"/>
        <v>18762.286626138717</v>
      </c>
      <c r="K65" s="4">
        <f t="shared" si="37"/>
        <v>20093.361493594959</v>
      </c>
      <c r="L65" s="4">
        <f t="shared" si="37"/>
        <v>21490.99010442401</v>
      </c>
      <c r="M65" s="4">
        <f t="shared" si="37"/>
        <v>22958.500145794518</v>
      </c>
      <c r="N65" s="4">
        <f t="shared" si="37"/>
        <v>24499.385689233546</v>
      </c>
      <c r="O65" s="4">
        <f t="shared" si="37"/>
        <v>26117.315509844528</v>
      </c>
      <c r="P65" s="4">
        <f t="shared" si="37"/>
        <v>27816.141821486053</v>
      </c>
      <c r="Q65" s="4">
        <f t="shared" si="37"/>
        <v>29599.909448709659</v>
      </c>
      <c r="R65" s="4">
        <f t="shared" si="37"/>
        <v>31472.865457294443</v>
      </c>
      <c r="S65" s="4">
        <f t="shared" si="37"/>
        <v>33439.469266308472</v>
      </c>
      <c r="T65" s="4">
        <f t="shared" si="37"/>
        <v>35504.403265773195</v>
      </c>
      <c r="U65" s="4">
        <f t="shared" si="37"/>
        <v>37672.583965211161</v>
      </c>
      <c r="V65" s="4">
        <f t="shared" si="37"/>
        <v>39949.173699621024</v>
      </c>
      <c r="W65" s="4">
        <f t="shared" si="37"/>
        <v>42339.592920751384</v>
      </c>
      <c r="X65" s="4">
        <f t="shared" si="37"/>
        <v>44849.533102938251</v>
      </c>
      <c r="Y65" s="4">
        <f t="shared" si="37"/>
        <v>47484.970294234459</v>
      </c>
      <c r="Z65" s="4">
        <f t="shared" si="37"/>
        <v>50252.179345095486</v>
      </c>
      <c r="AA65" s="4">
        <f t="shared" si="37"/>
        <v>53157.74884849957</v>
      </c>
      <c r="AB65" s="4">
        <f t="shared" si="37"/>
        <v>56208.596827073852</v>
      </c>
      <c r="AC65" s="4">
        <f t="shared" si="37"/>
        <v>59411.987204576842</v>
      </c>
      <c r="AD65" s="4">
        <f t="shared" si="37"/>
        <v>62775.547100954995</v>
      </c>
      <c r="AE65" s="4">
        <f t="shared" si="37"/>
        <v>66307.284992152039</v>
      </c>
      <c r="AF65" s="4">
        <f t="shared" si="37"/>
        <v>70015.609777908947</v>
      </c>
      <c r="AG65" s="4">
        <f t="shared" si="37"/>
        <v>73909.350802953704</v>
      </c>
      <c r="AH65" s="4">
        <f t="shared" si="37"/>
        <v>77997.778879250691</v>
      </c>
      <c r="AI65" s="4">
        <f t="shared" si="37"/>
        <v>82290.628359362527</v>
      </c>
      <c r="AJ65" s="4">
        <f t="shared" si="37"/>
        <v>86798.120313479958</v>
      </c>
      <c r="AK65" s="4">
        <f t="shared" si="37"/>
        <v>91530.986865303261</v>
      </c>
      <c r="AL65" s="4">
        <f t="shared" si="37"/>
        <v>96500.496744717733</v>
      </c>
      <c r="AM65" s="4">
        <f t="shared" si="37"/>
        <v>101718.48211810293</v>
      </c>
      <c r="AN65" s="4">
        <f t="shared" si="37"/>
        <v>107197.36676015735</v>
      </c>
      <c r="AO65" s="4">
        <f t="shared" si="37"/>
        <v>112950.19563431454</v>
      </c>
      <c r="AP65" s="4">
        <f t="shared" si="37"/>
        <v>118990.66595217958</v>
      </c>
      <c r="AQ65" s="4">
        <f t="shared" si="37"/>
        <v>125333.15978593787</v>
      </c>
      <c r="AR65" s="4">
        <f t="shared" si="37"/>
        <v>131992.77831138406</v>
      </c>
      <c r="AS65" s="4">
        <f t="shared" si="37"/>
        <v>138985.37776310256</v>
      </c>
      <c r="AT65" s="4">
        <f t="shared" si="37"/>
        <v>146327.607187407</v>
      </c>
      <c r="AU65" s="4">
        <f t="shared" si="37"/>
        <v>154036.94808292665</v>
      </c>
      <c r="AV65" s="4">
        <f t="shared" si="37"/>
        <v>162131.75602322229</v>
      </c>
      <c r="AW65" s="4">
        <f t="shared" si="37"/>
        <v>170631.30436053273</v>
      </c>
      <c r="AX65" s="4">
        <f t="shared" si="37"/>
        <v>179555.83011470866</v>
      </c>
      <c r="AY65" s="4">
        <f t="shared" si="37"/>
        <v>188926.58215659339</v>
      </c>
      <c r="AZ65" s="4">
        <f t="shared" si="37"/>
        <v>198765.87180057241</v>
      </c>
      <c r="BA65" s="4">
        <f t="shared" si="37"/>
        <v>209097.12592675036</v>
      </c>
      <c r="BB65" s="4">
        <f t="shared" si="37"/>
        <v>219944.94275923714</v>
      </c>
      <c r="BC65" s="4">
        <f t="shared" si="37"/>
        <v>231335.15043334829</v>
      </c>
      <c r="BD65" s="4">
        <f t="shared" si="37"/>
        <v>243294.86849116499</v>
      </c>
      <c r="BE65" s="4">
        <f t="shared" si="37"/>
        <v>255852.57245187258</v>
      </c>
      <c r="BF65" s="4">
        <f t="shared" si="37"/>
        <v>269038.1616106155</v>
      </c>
      <c r="BG65" s="4"/>
    </row>
    <row r="68" spans="2:59" x14ac:dyDescent="0.25">
      <c r="B68" t="s">
        <v>86</v>
      </c>
    </row>
    <row r="69" spans="2:59" x14ac:dyDescent="0.25">
      <c r="B69" t="s">
        <v>87</v>
      </c>
      <c r="C69" s="4">
        <f t="shared" ref="C69:V69" si="38">+C37+C39</f>
        <v>479.99999999999955</v>
      </c>
      <c r="D69" s="4">
        <f t="shared" si="38"/>
        <v>1062.1862153414581</v>
      </c>
      <c r="E69" s="4">
        <f t="shared" si="38"/>
        <v>1594.5778852148842</v>
      </c>
      <c r="F69" s="4">
        <f t="shared" si="38"/>
        <v>2108.4813818898647</v>
      </c>
      <c r="G69" s="4">
        <f t="shared" si="38"/>
        <v>2290.8589159592429</v>
      </c>
      <c r="H69" s="4">
        <f t="shared" si="38"/>
        <v>2086.6082025997935</v>
      </c>
      <c r="I69" s="4">
        <f t="shared" si="38"/>
        <v>2361.8565455497292</v>
      </c>
      <c r="J69" s="4">
        <f t="shared" si="38"/>
        <v>2479.9493728272155</v>
      </c>
      <c r="K69" s="4">
        <f t="shared" si="38"/>
        <v>2603.9468414685766</v>
      </c>
      <c r="L69" s="4">
        <f t="shared" si="38"/>
        <v>2734.1441835420051</v>
      </c>
      <c r="M69" s="4">
        <f t="shared" si="38"/>
        <v>2870.8513927191052</v>
      </c>
      <c r="N69" s="4">
        <f t="shared" si="38"/>
        <v>3014.39396235506</v>
      </c>
      <c r="O69" s="4">
        <f t="shared" si="38"/>
        <v>3165.1136604728131</v>
      </c>
      <c r="P69" s="4">
        <f t="shared" si="38"/>
        <v>3323.3693434964539</v>
      </c>
      <c r="Q69" s="4">
        <f t="shared" si="38"/>
        <v>3489.5378106712769</v>
      </c>
      <c r="R69" s="4">
        <f t="shared" si="38"/>
        <v>3664.014701204841</v>
      </c>
      <c r="S69" s="4">
        <f t="shared" si="38"/>
        <v>3847.2154362650831</v>
      </c>
      <c r="T69" s="4">
        <f t="shared" si="38"/>
        <v>4039.576208078337</v>
      </c>
      <c r="U69" s="4">
        <f t="shared" si="38"/>
        <v>4241.5550184822541</v>
      </c>
      <c r="V69" s="4">
        <f t="shared" si="38"/>
        <v>4453.6327694063666</v>
      </c>
      <c r="W69" s="4">
        <f>+W37+W39</f>
        <v>4676.3144078766845</v>
      </c>
    </row>
    <row r="70" spans="2:59" x14ac:dyDescent="0.25">
      <c r="B70" t="str">
        <f>+B26</f>
        <v>rA</v>
      </c>
      <c r="C70" s="3">
        <f>+C26</f>
        <v>0.12</v>
      </c>
      <c r="D70" s="3">
        <f t="shared" ref="D70:W70" si="39">+D26</f>
        <v>0.12</v>
      </c>
      <c r="E70" s="3">
        <f t="shared" si="39"/>
        <v>0.12</v>
      </c>
      <c r="F70" s="3">
        <f t="shared" si="39"/>
        <v>0.12</v>
      </c>
      <c r="G70" s="3">
        <f t="shared" si="39"/>
        <v>0.12</v>
      </c>
      <c r="H70" s="3">
        <f t="shared" si="39"/>
        <v>0.12</v>
      </c>
      <c r="I70" s="3">
        <f t="shared" si="39"/>
        <v>0.12</v>
      </c>
      <c r="J70" s="3">
        <f t="shared" si="39"/>
        <v>0.12</v>
      </c>
      <c r="K70" s="3">
        <f t="shared" si="39"/>
        <v>0.12</v>
      </c>
      <c r="L70" s="3">
        <f t="shared" si="39"/>
        <v>0.12</v>
      </c>
      <c r="M70" s="3">
        <f t="shared" si="39"/>
        <v>0.12</v>
      </c>
      <c r="N70" s="3">
        <f t="shared" si="39"/>
        <v>0.12</v>
      </c>
      <c r="O70" s="3">
        <f t="shared" si="39"/>
        <v>0.12</v>
      </c>
      <c r="P70" s="3">
        <f t="shared" si="39"/>
        <v>0.12</v>
      </c>
      <c r="Q70" s="3">
        <f t="shared" si="39"/>
        <v>0.12</v>
      </c>
      <c r="R70" s="3">
        <f t="shared" si="39"/>
        <v>0.12</v>
      </c>
      <c r="S70" s="3">
        <f t="shared" si="39"/>
        <v>0.12</v>
      </c>
      <c r="T70" s="3">
        <f t="shared" si="39"/>
        <v>0.12</v>
      </c>
      <c r="U70" s="3">
        <f t="shared" si="39"/>
        <v>0.12</v>
      </c>
      <c r="V70" s="3">
        <f t="shared" si="39"/>
        <v>0.12</v>
      </c>
      <c r="W70" s="3">
        <f t="shared" si="39"/>
        <v>0.12</v>
      </c>
    </row>
    <row r="71" spans="2:59" s="12" customFormat="1" x14ac:dyDescent="0.25">
      <c r="B71" s="12" t="s">
        <v>19</v>
      </c>
      <c r="C71" s="13">
        <f t="shared" ref="C71:U71" si="40">+(C69+D71)/(1+C70)</f>
        <v>23201.485661329967</v>
      </c>
      <c r="D71" s="13">
        <f t="shared" si="40"/>
        <v>25505.663940689567</v>
      </c>
      <c r="E71" s="13">
        <f t="shared" si="40"/>
        <v>27504.157398230858</v>
      </c>
      <c r="F71" s="13">
        <f t="shared" si="40"/>
        <v>29210.078400803679</v>
      </c>
      <c r="G71" s="13">
        <f t="shared" si="40"/>
        <v>30606.806427010259</v>
      </c>
      <c r="H71" s="13">
        <f t="shared" si="40"/>
        <v>31988.764282292253</v>
      </c>
      <c r="I71" s="13">
        <f t="shared" si="40"/>
        <v>33740.807793567532</v>
      </c>
      <c r="J71" s="13">
        <f t="shared" si="40"/>
        <v>35427.848183245907</v>
      </c>
      <c r="K71" s="13">
        <f t="shared" si="40"/>
        <v>37199.240592408205</v>
      </c>
      <c r="L71" s="13">
        <f t="shared" si="40"/>
        <v>39059.202622028613</v>
      </c>
      <c r="M71" s="13">
        <f t="shared" si="40"/>
        <v>41012.162753130047</v>
      </c>
      <c r="N71" s="13">
        <f t="shared" si="40"/>
        <v>43062.770890786545</v>
      </c>
      <c r="O71" s="13">
        <f t="shared" si="40"/>
        <v>45215.909435325877</v>
      </c>
      <c r="P71" s="13">
        <f t="shared" si="40"/>
        <v>47476.704907092171</v>
      </c>
      <c r="Q71" s="13">
        <f t="shared" si="40"/>
        <v>49850.540152446789</v>
      </c>
      <c r="R71" s="13">
        <f t="shared" si="40"/>
        <v>52343.067160069135</v>
      </c>
      <c r="S71" s="13">
        <f t="shared" si="40"/>
        <v>54960.220518072594</v>
      </c>
      <c r="T71" s="13">
        <f t="shared" si="40"/>
        <v>57708.231543976224</v>
      </c>
      <c r="U71" s="13">
        <f t="shared" si="40"/>
        <v>60593.643121175039</v>
      </c>
      <c r="V71" s="13">
        <f>+(V69+W71)/(1+V70)</f>
        <v>63623.325277233802</v>
      </c>
      <c r="W71" s="13">
        <f>+W69/(W70-X23)</f>
        <v>66804.4915410955</v>
      </c>
    </row>
    <row r="74" spans="2:59" x14ac:dyDescent="0.25">
      <c r="B74" t="s">
        <v>88</v>
      </c>
    </row>
    <row r="75" spans="2:59" x14ac:dyDescent="0.25">
      <c r="B75" t="str">
        <f>+B41</f>
        <v>FCFE</v>
      </c>
      <c r="C75" s="4">
        <f t="shared" ref="C75:T75" si="41">+C41</f>
        <v>1627.7548773310309</v>
      </c>
      <c r="D75" s="4">
        <f t="shared" si="41"/>
        <v>2309.462662438033</v>
      </c>
      <c r="E75" s="4">
        <f t="shared" si="41"/>
        <v>3169.012025052582</v>
      </c>
      <c r="F75" s="4">
        <f t="shared" si="41"/>
        <v>3349.4763254559584</v>
      </c>
      <c r="G75" s="4">
        <f t="shared" si="41"/>
        <v>2379.0186274895286</v>
      </c>
      <c r="H75" s="4">
        <f t="shared" si="41"/>
        <v>1893.2079120558806</v>
      </c>
      <c r="I75" s="4">
        <f t="shared" si="41"/>
        <v>2125.6708909947556</v>
      </c>
      <c r="J75" s="4">
        <f t="shared" si="41"/>
        <v>2231.9544355444946</v>
      </c>
      <c r="K75" s="4">
        <f t="shared" si="41"/>
        <v>2343.5521573217197</v>
      </c>
      <c r="L75" s="4">
        <f t="shared" si="41"/>
        <v>2460.7297651878048</v>
      </c>
      <c r="M75" s="4">
        <f t="shared" si="41"/>
        <v>2583.766253447196</v>
      </c>
      <c r="N75" s="4">
        <f t="shared" si="41"/>
        <v>2712.954566119553</v>
      </c>
      <c r="O75" s="4">
        <f t="shared" si="41"/>
        <v>2848.6022944255337</v>
      </c>
      <c r="P75" s="4">
        <f t="shared" si="41"/>
        <v>2991.0324091468087</v>
      </c>
      <c r="Q75" s="4">
        <f t="shared" si="41"/>
        <v>3140.5840296041488</v>
      </c>
      <c r="R75" s="4">
        <f t="shared" si="41"/>
        <v>3297.6132310843577</v>
      </c>
      <c r="S75" s="4">
        <f t="shared" si="41"/>
        <v>3462.4938926385771</v>
      </c>
      <c r="T75" s="4">
        <f t="shared" si="41"/>
        <v>3635.6185872705028</v>
      </c>
    </row>
    <row r="76" spans="2:59" x14ac:dyDescent="0.25">
      <c r="B76" t="str">
        <f>+B28</f>
        <v>rE=(rA-D/V*rD)/(1-D/V)</v>
      </c>
      <c r="C76" s="3">
        <f t="shared" ref="C76:T76" si="42">+C28</f>
        <v>0.12</v>
      </c>
      <c r="D76" s="3">
        <f t="shared" si="42"/>
        <v>0.12235602094240838</v>
      </c>
      <c r="E76" s="3">
        <f t="shared" si="42"/>
        <v>0.12445054945054944</v>
      </c>
      <c r="F76" s="3">
        <f t="shared" si="42"/>
        <v>0.12678362573099414</v>
      </c>
      <c r="G76" s="3">
        <f t="shared" si="42"/>
        <v>0.12820987654320987</v>
      </c>
      <c r="H76" s="3">
        <f t="shared" si="42"/>
        <v>0.12874999999999998</v>
      </c>
      <c r="I76" s="3">
        <f t="shared" si="42"/>
        <v>0.12874999999999998</v>
      </c>
      <c r="J76" s="3">
        <f t="shared" si="42"/>
        <v>0.12874999999999998</v>
      </c>
      <c r="K76" s="3">
        <f t="shared" si="42"/>
        <v>0.12874999999999998</v>
      </c>
      <c r="L76" s="3">
        <f t="shared" si="42"/>
        <v>0.12874999999999998</v>
      </c>
      <c r="M76" s="3">
        <f t="shared" si="42"/>
        <v>0.12874999999999998</v>
      </c>
      <c r="N76" s="3">
        <f t="shared" si="42"/>
        <v>0.12874999999999998</v>
      </c>
      <c r="O76" s="3">
        <f t="shared" si="42"/>
        <v>0.12874999999999998</v>
      </c>
      <c r="P76" s="3">
        <f t="shared" si="42"/>
        <v>0.12874999999999998</v>
      </c>
      <c r="Q76" s="3">
        <f t="shared" si="42"/>
        <v>0.12874999999999998</v>
      </c>
      <c r="R76" s="3">
        <f t="shared" si="42"/>
        <v>0.12874999999999998</v>
      </c>
      <c r="S76" s="3">
        <f t="shared" si="42"/>
        <v>0.12874999999999998</v>
      </c>
      <c r="T76" s="3">
        <f t="shared" si="42"/>
        <v>0.12874999999999998</v>
      </c>
    </row>
    <row r="77" spans="2:59" x14ac:dyDescent="0.25">
      <c r="B77" t="s">
        <v>89</v>
      </c>
      <c r="C77" s="4">
        <f t="shared" ref="C77:R77" si="43">+(C75+D77)/(1+C76)</f>
        <v>23201.485661330003</v>
      </c>
      <c r="D77" s="4">
        <f t="shared" si="43"/>
        <v>24357.909063358577</v>
      </c>
      <c r="E77" s="4">
        <f t="shared" si="43"/>
        <v>25028.783232390124</v>
      </c>
      <c r="F77" s="4">
        <f t="shared" si="43"/>
        <v>24974.617032687191</v>
      </c>
      <c r="G77" s="4">
        <f t="shared" si="43"/>
        <v>24791.513205878357</v>
      </c>
      <c r="H77" s="4">
        <f t="shared" si="43"/>
        <v>25591.011425833847</v>
      </c>
      <c r="I77" s="4">
        <f t="shared" si="43"/>
        <v>26992.64623485407</v>
      </c>
      <c r="J77" s="4">
        <f t="shared" si="43"/>
        <v>28342.278546596772</v>
      </c>
      <c r="K77" s="4">
        <f t="shared" si="43"/>
        <v>29759.392473926608</v>
      </c>
      <c r="L77" s="4">
        <f t="shared" si="43"/>
        <v>31247.362097622932</v>
      </c>
      <c r="M77" s="4">
        <f t="shared" si="43"/>
        <v>32809.730202504077</v>
      </c>
      <c r="N77" s="4">
        <f t="shared" si="43"/>
        <v>34450.216712629277</v>
      </c>
      <c r="O77" s="4">
        <f t="shared" si="43"/>
        <v>36172.727548260744</v>
      </c>
      <c r="P77" s="4">
        <f t="shared" si="43"/>
        <v>37981.363925673781</v>
      </c>
      <c r="Q77" s="4">
        <f t="shared" si="43"/>
        <v>39880.43212195747</v>
      </c>
      <c r="R77" s="4">
        <f t="shared" si="43"/>
        <v>41874.453728055341</v>
      </c>
      <c r="S77" s="4">
        <f>+(S75+T77)/(1+S76)</f>
        <v>43968.176414458103</v>
      </c>
      <c r="T77" s="4">
        <f>+T75/(T76-U23)</f>
        <v>46166.585235181003</v>
      </c>
    </row>
    <row r="78" spans="2:59" x14ac:dyDescent="0.25">
      <c r="B78" t="str">
        <f>+B64</f>
        <v>D boy</v>
      </c>
      <c r="C78" s="4">
        <f>+C64</f>
        <v>0</v>
      </c>
      <c r="D78" s="4">
        <f t="shared" ref="D78:T78" si="44">+D64</f>
        <v>1147.7548773310314</v>
      </c>
      <c r="E78" s="4">
        <f t="shared" si="44"/>
        <v>2475.3741658407785</v>
      </c>
      <c r="F78" s="4">
        <f t="shared" si="44"/>
        <v>4235.4613681165347</v>
      </c>
      <c r="G78" s="4">
        <f t="shared" si="44"/>
        <v>5815.2932211319512</v>
      </c>
      <c r="H78" s="4">
        <f t="shared" si="44"/>
        <v>6397.7528564584527</v>
      </c>
      <c r="I78" s="4">
        <f t="shared" si="44"/>
        <v>6748.1615587135084</v>
      </c>
      <c r="J78" s="4">
        <f t="shared" si="44"/>
        <v>7085.5696366491829</v>
      </c>
      <c r="K78" s="4">
        <f t="shared" si="44"/>
        <v>7439.8481184816428</v>
      </c>
      <c r="L78" s="4">
        <f t="shared" si="44"/>
        <v>7811.8405244057258</v>
      </c>
      <c r="M78" s="4">
        <f t="shared" si="44"/>
        <v>8202.432550626012</v>
      </c>
      <c r="N78" s="4">
        <f t="shared" si="44"/>
        <v>8612.5541781573138</v>
      </c>
      <c r="O78" s="4">
        <f t="shared" si="44"/>
        <v>9043.1818870651787</v>
      </c>
      <c r="P78" s="4">
        <f t="shared" si="44"/>
        <v>9495.3409814184397</v>
      </c>
      <c r="Q78" s="4">
        <f t="shared" si="44"/>
        <v>9970.1080304893621</v>
      </c>
      <c r="R78" s="4">
        <f t="shared" si="44"/>
        <v>10468.61343201383</v>
      </c>
      <c r="S78" s="4">
        <f t="shared" si="44"/>
        <v>10992.044103614522</v>
      </c>
      <c r="T78" s="4">
        <f t="shared" si="44"/>
        <v>11541.646308795251</v>
      </c>
    </row>
    <row r="79" spans="2:59" x14ac:dyDescent="0.25">
      <c r="B79" s="12" t="s">
        <v>19</v>
      </c>
      <c r="C79" s="13">
        <f>+C77+C78</f>
        <v>23201.485661330003</v>
      </c>
      <c r="D79" s="13">
        <f t="shared" ref="D79:T79" si="45">+D77+D78</f>
        <v>25505.663940689607</v>
      </c>
      <c r="E79" s="13">
        <f t="shared" si="45"/>
        <v>27504.157398230902</v>
      </c>
      <c r="F79" s="13">
        <f t="shared" si="45"/>
        <v>29210.078400803726</v>
      </c>
      <c r="G79" s="13">
        <f t="shared" si="45"/>
        <v>30606.806427010306</v>
      </c>
      <c r="H79" s="13">
        <f t="shared" si="45"/>
        <v>31988.764282292301</v>
      </c>
      <c r="I79" s="13">
        <f t="shared" si="45"/>
        <v>33740.807793567576</v>
      </c>
      <c r="J79" s="13">
        <f t="shared" si="45"/>
        <v>35427.848183245951</v>
      </c>
      <c r="K79" s="13">
        <f t="shared" si="45"/>
        <v>37199.240592408249</v>
      </c>
      <c r="L79" s="13">
        <f t="shared" si="45"/>
        <v>39059.202622028657</v>
      </c>
      <c r="M79" s="13">
        <f t="shared" si="45"/>
        <v>41012.162753130091</v>
      </c>
      <c r="N79" s="13">
        <f t="shared" si="45"/>
        <v>43062.770890786589</v>
      </c>
      <c r="O79" s="13">
        <f t="shared" si="45"/>
        <v>45215.909435325921</v>
      </c>
      <c r="P79" s="13">
        <f t="shared" si="45"/>
        <v>47476.704907092222</v>
      </c>
      <c r="Q79" s="13">
        <f t="shared" si="45"/>
        <v>49850.540152446833</v>
      </c>
      <c r="R79" s="13">
        <f t="shared" si="45"/>
        <v>52343.067160069171</v>
      </c>
      <c r="S79" s="13">
        <f t="shared" si="45"/>
        <v>54960.220518072623</v>
      </c>
      <c r="T79" s="13">
        <f t="shared" si="45"/>
        <v>57708.231543976253</v>
      </c>
    </row>
    <row r="82" spans="2:21" x14ac:dyDescent="0.25">
      <c r="B82" t="s">
        <v>90</v>
      </c>
    </row>
    <row r="83" spans="2:21" x14ac:dyDescent="0.25">
      <c r="B83" s="4" t="str">
        <f>+B35</f>
        <v>Noplat</v>
      </c>
      <c r="C83" s="4">
        <f t="shared" ref="C83:T83" si="46">+C35</f>
        <v>2400</v>
      </c>
      <c r="D83" s="4">
        <f t="shared" si="46"/>
        <v>2736</v>
      </c>
      <c r="E83" s="4">
        <f t="shared" si="46"/>
        <v>3023.2799999999997</v>
      </c>
      <c r="F83" s="4">
        <f t="shared" si="46"/>
        <v>3265.1423999999997</v>
      </c>
      <c r="G83" s="4">
        <f t="shared" si="46"/>
        <v>3461.0509439999996</v>
      </c>
      <c r="H83" s="4">
        <f t="shared" si="46"/>
        <v>3651.4087459199995</v>
      </c>
      <c r="I83" s="4">
        <f t="shared" si="46"/>
        <v>3852.2362269455994</v>
      </c>
      <c r="J83" s="4">
        <f t="shared" si="46"/>
        <v>4044.8480382928792</v>
      </c>
      <c r="K83" s="4">
        <f t="shared" si="46"/>
        <v>4247.090440207523</v>
      </c>
      <c r="L83" s="4">
        <f t="shared" si="46"/>
        <v>4459.444962217899</v>
      </c>
      <c r="M83" s="4">
        <f t="shared" si="46"/>
        <v>4682.4172103287938</v>
      </c>
      <c r="N83" s="4">
        <f t="shared" si="46"/>
        <v>4916.5380708452331</v>
      </c>
      <c r="O83" s="4">
        <f t="shared" si="46"/>
        <v>5162.3649743874948</v>
      </c>
      <c r="P83" s="4">
        <f t="shared" si="46"/>
        <v>5420.4832231068694</v>
      </c>
      <c r="Q83" s="4">
        <f t="shared" si="46"/>
        <v>5691.5073842622132</v>
      </c>
      <c r="R83" s="4">
        <f t="shared" si="46"/>
        <v>5976.0827534753244</v>
      </c>
      <c r="S83" s="4">
        <f t="shared" si="46"/>
        <v>6274.8868911490908</v>
      </c>
      <c r="T83" s="4">
        <f t="shared" si="46"/>
        <v>6588.6312357065453</v>
      </c>
    </row>
    <row r="84" spans="2:21" x14ac:dyDescent="0.25">
      <c r="B84" s="4" t="str">
        <f>+B63</f>
        <v>IC boy</v>
      </c>
      <c r="C84" s="4">
        <f t="shared" ref="C84:T84" si="47">+C63</f>
        <v>15000</v>
      </c>
      <c r="D84" s="4">
        <f t="shared" si="47"/>
        <v>16920</v>
      </c>
      <c r="E84" s="4">
        <f t="shared" si="47"/>
        <v>18609.882352941175</v>
      </c>
      <c r="F84" s="4">
        <f t="shared" si="47"/>
        <v>20075.7150802139</v>
      </c>
      <c r="G84" s="4">
        <f t="shared" si="47"/>
        <v>21300.143480213901</v>
      </c>
      <c r="H84" s="4">
        <f t="shared" si="47"/>
        <v>22569.1954930139</v>
      </c>
      <c r="I84" s="4">
        <f t="shared" si="47"/>
        <v>24242.757834893899</v>
      </c>
      <c r="J84" s="4">
        <f t="shared" si="47"/>
        <v>25847.8562627879</v>
      </c>
      <c r="K84" s="4">
        <f t="shared" si="47"/>
        <v>27533.2096120766</v>
      </c>
      <c r="L84" s="4">
        <f t="shared" si="47"/>
        <v>29302.830628829735</v>
      </c>
      <c r="M84" s="4">
        <f t="shared" si="47"/>
        <v>31160.932696420528</v>
      </c>
      <c r="N84" s="4">
        <f t="shared" si="47"/>
        <v>33111.939867390858</v>
      </c>
      <c r="O84" s="4">
        <f t="shared" si="47"/>
        <v>35160.497396909705</v>
      </c>
      <c r="P84" s="4">
        <f t="shared" si="47"/>
        <v>37311.482802904495</v>
      </c>
      <c r="Q84" s="4">
        <f t="shared" si="47"/>
        <v>39570.017479199021</v>
      </c>
      <c r="R84" s="4">
        <f t="shared" si="47"/>
        <v>41941.478889308273</v>
      </c>
      <c r="S84" s="4">
        <f t="shared" si="47"/>
        <v>44431.513369922992</v>
      </c>
      <c r="T84" s="4">
        <f t="shared" si="47"/>
        <v>47046.049574568446</v>
      </c>
    </row>
    <row r="85" spans="2:21" x14ac:dyDescent="0.25">
      <c r="B85" s="3" t="str">
        <f>+B29</f>
        <v>WACC=rA-D/V*rD*t</v>
      </c>
      <c r="C85" s="3">
        <f t="shared" ref="C85:T85" si="48">+C29</f>
        <v>0.12</v>
      </c>
      <c r="D85" s="3">
        <f t="shared" si="48"/>
        <v>0.11936999999999999</v>
      </c>
      <c r="E85" s="3">
        <f t="shared" si="48"/>
        <v>0.11864999999999999</v>
      </c>
      <c r="F85" s="3">
        <f t="shared" si="48"/>
        <v>0.11767999999999999</v>
      </c>
      <c r="G85" s="3">
        <f t="shared" si="48"/>
        <v>0.11677</v>
      </c>
      <c r="H85" s="3">
        <f t="shared" si="48"/>
        <v>0.1166</v>
      </c>
      <c r="I85" s="3">
        <f t="shared" si="48"/>
        <v>0.1166</v>
      </c>
      <c r="J85" s="3">
        <f t="shared" si="48"/>
        <v>0.1166</v>
      </c>
      <c r="K85" s="3">
        <f t="shared" si="48"/>
        <v>0.1166</v>
      </c>
      <c r="L85" s="3">
        <f t="shared" si="48"/>
        <v>0.1166</v>
      </c>
      <c r="M85" s="3">
        <f t="shared" si="48"/>
        <v>0.1166</v>
      </c>
      <c r="N85" s="3">
        <f t="shared" si="48"/>
        <v>0.1166</v>
      </c>
      <c r="O85" s="3">
        <f t="shared" si="48"/>
        <v>0.1166</v>
      </c>
      <c r="P85" s="3">
        <f t="shared" si="48"/>
        <v>0.1166</v>
      </c>
      <c r="Q85" s="3">
        <f t="shared" si="48"/>
        <v>0.1166</v>
      </c>
      <c r="R85" s="3">
        <f t="shared" si="48"/>
        <v>0.1166</v>
      </c>
      <c r="S85" s="3">
        <f t="shared" si="48"/>
        <v>0.1166</v>
      </c>
      <c r="T85" s="3">
        <f t="shared" si="48"/>
        <v>0.1166</v>
      </c>
    </row>
    <row r="86" spans="2:21" x14ac:dyDescent="0.25">
      <c r="B86" t="s">
        <v>91</v>
      </c>
      <c r="C86" s="4">
        <f>+C84*C85</f>
        <v>1800</v>
      </c>
      <c r="D86" s="4">
        <f>+D84*D85</f>
        <v>2019.7403999999999</v>
      </c>
      <c r="E86" s="4">
        <f t="shared" ref="E86:T86" si="49">+E84*E85</f>
        <v>2208.0625411764704</v>
      </c>
      <c r="F86" s="4">
        <f t="shared" si="49"/>
        <v>2362.5101506395717</v>
      </c>
      <c r="G86" s="4">
        <f t="shared" si="49"/>
        <v>2487.2177541845772</v>
      </c>
      <c r="H86" s="4">
        <f t="shared" si="49"/>
        <v>2631.5681944854205</v>
      </c>
      <c r="I86" s="4">
        <f t="shared" si="49"/>
        <v>2826.7055635486286</v>
      </c>
      <c r="J86" s="4">
        <f t="shared" si="49"/>
        <v>3013.8600402410689</v>
      </c>
      <c r="K86" s="4">
        <f t="shared" si="49"/>
        <v>3210.3722407681316</v>
      </c>
      <c r="L86" s="4">
        <f t="shared" si="49"/>
        <v>3416.7100513215469</v>
      </c>
      <c r="M86" s="4">
        <f t="shared" si="49"/>
        <v>3633.3647524026333</v>
      </c>
      <c r="N86" s="4">
        <f t="shared" si="49"/>
        <v>3860.8521885377741</v>
      </c>
      <c r="O86" s="4">
        <f t="shared" si="49"/>
        <v>4099.7139964796716</v>
      </c>
      <c r="P86" s="4">
        <f t="shared" si="49"/>
        <v>4350.5188948186642</v>
      </c>
      <c r="Q86" s="4">
        <f t="shared" si="49"/>
        <v>4613.8640380746056</v>
      </c>
      <c r="R86" s="4">
        <f t="shared" si="49"/>
        <v>4890.3764384933447</v>
      </c>
      <c r="S86" s="4">
        <f t="shared" si="49"/>
        <v>5180.714458933021</v>
      </c>
      <c r="T86" s="4">
        <f t="shared" si="49"/>
        <v>5485.5693803946806</v>
      </c>
    </row>
    <row r="87" spans="2:21" x14ac:dyDescent="0.25">
      <c r="B87" t="s">
        <v>90</v>
      </c>
      <c r="C87" s="4">
        <f>+C83-C86</f>
        <v>600</v>
      </c>
      <c r="D87" s="4">
        <f>+D83-D86</f>
        <v>716.25960000000009</v>
      </c>
      <c r="E87" s="4">
        <f t="shared" ref="E87:T87" si="50">+E83-E86</f>
        <v>815.21745882352934</v>
      </c>
      <c r="F87" s="4">
        <f t="shared" si="50"/>
        <v>902.63224936042798</v>
      </c>
      <c r="G87" s="4">
        <f t="shared" si="50"/>
        <v>973.83318981542243</v>
      </c>
      <c r="H87" s="4">
        <f t="shared" si="50"/>
        <v>1019.8405514345791</v>
      </c>
      <c r="I87" s="4">
        <f t="shared" si="50"/>
        <v>1025.5306633969708</v>
      </c>
      <c r="J87" s="4">
        <f t="shared" si="50"/>
        <v>1030.9879980518103</v>
      </c>
      <c r="K87" s="4">
        <f t="shared" si="50"/>
        <v>1036.7181994393914</v>
      </c>
      <c r="L87" s="4">
        <f t="shared" si="50"/>
        <v>1042.7349108963522</v>
      </c>
      <c r="M87" s="4">
        <f t="shared" si="50"/>
        <v>1049.0524579261605</v>
      </c>
      <c r="N87" s="4">
        <f t="shared" si="50"/>
        <v>1055.685882307459</v>
      </c>
      <c r="O87" s="4">
        <f t="shared" si="50"/>
        <v>1062.6509779078233</v>
      </c>
      <c r="P87" s="4">
        <f t="shared" si="50"/>
        <v>1069.9643282882053</v>
      </c>
      <c r="Q87" s="4">
        <f t="shared" si="50"/>
        <v>1077.6433461876077</v>
      </c>
      <c r="R87" s="4">
        <f t="shared" si="50"/>
        <v>1085.7063149819796</v>
      </c>
      <c r="S87" s="4">
        <f t="shared" si="50"/>
        <v>1094.1724322160699</v>
      </c>
      <c r="T87" s="4">
        <f t="shared" si="50"/>
        <v>1103.0618553118647</v>
      </c>
      <c r="U87" s="4"/>
    </row>
    <row r="88" spans="2:21" x14ac:dyDescent="0.25">
      <c r="B88" t="s">
        <v>92</v>
      </c>
      <c r="C88" s="4">
        <f t="shared" ref="C88:R88" si="51">+(C87+D88)/(1+C85)</f>
        <v>8201.4856613299944</v>
      </c>
      <c r="D88" s="4">
        <f t="shared" si="51"/>
        <v>8585.6639406895956</v>
      </c>
      <c r="E88" s="4">
        <f t="shared" si="51"/>
        <v>8894.2750452897126</v>
      </c>
      <c r="F88" s="4">
        <f t="shared" si="51"/>
        <v>9134.3633205898059</v>
      </c>
      <c r="G88" s="4">
        <f t="shared" si="51"/>
        <v>9306.6629467963867</v>
      </c>
      <c r="H88" s="4">
        <f t="shared" si="51"/>
        <v>9419.568789278379</v>
      </c>
      <c r="I88" s="4">
        <f t="shared" si="51"/>
        <v>9498.0499586736587</v>
      </c>
      <c r="J88" s="4">
        <f t="shared" si="51"/>
        <v>9579.9919204580383</v>
      </c>
      <c r="K88" s="4">
        <f t="shared" si="51"/>
        <v>9666.0309803316359</v>
      </c>
      <c r="L88" s="4">
        <f t="shared" si="51"/>
        <v>9756.3719931989126</v>
      </c>
      <c r="M88" s="4">
        <f t="shared" si="51"/>
        <v>9851.2300567095554</v>
      </c>
      <c r="N88" s="4">
        <f t="shared" si="51"/>
        <v>9950.8310233957291</v>
      </c>
      <c r="O88" s="4">
        <f t="shared" si="51"/>
        <v>10055.412038416212</v>
      </c>
      <c r="P88" s="4">
        <f t="shared" si="51"/>
        <v>10165.222104187718</v>
      </c>
      <c r="Q88" s="4">
        <f t="shared" si="51"/>
        <v>10280.522673247802</v>
      </c>
      <c r="R88" s="4">
        <f t="shared" si="51"/>
        <v>10401.588270760889</v>
      </c>
      <c r="S88" s="4">
        <f>+(S87+T88)/(1+S85)</f>
        <v>10528.70714814963</v>
      </c>
      <c r="T88" s="14">
        <f>+T79-T84</f>
        <v>10662.181969407808</v>
      </c>
      <c r="U88" s="4">
        <f>+T87/T85+U36*(V22-V29)/V29/(V29-W23)</f>
        <v>10722.279980694721</v>
      </c>
    </row>
    <row r="89" spans="2:21" x14ac:dyDescent="0.25">
      <c r="B89" s="12" t="s">
        <v>19</v>
      </c>
      <c r="C89" s="13">
        <f>+C88+C84</f>
        <v>23201.485661329993</v>
      </c>
      <c r="D89" s="13">
        <f t="shared" ref="D89:T89" si="52">+D88+D84</f>
        <v>25505.663940689596</v>
      </c>
      <c r="E89" s="13">
        <f t="shared" si="52"/>
        <v>27504.157398230887</v>
      </c>
      <c r="F89" s="13">
        <f t="shared" si="52"/>
        <v>29210.078400803708</v>
      </c>
      <c r="G89" s="13">
        <f t="shared" si="52"/>
        <v>30606.806427010288</v>
      </c>
      <c r="H89" s="13">
        <f t="shared" si="52"/>
        <v>31988.764282292279</v>
      </c>
      <c r="I89" s="13">
        <f t="shared" si="52"/>
        <v>33740.807793567554</v>
      </c>
      <c r="J89" s="13">
        <f t="shared" si="52"/>
        <v>35427.848183245937</v>
      </c>
      <c r="K89" s="13">
        <f t="shared" si="52"/>
        <v>37199.240592408234</v>
      </c>
      <c r="L89" s="13">
        <f t="shared" si="52"/>
        <v>39059.20262202865</v>
      </c>
      <c r="M89" s="13">
        <f t="shared" si="52"/>
        <v>41012.162753130084</v>
      </c>
      <c r="N89" s="13">
        <f t="shared" si="52"/>
        <v>43062.770890786589</v>
      </c>
      <c r="O89" s="13">
        <f t="shared" si="52"/>
        <v>45215.909435325913</v>
      </c>
      <c r="P89" s="13">
        <f t="shared" si="52"/>
        <v>47476.704907092215</v>
      </c>
      <c r="Q89" s="13">
        <f t="shared" si="52"/>
        <v>49850.540152446825</v>
      </c>
      <c r="R89" s="13">
        <f t="shared" si="52"/>
        <v>52343.067160069164</v>
      </c>
      <c r="S89" s="13">
        <f t="shared" si="52"/>
        <v>54960.220518072623</v>
      </c>
      <c r="T89" s="13">
        <f t="shared" si="52"/>
        <v>57708.231543976253</v>
      </c>
    </row>
    <row r="92" spans="2:21" x14ac:dyDescent="0.25">
      <c r="B92" t="s">
        <v>93</v>
      </c>
    </row>
    <row r="93" spans="2:21" x14ac:dyDescent="0.25">
      <c r="B93" t="str">
        <f>+B51</f>
        <v>PAT</v>
      </c>
      <c r="C93" s="4">
        <f t="shared" ref="C93:R93" si="53">+C51</f>
        <v>2400</v>
      </c>
      <c r="D93" s="4">
        <f t="shared" si="53"/>
        <v>2671.7257268694621</v>
      </c>
      <c r="E93" s="4">
        <f t="shared" si="53"/>
        <v>2874.7575500495527</v>
      </c>
      <c r="F93" s="4">
        <f t="shared" si="53"/>
        <v>2994.0728724405412</v>
      </c>
      <c r="G93" s="4">
        <f t="shared" si="53"/>
        <v>3065.611004963027</v>
      </c>
      <c r="H93" s="4">
        <f t="shared" si="53"/>
        <v>3216.361551680825</v>
      </c>
      <c r="I93" s="4">
        <f t="shared" si="53"/>
        <v>3393.3612409530806</v>
      </c>
      <c r="J93" s="4">
        <f t="shared" si="53"/>
        <v>3563.0293030007351</v>
      </c>
      <c r="K93" s="4">
        <f t="shared" si="53"/>
        <v>3741.1807681507707</v>
      </c>
      <c r="L93" s="4">
        <f t="shared" si="53"/>
        <v>3928.2398065583097</v>
      </c>
      <c r="M93" s="4">
        <f t="shared" si="53"/>
        <v>4124.6517968862245</v>
      </c>
      <c r="N93" s="4">
        <f t="shared" si="53"/>
        <v>4330.884386730535</v>
      </c>
      <c r="O93" s="4">
        <f t="shared" si="53"/>
        <v>4547.428606067062</v>
      </c>
      <c r="P93" s="4">
        <f t="shared" si="53"/>
        <v>4774.800036370415</v>
      </c>
      <c r="Q93" s="4">
        <f t="shared" si="53"/>
        <v>5013.5400381889358</v>
      </c>
      <c r="R93" s="4">
        <f t="shared" si="53"/>
        <v>5264.2170400983832</v>
      </c>
    </row>
    <row r="94" spans="2:21" x14ac:dyDescent="0.25">
      <c r="B94" t="str">
        <f>+B65</f>
        <v>BV E boy</v>
      </c>
      <c r="C94" s="4">
        <f t="shared" ref="C94:R94" si="54">+C65</f>
        <v>15000</v>
      </c>
      <c r="D94" s="4">
        <f t="shared" si="54"/>
        <v>15772.245122668968</v>
      </c>
      <c r="E94" s="4">
        <f t="shared" si="54"/>
        <v>16134.508187100397</v>
      </c>
      <c r="F94" s="4">
        <f t="shared" si="54"/>
        <v>15840.253712097365</v>
      </c>
      <c r="G94" s="4">
        <f t="shared" si="54"/>
        <v>15484.85025908195</v>
      </c>
      <c r="H94" s="4">
        <f t="shared" si="54"/>
        <v>16171.442636555446</v>
      </c>
      <c r="I94" s="4">
        <f t="shared" si="54"/>
        <v>17494.596276180389</v>
      </c>
      <c r="J94" s="4">
        <f t="shared" si="54"/>
        <v>18762.286626138717</v>
      </c>
      <c r="K94" s="4">
        <f t="shared" si="54"/>
        <v>20093.361493594959</v>
      </c>
      <c r="L94" s="4">
        <f t="shared" si="54"/>
        <v>21490.99010442401</v>
      </c>
      <c r="M94" s="4">
        <f t="shared" si="54"/>
        <v>22958.500145794518</v>
      </c>
      <c r="N94" s="4">
        <f t="shared" si="54"/>
        <v>24499.385689233546</v>
      </c>
      <c r="O94" s="4">
        <f t="shared" si="54"/>
        <v>26117.315509844528</v>
      </c>
      <c r="P94" s="4">
        <f t="shared" si="54"/>
        <v>27816.141821486053</v>
      </c>
      <c r="Q94" s="4">
        <f t="shared" si="54"/>
        <v>29599.909448709659</v>
      </c>
      <c r="R94" s="4">
        <f t="shared" si="54"/>
        <v>31472.865457294443</v>
      </c>
    </row>
    <row r="95" spans="2:21" x14ac:dyDescent="0.25">
      <c r="B95" s="3" t="str">
        <f>+B28</f>
        <v>rE=(rA-D/V*rD)/(1-D/V)</v>
      </c>
      <c r="C95" s="3">
        <f t="shared" ref="C95:R95" si="55">+C28</f>
        <v>0.12</v>
      </c>
      <c r="D95" s="3">
        <f t="shared" si="55"/>
        <v>0.12235602094240838</v>
      </c>
      <c r="E95" s="3">
        <f t="shared" si="55"/>
        <v>0.12445054945054944</v>
      </c>
      <c r="F95" s="3">
        <f t="shared" si="55"/>
        <v>0.12678362573099414</v>
      </c>
      <c r="G95" s="3">
        <f t="shared" si="55"/>
        <v>0.12820987654320987</v>
      </c>
      <c r="H95" s="3">
        <f t="shared" si="55"/>
        <v>0.12874999999999998</v>
      </c>
      <c r="I95" s="3">
        <f t="shared" si="55"/>
        <v>0.12874999999999998</v>
      </c>
      <c r="J95" s="3">
        <f t="shared" si="55"/>
        <v>0.12874999999999998</v>
      </c>
      <c r="K95" s="3">
        <f t="shared" si="55"/>
        <v>0.12874999999999998</v>
      </c>
      <c r="L95" s="3">
        <f t="shared" si="55"/>
        <v>0.12874999999999998</v>
      </c>
      <c r="M95" s="3">
        <f t="shared" si="55"/>
        <v>0.12874999999999998</v>
      </c>
      <c r="N95" s="3">
        <f t="shared" si="55"/>
        <v>0.12874999999999998</v>
      </c>
      <c r="O95" s="3">
        <f t="shared" si="55"/>
        <v>0.12874999999999998</v>
      </c>
      <c r="P95" s="3">
        <f t="shared" si="55"/>
        <v>0.12874999999999998</v>
      </c>
      <c r="Q95" s="3">
        <f t="shared" si="55"/>
        <v>0.12874999999999998</v>
      </c>
      <c r="R95" s="3">
        <f t="shared" si="55"/>
        <v>0.12874999999999998</v>
      </c>
    </row>
    <row r="96" spans="2:21" x14ac:dyDescent="0.25">
      <c r="B96" t="s">
        <v>94</v>
      </c>
      <c r="C96" s="4">
        <f>+C94*C95</f>
        <v>1800</v>
      </c>
      <c r="D96" s="4">
        <f t="shared" ref="D96:R96" si="56">+D94*D95</f>
        <v>1929.8291545380828</v>
      </c>
      <c r="E96" s="4">
        <f t="shared" si="56"/>
        <v>2007.9484089990326</v>
      </c>
      <c r="F96" s="4">
        <f t="shared" si="56"/>
        <v>2008.2847981185428</v>
      </c>
      <c r="G96" s="4">
        <f t="shared" si="56"/>
        <v>1985.310740006988</v>
      </c>
      <c r="H96" s="4">
        <f t="shared" si="56"/>
        <v>2082.0732394565134</v>
      </c>
      <c r="I96" s="4">
        <f t="shared" si="56"/>
        <v>2252.4292705582247</v>
      </c>
      <c r="J96" s="4">
        <f t="shared" si="56"/>
        <v>2415.6444031153592</v>
      </c>
      <c r="K96" s="4">
        <f t="shared" si="56"/>
        <v>2587.0202923003503</v>
      </c>
      <c r="L96" s="4">
        <f t="shared" si="56"/>
        <v>2766.9649759445906</v>
      </c>
      <c r="M96" s="4">
        <f t="shared" si="56"/>
        <v>2955.9068937710435</v>
      </c>
      <c r="N96" s="4">
        <f t="shared" si="56"/>
        <v>3154.2959074888186</v>
      </c>
      <c r="O96" s="4">
        <f t="shared" si="56"/>
        <v>3362.6043718924825</v>
      </c>
      <c r="P96" s="4">
        <f t="shared" si="56"/>
        <v>3581.3282595163287</v>
      </c>
      <c r="Q96" s="4">
        <f t="shared" si="56"/>
        <v>3810.9883415213681</v>
      </c>
      <c r="R96" s="4">
        <f t="shared" si="56"/>
        <v>4052.1314276266589</v>
      </c>
    </row>
    <row r="97" spans="2:19" x14ac:dyDescent="0.25">
      <c r="B97" t="s">
        <v>95</v>
      </c>
      <c r="C97" s="4">
        <f>+C93-C96</f>
        <v>600</v>
      </c>
      <c r="D97" s="4">
        <f t="shared" ref="D97:R97" si="57">+D93-D96</f>
        <v>741.89657233137928</v>
      </c>
      <c r="E97" s="4">
        <f t="shared" si="57"/>
        <v>866.80914105052011</v>
      </c>
      <c r="F97" s="4">
        <f t="shared" si="57"/>
        <v>985.78807432199847</v>
      </c>
      <c r="G97" s="4">
        <f t="shared" si="57"/>
        <v>1080.300264956039</v>
      </c>
      <c r="H97" s="4">
        <f t="shared" si="57"/>
        <v>1134.2883122243115</v>
      </c>
      <c r="I97" s="4">
        <f t="shared" si="57"/>
        <v>1140.9319703948559</v>
      </c>
      <c r="J97" s="4">
        <f t="shared" si="57"/>
        <v>1147.3848998853759</v>
      </c>
      <c r="K97" s="4">
        <f t="shared" si="57"/>
        <v>1154.1604758504204</v>
      </c>
      <c r="L97" s="4">
        <f t="shared" si="57"/>
        <v>1161.2748306137191</v>
      </c>
      <c r="M97" s="4">
        <f t="shared" si="57"/>
        <v>1168.7449031151809</v>
      </c>
      <c r="N97" s="4">
        <f t="shared" si="57"/>
        <v>1176.5884792417164</v>
      </c>
      <c r="O97" s="4">
        <f t="shared" si="57"/>
        <v>1184.8242341745795</v>
      </c>
      <c r="P97" s="4">
        <f t="shared" si="57"/>
        <v>1193.4717768540863</v>
      </c>
      <c r="Q97" s="4">
        <f t="shared" si="57"/>
        <v>1202.5516966675677</v>
      </c>
      <c r="R97" s="4">
        <f t="shared" si="57"/>
        <v>1212.0856124717243</v>
      </c>
    </row>
    <row r="98" spans="2:19" x14ac:dyDescent="0.25">
      <c r="B98" t="s">
        <v>96</v>
      </c>
      <c r="C98" s="4">
        <f t="shared" ref="C98:P98" si="58">+(C97+D98)/(1+C95)</f>
        <v>8201.485661329998</v>
      </c>
      <c r="D98" s="4">
        <f t="shared" si="58"/>
        <v>8585.6639406895993</v>
      </c>
      <c r="E98" s="4">
        <f t="shared" si="58"/>
        <v>8894.2750452897162</v>
      </c>
      <c r="F98" s="4">
        <f t="shared" si="58"/>
        <v>9134.3633205898113</v>
      </c>
      <c r="G98" s="4">
        <f t="shared" si="58"/>
        <v>9306.662946796394</v>
      </c>
      <c r="H98" s="4">
        <f t="shared" si="58"/>
        <v>9419.5687892783862</v>
      </c>
      <c r="I98" s="4">
        <f t="shared" si="58"/>
        <v>9498.049958673666</v>
      </c>
      <c r="J98" s="4">
        <f t="shared" si="58"/>
        <v>9579.9919204580438</v>
      </c>
      <c r="K98" s="4">
        <f t="shared" si="58"/>
        <v>9666.0309803316413</v>
      </c>
      <c r="L98" s="4">
        <f t="shared" si="58"/>
        <v>9756.3719931989199</v>
      </c>
      <c r="M98" s="4">
        <f t="shared" si="58"/>
        <v>9851.2300567095626</v>
      </c>
      <c r="N98" s="4">
        <f t="shared" si="58"/>
        <v>9950.8310233957363</v>
      </c>
      <c r="O98" s="4">
        <f t="shared" si="58"/>
        <v>10055.41203841622</v>
      </c>
      <c r="P98" s="4">
        <f t="shared" si="58"/>
        <v>10165.222104187729</v>
      </c>
      <c r="Q98" s="4">
        <f>+(Q97+R98)/(1+Q95)</f>
        <v>10280.522673247811</v>
      </c>
      <c r="R98" s="14">
        <f>+R77-R94</f>
        <v>10401.588270760898</v>
      </c>
      <c r="S98" t="s">
        <v>97</v>
      </c>
    </row>
    <row r="99" spans="2:19" x14ac:dyDescent="0.25">
      <c r="B99" t="s">
        <v>89</v>
      </c>
      <c r="C99" s="4">
        <f>+C98+C94</f>
        <v>23201.48566133</v>
      </c>
      <c r="D99" s="4">
        <f t="shared" ref="D99:R99" si="59">+D98+D94</f>
        <v>24357.909063358566</v>
      </c>
      <c r="E99" s="4">
        <f t="shared" si="59"/>
        <v>25028.783232390113</v>
      </c>
      <c r="F99" s="4">
        <f t="shared" si="59"/>
        <v>24974.617032687176</v>
      </c>
      <c r="G99" s="4">
        <f t="shared" si="59"/>
        <v>24791.513205878342</v>
      </c>
      <c r="H99" s="4">
        <f t="shared" si="59"/>
        <v>25591.011425833833</v>
      </c>
      <c r="I99" s="4">
        <f t="shared" si="59"/>
        <v>26992.646234854055</v>
      </c>
      <c r="J99" s="4">
        <f t="shared" si="59"/>
        <v>28342.278546596761</v>
      </c>
      <c r="K99" s="4">
        <f t="shared" si="59"/>
        <v>29759.3924739266</v>
      </c>
      <c r="L99" s="4">
        <f t="shared" si="59"/>
        <v>31247.362097622929</v>
      </c>
      <c r="M99" s="4">
        <f t="shared" si="59"/>
        <v>32809.730202504084</v>
      </c>
      <c r="N99" s="4">
        <f t="shared" si="59"/>
        <v>34450.216712629284</v>
      </c>
      <c r="O99" s="4">
        <f t="shared" si="59"/>
        <v>36172.727548260751</v>
      </c>
      <c r="P99" s="4">
        <f t="shared" si="59"/>
        <v>37981.363925673781</v>
      </c>
      <c r="Q99" s="4">
        <f t="shared" si="59"/>
        <v>39880.43212195747</v>
      </c>
      <c r="R99" s="4">
        <f t="shared" si="59"/>
        <v>41874.453728055341</v>
      </c>
    </row>
    <row r="100" spans="2:19" x14ac:dyDescent="0.25">
      <c r="B100" s="4" t="str">
        <f>+B78</f>
        <v>D boy</v>
      </c>
      <c r="C100" s="4">
        <f>+C78</f>
        <v>0</v>
      </c>
      <c r="D100" s="4">
        <f t="shared" ref="D100:R100" si="60">+D78</f>
        <v>1147.7548773310314</v>
      </c>
      <c r="E100" s="4">
        <f t="shared" si="60"/>
        <v>2475.3741658407785</v>
      </c>
      <c r="F100" s="4">
        <f t="shared" si="60"/>
        <v>4235.4613681165347</v>
      </c>
      <c r="G100" s="4">
        <f t="shared" si="60"/>
        <v>5815.2932211319512</v>
      </c>
      <c r="H100" s="4">
        <f t="shared" si="60"/>
        <v>6397.7528564584527</v>
      </c>
      <c r="I100" s="4">
        <f t="shared" si="60"/>
        <v>6748.1615587135084</v>
      </c>
      <c r="J100" s="4">
        <f t="shared" si="60"/>
        <v>7085.5696366491829</v>
      </c>
      <c r="K100" s="4">
        <f t="shared" si="60"/>
        <v>7439.8481184816428</v>
      </c>
      <c r="L100" s="4">
        <f t="shared" si="60"/>
        <v>7811.8405244057258</v>
      </c>
      <c r="M100" s="4">
        <f t="shared" si="60"/>
        <v>8202.432550626012</v>
      </c>
      <c r="N100" s="4">
        <f t="shared" si="60"/>
        <v>8612.5541781573138</v>
      </c>
      <c r="O100" s="4">
        <f t="shared" si="60"/>
        <v>9043.1818870651787</v>
      </c>
      <c r="P100" s="4">
        <f t="shared" si="60"/>
        <v>9495.3409814184397</v>
      </c>
      <c r="Q100" s="4">
        <f t="shared" si="60"/>
        <v>9970.1080304893621</v>
      </c>
      <c r="R100" s="4">
        <f t="shared" si="60"/>
        <v>10468.61343201383</v>
      </c>
    </row>
    <row r="101" spans="2:19" x14ac:dyDescent="0.25">
      <c r="B101" s="12" t="s">
        <v>19</v>
      </c>
      <c r="C101" s="13">
        <f>+C99+C100</f>
        <v>23201.48566133</v>
      </c>
      <c r="D101" s="13">
        <f t="shared" ref="D101:R101" si="61">+D99+D100</f>
        <v>25505.663940689596</v>
      </c>
      <c r="E101" s="13">
        <f t="shared" si="61"/>
        <v>27504.157398230891</v>
      </c>
      <c r="F101" s="13">
        <f t="shared" si="61"/>
        <v>29210.078400803712</v>
      </c>
      <c r="G101" s="13">
        <f t="shared" si="61"/>
        <v>30606.806427010291</v>
      </c>
      <c r="H101" s="13">
        <f t="shared" si="61"/>
        <v>31988.764282292286</v>
      </c>
      <c r="I101" s="13">
        <f t="shared" si="61"/>
        <v>33740.807793567561</v>
      </c>
      <c r="J101" s="13">
        <f t="shared" si="61"/>
        <v>35427.848183245944</v>
      </c>
      <c r="K101" s="13">
        <f t="shared" si="61"/>
        <v>37199.240592408241</v>
      </c>
      <c r="L101" s="13">
        <f t="shared" si="61"/>
        <v>39059.202622028657</v>
      </c>
      <c r="M101" s="13">
        <f t="shared" si="61"/>
        <v>41012.162753130098</v>
      </c>
      <c r="N101" s="13">
        <f t="shared" si="61"/>
        <v>43062.770890786596</v>
      </c>
      <c r="O101" s="13">
        <f t="shared" si="61"/>
        <v>45215.909435325928</v>
      </c>
      <c r="P101" s="13">
        <f t="shared" si="61"/>
        <v>47476.704907092222</v>
      </c>
      <c r="Q101" s="13">
        <f t="shared" si="61"/>
        <v>49850.540152446833</v>
      </c>
      <c r="R101" s="13">
        <f t="shared" si="61"/>
        <v>52343.067160069171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50B8-045E-40AF-8B70-C8CF8A3C23D4}">
  <dimension ref="B17:BG101"/>
  <sheetViews>
    <sheetView topLeftCell="A7" zoomScale="200" zoomScaleNormal="200" workbookViewId="0">
      <selection activeCell="J24" sqref="J24"/>
    </sheetView>
  </sheetViews>
  <sheetFormatPr defaultRowHeight="15.75" x14ac:dyDescent="0.25"/>
  <cols>
    <col min="2" max="2" width="24.875" bestFit="1" customWidth="1"/>
    <col min="3" max="8" width="8.875" bestFit="1" customWidth="1"/>
    <col min="9" max="9" width="12.375" bestFit="1" customWidth="1"/>
    <col min="10" max="11" width="9.5" bestFit="1" customWidth="1"/>
    <col min="12" max="12" width="9.875" bestFit="1" customWidth="1"/>
    <col min="13" max="16" width="10.5" bestFit="1" customWidth="1"/>
    <col min="17" max="17" width="11.375" bestFit="1" customWidth="1"/>
    <col min="18" max="21" width="12" bestFit="1" customWidth="1"/>
    <col min="22" max="22" width="12.375" bestFit="1" customWidth="1"/>
    <col min="23" max="26" width="13.125" bestFit="1" customWidth="1"/>
    <col min="27" max="27" width="13.5" bestFit="1" customWidth="1"/>
    <col min="28" max="30" width="14.125" bestFit="1" customWidth="1"/>
    <col min="31" max="32" width="15" bestFit="1" customWidth="1"/>
    <col min="33" max="35" width="15.625" bestFit="1" customWidth="1"/>
    <col min="36" max="37" width="16" bestFit="1" customWidth="1"/>
    <col min="38" max="40" width="16.625" bestFit="1" customWidth="1"/>
    <col min="41" max="42" width="17.125" bestFit="1" customWidth="1"/>
    <col min="43" max="45" width="17.75" bestFit="1" customWidth="1"/>
    <col min="46" max="47" width="18.625" bestFit="1" customWidth="1"/>
    <col min="48" max="50" width="19.25" bestFit="1" customWidth="1"/>
    <col min="51" max="52" width="19.625" bestFit="1" customWidth="1"/>
    <col min="53" max="55" width="20.25" bestFit="1" customWidth="1"/>
    <col min="56" max="56" width="20.625" bestFit="1" customWidth="1"/>
    <col min="57" max="58" width="21.375" bestFit="1" customWidth="1"/>
    <col min="59" max="59" width="20.625" bestFit="1" customWidth="1"/>
  </cols>
  <sheetData>
    <row r="17" spans="2:59" x14ac:dyDescent="0.25">
      <c r="I17">
        <f>+I22/I29</f>
        <v>1.0291595197255574</v>
      </c>
    </row>
    <row r="18" spans="2:59" x14ac:dyDescent="0.25">
      <c r="I18" t="s">
        <v>13</v>
      </c>
    </row>
    <row r="19" spans="2:59" x14ac:dyDescent="0.25">
      <c r="C19" s="1">
        <v>2025</v>
      </c>
      <c r="D19" s="2">
        <f>+C19+1</f>
        <v>2026</v>
      </c>
      <c r="E19" s="2">
        <f t="shared" ref="E19:H19" si="0">+D19+1</f>
        <v>2027</v>
      </c>
      <c r="F19" s="2">
        <f t="shared" si="0"/>
        <v>2028</v>
      </c>
      <c r="G19" s="2">
        <f t="shared" si="0"/>
        <v>2029</v>
      </c>
      <c r="H19" s="2">
        <f t="shared" si="0"/>
        <v>2030</v>
      </c>
      <c r="I19" s="2" t="s">
        <v>7</v>
      </c>
      <c r="J19" s="2" t="s">
        <v>8</v>
      </c>
      <c r="K19" s="2" t="s">
        <v>16</v>
      </c>
      <c r="L19" s="2" t="s">
        <v>17</v>
      </c>
      <c r="M19" s="2" t="s">
        <v>20</v>
      </c>
      <c r="N19" s="2" t="s">
        <v>21</v>
      </c>
      <c r="O19" s="2" t="s">
        <v>22</v>
      </c>
      <c r="P19" s="2" t="s">
        <v>23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  <c r="V19" s="2" t="s">
        <v>29</v>
      </c>
      <c r="W19" s="2" t="s">
        <v>30</v>
      </c>
      <c r="X19" s="2" t="s">
        <v>31</v>
      </c>
      <c r="Y19" s="2" t="s">
        <v>32</v>
      </c>
      <c r="Z19" s="2" t="s">
        <v>33</v>
      </c>
      <c r="AA19" s="2" t="s">
        <v>34</v>
      </c>
      <c r="AB19" s="2" t="s">
        <v>35</v>
      </c>
      <c r="AC19" s="2" t="s">
        <v>36</v>
      </c>
      <c r="AD19" s="2" t="s">
        <v>37</v>
      </c>
      <c r="AE19" s="2" t="s">
        <v>38</v>
      </c>
      <c r="AF19" s="2" t="s">
        <v>39</v>
      </c>
      <c r="AG19" s="2" t="s">
        <v>40</v>
      </c>
      <c r="AH19" s="2" t="s">
        <v>41</v>
      </c>
      <c r="AI19" s="2" t="s">
        <v>42</v>
      </c>
      <c r="AJ19" s="2" t="s">
        <v>43</v>
      </c>
      <c r="AK19" s="2" t="s">
        <v>44</v>
      </c>
      <c r="AL19" s="2" t="s">
        <v>45</v>
      </c>
      <c r="AM19" s="2" t="s">
        <v>46</v>
      </c>
      <c r="AN19" s="2" t="s">
        <v>47</v>
      </c>
      <c r="AO19" s="2" t="s">
        <v>48</v>
      </c>
      <c r="AP19" s="2" t="s">
        <v>49</v>
      </c>
      <c r="AQ19" s="2" t="s">
        <v>50</v>
      </c>
      <c r="AR19" s="2" t="s">
        <v>51</v>
      </c>
      <c r="AS19" s="2" t="s">
        <v>52</v>
      </c>
      <c r="AT19" s="2" t="s">
        <v>53</v>
      </c>
      <c r="AU19" s="2" t="s">
        <v>54</v>
      </c>
      <c r="AV19" s="2" t="s">
        <v>55</v>
      </c>
      <c r="AW19" s="2" t="s">
        <v>56</v>
      </c>
      <c r="AX19" s="2" t="s">
        <v>57</v>
      </c>
      <c r="AY19" s="2" t="s">
        <v>58</v>
      </c>
      <c r="AZ19" s="2" t="s">
        <v>59</v>
      </c>
      <c r="BA19" s="2" t="s">
        <v>60</v>
      </c>
      <c r="BB19" s="2" t="s">
        <v>61</v>
      </c>
      <c r="BC19" s="2" t="s">
        <v>62</v>
      </c>
      <c r="BD19" s="2" t="s">
        <v>63</v>
      </c>
      <c r="BE19" s="2" t="s">
        <v>64</v>
      </c>
      <c r="BF19" s="2" t="s">
        <v>65</v>
      </c>
    </row>
    <row r="20" spans="2:59" x14ac:dyDescent="0.25">
      <c r="B20" t="s">
        <v>1</v>
      </c>
      <c r="C20" s="7">
        <v>15000</v>
      </c>
      <c r="D20" s="4">
        <f>+C20+C36</f>
        <v>16920</v>
      </c>
      <c r="E20" s="4">
        <f>+D20+D36</f>
        <v>18609.882352941175</v>
      </c>
      <c r="F20" s="4">
        <f>+E20+E36</f>
        <v>20075.7150802139</v>
      </c>
      <c r="G20" s="4">
        <f>+F20+F36</f>
        <v>21300.143480213901</v>
      </c>
      <c r="H20" s="4">
        <f>+G20+G36</f>
        <v>22569.1954930139</v>
      </c>
      <c r="I20" s="4">
        <f>+H20+H36</f>
        <v>24242.757834893899</v>
      </c>
      <c r="J20" s="4">
        <f>+I20+I36</f>
        <v>26168.875948366698</v>
      </c>
      <c r="K20" s="4">
        <f>+J20+J36</f>
        <v>28210.561148647867</v>
      </c>
      <c r="L20" s="4">
        <f t="shared" ref="L20:BG20" si="1">+K20+K36</f>
        <v>30374.747460945902</v>
      </c>
      <c r="M20" s="4">
        <f t="shared" si="1"/>
        <v>32668.784951981823</v>
      </c>
      <c r="N20" s="4">
        <f t="shared" si="1"/>
        <v>35100.464692479894</v>
      </c>
      <c r="O20" s="4">
        <f t="shared" si="1"/>
        <v>37678.045217407853</v>
      </c>
      <c r="P20" s="4">
        <f t="shared" si="1"/>
        <v>40410.280573831493</v>
      </c>
      <c r="Q20" s="4">
        <f t="shared" si="1"/>
        <v>43306.450051640546</v>
      </c>
      <c r="R20" s="4">
        <f t="shared" si="1"/>
        <v>46376.389698118146</v>
      </c>
      <c r="S20" s="4">
        <f t="shared" si="1"/>
        <v>49630.525723384402</v>
      </c>
      <c r="T20" s="4">
        <f t="shared" si="1"/>
        <v>53079.909910166629</v>
      </c>
      <c r="U20" s="4">
        <f t="shared" si="1"/>
        <v>56736.25714815579</v>
      </c>
      <c r="V20" s="4">
        <f t="shared" si="1"/>
        <v>60611.9852204243</v>
      </c>
      <c r="W20" s="4">
        <f t="shared" si="1"/>
        <v>64720.256977028926</v>
      </c>
      <c r="X20" s="4">
        <f t="shared" si="1"/>
        <v>69075.025039029832</v>
      </c>
      <c r="Y20" s="4">
        <f t="shared" si="1"/>
        <v>73691.079184750794</v>
      </c>
      <c r="Z20" s="4">
        <f t="shared" si="1"/>
        <v>78584.096579215009</v>
      </c>
      <c r="AA20" s="4">
        <f t="shared" si="1"/>
        <v>83770.695017347069</v>
      </c>
      <c r="AB20" s="4">
        <f t="shared" si="1"/>
        <v>89268.48936176706</v>
      </c>
      <c r="AC20" s="4">
        <f t="shared" si="1"/>
        <v>95096.151366852253</v>
      </c>
      <c r="AD20" s="4">
        <f t="shared" si="1"/>
        <v>101273.47309224255</v>
      </c>
      <c r="AE20" s="4">
        <f t="shared" si="1"/>
        <v>107821.43412115627</v>
      </c>
      <c r="AF20" s="4">
        <f t="shared" si="1"/>
        <v>114762.27281180481</v>
      </c>
      <c r="AG20" s="4">
        <f t="shared" si="1"/>
        <v>122119.56182389226</v>
      </c>
      <c r="AH20" s="4">
        <f t="shared" si="1"/>
        <v>129918.28817670497</v>
      </c>
      <c r="AI20" s="4">
        <f t="shared" si="1"/>
        <v>138184.93811068643</v>
      </c>
      <c r="AJ20" s="4">
        <f t="shared" si="1"/>
        <v>146947.58704070677</v>
      </c>
      <c r="AK20" s="4">
        <f t="shared" si="1"/>
        <v>156235.99490652833</v>
      </c>
      <c r="AL20" s="4">
        <f t="shared" si="1"/>
        <v>166081.70724429921</v>
      </c>
      <c r="AM20" s="4">
        <f t="shared" si="1"/>
        <v>176518.16232233631</v>
      </c>
      <c r="AN20" s="4">
        <f t="shared" si="1"/>
        <v>187580.80470505566</v>
      </c>
      <c r="AO20" s="4">
        <f t="shared" si="1"/>
        <v>199307.20563073817</v>
      </c>
      <c r="AP20" s="4">
        <f t="shared" si="1"/>
        <v>211737.19061196162</v>
      </c>
      <c r="AQ20" s="4">
        <f t="shared" si="1"/>
        <v>224912.97469205849</v>
      </c>
      <c r="AR20" s="4">
        <f t="shared" si="1"/>
        <v>238879.30581696116</v>
      </c>
      <c r="AS20" s="4">
        <f t="shared" si="1"/>
        <v>253683.61680935801</v>
      </c>
      <c r="AT20" s="4">
        <f t="shared" si="1"/>
        <v>269376.18646129867</v>
      </c>
      <c r="AU20" s="4">
        <f t="shared" si="1"/>
        <v>286010.31029235577</v>
      </c>
      <c r="AV20" s="4">
        <f t="shared" si="1"/>
        <v>303642.4815532763</v>
      </c>
      <c r="AW20" s="4">
        <f t="shared" si="1"/>
        <v>322332.58308985207</v>
      </c>
      <c r="AX20" s="4">
        <f t="shared" si="1"/>
        <v>342144.09071862238</v>
      </c>
      <c r="AY20" s="4">
        <f t="shared" si="1"/>
        <v>363144.28880511888</v>
      </c>
      <c r="AZ20" s="4">
        <f t="shared" si="1"/>
        <v>385404.49877680518</v>
      </c>
      <c r="BA20" s="4">
        <f t="shared" si="1"/>
        <v>409000.32134679263</v>
      </c>
      <c r="BB20" s="4">
        <f t="shared" si="1"/>
        <v>434011.89327097934</v>
      </c>
      <c r="BC20" s="4">
        <f t="shared" si="1"/>
        <v>460524.15951061726</v>
      </c>
      <c r="BD20" s="4">
        <f t="shared" si="1"/>
        <v>488627.16172463348</v>
      </c>
      <c r="BE20" s="4">
        <f t="shared" si="1"/>
        <v>518416.34407149063</v>
      </c>
      <c r="BF20" s="4">
        <f t="shared" si="1"/>
        <v>549992.87735915929</v>
      </c>
      <c r="BG20" s="4">
        <f t="shared" si="1"/>
        <v>583464.002644088</v>
      </c>
    </row>
    <row r="21" spans="2:59" x14ac:dyDescent="0.25">
      <c r="B21" t="s">
        <v>2</v>
      </c>
      <c r="C21" s="8">
        <v>0.16</v>
      </c>
      <c r="D21" s="3"/>
      <c r="E21" s="3"/>
      <c r="F21" s="3"/>
      <c r="G21" s="3"/>
      <c r="H21" s="3"/>
    </row>
    <row r="22" spans="2:59" x14ac:dyDescent="0.25">
      <c r="B22" t="s">
        <v>3</v>
      </c>
      <c r="C22" s="3">
        <f>+C21</f>
        <v>0.16</v>
      </c>
      <c r="D22" s="8">
        <v>0.17499999999999999</v>
      </c>
      <c r="E22" s="8">
        <v>0.17</v>
      </c>
      <c r="F22" s="8">
        <v>0.16500000000000001</v>
      </c>
      <c r="G22" s="8">
        <v>0.16</v>
      </c>
      <c r="H22" s="8">
        <v>0.15</v>
      </c>
      <c r="I22" s="17">
        <v>0.12</v>
      </c>
      <c r="J22" s="17">
        <f>+I22</f>
        <v>0.12</v>
      </c>
      <c r="K22" s="17">
        <f t="shared" ref="K22:BG23" si="2">+J22</f>
        <v>0.12</v>
      </c>
      <c r="L22" s="17">
        <f t="shared" si="2"/>
        <v>0.12</v>
      </c>
      <c r="M22" s="17">
        <f t="shared" si="2"/>
        <v>0.12</v>
      </c>
      <c r="N22" s="17">
        <f t="shared" si="2"/>
        <v>0.12</v>
      </c>
      <c r="O22" s="17">
        <f t="shared" si="2"/>
        <v>0.12</v>
      </c>
      <c r="P22" s="17">
        <f t="shared" si="2"/>
        <v>0.12</v>
      </c>
      <c r="Q22" s="17">
        <f t="shared" si="2"/>
        <v>0.12</v>
      </c>
      <c r="R22" s="17">
        <f t="shared" si="2"/>
        <v>0.12</v>
      </c>
      <c r="S22" s="17">
        <f t="shared" si="2"/>
        <v>0.12</v>
      </c>
      <c r="T22" s="17">
        <f t="shared" si="2"/>
        <v>0.12</v>
      </c>
      <c r="U22" s="17">
        <f t="shared" si="2"/>
        <v>0.12</v>
      </c>
      <c r="V22" s="17">
        <f t="shared" si="2"/>
        <v>0.12</v>
      </c>
      <c r="W22" s="17">
        <f t="shared" si="2"/>
        <v>0.12</v>
      </c>
      <c r="X22" s="17">
        <f t="shared" si="2"/>
        <v>0.12</v>
      </c>
      <c r="Y22" s="17">
        <f t="shared" si="2"/>
        <v>0.12</v>
      </c>
      <c r="Z22" s="17">
        <f t="shared" si="2"/>
        <v>0.12</v>
      </c>
      <c r="AA22" s="17">
        <f t="shared" si="2"/>
        <v>0.12</v>
      </c>
      <c r="AB22" s="17">
        <f t="shared" si="2"/>
        <v>0.12</v>
      </c>
      <c r="AC22" s="17">
        <f t="shared" si="2"/>
        <v>0.12</v>
      </c>
      <c r="AD22" s="17">
        <f t="shared" si="2"/>
        <v>0.12</v>
      </c>
      <c r="AE22" s="17">
        <f t="shared" si="2"/>
        <v>0.12</v>
      </c>
      <c r="AF22" s="17">
        <f t="shared" si="2"/>
        <v>0.12</v>
      </c>
      <c r="AG22" s="17">
        <f t="shared" si="2"/>
        <v>0.12</v>
      </c>
      <c r="AH22" s="17">
        <f t="shared" si="2"/>
        <v>0.12</v>
      </c>
      <c r="AI22" s="17">
        <f t="shared" si="2"/>
        <v>0.12</v>
      </c>
      <c r="AJ22" s="17">
        <f t="shared" si="2"/>
        <v>0.12</v>
      </c>
      <c r="AK22" s="17">
        <f t="shared" si="2"/>
        <v>0.12</v>
      </c>
      <c r="AL22" s="17">
        <f t="shared" si="2"/>
        <v>0.12</v>
      </c>
      <c r="AM22" s="17">
        <f t="shared" si="2"/>
        <v>0.12</v>
      </c>
      <c r="AN22" s="17">
        <f t="shared" si="2"/>
        <v>0.12</v>
      </c>
      <c r="AO22" s="17">
        <f t="shared" si="2"/>
        <v>0.12</v>
      </c>
      <c r="AP22" s="17">
        <f t="shared" si="2"/>
        <v>0.12</v>
      </c>
      <c r="AQ22" s="17">
        <f t="shared" si="2"/>
        <v>0.12</v>
      </c>
      <c r="AR22" s="17">
        <f t="shared" si="2"/>
        <v>0.12</v>
      </c>
      <c r="AS22" s="17">
        <f t="shared" si="2"/>
        <v>0.12</v>
      </c>
      <c r="AT22" s="17">
        <f t="shared" si="2"/>
        <v>0.12</v>
      </c>
      <c r="AU22" s="17">
        <f t="shared" si="2"/>
        <v>0.12</v>
      </c>
      <c r="AV22" s="17">
        <f t="shared" si="2"/>
        <v>0.12</v>
      </c>
      <c r="AW22" s="17">
        <f t="shared" si="2"/>
        <v>0.12</v>
      </c>
      <c r="AX22" s="17">
        <f t="shared" si="2"/>
        <v>0.12</v>
      </c>
      <c r="AY22" s="17">
        <f t="shared" si="2"/>
        <v>0.12</v>
      </c>
      <c r="AZ22" s="17">
        <f t="shared" si="2"/>
        <v>0.12</v>
      </c>
      <c r="BA22" s="17">
        <f t="shared" si="2"/>
        <v>0.12</v>
      </c>
      <c r="BB22" s="17">
        <f t="shared" si="2"/>
        <v>0.12</v>
      </c>
      <c r="BC22" s="17">
        <f t="shared" si="2"/>
        <v>0.12</v>
      </c>
      <c r="BD22" s="17">
        <f t="shared" si="2"/>
        <v>0.12</v>
      </c>
      <c r="BE22" s="17">
        <f t="shared" si="2"/>
        <v>0.12</v>
      </c>
      <c r="BF22" s="17">
        <f t="shared" si="2"/>
        <v>0.12</v>
      </c>
      <c r="BG22" s="17">
        <f t="shared" si="2"/>
        <v>0.12</v>
      </c>
    </row>
    <row r="23" spans="2:59" x14ac:dyDescent="0.25">
      <c r="B23" t="s">
        <v>5</v>
      </c>
      <c r="C23" s="3"/>
      <c r="D23" s="8">
        <v>0.14000000000000001</v>
      </c>
      <c r="E23" s="8">
        <v>0.105</v>
      </c>
      <c r="F23" s="8">
        <v>0.08</v>
      </c>
      <c r="G23" s="8">
        <v>0.06</v>
      </c>
      <c r="H23" s="8">
        <v>5.5E-2</v>
      </c>
      <c r="I23" s="8">
        <v>5.5E-2</v>
      </c>
      <c r="J23" s="19">
        <v>0.06</v>
      </c>
      <c r="K23" s="18">
        <f>+J23</f>
        <v>0.06</v>
      </c>
      <c r="L23" s="18">
        <f t="shared" si="2"/>
        <v>0.06</v>
      </c>
      <c r="M23" s="18">
        <f t="shared" si="2"/>
        <v>0.06</v>
      </c>
      <c r="N23" s="18">
        <f t="shared" si="2"/>
        <v>0.06</v>
      </c>
      <c r="O23" s="18">
        <f t="shared" si="2"/>
        <v>0.06</v>
      </c>
      <c r="P23" s="18">
        <f t="shared" si="2"/>
        <v>0.06</v>
      </c>
      <c r="Q23" s="18">
        <f t="shared" si="2"/>
        <v>0.06</v>
      </c>
      <c r="R23" s="18">
        <f t="shared" si="2"/>
        <v>0.06</v>
      </c>
      <c r="S23" s="18">
        <f t="shared" si="2"/>
        <v>0.06</v>
      </c>
      <c r="T23" s="18">
        <f t="shared" si="2"/>
        <v>0.06</v>
      </c>
      <c r="U23" s="18">
        <f t="shared" si="2"/>
        <v>0.06</v>
      </c>
      <c r="V23" s="18">
        <f t="shared" si="2"/>
        <v>0.06</v>
      </c>
      <c r="W23" s="18">
        <f t="shared" si="2"/>
        <v>0.06</v>
      </c>
      <c r="X23" s="18">
        <f t="shared" si="2"/>
        <v>0.06</v>
      </c>
      <c r="Y23" s="18">
        <f t="shared" si="2"/>
        <v>0.06</v>
      </c>
      <c r="Z23" s="18">
        <f t="shared" si="2"/>
        <v>0.06</v>
      </c>
      <c r="AA23" s="18">
        <f t="shared" si="2"/>
        <v>0.06</v>
      </c>
      <c r="AB23" s="18">
        <f t="shared" si="2"/>
        <v>0.06</v>
      </c>
      <c r="AC23" s="18">
        <f t="shared" si="2"/>
        <v>0.06</v>
      </c>
      <c r="AD23" s="18">
        <f t="shared" si="2"/>
        <v>0.06</v>
      </c>
      <c r="AE23" s="18">
        <f t="shared" si="2"/>
        <v>0.06</v>
      </c>
      <c r="AF23" s="18">
        <f t="shared" si="2"/>
        <v>0.06</v>
      </c>
      <c r="AG23" s="18">
        <f t="shared" si="2"/>
        <v>0.06</v>
      </c>
      <c r="AH23" s="18">
        <f t="shared" si="2"/>
        <v>0.06</v>
      </c>
      <c r="AI23" s="18">
        <f t="shared" si="2"/>
        <v>0.06</v>
      </c>
      <c r="AJ23" s="18">
        <f t="shared" si="2"/>
        <v>0.06</v>
      </c>
      <c r="AK23" s="18">
        <f t="shared" si="2"/>
        <v>0.06</v>
      </c>
      <c r="AL23" s="18">
        <f t="shared" si="2"/>
        <v>0.06</v>
      </c>
      <c r="AM23" s="18">
        <f t="shared" si="2"/>
        <v>0.06</v>
      </c>
      <c r="AN23" s="18">
        <f t="shared" si="2"/>
        <v>0.06</v>
      </c>
      <c r="AO23" s="18">
        <f t="shared" si="2"/>
        <v>0.06</v>
      </c>
      <c r="AP23" s="18">
        <f t="shared" si="2"/>
        <v>0.06</v>
      </c>
      <c r="AQ23" s="18">
        <f t="shared" si="2"/>
        <v>0.06</v>
      </c>
      <c r="AR23" s="18">
        <f t="shared" si="2"/>
        <v>0.06</v>
      </c>
      <c r="AS23" s="18">
        <f t="shared" si="2"/>
        <v>0.06</v>
      </c>
      <c r="AT23" s="18">
        <f t="shared" si="2"/>
        <v>0.06</v>
      </c>
      <c r="AU23" s="18">
        <f t="shared" si="2"/>
        <v>0.06</v>
      </c>
      <c r="AV23" s="18">
        <f t="shared" si="2"/>
        <v>0.06</v>
      </c>
      <c r="AW23" s="18">
        <f t="shared" si="2"/>
        <v>0.06</v>
      </c>
      <c r="AX23" s="18">
        <f t="shared" si="2"/>
        <v>0.06</v>
      </c>
      <c r="AY23" s="18">
        <f t="shared" si="2"/>
        <v>0.06</v>
      </c>
      <c r="AZ23" s="18">
        <f t="shared" si="2"/>
        <v>0.06</v>
      </c>
      <c r="BA23" s="18">
        <f t="shared" si="2"/>
        <v>0.06</v>
      </c>
      <c r="BB23" s="18">
        <f t="shared" si="2"/>
        <v>0.06</v>
      </c>
      <c r="BC23" s="18">
        <f t="shared" si="2"/>
        <v>0.06</v>
      </c>
      <c r="BD23" s="18">
        <f t="shared" si="2"/>
        <v>0.06</v>
      </c>
      <c r="BE23" s="18">
        <f t="shared" si="2"/>
        <v>0.06</v>
      </c>
      <c r="BF23" s="18">
        <f t="shared" si="2"/>
        <v>0.06</v>
      </c>
      <c r="BG23" s="18">
        <f t="shared" si="2"/>
        <v>0.06</v>
      </c>
    </row>
    <row r="24" spans="2:59" x14ac:dyDescent="0.25">
      <c r="B24" t="s">
        <v>6</v>
      </c>
      <c r="C24" s="8">
        <v>0</v>
      </c>
      <c r="D24" s="8">
        <v>4.4999999999999998E-2</v>
      </c>
      <c r="E24" s="8">
        <v>0.09</v>
      </c>
      <c r="F24" s="8">
        <v>0.14499999999999999</v>
      </c>
      <c r="G24" s="8">
        <v>0.19</v>
      </c>
      <c r="H24" s="8">
        <v>0.2</v>
      </c>
      <c r="I24" s="8">
        <v>0.2</v>
      </c>
      <c r="J24" s="8">
        <v>0.2</v>
      </c>
      <c r="K24" s="8">
        <v>0.2</v>
      </c>
      <c r="L24" s="8">
        <v>0.2</v>
      </c>
      <c r="M24" s="8">
        <v>0.2</v>
      </c>
      <c r="N24" s="8">
        <v>0.2</v>
      </c>
      <c r="O24" s="8">
        <v>0.2</v>
      </c>
      <c r="P24" s="8">
        <v>0.2</v>
      </c>
      <c r="Q24" s="8">
        <v>0.2</v>
      </c>
      <c r="R24" s="8">
        <v>0.2</v>
      </c>
      <c r="S24" s="8">
        <v>0.2</v>
      </c>
      <c r="T24" s="8">
        <v>0.2</v>
      </c>
      <c r="U24" s="8">
        <v>0.2</v>
      </c>
      <c r="V24" s="8">
        <v>0.2</v>
      </c>
      <c r="W24" s="8">
        <v>0.2</v>
      </c>
      <c r="X24" s="8">
        <v>0.2</v>
      </c>
      <c r="Y24" s="8">
        <v>0.2</v>
      </c>
      <c r="Z24" s="8">
        <v>0.2</v>
      </c>
      <c r="AA24" s="8">
        <v>0.2</v>
      </c>
      <c r="AB24" s="8">
        <v>0.2</v>
      </c>
      <c r="AC24" s="8">
        <v>0.2</v>
      </c>
      <c r="AD24" s="8">
        <v>0.2</v>
      </c>
      <c r="AE24" s="8">
        <v>0.2</v>
      </c>
      <c r="AF24" s="8">
        <v>0.2</v>
      </c>
      <c r="AG24" s="8">
        <v>0.2</v>
      </c>
      <c r="AH24" s="8">
        <v>0.2</v>
      </c>
      <c r="AI24" s="8">
        <v>0.2</v>
      </c>
      <c r="AJ24" s="8">
        <v>0.2</v>
      </c>
      <c r="AK24" s="8">
        <v>0.2</v>
      </c>
      <c r="AL24" s="8">
        <v>0.2</v>
      </c>
      <c r="AM24" s="8">
        <v>0.2</v>
      </c>
      <c r="AN24" s="8">
        <v>0.2</v>
      </c>
      <c r="AO24" s="8">
        <v>0.2</v>
      </c>
      <c r="AP24" s="8">
        <v>0.2</v>
      </c>
      <c r="AQ24" s="8">
        <v>0.2</v>
      </c>
      <c r="AR24" s="8">
        <v>0.2</v>
      </c>
      <c r="AS24" s="8">
        <v>0.2</v>
      </c>
      <c r="AT24" s="8">
        <v>0.2</v>
      </c>
      <c r="AU24" s="8">
        <v>0.2</v>
      </c>
      <c r="AV24" s="8">
        <v>0.2</v>
      </c>
      <c r="AW24" s="8">
        <v>0.2</v>
      </c>
      <c r="AX24" s="8">
        <v>0.2</v>
      </c>
      <c r="AY24" s="8">
        <v>0.2</v>
      </c>
      <c r="AZ24" s="8">
        <v>0.2</v>
      </c>
      <c r="BA24" s="8">
        <v>0.2</v>
      </c>
      <c r="BB24" s="8">
        <v>0.2</v>
      </c>
      <c r="BC24" s="8">
        <v>0.2</v>
      </c>
      <c r="BD24" s="8">
        <v>0.2</v>
      </c>
      <c r="BE24" s="8">
        <v>0.2</v>
      </c>
      <c r="BF24" s="8">
        <v>0.2</v>
      </c>
    </row>
    <row r="25" spans="2:59" x14ac:dyDescent="0.25">
      <c r="B25" t="s">
        <v>0</v>
      </c>
      <c r="C25" s="5"/>
      <c r="D25" s="6">
        <v>7.0000000000000007E-2</v>
      </c>
      <c r="E25" s="6">
        <v>7.4999999999999997E-2</v>
      </c>
      <c r="F25" s="6">
        <v>0.08</v>
      </c>
      <c r="G25" s="6">
        <v>8.5000000000000006E-2</v>
      </c>
      <c r="H25" s="6">
        <v>8.5000000000000006E-2</v>
      </c>
      <c r="I25" s="6">
        <v>8.5000000000000006E-2</v>
      </c>
      <c r="J25" s="6">
        <v>8.5000000000000006E-2</v>
      </c>
      <c r="K25" s="6">
        <v>8.5000000000000006E-2</v>
      </c>
      <c r="L25" s="6">
        <v>8.5000000000000006E-2</v>
      </c>
      <c r="M25" s="6">
        <v>8.5000000000000006E-2</v>
      </c>
      <c r="N25" s="6">
        <v>8.5000000000000006E-2</v>
      </c>
      <c r="O25" s="6">
        <v>8.5000000000000006E-2</v>
      </c>
      <c r="P25" s="6">
        <v>8.5000000000000006E-2</v>
      </c>
      <c r="Q25" s="6">
        <v>8.5000000000000006E-2</v>
      </c>
      <c r="R25" s="6">
        <v>8.5000000000000006E-2</v>
      </c>
      <c r="S25" s="6">
        <v>8.5000000000000006E-2</v>
      </c>
      <c r="T25" s="6">
        <v>8.5000000000000006E-2</v>
      </c>
      <c r="U25" s="6">
        <v>8.5000000000000006E-2</v>
      </c>
      <c r="V25" s="6">
        <v>8.5000000000000006E-2</v>
      </c>
      <c r="W25" s="6">
        <v>8.5000000000000006E-2</v>
      </c>
      <c r="X25" s="6">
        <v>8.5000000000000006E-2</v>
      </c>
      <c r="Y25" s="6">
        <v>8.5000000000000006E-2</v>
      </c>
      <c r="Z25" s="6">
        <v>8.5000000000000006E-2</v>
      </c>
      <c r="AA25" s="6">
        <v>8.5000000000000006E-2</v>
      </c>
      <c r="AB25" s="6">
        <v>8.5000000000000006E-2</v>
      </c>
      <c r="AC25" s="6">
        <v>8.5000000000000006E-2</v>
      </c>
      <c r="AD25" s="6">
        <v>8.5000000000000006E-2</v>
      </c>
      <c r="AE25" s="6">
        <v>8.5000000000000006E-2</v>
      </c>
      <c r="AF25" s="6">
        <v>8.5000000000000006E-2</v>
      </c>
      <c r="AG25" s="6">
        <v>8.5000000000000006E-2</v>
      </c>
      <c r="AH25" s="6">
        <v>8.5000000000000006E-2</v>
      </c>
      <c r="AI25" s="6">
        <v>8.5000000000000006E-2</v>
      </c>
      <c r="AJ25" s="6">
        <v>8.5000000000000006E-2</v>
      </c>
      <c r="AK25" s="6">
        <v>8.5000000000000006E-2</v>
      </c>
      <c r="AL25" s="6">
        <v>8.5000000000000006E-2</v>
      </c>
      <c r="AM25" s="6">
        <v>8.5000000000000006E-2</v>
      </c>
      <c r="AN25" s="6">
        <v>8.5000000000000006E-2</v>
      </c>
      <c r="AO25" s="6">
        <v>8.5000000000000006E-2</v>
      </c>
      <c r="AP25" s="6">
        <v>8.5000000000000006E-2</v>
      </c>
      <c r="AQ25" s="6">
        <v>8.5000000000000006E-2</v>
      </c>
      <c r="AR25" s="6">
        <v>8.5000000000000006E-2</v>
      </c>
      <c r="AS25" s="6">
        <v>8.5000000000000006E-2</v>
      </c>
      <c r="AT25" s="6">
        <v>8.5000000000000006E-2</v>
      </c>
      <c r="AU25" s="6">
        <v>8.5000000000000006E-2</v>
      </c>
      <c r="AV25" s="6">
        <v>8.5000000000000006E-2</v>
      </c>
      <c r="AW25" s="6">
        <v>8.5000000000000006E-2</v>
      </c>
      <c r="AX25" s="6">
        <v>8.5000000000000006E-2</v>
      </c>
      <c r="AY25" s="6">
        <v>8.5000000000000006E-2</v>
      </c>
      <c r="AZ25" s="6">
        <v>8.5000000000000006E-2</v>
      </c>
      <c r="BA25" s="6">
        <v>8.5000000000000006E-2</v>
      </c>
      <c r="BB25" s="6">
        <v>8.5000000000000006E-2</v>
      </c>
      <c r="BC25" s="6">
        <v>8.5000000000000006E-2</v>
      </c>
      <c r="BD25" s="6">
        <v>8.5000000000000006E-2</v>
      </c>
      <c r="BE25" s="6">
        <v>8.5000000000000006E-2</v>
      </c>
      <c r="BF25" s="6">
        <v>8.5000000000000006E-2</v>
      </c>
    </row>
    <row r="26" spans="2:59" x14ac:dyDescent="0.25">
      <c r="B26" t="s">
        <v>4</v>
      </c>
      <c r="C26" s="6">
        <v>0.12</v>
      </c>
      <c r="D26" s="6">
        <v>0.12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6">
        <v>0.12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0.12</v>
      </c>
      <c r="AG26" s="6">
        <v>0.12</v>
      </c>
      <c r="AH26" s="6">
        <v>0.12</v>
      </c>
      <c r="AI26" s="6">
        <v>0.12</v>
      </c>
      <c r="AJ26" s="6">
        <v>0.12</v>
      </c>
      <c r="AK26" s="6">
        <v>0.12</v>
      </c>
      <c r="AL26" s="6">
        <v>0.12</v>
      </c>
      <c r="AM26" s="6">
        <v>0.12</v>
      </c>
      <c r="AN26" s="6">
        <v>0.12</v>
      </c>
      <c r="AO26" s="6">
        <v>0.12</v>
      </c>
      <c r="AP26" s="6">
        <v>0.12</v>
      </c>
      <c r="AQ26" s="6">
        <v>0.12</v>
      </c>
      <c r="AR26" s="6">
        <v>0.12</v>
      </c>
      <c r="AS26" s="6">
        <v>0.12</v>
      </c>
      <c r="AT26" s="6">
        <v>0.12</v>
      </c>
      <c r="AU26" s="6">
        <v>0.12</v>
      </c>
      <c r="AV26" s="6">
        <v>0.12</v>
      </c>
      <c r="AW26" s="6">
        <v>0.12</v>
      </c>
      <c r="AX26" s="6">
        <v>0.12</v>
      </c>
      <c r="AY26" s="6">
        <v>0.12</v>
      </c>
      <c r="AZ26" s="6">
        <v>0.12</v>
      </c>
      <c r="BA26" s="6">
        <v>0.12</v>
      </c>
      <c r="BB26" s="6">
        <v>0.12</v>
      </c>
      <c r="BC26" s="6">
        <v>0.12</v>
      </c>
      <c r="BD26" s="6">
        <v>0.12</v>
      </c>
      <c r="BE26" s="6">
        <v>0.12</v>
      </c>
      <c r="BF26" s="6">
        <v>0.12</v>
      </c>
    </row>
    <row r="27" spans="2:59" x14ac:dyDescent="0.25">
      <c r="B27" t="s">
        <v>72</v>
      </c>
      <c r="C27" s="6">
        <v>0.2</v>
      </c>
      <c r="D27" s="6">
        <v>0.2</v>
      </c>
      <c r="E27" s="6">
        <v>0.2</v>
      </c>
      <c r="F27" s="6">
        <v>0.2</v>
      </c>
      <c r="G27" s="6">
        <v>0.2</v>
      </c>
      <c r="H27" s="6">
        <v>0.2</v>
      </c>
      <c r="I27" s="6">
        <v>0.2</v>
      </c>
      <c r="J27" s="6">
        <v>0.2</v>
      </c>
      <c r="K27" s="6">
        <v>0.2</v>
      </c>
      <c r="L27" s="6">
        <v>0.2</v>
      </c>
      <c r="M27" s="6">
        <v>0.2</v>
      </c>
      <c r="N27" s="6">
        <v>0.2</v>
      </c>
      <c r="O27" s="6">
        <v>0.2</v>
      </c>
      <c r="P27" s="6">
        <v>0.2</v>
      </c>
      <c r="Q27" s="6">
        <v>0.2</v>
      </c>
      <c r="R27" s="6">
        <v>0.2</v>
      </c>
      <c r="S27" s="6">
        <v>0.2</v>
      </c>
      <c r="T27" s="6">
        <v>0.2</v>
      </c>
      <c r="U27" s="6">
        <v>0.2</v>
      </c>
      <c r="V27" s="6">
        <v>0.2</v>
      </c>
      <c r="W27" s="6">
        <v>0.2</v>
      </c>
      <c r="X27" s="6">
        <v>0.2</v>
      </c>
      <c r="Y27" s="6">
        <v>0.2</v>
      </c>
      <c r="Z27" s="6">
        <v>0.2</v>
      </c>
      <c r="AA27" s="6">
        <v>0.2</v>
      </c>
      <c r="AB27" s="6">
        <v>0.2</v>
      </c>
      <c r="AC27" s="6">
        <v>0.2</v>
      </c>
      <c r="AD27" s="6">
        <v>0.2</v>
      </c>
      <c r="AE27" s="6">
        <v>0.2</v>
      </c>
      <c r="AF27" s="6">
        <v>0.2</v>
      </c>
      <c r="AG27" s="6">
        <v>0.2</v>
      </c>
      <c r="AH27" s="6">
        <v>0.2</v>
      </c>
      <c r="AI27" s="6">
        <v>0.2</v>
      </c>
      <c r="AJ27" s="6">
        <v>0.2</v>
      </c>
      <c r="AK27" s="6">
        <v>0.2</v>
      </c>
      <c r="AL27" s="6">
        <v>0.2</v>
      </c>
      <c r="AM27" s="6">
        <v>0.2</v>
      </c>
      <c r="AN27" s="6">
        <v>0.2</v>
      </c>
      <c r="AO27" s="6">
        <v>0.2</v>
      </c>
      <c r="AP27" s="6">
        <v>0.2</v>
      </c>
      <c r="AQ27" s="6">
        <v>0.2</v>
      </c>
      <c r="AR27" s="6">
        <v>0.2</v>
      </c>
      <c r="AS27" s="6">
        <v>0.2</v>
      </c>
      <c r="AT27" s="6">
        <v>0.2</v>
      </c>
      <c r="AU27" s="6">
        <v>0.2</v>
      </c>
      <c r="AV27" s="6">
        <v>0.2</v>
      </c>
      <c r="AW27" s="6">
        <v>0.2</v>
      </c>
      <c r="AX27" s="6">
        <v>0.2</v>
      </c>
      <c r="AY27" s="6">
        <v>0.2</v>
      </c>
      <c r="AZ27" s="6">
        <v>0.2</v>
      </c>
      <c r="BA27" s="6">
        <v>0.2</v>
      </c>
      <c r="BB27" s="6">
        <v>0.2</v>
      </c>
      <c r="BC27" s="6">
        <v>0.2</v>
      </c>
      <c r="BD27" s="6">
        <v>0.2</v>
      </c>
      <c r="BE27" s="6">
        <v>0.2</v>
      </c>
      <c r="BF27" s="6">
        <v>0.2</v>
      </c>
    </row>
    <row r="28" spans="2:59" x14ac:dyDescent="0.25">
      <c r="B28" t="s">
        <v>15</v>
      </c>
      <c r="C28" s="9">
        <f>+(C26-C24*C25)/(1-C24)</f>
        <v>0.12</v>
      </c>
      <c r="D28" s="9">
        <f t="shared" ref="D28:BF28" si="3">+(D26-D24*D25)/(1-D24)</f>
        <v>0.12235602094240838</v>
      </c>
      <c r="E28" s="9">
        <f t="shared" si="3"/>
        <v>0.12445054945054944</v>
      </c>
      <c r="F28" s="9">
        <f t="shared" si="3"/>
        <v>0.12678362573099414</v>
      </c>
      <c r="G28" s="9">
        <f t="shared" si="3"/>
        <v>0.12820987654320987</v>
      </c>
      <c r="H28" s="9">
        <f t="shared" si="3"/>
        <v>0.12874999999999998</v>
      </c>
      <c r="I28" s="9">
        <f t="shared" si="3"/>
        <v>0.12874999999999998</v>
      </c>
      <c r="J28" s="9">
        <f t="shared" si="3"/>
        <v>0.12874999999999998</v>
      </c>
      <c r="K28" s="9">
        <f t="shared" si="3"/>
        <v>0.12874999999999998</v>
      </c>
      <c r="L28" s="9">
        <f t="shared" si="3"/>
        <v>0.12874999999999998</v>
      </c>
      <c r="M28" s="9">
        <f t="shared" si="3"/>
        <v>0.12874999999999998</v>
      </c>
      <c r="N28" s="9">
        <f t="shared" si="3"/>
        <v>0.12874999999999998</v>
      </c>
      <c r="O28" s="9">
        <f t="shared" si="3"/>
        <v>0.12874999999999998</v>
      </c>
      <c r="P28" s="9">
        <f t="shared" si="3"/>
        <v>0.12874999999999998</v>
      </c>
      <c r="Q28" s="9">
        <f t="shared" si="3"/>
        <v>0.12874999999999998</v>
      </c>
      <c r="R28" s="9">
        <f t="shared" si="3"/>
        <v>0.12874999999999998</v>
      </c>
      <c r="S28" s="9">
        <f t="shared" si="3"/>
        <v>0.12874999999999998</v>
      </c>
      <c r="T28" s="9">
        <f t="shared" si="3"/>
        <v>0.12874999999999998</v>
      </c>
      <c r="U28" s="9">
        <f t="shared" si="3"/>
        <v>0.12874999999999998</v>
      </c>
      <c r="V28" s="9">
        <f t="shared" si="3"/>
        <v>0.12874999999999998</v>
      </c>
      <c r="W28" s="9">
        <f t="shared" si="3"/>
        <v>0.12874999999999998</v>
      </c>
      <c r="X28" s="9">
        <f t="shared" si="3"/>
        <v>0.12874999999999998</v>
      </c>
      <c r="Y28" s="9">
        <f t="shared" si="3"/>
        <v>0.12874999999999998</v>
      </c>
      <c r="Z28" s="9">
        <f t="shared" si="3"/>
        <v>0.12874999999999998</v>
      </c>
      <c r="AA28" s="9">
        <f t="shared" si="3"/>
        <v>0.12874999999999998</v>
      </c>
      <c r="AB28" s="9">
        <f t="shared" si="3"/>
        <v>0.12874999999999998</v>
      </c>
      <c r="AC28" s="9">
        <f t="shared" si="3"/>
        <v>0.12874999999999998</v>
      </c>
      <c r="AD28" s="9">
        <f t="shared" si="3"/>
        <v>0.12874999999999998</v>
      </c>
      <c r="AE28" s="9">
        <f t="shared" si="3"/>
        <v>0.12874999999999998</v>
      </c>
      <c r="AF28" s="9">
        <f t="shared" si="3"/>
        <v>0.12874999999999998</v>
      </c>
      <c r="AG28" s="9">
        <f t="shared" si="3"/>
        <v>0.12874999999999998</v>
      </c>
      <c r="AH28" s="9">
        <f t="shared" si="3"/>
        <v>0.12874999999999998</v>
      </c>
      <c r="AI28" s="9">
        <f t="shared" si="3"/>
        <v>0.12874999999999998</v>
      </c>
      <c r="AJ28" s="9">
        <f t="shared" si="3"/>
        <v>0.12874999999999998</v>
      </c>
      <c r="AK28" s="9">
        <f t="shared" si="3"/>
        <v>0.12874999999999998</v>
      </c>
      <c r="AL28" s="9">
        <f t="shared" si="3"/>
        <v>0.12874999999999998</v>
      </c>
      <c r="AM28" s="9">
        <f t="shared" si="3"/>
        <v>0.12874999999999998</v>
      </c>
      <c r="AN28" s="9">
        <f t="shared" si="3"/>
        <v>0.12874999999999998</v>
      </c>
      <c r="AO28" s="9">
        <f t="shared" si="3"/>
        <v>0.12874999999999998</v>
      </c>
      <c r="AP28" s="9">
        <f t="shared" si="3"/>
        <v>0.12874999999999998</v>
      </c>
      <c r="AQ28" s="9">
        <f t="shared" si="3"/>
        <v>0.12874999999999998</v>
      </c>
      <c r="AR28" s="9">
        <f t="shared" si="3"/>
        <v>0.12874999999999998</v>
      </c>
      <c r="AS28" s="9">
        <f t="shared" si="3"/>
        <v>0.12874999999999998</v>
      </c>
      <c r="AT28" s="9">
        <f t="shared" si="3"/>
        <v>0.12874999999999998</v>
      </c>
      <c r="AU28" s="9">
        <f t="shared" si="3"/>
        <v>0.12874999999999998</v>
      </c>
      <c r="AV28" s="9">
        <f t="shared" si="3"/>
        <v>0.12874999999999998</v>
      </c>
      <c r="AW28" s="9">
        <f t="shared" si="3"/>
        <v>0.12874999999999998</v>
      </c>
      <c r="AX28" s="9">
        <f t="shared" si="3"/>
        <v>0.12874999999999998</v>
      </c>
      <c r="AY28" s="9">
        <f t="shared" si="3"/>
        <v>0.12874999999999998</v>
      </c>
      <c r="AZ28" s="9">
        <f t="shared" si="3"/>
        <v>0.12874999999999998</v>
      </c>
      <c r="BA28" s="9">
        <f t="shared" si="3"/>
        <v>0.12874999999999998</v>
      </c>
      <c r="BB28" s="9">
        <f t="shared" si="3"/>
        <v>0.12874999999999998</v>
      </c>
      <c r="BC28" s="9">
        <f t="shared" si="3"/>
        <v>0.12874999999999998</v>
      </c>
      <c r="BD28" s="9">
        <f t="shared" si="3"/>
        <v>0.12874999999999998</v>
      </c>
      <c r="BE28" s="9">
        <f t="shared" si="3"/>
        <v>0.12874999999999998</v>
      </c>
      <c r="BF28" s="9">
        <f t="shared" si="3"/>
        <v>0.12874999999999998</v>
      </c>
    </row>
    <row r="29" spans="2:59" x14ac:dyDescent="0.25">
      <c r="B29" t="s">
        <v>14</v>
      </c>
      <c r="C29" s="9">
        <f>+C26-C24*C25*C31</f>
        <v>0.12</v>
      </c>
      <c r="D29" s="9">
        <f t="shared" ref="D29:BF29" si="4">+D26-D24*D25*D31</f>
        <v>0.11936999999999999</v>
      </c>
      <c r="E29" s="9">
        <f t="shared" si="4"/>
        <v>0.11864999999999999</v>
      </c>
      <c r="F29" s="9">
        <f t="shared" si="4"/>
        <v>0.11767999999999999</v>
      </c>
      <c r="G29" s="9">
        <f t="shared" si="4"/>
        <v>0.11677</v>
      </c>
      <c r="H29" s="9">
        <f t="shared" si="4"/>
        <v>0.1166</v>
      </c>
      <c r="I29" s="9">
        <f t="shared" si="4"/>
        <v>0.1166</v>
      </c>
      <c r="J29" s="9">
        <f t="shared" si="4"/>
        <v>0.1166</v>
      </c>
      <c r="K29" s="9">
        <f t="shared" si="4"/>
        <v>0.1166</v>
      </c>
      <c r="L29" s="9">
        <f t="shared" si="4"/>
        <v>0.1166</v>
      </c>
      <c r="M29" s="9">
        <f t="shared" si="4"/>
        <v>0.1166</v>
      </c>
      <c r="N29" s="9">
        <f t="shared" si="4"/>
        <v>0.1166</v>
      </c>
      <c r="O29" s="9">
        <f t="shared" si="4"/>
        <v>0.1166</v>
      </c>
      <c r="P29" s="9">
        <f t="shared" si="4"/>
        <v>0.1166</v>
      </c>
      <c r="Q29" s="9">
        <f t="shared" si="4"/>
        <v>0.1166</v>
      </c>
      <c r="R29" s="9">
        <f t="shared" si="4"/>
        <v>0.1166</v>
      </c>
      <c r="S29" s="9">
        <f t="shared" si="4"/>
        <v>0.1166</v>
      </c>
      <c r="T29" s="9">
        <f t="shared" si="4"/>
        <v>0.1166</v>
      </c>
      <c r="U29" s="9">
        <f t="shared" si="4"/>
        <v>0.1166</v>
      </c>
      <c r="V29" s="9">
        <f t="shared" si="4"/>
        <v>0.1166</v>
      </c>
      <c r="W29" s="9">
        <f t="shared" si="4"/>
        <v>0.1166</v>
      </c>
      <c r="X29" s="9">
        <f t="shared" si="4"/>
        <v>0.1166</v>
      </c>
      <c r="Y29" s="9">
        <f t="shared" si="4"/>
        <v>0.1166</v>
      </c>
      <c r="Z29" s="9">
        <f t="shared" si="4"/>
        <v>0.1166</v>
      </c>
      <c r="AA29" s="9">
        <f t="shared" si="4"/>
        <v>0.1166</v>
      </c>
      <c r="AB29" s="9">
        <f t="shared" si="4"/>
        <v>0.1166</v>
      </c>
      <c r="AC29" s="9">
        <f t="shared" si="4"/>
        <v>0.1166</v>
      </c>
      <c r="AD29" s="9">
        <f t="shared" si="4"/>
        <v>0.1166</v>
      </c>
      <c r="AE29" s="9">
        <f t="shared" si="4"/>
        <v>0.1166</v>
      </c>
      <c r="AF29" s="9">
        <f t="shared" si="4"/>
        <v>0.1166</v>
      </c>
      <c r="AG29" s="9">
        <f t="shared" si="4"/>
        <v>0.1166</v>
      </c>
      <c r="AH29" s="9">
        <f t="shared" si="4"/>
        <v>0.1166</v>
      </c>
      <c r="AI29" s="9">
        <f t="shared" si="4"/>
        <v>0.1166</v>
      </c>
      <c r="AJ29" s="9">
        <f t="shared" si="4"/>
        <v>0.1166</v>
      </c>
      <c r="AK29" s="9">
        <f t="shared" si="4"/>
        <v>0.1166</v>
      </c>
      <c r="AL29" s="9">
        <f t="shared" si="4"/>
        <v>0.1166</v>
      </c>
      <c r="AM29" s="9">
        <f t="shared" si="4"/>
        <v>0.1166</v>
      </c>
      <c r="AN29" s="9">
        <f t="shared" si="4"/>
        <v>0.1166</v>
      </c>
      <c r="AO29" s="9">
        <f t="shared" si="4"/>
        <v>0.1166</v>
      </c>
      <c r="AP29" s="9">
        <f t="shared" si="4"/>
        <v>0.1166</v>
      </c>
      <c r="AQ29" s="9">
        <f t="shared" si="4"/>
        <v>0.1166</v>
      </c>
      <c r="AR29" s="9">
        <f t="shared" si="4"/>
        <v>0.1166</v>
      </c>
      <c r="AS29" s="9">
        <f t="shared" si="4"/>
        <v>0.1166</v>
      </c>
      <c r="AT29" s="9">
        <f t="shared" si="4"/>
        <v>0.1166</v>
      </c>
      <c r="AU29" s="9">
        <f t="shared" si="4"/>
        <v>0.1166</v>
      </c>
      <c r="AV29" s="9">
        <f t="shared" si="4"/>
        <v>0.1166</v>
      </c>
      <c r="AW29" s="9">
        <f t="shared" si="4"/>
        <v>0.1166</v>
      </c>
      <c r="AX29" s="9">
        <f t="shared" si="4"/>
        <v>0.1166</v>
      </c>
      <c r="AY29" s="9">
        <f t="shared" si="4"/>
        <v>0.1166</v>
      </c>
      <c r="AZ29" s="9">
        <f t="shared" si="4"/>
        <v>0.1166</v>
      </c>
      <c r="BA29" s="9">
        <f t="shared" si="4"/>
        <v>0.1166</v>
      </c>
      <c r="BB29" s="9">
        <f t="shared" si="4"/>
        <v>0.1166</v>
      </c>
      <c r="BC29" s="9">
        <f t="shared" si="4"/>
        <v>0.1166</v>
      </c>
      <c r="BD29" s="9">
        <f t="shared" si="4"/>
        <v>0.1166</v>
      </c>
      <c r="BE29" s="9">
        <f t="shared" si="4"/>
        <v>0.1166</v>
      </c>
      <c r="BF29" s="9">
        <f t="shared" si="4"/>
        <v>0.1166</v>
      </c>
    </row>
    <row r="30" spans="2:59" x14ac:dyDescent="0.25">
      <c r="B30" t="s">
        <v>12</v>
      </c>
      <c r="C30" s="9">
        <f>+D23/D22</f>
        <v>0.80000000000000016</v>
      </c>
      <c r="D30" s="9">
        <f t="shared" ref="D30:J30" si="5">+E23/E22</f>
        <v>0.61764705882352933</v>
      </c>
      <c r="E30" s="9">
        <f t="shared" si="5"/>
        <v>0.48484848484848486</v>
      </c>
      <c r="F30" s="9">
        <f t="shared" si="5"/>
        <v>0.375</v>
      </c>
      <c r="G30" s="9">
        <f t="shared" si="5"/>
        <v>0.3666666666666667</v>
      </c>
      <c r="H30" s="9">
        <f t="shared" si="5"/>
        <v>0.45833333333333337</v>
      </c>
      <c r="I30" s="9">
        <f t="shared" si="5"/>
        <v>0.5</v>
      </c>
      <c r="J30" s="9">
        <f t="shared" si="5"/>
        <v>0.5</v>
      </c>
      <c r="K30" s="9">
        <f>+L23/L22</f>
        <v>0.5</v>
      </c>
      <c r="L30" s="9">
        <f t="shared" ref="L30:BF30" si="6">+M23/M22</f>
        <v>0.5</v>
      </c>
      <c r="M30" s="9">
        <f t="shared" si="6"/>
        <v>0.5</v>
      </c>
      <c r="N30" s="9">
        <f t="shared" si="6"/>
        <v>0.5</v>
      </c>
      <c r="O30" s="9">
        <f t="shared" si="6"/>
        <v>0.5</v>
      </c>
      <c r="P30" s="9">
        <f t="shared" si="6"/>
        <v>0.5</v>
      </c>
      <c r="Q30" s="9">
        <f t="shared" si="6"/>
        <v>0.5</v>
      </c>
      <c r="R30" s="9">
        <f t="shared" si="6"/>
        <v>0.5</v>
      </c>
      <c r="S30" s="9">
        <f t="shared" si="6"/>
        <v>0.5</v>
      </c>
      <c r="T30" s="9">
        <f t="shared" si="6"/>
        <v>0.5</v>
      </c>
      <c r="U30" s="9">
        <f t="shared" si="6"/>
        <v>0.5</v>
      </c>
      <c r="V30" s="9">
        <f t="shared" si="6"/>
        <v>0.5</v>
      </c>
      <c r="W30" s="9">
        <f t="shared" si="6"/>
        <v>0.5</v>
      </c>
      <c r="X30" s="9">
        <f t="shared" si="6"/>
        <v>0.5</v>
      </c>
      <c r="Y30" s="9">
        <f t="shared" si="6"/>
        <v>0.5</v>
      </c>
      <c r="Z30" s="9">
        <f t="shared" si="6"/>
        <v>0.5</v>
      </c>
      <c r="AA30" s="9">
        <f t="shared" si="6"/>
        <v>0.5</v>
      </c>
      <c r="AB30" s="9">
        <f t="shared" si="6"/>
        <v>0.5</v>
      </c>
      <c r="AC30" s="9">
        <f t="shared" si="6"/>
        <v>0.5</v>
      </c>
      <c r="AD30" s="9">
        <f t="shared" si="6"/>
        <v>0.5</v>
      </c>
      <c r="AE30" s="9">
        <f t="shared" si="6"/>
        <v>0.5</v>
      </c>
      <c r="AF30" s="9">
        <f t="shared" si="6"/>
        <v>0.5</v>
      </c>
      <c r="AG30" s="9">
        <f t="shared" si="6"/>
        <v>0.5</v>
      </c>
      <c r="AH30" s="9">
        <f t="shared" si="6"/>
        <v>0.5</v>
      </c>
      <c r="AI30" s="9">
        <f t="shared" si="6"/>
        <v>0.5</v>
      </c>
      <c r="AJ30" s="9">
        <f t="shared" si="6"/>
        <v>0.5</v>
      </c>
      <c r="AK30" s="9">
        <f t="shared" si="6"/>
        <v>0.5</v>
      </c>
      <c r="AL30" s="9">
        <f t="shared" si="6"/>
        <v>0.5</v>
      </c>
      <c r="AM30" s="9">
        <f t="shared" si="6"/>
        <v>0.5</v>
      </c>
      <c r="AN30" s="9">
        <f t="shared" si="6"/>
        <v>0.5</v>
      </c>
      <c r="AO30" s="9">
        <f t="shared" si="6"/>
        <v>0.5</v>
      </c>
      <c r="AP30" s="9">
        <f t="shared" si="6"/>
        <v>0.5</v>
      </c>
      <c r="AQ30" s="9">
        <f t="shared" si="6"/>
        <v>0.5</v>
      </c>
      <c r="AR30" s="9">
        <f t="shared" si="6"/>
        <v>0.5</v>
      </c>
      <c r="AS30" s="9">
        <f t="shared" si="6"/>
        <v>0.5</v>
      </c>
      <c r="AT30" s="9">
        <f t="shared" si="6"/>
        <v>0.5</v>
      </c>
      <c r="AU30" s="9">
        <f t="shared" si="6"/>
        <v>0.5</v>
      </c>
      <c r="AV30" s="9">
        <f t="shared" si="6"/>
        <v>0.5</v>
      </c>
      <c r="AW30" s="9">
        <f t="shared" si="6"/>
        <v>0.5</v>
      </c>
      <c r="AX30" s="9">
        <f t="shared" si="6"/>
        <v>0.5</v>
      </c>
      <c r="AY30" s="9">
        <f t="shared" si="6"/>
        <v>0.5</v>
      </c>
      <c r="AZ30" s="9">
        <f t="shared" si="6"/>
        <v>0.5</v>
      </c>
      <c r="BA30" s="9">
        <f t="shared" si="6"/>
        <v>0.5</v>
      </c>
      <c r="BB30" s="9">
        <f t="shared" si="6"/>
        <v>0.5</v>
      </c>
      <c r="BC30" s="9">
        <f t="shared" si="6"/>
        <v>0.5</v>
      </c>
      <c r="BD30" s="9">
        <f t="shared" si="6"/>
        <v>0.5</v>
      </c>
      <c r="BE30" s="9">
        <f t="shared" si="6"/>
        <v>0.5</v>
      </c>
      <c r="BF30" s="9">
        <f t="shared" si="6"/>
        <v>0.5</v>
      </c>
    </row>
    <row r="31" spans="2:59" x14ac:dyDescent="0.25">
      <c r="B31" t="s">
        <v>75</v>
      </c>
      <c r="C31" s="16">
        <f>+C27</f>
        <v>0.2</v>
      </c>
      <c r="D31" s="16">
        <f t="shared" ref="D31:BF31" si="7">+D27</f>
        <v>0.2</v>
      </c>
      <c r="E31" s="16">
        <f t="shared" si="7"/>
        <v>0.2</v>
      </c>
      <c r="F31" s="16">
        <f t="shared" si="7"/>
        <v>0.2</v>
      </c>
      <c r="G31" s="16">
        <f t="shared" si="7"/>
        <v>0.2</v>
      </c>
      <c r="H31" s="16">
        <f t="shared" si="7"/>
        <v>0.2</v>
      </c>
      <c r="I31" s="16">
        <f t="shared" si="7"/>
        <v>0.2</v>
      </c>
      <c r="J31" s="16">
        <f t="shared" si="7"/>
        <v>0.2</v>
      </c>
      <c r="K31" s="16">
        <f t="shared" si="7"/>
        <v>0.2</v>
      </c>
      <c r="L31" s="16">
        <f t="shared" si="7"/>
        <v>0.2</v>
      </c>
      <c r="M31" s="16">
        <f t="shared" si="7"/>
        <v>0.2</v>
      </c>
      <c r="N31" s="16">
        <f t="shared" si="7"/>
        <v>0.2</v>
      </c>
      <c r="O31" s="16">
        <f t="shared" si="7"/>
        <v>0.2</v>
      </c>
      <c r="P31" s="16">
        <f t="shared" si="7"/>
        <v>0.2</v>
      </c>
      <c r="Q31" s="16">
        <f t="shared" si="7"/>
        <v>0.2</v>
      </c>
      <c r="R31" s="16">
        <f t="shared" si="7"/>
        <v>0.2</v>
      </c>
      <c r="S31" s="16">
        <f t="shared" si="7"/>
        <v>0.2</v>
      </c>
      <c r="T31" s="16">
        <f t="shared" si="7"/>
        <v>0.2</v>
      </c>
      <c r="U31" s="16">
        <f t="shared" si="7"/>
        <v>0.2</v>
      </c>
      <c r="V31" s="16">
        <f t="shared" si="7"/>
        <v>0.2</v>
      </c>
      <c r="W31" s="16">
        <f t="shared" si="7"/>
        <v>0.2</v>
      </c>
      <c r="X31" s="16">
        <f t="shared" si="7"/>
        <v>0.2</v>
      </c>
      <c r="Y31" s="16">
        <f t="shared" si="7"/>
        <v>0.2</v>
      </c>
      <c r="Z31" s="16">
        <f t="shared" si="7"/>
        <v>0.2</v>
      </c>
      <c r="AA31" s="16">
        <f t="shared" si="7"/>
        <v>0.2</v>
      </c>
      <c r="AB31" s="16">
        <f t="shared" si="7"/>
        <v>0.2</v>
      </c>
      <c r="AC31" s="16">
        <f t="shared" si="7"/>
        <v>0.2</v>
      </c>
      <c r="AD31" s="16">
        <f t="shared" si="7"/>
        <v>0.2</v>
      </c>
      <c r="AE31" s="16">
        <f t="shared" si="7"/>
        <v>0.2</v>
      </c>
      <c r="AF31" s="16">
        <f t="shared" si="7"/>
        <v>0.2</v>
      </c>
      <c r="AG31" s="16">
        <f t="shared" si="7"/>
        <v>0.2</v>
      </c>
      <c r="AH31" s="16">
        <f t="shared" si="7"/>
        <v>0.2</v>
      </c>
      <c r="AI31" s="16">
        <f t="shared" si="7"/>
        <v>0.2</v>
      </c>
      <c r="AJ31" s="16">
        <f t="shared" si="7"/>
        <v>0.2</v>
      </c>
      <c r="AK31" s="16">
        <f t="shared" si="7"/>
        <v>0.2</v>
      </c>
      <c r="AL31" s="16">
        <f t="shared" si="7"/>
        <v>0.2</v>
      </c>
      <c r="AM31" s="16">
        <f t="shared" si="7"/>
        <v>0.2</v>
      </c>
      <c r="AN31" s="16">
        <f t="shared" si="7"/>
        <v>0.2</v>
      </c>
      <c r="AO31" s="16">
        <f t="shared" si="7"/>
        <v>0.2</v>
      </c>
      <c r="AP31" s="16">
        <f t="shared" si="7"/>
        <v>0.2</v>
      </c>
      <c r="AQ31" s="16">
        <f t="shared" si="7"/>
        <v>0.2</v>
      </c>
      <c r="AR31" s="16">
        <f t="shared" si="7"/>
        <v>0.2</v>
      </c>
      <c r="AS31" s="16">
        <f t="shared" si="7"/>
        <v>0.2</v>
      </c>
      <c r="AT31" s="16">
        <f t="shared" si="7"/>
        <v>0.2</v>
      </c>
      <c r="AU31" s="16">
        <f t="shared" si="7"/>
        <v>0.2</v>
      </c>
      <c r="AV31" s="16">
        <f t="shared" si="7"/>
        <v>0.2</v>
      </c>
      <c r="AW31" s="16">
        <f t="shared" si="7"/>
        <v>0.2</v>
      </c>
      <c r="AX31" s="16">
        <f t="shared" si="7"/>
        <v>0.2</v>
      </c>
      <c r="AY31" s="16">
        <f t="shared" si="7"/>
        <v>0.2</v>
      </c>
      <c r="AZ31" s="16">
        <f t="shared" si="7"/>
        <v>0.2</v>
      </c>
      <c r="BA31" s="16">
        <f t="shared" si="7"/>
        <v>0.2</v>
      </c>
      <c r="BB31" s="16">
        <f t="shared" si="7"/>
        <v>0.2</v>
      </c>
      <c r="BC31" s="16">
        <f t="shared" si="7"/>
        <v>0.2</v>
      </c>
      <c r="BD31" s="16">
        <f t="shared" si="7"/>
        <v>0.2</v>
      </c>
      <c r="BE31" s="16">
        <f t="shared" si="7"/>
        <v>0.2</v>
      </c>
      <c r="BF31" s="16">
        <f t="shared" si="7"/>
        <v>0.2</v>
      </c>
    </row>
    <row r="32" spans="2:59" x14ac:dyDescent="0.25">
      <c r="B32" t="s">
        <v>79</v>
      </c>
      <c r="C32" s="17">
        <f>+C50/C49</f>
        <v>0.2</v>
      </c>
      <c r="D32" s="17">
        <f t="shared" ref="D32:BF32" si="8">+D50/D49</f>
        <v>0.2</v>
      </c>
      <c r="E32" s="17">
        <f t="shared" si="8"/>
        <v>0.2</v>
      </c>
      <c r="F32" s="17">
        <f t="shared" si="8"/>
        <v>0.2</v>
      </c>
      <c r="G32" s="17">
        <f t="shared" si="8"/>
        <v>0.2</v>
      </c>
      <c r="H32" s="17">
        <f t="shared" si="8"/>
        <v>0.2</v>
      </c>
      <c r="I32" s="17">
        <f t="shared" si="8"/>
        <v>0.2</v>
      </c>
      <c r="J32" s="17">
        <f t="shared" si="8"/>
        <v>0.2</v>
      </c>
      <c r="K32" s="17">
        <f t="shared" si="8"/>
        <v>0.2</v>
      </c>
      <c r="L32" s="17">
        <f t="shared" si="8"/>
        <v>0.2</v>
      </c>
      <c r="M32" s="17">
        <f t="shared" si="8"/>
        <v>0.2</v>
      </c>
      <c r="N32" s="17">
        <f t="shared" si="8"/>
        <v>0.2</v>
      </c>
      <c r="O32" s="17">
        <f t="shared" si="8"/>
        <v>0.19999999999999998</v>
      </c>
      <c r="P32" s="17">
        <f t="shared" si="8"/>
        <v>0.2</v>
      </c>
      <c r="Q32" s="17">
        <f t="shared" si="8"/>
        <v>0.2</v>
      </c>
      <c r="R32" s="17">
        <f t="shared" si="8"/>
        <v>0.2</v>
      </c>
      <c r="S32" s="17">
        <f t="shared" si="8"/>
        <v>0.2</v>
      </c>
      <c r="T32" s="17">
        <f t="shared" si="8"/>
        <v>0.2</v>
      </c>
      <c r="U32" s="17">
        <f t="shared" si="8"/>
        <v>0.2</v>
      </c>
      <c r="V32" s="17">
        <f t="shared" si="8"/>
        <v>0.2</v>
      </c>
      <c r="W32" s="17">
        <f t="shared" si="8"/>
        <v>0.2</v>
      </c>
      <c r="X32" s="17">
        <f t="shared" si="8"/>
        <v>0.2</v>
      </c>
      <c r="Y32" s="17">
        <f t="shared" si="8"/>
        <v>0.2</v>
      </c>
      <c r="Z32" s="17">
        <f t="shared" si="8"/>
        <v>0.2</v>
      </c>
      <c r="AA32" s="17">
        <f t="shared" si="8"/>
        <v>0.2</v>
      </c>
      <c r="AB32" s="17">
        <f t="shared" si="8"/>
        <v>0.20000000000000004</v>
      </c>
      <c r="AC32" s="17">
        <f t="shared" si="8"/>
        <v>0.2</v>
      </c>
      <c r="AD32" s="17">
        <f t="shared" si="8"/>
        <v>0.2</v>
      </c>
      <c r="AE32" s="17">
        <f t="shared" si="8"/>
        <v>0.2</v>
      </c>
      <c r="AF32" s="17">
        <f t="shared" si="8"/>
        <v>0.2</v>
      </c>
      <c r="AG32" s="17">
        <f t="shared" si="8"/>
        <v>0.2</v>
      </c>
      <c r="AH32" s="17">
        <f t="shared" si="8"/>
        <v>0.2</v>
      </c>
      <c r="AI32" s="17">
        <f t="shared" si="8"/>
        <v>0.2</v>
      </c>
      <c r="AJ32" s="17">
        <f t="shared" si="8"/>
        <v>0.2</v>
      </c>
      <c r="AK32" s="17">
        <f t="shared" si="8"/>
        <v>0.19999999999999998</v>
      </c>
      <c r="AL32" s="17">
        <f t="shared" si="8"/>
        <v>0.2</v>
      </c>
      <c r="AM32" s="17">
        <f t="shared" si="8"/>
        <v>0.2</v>
      </c>
      <c r="AN32" s="17">
        <f t="shared" si="8"/>
        <v>0.2</v>
      </c>
      <c r="AO32" s="17">
        <f t="shared" si="8"/>
        <v>0.2</v>
      </c>
      <c r="AP32" s="17">
        <f t="shared" si="8"/>
        <v>0.2</v>
      </c>
      <c r="AQ32" s="17">
        <f t="shared" si="8"/>
        <v>0.2</v>
      </c>
      <c r="AR32" s="17">
        <f t="shared" si="8"/>
        <v>0.2</v>
      </c>
      <c r="AS32" s="17">
        <f t="shared" si="8"/>
        <v>0.2</v>
      </c>
      <c r="AT32" s="17">
        <f t="shared" si="8"/>
        <v>0.2</v>
      </c>
      <c r="AU32" s="17">
        <f t="shared" si="8"/>
        <v>0.2</v>
      </c>
      <c r="AV32" s="17">
        <f t="shared" si="8"/>
        <v>0.2</v>
      </c>
      <c r="AW32" s="17">
        <f t="shared" si="8"/>
        <v>0.19999999999999998</v>
      </c>
      <c r="AX32" s="17">
        <f t="shared" si="8"/>
        <v>0.2</v>
      </c>
      <c r="AY32" s="17">
        <f t="shared" si="8"/>
        <v>0.19999999999999998</v>
      </c>
      <c r="AZ32" s="17">
        <f t="shared" si="8"/>
        <v>0.2</v>
      </c>
      <c r="BA32" s="17">
        <f t="shared" si="8"/>
        <v>0.2</v>
      </c>
      <c r="BB32" s="17">
        <f t="shared" si="8"/>
        <v>0.2</v>
      </c>
      <c r="BC32" s="17">
        <f t="shared" si="8"/>
        <v>0.2</v>
      </c>
      <c r="BD32" s="17">
        <f t="shared" si="8"/>
        <v>0.2</v>
      </c>
      <c r="BE32" s="17">
        <f t="shared" si="8"/>
        <v>0.2</v>
      </c>
      <c r="BF32" s="17">
        <f t="shared" si="8"/>
        <v>0.2</v>
      </c>
    </row>
    <row r="33" spans="2:58" x14ac:dyDescent="0.25">
      <c r="C33" s="3"/>
      <c r="D33" s="3"/>
      <c r="E33" s="3"/>
      <c r="F33" s="3"/>
      <c r="G33" s="3"/>
      <c r="H33" s="3"/>
      <c r="I33" s="3"/>
      <c r="J33" s="3"/>
    </row>
    <row r="34" spans="2:58" x14ac:dyDescent="0.25">
      <c r="C34" s="3"/>
      <c r="D34" s="11">
        <f>+C35*(1+D23)</f>
        <v>2736.0000000000005</v>
      </c>
      <c r="E34" s="11">
        <f t="shared" ref="E34:BF34" si="9">+D35*(1+E23)</f>
        <v>3023.2799999999997</v>
      </c>
      <c r="F34" s="11">
        <f t="shared" si="9"/>
        <v>3265.1423999999997</v>
      </c>
      <c r="G34" s="11">
        <f t="shared" si="9"/>
        <v>3461.0509440000001</v>
      </c>
      <c r="H34" s="11">
        <f t="shared" si="9"/>
        <v>3651.4087459199995</v>
      </c>
      <c r="I34" s="11">
        <f t="shared" si="9"/>
        <v>3852.2362269455994</v>
      </c>
      <c r="J34" s="11">
        <f t="shared" si="9"/>
        <v>4083.3704005623354</v>
      </c>
      <c r="K34" s="11">
        <f t="shared" si="9"/>
        <v>4328.3726245960761</v>
      </c>
      <c r="L34" s="11">
        <f t="shared" si="9"/>
        <v>4588.0749820718402</v>
      </c>
      <c r="M34" s="11">
        <f t="shared" si="9"/>
        <v>4863.3594809961496</v>
      </c>
      <c r="N34" s="11">
        <f t="shared" si="9"/>
        <v>5155.1610498559185</v>
      </c>
      <c r="O34" s="11">
        <f t="shared" si="9"/>
        <v>5464.4707128472737</v>
      </c>
      <c r="P34" s="11">
        <f t="shared" si="9"/>
        <v>5792.33895561811</v>
      </c>
      <c r="Q34" s="11">
        <f t="shared" si="9"/>
        <v>6139.8792929551973</v>
      </c>
      <c r="R34" s="11">
        <f t="shared" si="9"/>
        <v>6508.2720505325087</v>
      </c>
      <c r="S34" s="11">
        <f t="shared" si="9"/>
        <v>6898.7683735644587</v>
      </c>
      <c r="T34" s="11">
        <f t="shared" si="9"/>
        <v>7312.6944759783264</v>
      </c>
      <c r="U34" s="11">
        <f t="shared" si="9"/>
        <v>7751.4561445370264</v>
      </c>
      <c r="V34" s="11">
        <f t="shared" si="9"/>
        <v>8216.543513209248</v>
      </c>
      <c r="W34" s="11">
        <f t="shared" si="9"/>
        <v>8709.5361240018028</v>
      </c>
      <c r="X34" s="11">
        <f t="shared" si="9"/>
        <v>9232.1082914419112</v>
      </c>
      <c r="Y34" s="11">
        <f t="shared" si="9"/>
        <v>9786.0347889284258</v>
      </c>
      <c r="Z34" s="11">
        <f t="shared" si="9"/>
        <v>10373.196876264132</v>
      </c>
      <c r="AA34" s="11">
        <f t="shared" si="9"/>
        <v>10995.58868883998</v>
      </c>
      <c r="AB34" s="11">
        <f t="shared" si="9"/>
        <v>11655.32401017038</v>
      </c>
      <c r="AC34" s="11">
        <f t="shared" si="9"/>
        <v>12354.643450780603</v>
      </c>
      <c r="AD34" s="11">
        <f t="shared" si="9"/>
        <v>13095.92205782744</v>
      </c>
      <c r="AE34" s="11">
        <f t="shared" si="9"/>
        <v>13881.677381297084</v>
      </c>
      <c r="AF34" s="11">
        <f t="shared" si="9"/>
        <v>14714.578024174911</v>
      </c>
      <c r="AG34" s="11">
        <f t="shared" si="9"/>
        <v>15597.452705625405</v>
      </c>
      <c r="AH34" s="11">
        <f t="shared" si="9"/>
        <v>16533.299867962927</v>
      </c>
      <c r="AI34" s="11">
        <f t="shared" si="9"/>
        <v>17525.297860040704</v>
      </c>
      <c r="AJ34" s="11">
        <f t="shared" si="9"/>
        <v>18576.815731643146</v>
      </c>
      <c r="AK34" s="11">
        <f t="shared" si="9"/>
        <v>19691.424675541737</v>
      </c>
      <c r="AL34" s="11">
        <f t="shared" si="9"/>
        <v>20872.910156074238</v>
      </c>
      <c r="AM34" s="11">
        <f t="shared" si="9"/>
        <v>22125.284765438693</v>
      </c>
      <c r="AN34" s="11">
        <f t="shared" si="9"/>
        <v>23452.801851365017</v>
      </c>
      <c r="AO34" s="11">
        <f t="shared" si="9"/>
        <v>24859.969962446914</v>
      </c>
      <c r="AP34" s="11">
        <f t="shared" si="9"/>
        <v>26351.568160193729</v>
      </c>
      <c r="AQ34" s="11">
        <f t="shared" si="9"/>
        <v>27932.662249805355</v>
      </c>
      <c r="AR34" s="11">
        <f t="shared" si="9"/>
        <v>29608.621984793674</v>
      </c>
      <c r="AS34" s="11">
        <f t="shared" si="9"/>
        <v>31385.139303881297</v>
      </c>
      <c r="AT34" s="11">
        <f t="shared" si="9"/>
        <v>33268.247662114169</v>
      </c>
      <c r="AU34" s="11">
        <f t="shared" si="9"/>
        <v>35264.342521841019</v>
      </c>
      <c r="AV34" s="11">
        <f t="shared" si="9"/>
        <v>37380.203073151482</v>
      </c>
      <c r="AW34" s="11">
        <f t="shared" si="9"/>
        <v>39623.015257540574</v>
      </c>
      <c r="AX34" s="11">
        <f t="shared" si="9"/>
        <v>42000.396172993009</v>
      </c>
      <c r="AY34" s="11">
        <f t="shared" si="9"/>
        <v>44520.419943372588</v>
      </c>
      <c r="AZ34" s="11">
        <f t="shared" si="9"/>
        <v>47191.645139974942</v>
      </c>
      <c r="BA34" s="11">
        <f t="shared" si="9"/>
        <v>50023.143848373438</v>
      </c>
      <c r="BB34" s="11">
        <f t="shared" si="9"/>
        <v>53024.532479275847</v>
      </c>
      <c r="BC34" s="11">
        <f t="shared" si="9"/>
        <v>56206.0044280324</v>
      </c>
      <c r="BD34" s="11">
        <f t="shared" si="9"/>
        <v>59578.364693714349</v>
      </c>
      <c r="BE34" s="11">
        <f t="shared" si="9"/>
        <v>63153.066575337209</v>
      </c>
      <c r="BF34" s="11">
        <f t="shared" si="9"/>
        <v>66942.250569857439</v>
      </c>
    </row>
    <row r="35" spans="2:58" x14ac:dyDescent="0.25">
      <c r="B35" t="s">
        <v>9</v>
      </c>
      <c r="C35" s="4">
        <f>+C20*C21</f>
        <v>2400</v>
      </c>
      <c r="D35" s="4">
        <f>+D22*C36+C35</f>
        <v>2736</v>
      </c>
      <c r="E35" s="4">
        <f t="shared" ref="E35:BF35" si="10">+E22*D36+D35</f>
        <v>3023.2799999999997</v>
      </c>
      <c r="F35" s="4">
        <f t="shared" si="10"/>
        <v>3265.1423999999997</v>
      </c>
      <c r="G35" s="4">
        <f t="shared" si="10"/>
        <v>3461.0509439999996</v>
      </c>
      <c r="H35" s="4">
        <f t="shared" si="10"/>
        <v>3651.4087459199995</v>
      </c>
      <c r="I35" s="4">
        <f t="shared" si="10"/>
        <v>3852.2362269455994</v>
      </c>
      <c r="J35" s="4">
        <f t="shared" si="10"/>
        <v>4083.3704005623354</v>
      </c>
      <c r="K35" s="4">
        <f t="shared" si="10"/>
        <v>4328.3726245960752</v>
      </c>
      <c r="L35" s="4">
        <f t="shared" si="10"/>
        <v>4588.0749820718393</v>
      </c>
      <c r="M35" s="4">
        <f t="shared" si="10"/>
        <v>4863.3594809961496</v>
      </c>
      <c r="N35" s="4">
        <f t="shared" si="10"/>
        <v>5155.1610498559185</v>
      </c>
      <c r="O35" s="4">
        <f t="shared" si="10"/>
        <v>5464.4707128472737</v>
      </c>
      <c r="P35" s="4">
        <f t="shared" si="10"/>
        <v>5792.33895561811</v>
      </c>
      <c r="Q35" s="4">
        <f t="shared" si="10"/>
        <v>6139.8792929551964</v>
      </c>
      <c r="R35" s="4">
        <f t="shared" si="10"/>
        <v>6508.2720505325078</v>
      </c>
      <c r="S35" s="4">
        <f t="shared" si="10"/>
        <v>6898.7683735644587</v>
      </c>
      <c r="T35" s="4">
        <f t="shared" si="10"/>
        <v>7312.6944759783264</v>
      </c>
      <c r="U35" s="4">
        <f t="shared" si="10"/>
        <v>7751.4561445370264</v>
      </c>
      <c r="V35" s="4">
        <f t="shared" si="10"/>
        <v>8216.543513209248</v>
      </c>
      <c r="W35" s="4">
        <f t="shared" si="10"/>
        <v>8709.5361240018028</v>
      </c>
      <c r="X35" s="4">
        <f t="shared" si="10"/>
        <v>9232.1082914419112</v>
      </c>
      <c r="Y35" s="4">
        <f t="shared" si="10"/>
        <v>9786.0347889284258</v>
      </c>
      <c r="Z35" s="4">
        <f t="shared" si="10"/>
        <v>10373.196876264132</v>
      </c>
      <c r="AA35" s="4">
        <f t="shared" si="10"/>
        <v>10995.58868883998</v>
      </c>
      <c r="AB35" s="4">
        <f t="shared" si="10"/>
        <v>11655.32401017038</v>
      </c>
      <c r="AC35" s="4">
        <f t="shared" si="10"/>
        <v>12354.643450780603</v>
      </c>
      <c r="AD35" s="4">
        <f t="shared" si="10"/>
        <v>13095.922057827438</v>
      </c>
      <c r="AE35" s="4">
        <f t="shared" si="10"/>
        <v>13881.677381297084</v>
      </c>
      <c r="AF35" s="4">
        <f t="shared" si="10"/>
        <v>14714.578024174909</v>
      </c>
      <c r="AG35" s="4">
        <f t="shared" si="10"/>
        <v>15597.452705625403</v>
      </c>
      <c r="AH35" s="4">
        <f t="shared" si="10"/>
        <v>16533.299867962927</v>
      </c>
      <c r="AI35" s="4">
        <f t="shared" si="10"/>
        <v>17525.297860040704</v>
      </c>
      <c r="AJ35" s="4">
        <f t="shared" si="10"/>
        <v>18576.815731643146</v>
      </c>
      <c r="AK35" s="4">
        <f t="shared" si="10"/>
        <v>19691.424675541733</v>
      </c>
      <c r="AL35" s="4">
        <f t="shared" si="10"/>
        <v>20872.910156074238</v>
      </c>
      <c r="AM35" s="4">
        <f t="shared" si="10"/>
        <v>22125.284765438693</v>
      </c>
      <c r="AN35" s="4">
        <f t="shared" si="10"/>
        <v>23452.801851365013</v>
      </c>
      <c r="AO35" s="4">
        <f t="shared" si="10"/>
        <v>24859.969962446914</v>
      </c>
      <c r="AP35" s="4">
        <f t="shared" si="10"/>
        <v>26351.568160193729</v>
      </c>
      <c r="AQ35" s="4">
        <f t="shared" si="10"/>
        <v>27932.662249805351</v>
      </c>
      <c r="AR35" s="4">
        <f t="shared" si="10"/>
        <v>29608.621984793674</v>
      </c>
      <c r="AS35" s="4">
        <f t="shared" si="10"/>
        <v>31385.139303881293</v>
      </c>
      <c r="AT35" s="4">
        <f t="shared" si="10"/>
        <v>33268.247662114169</v>
      </c>
      <c r="AU35" s="4">
        <f t="shared" si="10"/>
        <v>35264.342521841019</v>
      </c>
      <c r="AV35" s="4">
        <f t="shared" si="10"/>
        <v>37380.203073151482</v>
      </c>
      <c r="AW35" s="4">
        <f t="shared" si="10"/>
        <v>39623.015257540574</v>
      </c>
      <c r="AX35" s="4">
        <f t="shared" si="10"/>
        <v>42000.396172993009</v>
      </c>
      <c r="AY35" s="4">
        <f t="shared" si="10"/>
        <v>44520.419943372588</v>
      </c>
      <c r="AZ35" s="4">
        <f t="shared" si="10"/>
        <v>47191.645139974942</v>
      </c>
      <c r="BA35" s="4">
        <f t="shared" si="10"/>
        <v>50023.143848373438</v>
      </c>
      <c r="BB35" s="4">
        <f t="shared" si="10"/>
        <v>53024.532479275847</v>
      </c>
      <c r="BC35" s="4">
        <f t="shared" si="10"/>
        <v>56206.0044280324</v>
      </c>
      <c r="BD35" s="4">
        <f t="shared" si="10"/>
        <v>59578.364693714342</v>
      </c>
      <c r="BE35" s="4">
        <f t="shared" si="10"/>
        <v>63153.066575337201</v>
      </c>
      <c r="BF35" s="4">
        <f t="shared" si="10"/>
        <v>66942.250569857439</v>
      </c>
    </row>
    <row r="36" spans="2:58" x14ac:dyDescent="0.25">
      <c r="B36" t="s">
        <v>10</v>
      </c>
      <c r="C36" s="4">
        <f>+C35*C30</f>
        <v>1920.0000000000005</v>
      </c>
      <c r="D36" s="4">
        <f t="shared" ref="D36:BF36" si="11">+D35*D30</f>
        <v>1689.8823529411764</v>
      </c>
      <c r="E36" s="4">
        <f t="shared" si="11"/>
        <v>1465.8327272727272</v>
      </c>
      <c r="F36" s="4">
        <f t="shared" si="11"/>
        <v>1224.4283999999998</v>
      </c>
      <c r="G36" s="4">
        <f t="shared" si="11"/>
        <v>1269.0520128000001</v>
      </c>
      <c r="H36" s="4">
        <f t="shared" si="11"/>
        <v>1673.5623418799998</v>
      </c>
      <c r="I36" s="4">
        <f t="shared" si="11"/>
        <v>1926.1181134727997</v>
      </c>
      <c r="J36" s="4">
        <f t="shared" si="11"/>
        <v>2041.6852002811677</v>
      </c>
      <c r="K36" s="4">
        <f t="shared" si="11"/>
        <v>2164.1863122980376</v>
      </c>
      <c r="L36" s="4">
        <f t="shared" si="11"/>
        <v>2294.0374910359196</v>
      </c>
      <c r="M36" s="4">
        <f t="shared" si="11"/>
        <v>2431.6797404980748</v>
      </c>
      <c r="N36" s="4">
        <f t="shared" si="11"/>
        <v>2577.5805249279592</v>
      </c>
      <c r="O36" s="4">
        <f t="shared" si="11"/>
        <v>2732.2353564236369</v>
      </c>
      <c r="P36" s="4">
        <f t="shared" si="11"/>
        <v>2896.169477809055</v>
      </c>
      <c r="Q36" s="4">
        <f t="shared" si="11"/>
        <v>3069.9396464775982</v>
      </c>
      <c r="R36" s="4">
        <f t="shared" si="11"/>
        <v>3254.1360252662539</v>
      </c>
      <c r="S36" s="4">
        <f t="shared" si="11"/>
        <v>3449.3841867822293</v>
      </c>
      <c r="T36" s="4">
        <f t="shared" si="11"/>
        <v>3656.3472379891632</v>
      </c>
      <c r="U36" s="4">
        <f t="shared" si="11"/>
        <v>3875.7280722685132</v>
      </c>
      <c r="V36" s="4">
        <f t="shared" si="11"/>
        <v>4108.271756604624</v>
      </c>
      <c r="W36" s="4">
        <f t="shared" si="11"/>
        <v>4354.7680620009014</v>
      </c>
      <c r="X36" s="4">
        <f t="shared" si="11"/>
        <v>4616.0541457209556</v>
      </c>
      <c r="Y36" s="4">
        <f t="shared" si="11"/>
        <v>4893.0173944642129</v>
      </c>
      <c r="Z36" s="4">
        <f t="shared" si="11"/>
        <v>5186.5984381320659</v>
      </c>
      <c r="AA36" s="4">
        <f t="shared" si="11"/>
        <v>5497.79434441999</v>
      </c>
      <c r="AB36" s="4">
        <f t="shared" si="11"/>
        <v>5827.6620050851898</v>
      </c>
      <c r="AC36" s="4">
        <f t="shared" si="11"/>
        <v>6177.3217253903013</v>
      </c>
      <c r="AD36" s="4">
        <f t="shared" si="11"/>
        <v>6547.961028913719</v>
      </c>
      <c r="AE36" s="4">
        <f t="shared" si="11"/>
        <v>6940.8386906485421</v>
      </c>
      <c r="AF36" s="4">
        <f t="shared" si="11"/>
        <v>7357.2890120874545</v>
      </c>
      <c r="AG36" s="4">
        <f t="shared" si="11"/>
        <v>7798.7263528127014</v>
      </c>
      <c r="AH36" s="4">
        <f t="shared" si="11"/>
        <v>8266.6499339814636</v>
      </c>
      <c r="AI36" s="4">
        <f t="shared" si="11"/>
        <v>8762.6489300203521</v>
      </c>
      <c r="AJ36" s="4">
        <f t="shared" si="11"/>
        <v>9288.4078658215731</v>
      </c>
      <c r="AK36" s="4">
        <f t="shared" si="11"/>
        <v>9845.7123377708667</v>
      </c>
      <c r="AL36" s="4">
        <f t="shared" si="11"/>
        <v>10436.455078037119</v>
      </c>
      <c r="AM36" s="4">
        <f t="shared" si="11"/>
        <v>11062.642382719347</v>
      </c>
      <c r="AN36" s="4">
        <f t="shared" si="11"/>
        <v>11726.400925682507</v>
      </c>
      <c r="AO36" s="4">
        <f t="shared" si="11"/>
        <v>12429.984981223457</v>
      </c>
      <c r="AP36" s="4">
        <f t="shared" si="11"/>
        <v>13175.784080096864</v>
      </c>
      <c r="AQ36" s="4">
        <f t="shared" si="11"/>
        <v>13966.331124902676</v>
      </c>
      <c r="AR36" s="4">
        <f t="shared" si="11"/>
        <v>14804.310992396837</v>
      </c>
      <c r="AS36" s="4">
        <f t="shared" si="11"/>
        <v>15692.569651940647</v>
      </c>
      <c r="AT36" s="4">
        <f t="shared" si="11"/>
        <v>16634.123831057084</v>
      </c>
      <c r="AU36" s="4">
        <f t="shared" si="11"/>
        <v>17632.17126092051</v>
      </c>
      <c r="AV36" s="4">
        <f t="shared" si="11"/>
        <v>18690.101536575741</v>
      </c>
      <c r="AW36" s="4">
        <f t="shared" si="11"/>
        <v>19811.507628770287</v>
      </c>
      <c r="AX36" s="4">
        <f t="shared" si="11"/>
        <v>21000.198086496504</v>
      </c>
      <c r="AY36" s="4">
        <f t="shared" si="11"/>
        <v>22260.209971686294</v>
      </c>
      <c r="AZ36" s="4">
        <f t="shared" si="11"/>
        <v>23595.822569987471</v>
      </c>
      <c r="BA36" s="4">
        <f t="shared" si="11"/>
        <v>25011.571924186719</v>
      </c>
      <c r="BB36" s="4">
        <f t="shared" si="11"/>
        <v>26512.266239637924</v>
      </c>
      <c r="BC36" s="4">
        <f t="shared" si="11"/>
        <v>28103.0022140162</v>
      </c>
      <c r="BD36" s="4">
        <f t="shared" si="11"/>
        <v>29789.182346857171</v>
      </c>
      <c r="BE36" s="4">
        <f t="shared" si="11"/>
        <v>31576.533287668601</v>
      </c>
      <c r="BF36" s="4">
        <f t="shared" si="11"/>
        <v>33471.125284928719</v>
      </c>
    </row>
    <row r="37" spans="2:58" x14ac:dyDescent="0.25">
      <c r="B37" t="s">
        <v>11</v>
      </c>
      <c r="C37" s="4">
        <f>+C35-C36</f>
        <v>479.99999999999955</v>
      </c>
      <c r="D37" s="4">
        <f t="shared" ref="D37:BF37" si="12">+D35-D36</f>
        <v>1046.1176470588236</v>
      </c>
      <c r="E37" s="4">
        <f t="shared" si="12"/>
        <v>1557.4472727272725</v>
      </c>
      <c r="F37" s="4">
        <f t="shared" si="12"/>
        <v>2040.7139999999999</v>
      </c>
      <c r="G37" s="4">
        <f t="shared" si="12"/>
        <v>2191.9989311999998</v>
      </c>
      <c r="H37" s="4">
        <f t="shared" si="12"/>
        <v>1977.8464040399997</v>
      </c>
      <c r="I37" s="4">
        <f>+I35-I36</f>
        <v>1926.1181134727997</v>
      </c>
      <c r="J37" s="4">
        <f t="shared" si="12"/>
        <v>2041.6852002811677</v>
      </c>
      <c r="K37" s="4">
        <f t="shared" si="12"/>
        <v>2164.1863122980376</v>
      </c>
      <c r="L37" s="4">
        <f t="shared" si="12"/>
        <v>2294.0374910359196</v>
      </c>
      <c r="M37" s="4">
        <f t="shared" si="12"/>
        <v>2431.6797404980748</v>
      </c>
      <c r="N37" s="4">
        <f t="shared" si="12"/>
        <v>2577.5805249279592</v>
      </c>
      <c r="O37" s="4">
        <f t="shared" si="12"/>
        <v>2732.2353564236369</v>
      </c>
      <c r="P37" s="4">
        <f t="shared" si="12"/>
        <v>2896.169477809055</v>
      </c>
      <c r="Q37" s="4">
        <f t="shared" si="12"/>
        <v>3069.9396464775982</v>
      </c>
      <c r="R37" s="4">
        <f t="shared" si="12"/>
        <v>3254.1360252662539</v>
      </c>
      <c r="S37" s="4">
        <f t="shared" si="12"/>
        <v>3449.3841867822293</v>
      </c>
      <c r="T37" s="4">
        <f t="shared" si="12"/>
        <v>3656.3472379891632</v>
      </c>
      <c r="U37" s="4">
        <f t="shared" si="12"/>
        <v>3875.7280722685132</v>
      </c>
      <c r="V37" s="4">
        <f t="shared" si="12"/>
        <v>4108.271756604624</v>
      </c>
      <c r="W37" s="4">
        <f t="shared" si="12"/>
        <v>4354.7680620009014</v>
      </c>
      <c r="X37" s="4">
        <f t="shared" si="12"/>
        <v>4616.0541457209556</v>
      </c>
      <c r="Y37" s="4">
        <f t="shared" si="12"/>
        <v>4893.0173944642129</v>
      </c>
      <c r="Z37" s="4">
        <f t="shared" si="12"/>
        <v>5186.5984381320659</v>
      </c>
      <c r="AA37" s="4">
        <f t="shared" si="12"/>
        <v>5497.79434441999</v>
      </c>
      <c r="AB37" s="4">
        <f t="shared" si="12"/>
        <v>5827.6620050851898</v>
      </c>
      <c r="AC37" s="4">
        <f t="shared" si="12"/>
        <v>6177.3217253903013</v>
      </c>
      <c r="AD37" s="4">
        <f t="shared" si="12"/>
        <v>6547.961028913719</v>
      </c>
      <c r="AE37" s="4">
        <f t="shared" si="12"/>
        <v>6940.8386906485421</v>
      </c>
      <c r="AF37" s="4">
        <f t="shared" si="12"/>
        <v>7357.2890120874545</v>
      </c>
      <c r="AG37" s="4">
        <f t="shared" si="12"/>
        <v>7798.7263528127014</v>
      </c>
      <c r="AH37" s="4">
        <f t="shared" si="12"/>
        <v>8266.6499339814636</v>
      </c>
      <c r="AI37" s="4">
        <f t="shared" si="12"/>
        <v>8762.6489300203521</v>
      </c>
      <c r="AJ37" s="4">
        <f t="shared" si="12"/>
        <v>9288.4078658215731</v>
      </c>
      <c r="AK37" s="4">
        <f t="shared" si="12"/>
        <v>9845.7123377708667</v>
      </c>
      <c r="AL37" s="4">
        <f t="shared" si="12"/>
        <v>10436.455078037119</v>
      </c>
      <c r="AM37" s="4">
        <f t="shared" si="12"/>
        <v>11062.642382719347</v>
      </c>
      <c r="AN37" s="4">
        <f t="shared" si="12"/>
        <v>11726.400925682507</v>
      </c>
      <c r="AO37" s="4">
        <f t="shared" si="12"/>
        <v>12429.984981223457</v>
      </c>
      <c r="AP37" s="4">
        <f t="shared" si="12"/>
        <v>13175.784080096864</v>
      </c>
      <c r="AQ37" s="4">
        <f t="shared" si="12"/>
        <v>13966.331124902676</v>
      </c>
      <c r="AR37" s="4">
        <f t="shared" si="12"/>
        <v>14804.310992396837</v>
      </c>
      <c r="AS37" s="4">
        <f t="shared" si="12"/>
        <v>15692.569651940647</v>
      </c>
      <c r="AT37" s="4">
        <f t="shared" si="12"/>
        <v>16634.123831057084</v>
      </c>
      <c r="AU37" s="4">
        <f t="shared" si="12"/>
        <v>17632.17126092051</v>
      </c>
      <c r="AV37" s="4">
        <f t="shared" si="12"/>
        <v>18690.101536575741</v>
      </c>
      <c r="AW37" s="4">
        <f t="shared" si="12"/>
        <v>19811.507628770287</v>
      </c>
      <c r="AX37" s="4">
        <f t="shared" si="12"/>
        <v>21000.198086496504</v>
      </c>
      <c r="AY37" s="4">
        <f t="shared" si="12"/>
        <v>22260.209971686294</v>
      </c>
      <c r="AZ37" s="4">
        <f t="shared" si="12"/>
        <v>23595.822569987471</v>
      </c>
      <c r="BA37" s="4">
        <f t="shared" si="12"/>
        <v>25011.571924186719</v>
      </c>
      <c r="BB37" s="4">
        <f t="shared" si="12"/>
        <v>26512.266239637924</v>
      </c>
      <c r="BC37" s="4">
        <f t="shared" si="12"/>
        <v>28103.0022140162</v>
      </c>
      <c r="BD37" s="4">
        <f t="shared" si="12"/>
        <v>29789.182346857171</v>
      </c>
      <c r="BE37" s="4">
        <f t="shared" si="12"/>
        <v>31576.533287668601</v>
      </c>
      <c r="BF37" s="4">
        <f t="shared" si="12"/>
        <v>33471.125284928719</v>
      </c>
    </row>
    <row r="38" spans="2:58" x14ac:dyDescent="0.25">
      <c r="B38" t="s">
        <v>68</v>
      </c>
      <c r="C38" s="4">
        <f>+C64*C25</f>
        <v>0</v>
      </c>
      <c r="D38" s="4">
        <f t="shared" ref="D38:BF38" si="13">+D64*D25</f>
        <v>80.865458666575194</v>
      </c>
      <c r="E38" s="4">
        <f t="shared" si="13"/>
        <v>186.9066383129335</v>
      </c>
      <c r="F38" s="4">
        <f t="shared" si="13"/>
        <v>341.24680971127498</v>
      </c>
      <c r="G38" s="4">
        <f t="shared" si="13"/>
        <v>498.04992222683455</v>
      </c>
      <c r="H38" s="4">
        <f t="shared" si="13"/>
        <v>548.21729358566529</v>
      </c>
      <c r="I38" s="4">
        <f t="shared" si="13"/>
        <v>578.51604114907389</v>
      </c>
      <c r="J38" s="4">
        <f t="shared" si="13"/>
        <v>613.22700361801822</v>
      </c>
      <c r="K38" s="4">
        <f t="shared" si="13"/>
        <v>650.0206238350994</v>
      </c>
      <c r="L38" s="4">
        <f t="shared" si="13"/>
        <v>689.02186126520542</v>
      </c>
      <c r="M38" s="4">
        <f t="shared" si="13"/>
        <v>730.36317294111791</v>
      </c>
      <c r="N38" s="4">
        <f t="shared" si="13"/>
        <v>774.1849633175849</v>
      </c>
      <c r="O38" s="4">
        <f t="shared" si="13"/>
        <v>820.63606111664012</v>
      </c>
      <c r="P38" s="4">
        <f t="shared" si="13"/>
        <v>869.8742247836384</v>
      </c>
      <c r="Q38" s="4">
        <f t="shared" si="13"/>
        <v>922.06667827065678</v>
      </c>
      <c r="R38" s="4">
        <f t="shared" si="13"/>
        <v>977.3906789668963</v>
      </c>
      <c r="S38" s="4">
        <f t="shared" si="13"/>
        <v>1036.0341197049099</v>
      </c>
      <c r="T38" s="4">
        <f t="shared" si="13"/>
        <v>1098.1961668872048</v>
      </c>
      <c r="U38" s="4">
        <f t="shared" si="13"/>
        <v>1164.0879369004369</v>
      </c>
      <c r="V38" s="4">
        <f t="shared" si="13"/>
        <v>1233.9332131144633</v>
      </c>
      <c r="W38" s="4">
        <f t="shared" si="13"/>
        <v>1307.969205901331</v>
      </c>
      <c r="X38" s="4">
        <f t="shared" si="13"/>
        <v>1386.4473582554108</v>
      </c>
      <c r="Y38" s="4">
        <f t="shared" si="13"/>
        <v>1469.6341997507354</v>
      </c>
      <c r="Z38" s="4">
        <f t="shared" si="13"/>
        <v>1557.8122517357797</v>
      </c>
      <c r="AA38" s="4">
        <f t="shared" si="13"/>
        <v>1651.2809868399265</v>
      </c>
      <c r="AB38" s="4">
        <f t="shared" si="13"/>
        <v>1750.3578460503222</v>
      </c>
      <c r="AC38" s="4">
        <f t="shared" si="13"/>
        <v>1855.3793168133416</v>
      </c>
      <c r="AD38" s="4">
        <f t="shared" si="13"/>
        <v>1966.7020758221422</v>
      </c>
      <c r="AE38" s="4">
        <f t="shared" si="13"/>
        <v>2084.7042003714705</v>
      </c>
      <c r="AF38" s="4">
        <f t="shared" si="13"/>
        <v>2209.7864523937587</v>
      </c>
      <c r="AG38" s="4">
        <f t="shared" si="13"/>
        <v>2342.373639537384</v>
      </c>
      <c r="AH38" s="4">
        <f t="shared" si="13"/>
        <v>2482.9160579096269</v>
      </c>
      <c r="AI38" s="4">
        <f t="shared" si="13"/>
        <v>2631.891021384205</v>
      </c>
      <c r="AJ38" s="4">
        <f t="shared" si="13"/>
        <v>2789.8044826672572</v>
      </c>
      <c r="AK38" s="4">
        <f t="shared" si="13"/>
        <v>2957.1927516272926</v>
      </c>
      <c r="AL38" s="4">
        <f t="shared" si="13"/>
        <v>3134.6243167249299</v>
      </c>
      <c r="AM38" s="4">
        <f t="shared" si="13"/>
        <v>3322.7017757284261</v>
      </c>
      <c r="AN38" s="4">
        <f t="shared" si="13"/>
        <v>3522.0638822721312</v>
      </c>
      <c r="AO38" s="4">
        <f t="shared" si="13"/>
        <v>3733.3877152084592</v>
      </c>
      <c r="AP38" s="4">
        <f t="shared" si="13"/>
        <v>3957.3909781209672</v>
      </c>
      <c r="AQ38" s="4">
        <f t="shared" si="13"/>
        <v>4194.8344368082244</v>
      </c>
      <c r="AR38" s="4">
        <f t="shared" si="13"/>
        <v>4446.524503016718</v>
      </c>
      <c r="AS38" s="4">
        <f t="shared" si="13"/>
        <v>4713.3159731977221</v>
      </c>
      <c r="AT38" s="4">
        <f t="shared" si="13"/>
        <v>4996.1149315895846</v>
      </c>
      <c r="AU38" s="4">
        <f t="shared" si="13"/>
        <v>5295.88182748496</v>
      </c>
      <c r="AV38" s="4">
        <f t="shared" si="13"/>
        <v>5613.6347371340571</v>
      </c>
      <c r="AW38" s="4">
        <f t="shared" si="13"/>
        <v>5950.4528213621015</v>
      </c>
      <c r="AX38" s="4">
        <f t="shared" si="13"/>
        <v>6307.4799906438275</v>
      </c>
      <c r="AY38" s="4">
        <f t="shared" si="13"/>
        <v>6685.9287900824565</v>
      </c>
      <c r="AZ38" s="4">
        <f t="shared" si="13"/>
        <v>7087.0845174874048</v>
      </c>
      <c r="BA38" s="4">
        <f t="shared" si="13"/>
        <v>7512.3095885366474</v>
      </c>
      <c r="BB38" s="4">
        <f t="shared" si="13"/>
        <v>7963.0481638488482</v>
      </c>
      <c r="BC38" s="4">
        <f t="shared" si="13"/>
        <v>8440.8310536797799</v>
      </c>
      <c r="BD38" s="4">
        <f t="shared" si="13"/>
        <v>8947.280916900565</v>
      </c>
      <c r="BE38" s="4">
        <f t="shared" si="13"/>
        <v>9484.1177719145999</v>
      </c>
      <c r="BF38" s="4">
        <f t="shared" si="13"/>
        <v>10053.164838229475</v>
      </c>
    </row>
    <row r="39" spans="2:58" x14ac:dyDescent="0.25">
      <c r="B39" t="s">
        <v>69</v>
      </c>
      <c r="C39" s="4">
        <f>+C38*C31</f>
        <v>0</v>
      </c>
      <c r="D39" s="4">
        <f t="shared" ref="D39:BF39" si="14">+D38*D31</f>
        <v>16.17309173331504</v>
      </c>
      <c r="E39" s="4">
        <f t="shared" si="14"/>
        <v>37.381327662586699</v>
      </c>
      <c r="F39" s="4">
        <f t="shared" si="14"/>
        <v>68.249361942254993</v>
      </c>
      <c r="G39" s="4">
        <f t="shared" si="14"/>
        <v>99.609984445366919</v>
      </c>
      <c r="H39" s="4">
        <f t="shared" si="14"/>
        <v>109.64345871713306</v>
      </c>
      <c r="I39" s="4">
        <f t="shared" si="14"/>
        <v>115.70320822981478</v>
      </c>
      <c r="J39" s="4">
        <f t="shared" si="14"/>
        <v>122.64540072360364</v>
      </c>
      <c r="K39" s="4">
        <f t="shared" si="14"/>
        <v>130.00412476701987</v>
      </c>
      <c r="L39" s="4">
        <f t="shared" si="14"/>
        <v>137.80437225304109</v>
      </c>
      <c r="M39" s="4">
        <f t="shared" si="14"/>
        <v>146.07263458822359</v>
      </c>
      <c r="N39" s="4">
        <f t="shared" si="14"/>
        <v>154.83699266351698</v>
      </c>
      <c r="O39" s="4">
        <f t="shared" si="14"/>
        <v>164.12721222332803</v>
      </c>
      <c r="P39" s="4">
        <f t="shared" si="14"/>
        <v>173.97484495672768</v>
      </c>
      <c r="Q39" s="4">
        <f t="shared" si="14"/>
        <v>184.41333565413137</v>
      </c>
      <c r="R39" s="4">
        <f t="shared" si="14"/>
        <v>195.47813579337927</v>
      </c>
      <c r="S39" s="4">
        <f t="shared" si="14"/>
        <v>207.20682394098199</v>
      </c>
      <c r="T39" s="4">
        <f t="shared" si="14"/>
        <v>219.63923337744097</v>
      </c>
      <c r="U39" s="4">
        <f t="shared" si="14"/>
        <v>232.81758738008739</v>
      </c>
      <c r="V39" s="4">
        <f t="shared" si="14"/>
        <v>246.78664262289269</v>
      </c>
      <c r="W39" s="4">
        <f t="shared" si="14"/>
        <v>261.59384118026622</v>
      </c>
      <c r="X39" s="4">
        <f t="shared" si="14"/>
        <v>277.28947165108218</v>
      </c>
      <c r="Y39" s="4">
        <f t="shared" si="14"/>
        <v>293.9268399501471</v>
      </c>
      <c r="Z39" s="4">
        <f t="shared" si="14"/>
        <v>311.56245034715596</v>
      </c>
      <c r="AA39" s="4">
        <f t="shared" si="14"/>
        <v>330.25619736798535</v>
      </c>
      <c r="AB39" s="4">
        <f t="shared" si="14"/>
        <v>350.07156921006447</v>
      </c>
      <c r="AC39" s="4">
        <f t="shared" si="14"/>
        <v>371.07586336266831</v>
      </c>
      <c r="AD39" s="4">
        <f t="shared" si="14"/>
        <v>393.34041516442846</v>
      </c>
      <c r="AE39" s="4">
        <f t="shared" si="14"/>
        <v>416.9408400742941</v>
      </c>
      <c r="AF39" s="4">
        <f t="shared" si="14"/>
        <v>441.95729047875176</v>
      </c>
      <c r="AG39" s="4">
        <f t="shared" si="14"/>
        <v>468.47472790747679</v>
      </c>
      <c r="AH39" s="4">
        <f t="shared" si="14"/>
        <v>496.58321158192541</v>
      </c>
      <c r="AI39" s="4">
        <f t="shared" si="14"/>
        <v>526.37820427684107</v>
      </c>
      <c r="AJ39" s="4">
        <f t="shared" si="14"/>
        <v>557.96089653345143</v>
      </c>
      <c r="AK39" s="4">
        <f t="shared" si="14"/>
        <v>591.43855032545855</v>
      </c>
      <c r="AL39" s="4">
        <f t="shared" si="14"/>
        <v>626.92486334498608</v>
      </c>
      <c r="AM39" s="4">
        <f t="shared" si="14"/>
        <v>664.54035514568523</v>
      </c>
      <c r="AN39" s="4">
        <f t="shared" si="14"/>
        <v>704.41277645442631</v>
      </c>
      <c r="AO39" s="4">
        <f t="shared" si="14"/>
        <v>746.67754304169193</v>
      </c>
      <c r="AP39" s="4">
        <f t="shared" si="14"/>
        <v>791.47819562419352</v>
      </c>
      <c r="AQ39" s="4">
        <f t="shared" si="14"/>
        <v>838.96688736164492</v>
      </c>
      <c r="AR39" s="4">
        <f t="shared" si="14"/>
        <v>889.30490060334364</v>
      </c>
      <c r="AS39" s="4">
        <f t="shared" si="14"/>
        <v>942.66319463954449</v>
      </c>
      <c r="AT39" s="4">
        <f t="shared" si="14"/>
        <v>999.22298631791693</v>
      </c>
      <c r="AU39" s="4">
        <f t="shared" si="14"/>
        <v>1059.176365496992</v>
      </c>
      <c r="AV39" s="4">
        <f t="shared" si="14"/>
        <v>1122.7269474268114</v>
      </c>
      <c r="AW39" s="4">
        <f t="shared" si="14"/>
        <v>1190.0905642724204</v>
      </c>
      <c r="AX39" s="4">
        <f t="shared" si="14"/>
        <v>1261.4959981287657</v>
      </c>
      <c r="AY39" s="4">
        <f t="shared" si="14"/>
        <v>1337.1857580164915</v>
      </c>
      <c r="AZ39" s="4">
        <f t="shared" si="14"/>
        <v>1417.4169034974811</v>
      </c>
      <c r="BA39" s="4">
        <f t="shared" si="14"/>
        <v>1502.4619177073296</v>
      </c>
      <c r="BB39" s="4">
        <f t="shared" si="14"/>
        <v>1592.6096327697696</v>
      </c>
      <c r="BC39" s="4">
        <f t="shared" si="14"/>
        <v>1688.1662107359562</v>
      </c>
      <c r="BD39" s="4">
        <f t="shared" si="14"/>
        <v>1789.4561833801131</v>
      </c>
      <c r="BE39" s="4">
        <f t="shared" si="14"/>
        <v>1896.8235543829201</v>
      </c>
      <c r="BF39" s="4">
        <f t="shared" si="14"/>
        <v>2010.6329676458952</v>
      </c>
    </row>
    <row r="40" spans="2:58" x14ac:dyDescent="0.25">
      <c r="B40" t="s">
        <v>70</v>
      </c>
      <c r="C40" s="4">
        <f>+D64-C64</f>
        <v>1155.2208380939312</v>
      </c>
      <c r="D40" s="4">
        <f t="shared" ref="D40:BF40" si="15">+E64-D64</f>
        <v>1336.8676727451823</v>
      </c>
      <c r="E40" s="4">
        <f t="shared" si="15"/>
        <v>1773.4966105518238</v>
      </c>
      <c r="F40" s="4">
        <f t="shared" si="15"/>
        <v>1593.8257283365274</v>
      </c>
      <c r="G40" s="4">
        <f t="shared" si="15"/>
        <v>590.20436892742055</v>
      </c>
      <c r="H40" s="4">
        <f t="shared" si="15"/>
        <v>356.45585368716002</v>
      </c>
      <c r="I40" s="4">
        <f t="shared" si="15"/>
        <v>408.36426434052191</v>
      </c>
      <c r="J40" s="4">
        <f t="shared" si="15"/>
        <v>432.86612020095527</v>
      </c>
      <c r="K40" s="4">
        <f t="shared" si="15"/>
        <v>458.83808741301164</v>
      </c>
      <c r="L40" s="4">
        <f t="shared" si="15"/>
        <v>486.36837265779377</v>
      </c>
      <c r="M40" s="4">
        <f t="shared" si="15"/>
        <v>515.55047501725858</v>
      </c>
      <c r="N40" s="4">
        <f t="shared" si="15"/>
        <v>546.48350351829686</v>
      </c>
      <c r="O40" s="4">
        <f t="shared" si="15"/>
        <v>579.27251372939099</v>
      </c>
      <c r="P40" s="4">
        <f t="shared" si="15"/>
        <v>614.0288645531582</v>
      </c>
      <c r="Q40" s="4">
        <f t="shared" si="15"/>
        <v>650.87059642634631</v>
      </c>
      <c r="R40" s="4">
        <f t="shared" si="15"/>
        <v>689.9228322119252</v>
      </c>
      <c r="S40" s="4">
        <f t="shared" si="15"/>
        <v>731.3182021446446</v>
      </c>
      <c r="T40" s="4">
        <f t="shared" si="15"/>
        <v>775.19729427332095</v>
      </c>
      <c r="U40" s="4">
        <f t="shared" si="15"/>
        <v>821.70913192972148</v>
      </c>
      <c r="V40" s="4">
        <f t="shared" si="15"/>
        <v>871.01167984550193</v>
      </c>
      <c r="W40" s="4">
        <f t="shared" si="15"/>
        <v>923.27238063623372</v>
      </c>
      <c r="X40" s="4">
        <f t="shared" si="15"/>
        <v>978.66872347440585</v>
      </c>
      <c r="Y40" s="4">
        <f t="shared" si="15"/>
        <v>1037.3888468828736</v>
      </c>
      <c r="Z40" s="4">
        <f t="shared" si="15"/>
        <v>1099.6321776958466</v>
      </c>
      <c r="AA40" s="4">
        <f t="shared" si="15"/>
        <v>1165.6101083575959</v>
      </c>
      <c r="AB40" s="4">
        <f t="shared" si="15"/>
        <v>1235.5467148590506</v>
      </c>
      <c r="AC40" s="4">
        <f t="shared" si="15"/>
        <v>1309.6795177505956</v>
      </c>
      <c r="AD40" s="4">
        <f t="shared" si="15"/>
        <v>1388.2602888156289</v>
      </c>
      <c r="AE40" s="4">
        <f t="shared" si="15"/>
        <v>1471.5559061445674</v>
      </c>
      <c r="AF40" s="4">
        <f t="shared" si="15"/>
        <v>1559.8492605132378</v>
      </c>
      <c r="AG40" s="4">
        <f t="shared" si="15"/>
        <v>1653.4402161440339</v>
      </c>
      <c r="AH40" s="4">
        <f t="shared" si="15"/>
        <v>1752.6466291126817</v>
      </c>
      <c r="AI40" s="4">
        <f t="shared" si="15"/>
        <v>1857.8054268594387</v>
      </c>
      <c r="AJ40" s="4">
        <f t="shared" si="15"/>
        <v>1969.2737524710028</v>
      </c>
      <c r="AK40" s="4">
        <f t="shared" si="15"/>
        <v>2087.430177619266</v>
      </c>
      <c r="AL40" s="4">
        <f t="shared" si="15"/>
        <v>2212.6759882764236</v>
      </c>
      <c r="AM40" s="4">
        <f t="shared" si="15"/>
        <v>2345.436547573001</v>
      </c>
      <c r="AN40" s="4">
        <f t="shared" si="15"/>
        <v>2486.1627404273895</v>
      </c>
      <c r="AO40" s="4">
        <f t="shared" si="15"/>
        <v>2635.3325048530314</v>
      </c>
      <c r="AP40" s="4">
        <f t="shared" si="15"/>
        <v>2793.4524551442082</v>
      </c>
      <c r="AQ40" s="4">
        <f t="shared" si="15"/>
        <v>2961.0596024528641</v>
      </c>
      <c r="AR40" s="4">
        <f t="shared" si="15"/>
        <v>3138.7231786000411</v>
      </c>
      <c r="AS40" s="4">
        <f t="shared" si="15"/>
        <v>3327.0465693160295</v>
      </c>
      <c r="AT40" s="4">
        <f t="shared" si="15"/>
        <v>3526.6693634750118</v>
      </c>
      <c r="AU40" s="4">
        <f t="shared" si="15"/>
        <v>3738.2695252834965</v>
      </c>
      <c r="AV40" s="4">
        <f t="shared" si="15"/>
        <v>3962.5656968005205</v>
      </c>
      <c r="AW40" s="4">
        <f t="shared" si="15"/>
        <v>4200.3196386085328</v>
      </c>
      <c r="AX40" s="4">
        <f t="shared" si="15"/>
        <v>4452.3388169250538</v>
      </c>
      <c r="AY40" s="4">
        <f t="shared" si="15"/>
        <v>4719.4791459405678</v>
      </c>
      <c r="AZ40" s="4">
        <f t="shared" si="15"/>
        <v>5002.6478946969728</v>
      </c>
      <c r="BA40" s="4">
        <f t="shared" si="15"/>
        <v>5302.8067683788249</v>
      </c>
      <c r="BB40" s="4">
        <f t="shared" si="15"/>
        <v>5620.9751744815439</v>
      </c>
      <c r="BC40" s="4">
        <f t="shared" si="15"/>
        <v>5958.2336849504209</v>
      </c>
      <c r="BD40" s="4">
        <f t="shared" si="15"/>
        <v>6315.7277060474589</v>
      </c>
      <c r="BE40" s="4">
        <f t="shared" si="15"/>
        <v>6694.6713684103161</v>
      </c>
      <c r="BF40" s="4">
        <f t="shared" si="15"/>
        <v>-118272.52750858206</v>
      </c>
    </row>
    <row r="41" spans="2:58" x14ac:dyDescent="0.25">
      <c r="B41" t="s">
        <v>71</v>
      </c>
      <c r="C41" s="4">
        <f>+C37-C38+C39+C40</f>
        <v>1635.2208380939308</v>
      </c>
      <c r="D41" s="4">
        <f t="shared" ref="D41:BF41" si="16">+D37-D38+D39+D40</f>
        <v>2318.2929528707455</v>
      </c>
      <c r="E41" s="4">
        <f t="shared" si="16"/>
        <v>3181.4185726287496</v>
      </c>
      <c r="F41" s="4">
        <f t="shared" si="16"/>
        <v>3361.5422805675071</v>
      </c>
      <c r="G41" s="4">
        <f t="shared" si="16"/>
        <v>2383.7633623459528</v>
      </c>
      <c r="H41" s="4">
        <f t="shared" si="16"/>
        <v>1895.7284228586273</v>
      </c>
      <c r="I41" s="4">
        <f t="shared" si="16"/>
        <v>1871.6695448940623</v>
      </c>
      <c r="J41" s="4">
        <f t="shared" si="16"/>
        <v>1983.9697175877084</v>
      </c>
      <c r="K41" s="4">
        <f t="shared" si="16"/>
        <v>2103.0079006429696</v>
      </c>
      <c r="L41" s="4">
        <f t="shared" si="16"/>
        <v>2229.1883746815492</v>
      </c>
      <c r="M41" s="4">
        <f t="shared" si="16"/>
        <v>2362.9396771624388</v>
      </c>
      <c r="N41" s="4">
        <f t="shared" si="16"/>
        <v>2504.7160577921882</v>
      </c>
      <c r="O41" s="4">
        <f t="shared" si="16"/>
        <v>2654.9990212597158</v>
      </c>
      <c r="P41" s="4">
        <f t="shared" si="16"/>
        <v>2814.2989625353025</v>
      </c>
      <c r="Q41" s="4">
        <f t="shared" si="16"/>
        <v>2983.1569002874194</v>
      </c>
      <c r="R41" s="4">
        <f t="shared" si="16"/>
        <v>3162.1463143046622</v>
      </c>
      <c r="S41" s="4">
        <f t="shared" si="16"/>
        <v>3351.8750931629456</v>
      </c>
      <c r="T41" s="4">
        <f t="shared" si="16"/>
        <v>3552.9875987527203</v>
      </c>
      <c r="U41" s="4">
        <f t="shared" si="16"/>
        <v>3766.1668546778851</v>
      </c>
      <c r="V41" s="4">
        <f t="shared" si="16"/>
        <v>3992.1368659585551</v>
      </c>
      <c r="W41" s="4">
        <f t="shared" si="16"/>
        <v>4231.66507791607</v>
      </c>
      <c r="X41" s="4">
        <f t="shared" si="16"/>
        <v>4485.5649825910332</v>
      </c>
      <c r="Y41" s="4">
        <f t="shared" si="16"/>
        <v>4754.6988815464983</v>
      </c>
      <c r="Z41" s="4">
        <f t="shared" si="16"/>
        <v>5039.9808144392882</v>
      </c>
      <c r="AA41" s="4">
        <f t="shared" si="16"/>
        <v>5342.3796633056445</v>
      </c>
      <c r="AB41" s="4">
        <f t="shared" si="16"/>
        <v>5662.9224431039829</v>
      </c>
      <c r="AC41" s="4">
        <f t="shared" si="16"/>
        <v>6002.6977896902235</v>
      </c>
      <c r="AD41" s="4">
        <f t="shared" si="16"/>
        <v>6362.8596570716336</v>
      </c>
      <c r="AE41" s="4">
        <f t="shared" si="16"/>
        <v>6744.6312364959331</v>
      </c>
      <c r="AF41" s="4">
        <f t="shared" si="16"/>
        <v>7149.3091106856855</v>
      </c>
      <c r="AG41" s="4">
        <f t="shared" si="16"/>
        <v>7578.2676573268272</v>
      </c>
      <c r="AH41" s="4">
        <f t="shared" si="16"/>
        <v>8032.9637167664441</v>
      </c>
      <c r="AI41" s="4">
        <f t="shared" si="16"/>
        <v>8514.941539772426</v>
      </c>
      <c r="AJ41" s="4">
        <f t="shared" si="16"/>
        <v>9025.8380321587701</v>
      </c>
      <c r="AK41" s="4">
        <f t="shared" si="16"/>
        <v>9567.388314088299</v>
      </c>
      <c r="AL41" s="4">
        <f t="shared" si="16"/>
        <v>10141.431612933598</v>
      </c>
      <c r="AM41" s="4">
        <f t="shared" si="16"/>
        <v>10749.917509709607</v>
      </c>
      <c r="AN41" s="4">
        <f t="shared" si="16"/>
        <v>11394.91256029219</v>
      </c>
      <c r="AO41" s="4">
        <f t="shared" si="16"/>
        <v>12078.607313909721</v>
      </c>
      <c r="AP41" s="4">
        <f t="shared" si="16"/>
        <v>12803.323752744298</v>
      </c>
      <c r="AQ41" s="4">
        <f t="shared" si="16"/>
        <v>13571.523177908961</v>
      </c>
      <c r="AR41" s="4">
        <f t="shared" si="16"/>
        <v>14385.814568583504</v>
      </c>
      <c r="AS41" s="4">
        <f t="shared" si="16"/>
        <v>15248.963442698498</v>
      </c>
      <c r="AT41" s="4">
        <f t="shared" si="16"/>
        <v>16163.901249260427</v>
      </c>
      <c r="AU41" s="4">
        <f t="shared" si="16"/>
        <v>17133.735324216039</v>
      </c>
      <c r="AV41" s="4">
        <f t="shared" si="16"/>
        <v>18161.759443669016</v>
      </c>
      <c r="AW41" s="4">
        <f t="shared" si="16"/>
        <v>19251.465010289139</v>
      </c>
      <c r="AX41" s="4">
        <f t="shared" si="16"/>
        <v>20406.552910906496</v>
      </c>
      <c r="AY41" s="4">
        <f t="shared" si="16"/>
        <v>21630.946085560896</v>
      </c>
      <c r="AZ41" s="4">
        <f t="shared" si="16"/>
        <v>22928.802850694519</v>
      </c>
      <c r="BA41" s="4">
        <f t="shared" si="16"/>
        <v>24304.531021736224</v>
      </c>
      <c r="BB41" s="4">
        <f t="shared" si="16"/>
        <v>25762.802883040389</v>
      </c>
      <c r="BC41" s="4">
        <f t="shared" si="16"/>
        <v>27308.571056022796</v>
      </c>
      <c r="BD41" s="4">
        <f t="shared" si="16"/>
        <v>28947.085319384176</v>
      </c>
      <c r="BE41" s="4">
        <f t="shared" si="16"/>
        <v>30683.910438547238</v>
      </c>
      <c r="BF41" s="4">
        <f t="shared" si="16"/>
        <v>-92843.934094236916</v>
      </c>
    </row>
    <row r="42" spans="2:58" x14ac:dyDescent="0.25">
      <c r="B42" s="4" t="str">
        <f>+B52</f>
        <v>Dividend</v>
      </c>
      <c r="C42" s="4">
        <f t="shared" ref="C42:BE42" si="17">+C52</f>
        <v>1635.2208380939319</v>
      </c>
      <c r="D42" s="4">
        <f t="shared" si="17"/>
        <v>2318.2929528707473</v>
      </c>
      <c r="E42" s="4">
        <f t="shared" si="17"/>
        <v>2873.7546893496528</v>
      </c>
      <c r="F42" s="4">
        <f t="shared" si="17"/>
        <v>2992.1449522309795</v>
      </c>
      <c r="G42" s="4">
        <f t="shared" si="17"/>
        <v>2383.7633623459542</v>
      </c>
      <c r="H42" s="4">
        <f t="shared" si="17"/>
        <v>1895.7284228586277</v>
      </c>
      <c r="I42" s="4">
        <f t="shared" si="17"/>
        <v>1871.6695448940618</v>
      </c>
      <c r="J42" s="4">
        <f t="shared" si="17"/>
        <v>1983.9697175877059</v>
      </c>
      <c r="K42" s="4">
        <f t="shared" si="17"/>
        <v>2103.0079006429723</v>
      </c>
      <c r="L42" s="4">
        <f t="shared" si="17"/>
        <v>2229.1883746815488</v>
      </c>
      <c r="M42" s="4">
        <f t="shared" si="17"/>
        <v>2362.9396771624415</v>
      </c>
      <c r="N42" s="4">
        <f t="shared" si="17"/>
        <v>2504.7160577921904</v>
      </c>
      <c r="O42" s="4">
        <f t="shared" si="17"/>
        <v>2654.9990212597104</v>
      </c>
      <c r="P42" s="4">
        <f t="shared" si="17"/>
        <v>2814.2989625353048</v>
      </c>
      <c r="Q42" s="4">
        <f t="shared" si="17"/>
        <v>2983.1569002874176</v>
      </c>
      <c r="R42" s="4">
        <f t="shared" si="17"/>
        <v>3162.1463143046576</v>
      </c>
      <c r="S42" s="4">
        <f t="shared" si="17"/>
        <v>3351.8750931629511</v>
      </c>
      <c r="T42" s="4">
        <f t="shared" si="17"/>
        <v>3552.9875987527212</v>
      </c>
      <c r="U42" s="4">
        <f t="shared" si="17"/>
        <v>3766.1668546778919</v>
      </c>
      <c r="V42" s="4">
        <f t="shared" si="17"/>
        <v>3992.1368659585478</v>
      </c>
      <c r="W42" s="4">
        <f t="shared" si="17"/>
        <v>4231.6650779160673</v>
      </c>
      <c r="X42" s="4">
        <f t="shared" si="17"/>
        <v>4485.5649825910295</v>
      </c>
      <c r="Y42" s="4">
        <f t="shared" si="17"/>
        <v>4754.6988815464883</v>
      </c>
      <c r="Z42" s="4">
        <f t="shared" si="17"/>
        <v>5039.9808144392973</v>
      </c>
      <c r="AA42" s="4">
        <f t="shared" si="17"/>
        <v>5342.3796633056372</v>
      </c>
      <c r="AB42" s="4">
        <f t="shared" si="17"/>
        <v>5662.922443103982</v>
      </c>
      <c r="AC42" s="4">
        <f t="shared" si="17"/>
        <v>6002.6977896902281</v>
      </c>
      <c r="AD42" s="4">
        <f t="shared" si="17"/>
        <v>6362.859657071629</v>
      </c>
      <c r="AE42" s="4">
        <f t="shared" si="17"/>
        <v>6744.6312364959358</v>
      </c>
      <c r="AF42" s="4">
        <f t="shared" si="17"/>
        <v>7149.3091106856846</v>
      </c>
      <c r="AG42" s="4">
        <f t="shared" si="17"/>
        <v>7578.2676573268218</v>
      </c>
      <c r="AH42" s="4">
        <f t="shared" si="17"/>
        <v>8032.9637167664478</v>
      </c>
      <c r="AI42" s="4">
        <f t="shared" si="17"/>
        <v>8514.9415397724406</v>
      </c>
      <c r="AJ42" s="4">
        <f t="shared" si="17"/>
        <v>9025.8380321587792</v>
      </c>
      <c r="AK42" s="4">
        <f t="shared" si="17"/>
        <v>9567.3883140882936</v>
      </c>
      <c r="AL42" s="4">
        <f t="shared" si="17"/>
        <v>10141.431612933586</v>
      </c>
      <c r="AM42" s="4">
        <f t="shared" si="17"/>
        <v>10749.917509709616</v>
      </c>
      <c r="AN42" s="4">
        <f t="shared" si="17"/>
        <v>11394.912560292189</v>
      </c>
      <c r="AO42" s="4">
        <f t="shared" si="17"/>
        <v>12078.607313909721</v>
      </c>
      <c r="AP42" s="4">
        <f t="shared" si="17"/>
        <v>12803.323752744316</v>
      </c>
      <c r="AQ42" s="4">
        <f t="shared" si="17"/>
        <v>13571.523177908944</v>
      </c>
      <c r="AR42" s="4">
        <f t="shared" si="17"/>
        <v>14385.814568583501</v>
      </c>
      <c r="AS42" s="4">
        <f t="shared" si="17"/>
        <v>15248.963442698459</v>
      </c>
      <c r="AT42" s="4">
        <f t="shared" si="17"/>
        <v>16163.90124926042</v>
      </c>
      <c r="AU42" s="4">
        <f t="shared" si="17"/>
        <v>17133.735324216028</v>
      </c>
      <c r="AV42" s="4">
        <f t="shared" si="17"/>
        <v>18161.759443668976</v>
      </c>
      <c r="AW42" s="4">
        <f t="shared" si="17"/>
        <v>19251.465010289096</v>
      </c>
      <c r="AX42" s="4">
        <f t="shared" si="17"/>
        <v>20406.55291090651</v>
      </c>
      <c r="AY42" s="4">
        <f t="shared" si="17"/>
        <v>21630.946085560885</v>
      </c>
      <c r="AZ42" s="4">
        <f t="shared" si="17"/>
        <v>22928.802850694541</v>
      </c>
      <c r="BA42" s="4">
        <f t="shared" si="17"/>
        <v>24304.531021736228</v>
      </c>
      <c r="BB42" s="4">
        <f t="shared" si="17"/>
        <v>25762.802883040422</v>
      </c>
      <c r="BC42" s="4">
        <f t="shared" si="17"/>
        <v>27308.571056022753</v>
      </c>
      <c r="BD42" s="4">
        <f t="shared" si="17"/>
        <v>28947.085319384212</v>
      </c>
      <c r="BE42" s="4">
        <f t="shared" si="17"/>
        <v>30683.910438547144</v>
      </c>
      <c r="BF42" s="4"/>
    </row>
    <row r="43" spans="2:58" x14ac:dyDescent="0.25">
      <c r="B43" t="s">
        <v>84</v>
      </c>
      <c r="C43" s="4">
        <f>+D65-C65-C53</f>
        <v>0</v>
      </c>
      <c r="D43" s="4">
        <f t="shared" ref="D43:BF43" si="18">+E65-D65-D53</f>
        <v>0</v>
      </c>
      <c r="E43" s="4">
        <f t="shared" si="18"/>
        <v>-307.66388327909772</v>
      </c>
      <c r="F43" s="4">
        <f t="shared" si="18"/>
        <v>-369.3973283365267</v>
      </c>
      <c r="G43" s="4">
        <f t="shared" si="18"/>
        <v>0</v>
      </c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  <c r="M43" s="4">
        <f t="shared" si="18"/>
        <v>0</v>
      </c>
      <c r="N43" s="4">
        <f t="shared" si="18"/>
        <v>0</v>
      </c>
      <c r="O43" s="4">
        <f t="shared" si="18"/>
        <v>0</v>
      </c>
      <c r="P43" s="4">
        <f t="shared" si="18"/>
        <v>0</v>
      </c>
      <c r="Q43" s="4">
        <f t="shared" si="18"/>
        <v>0</v>
      </c>
      <c r="R43" s="4">
        <f t="shared" si="18"/>
        <v>0</v>
      </c>
      <c r="S43" s="4">
        <f t="shared" si="18"/>
        <v>0</v>
      </c>
      <c r="T43" s="4">
        <f t="shared" si="18"/>
        <v>0</v>
      </c>
      <c r="U43" s="4">
        <f t="shared" si="18"/>
        <v>0</v>
      </c>
      <c r="V43" s="4">
        <f t="shared" si="18"/>
        <v>0</v>
      </c>
      <c r="W43" s="4">
        <f t="shared" si="18"/>
        <v>0</v>
      </c>
      <c r="X43" s="4">
        <f t="shared" si="18"/>
        <v>0</v>
      </c>
      <c r="Y43" s="4">
        <f t="shared" si="18"/>
        <v>0</v>
      </c>
      <c r="Z43" s="4">
        <f t="shared" si="18"/>
        <v>0</v>
      </c>
      <c r="AA43" s="4">
        <f t="shared" si="18"/>
        <v>0</v>
      </c>
      <c r="AB43" s="4">
        <f t="shared" si="18"/>
        <v>0</v>
      </c>
      <c r="AC43" s="4">
        <f t="shared" si="18"/>
        <v>0</v>
      </c>
      <c r="AD43" s="4">
        <f t="shared" si="18"/>
        <v>0</v>
      </c>
      <c r="AE43" s="4">
        <f t="shared" si="18"/>
        <v>0</v>
      </c>
      <c r="AF43" s="4">
        <f t="shared" si="18"/>
        <v>0</v>
      </c>
      <c r="AG43" s="4">
        <f t="shared" si="18"/>
        <v>0</v>
      </c>
      <c r="AH43" s="4">
        <f t="shared" si="18"/>
        <v>0</v>
      </c>
      <c r="AI43" s="4">
        <f t="shared" si="18"/>
        <v>0</v>
      </c>
      <c r="AJ43" s="4">
        <f t="shared" si="18"/>
        <v>0</v>
      </c>
      <c r="AK43" s="4">
        <f t="shared" si="18"/>
        <v>0</v>
      </c>
      <c r="AL43" s="4">
        <f t="shared" si="18"/>
        <v>0</v>
      </c>
      <c r="AM43" s="4">
        <f t="shared" si="18"/>
        <v>0</v>
      </c>
      <c r="AN43" s="4">
        <f t="shared" si="18"/>
        <v>0</v>
      </c>
      <c r="AO43" s="4">
        <f t="shared" si="18"/>
        <v>0</v>
      </c>
      <c r="AP43" s="4">
        <f t="shared" si="18"/>
        <v>0</v>
      </c>
      <c r="AQ43" s="4">
        <f t="shared" si="18"/>
        <v>0</v>
      </c>
      <c r="AR43" s="4">
        <f t="shared" si="18"/>
        <v>0</v>
      </c>
      <c r="AS43" s="4">
        <f t="shared" si="18"/>
        <v>0</v>
      </c>
      <c r="AT43" s="4">
        <f t="shared" si="18"/>
        <v>0</v>
      </c>
      <c r="AU43" s="4">
        <f t="shared" si="18"/>
        <v>0</v>
      </c>
      <c r="AV43" s="4">
        <f t="shared" si="18"/>
        <v>0</v>
      </c>
      <c r="AW43" s="4">
        <f t="shared" si="18"/>
        <v>0</v>
      </c>
      <c r="AX43" s="4">
        <f t="shared" si="18"/>
        <v>0</v>
      </c>
      <c r="AY43" s="4">
        <f t="shared" si="18"/>
        <v>0</v>
      </c>
      <c r="AZ43" s="4">
        <f t="shared" si="18"/>
        <v>0</v>
      </c>
      <c r="BA43" s="4">
        <f t="shared" si="18"/>
        <v>0</v>
      </c>
      <c r="BB43" s="4">
        <f t="shared" si="18"/>
        <v>0</v>
      </c>
      <c r="BC43" s="4">
        <f t="shared" si="18"/>
        <v>0</v>
      </c>
      <c r="BD43" s="4">
        <f t="shared" si="18"/>
        <v>0</v>
      </c>
      <c r="BE43" s="4">
        <f t="shared" si="18"/>
        <v>0</v>
      </c>
      <c r="BF43" s="4"/>
    </row>
    <row r="44" spans="2:58" x14ac:dyDescent="0.25">
      <c r="B44" t="s">
        <v>85</v>
      </c>
      <c r="C44" s="4">
        <f>+C41-C42+C43</f>
        <v>-1.1368683772161603E-12</v>
      </c>
      <c r="D44" s="4">
        <f t="shared" ref="D44:BE44" si="19">+D41-D42+D43</f>
        <v>-1.8189894035458565E-12</v>
      </c>
      <c r="E44" s="4">
        <f t="shared" si="19"/>
        <v>-9.0949470177292824E-13</v>
      </c>
      <c r="F44" s="4">
        <f t="shared" si="19"/>
        <v>9.0949470177292824E-13</v>
      </c>
      <c r="G44" s="4">
        <f t="shared" si="19"/>
        <v>-1.3642420526593924E-12</v>
      </c>
      <c r="H44" s="4">
        <f t="shared" si="19"/>
        <v>-4.5474735088646412E-13</v>
      </c>
      <c r="I44" s="4">
        <f t="shared" si="19"/>
        <v>4.5474735088646412E-13</v>
      </c>
      <c r="J44" s="4">
        <f t="shared" si="19"/>
        <v>2.5011104298755527E-12</v>
      </c>
      <c r="K44" s="4">
        <f t="shared" si="19"/>
        <v>-2.7284841053187847E-12</v>
      </c>
      <c r="L44" s="4">
        <f t="shared" si="19"/>
        <v>4.5474735088646412E-13</v>
      </c>
      <c r="M44" s="4">
        <f t="shared" si="19"/>
        <v>-2.7284841053187847E-12</v>
      </c>
      <c r="N44" s="4">
        <f t="shared" si="19"/>
        <v>-2.2737367544323206E-12</v>
      </c>
      <c r="O44" s="4">
        <f t="shared" si="19"/>
        <v>5.4569682106375694E-12</v>
      </c>
      <c r="P44" s="4">
        <f t="shared" si="19"/>
        <v>-2.2737367544323206E-12</v>
      </c>
      <c r="Q44" s="4">
        <f t="shared" si="19"/>
        <v>1.8189894035458565E-12</v>
      </c>
      <c r="R44" s="4">
        <f t="shared" si="19"/>
        <v>4.5474735088646412E-12</v>
      </c>
      <c r="S44" s="4">
        <f t="shared" si="19"/>
        <v>-5.4569682106375694E-12</v>
      </c>
      <c r="T44" s="4">
        <f t="shared" si="19"/>
        <v>-9.0949470177292824E-13</v>
      </c>
      <c r="U44" s="4">
        <f t="shared" si="19"/>
        <v>-6.8212102632969618E-12</v>
      </c>
      <c r="V44" s="4">
        <f t="shared" si="19"/>
        <v>7.2759576141834259E-12</v>
      </c>
      <c r="W44" s="4">
        <f t="shared" si="19"/>
        <v>2.7284841053187847E-12</v>
      </c>
      <c r="X44" s="4">
        <f t="shared" si="19"/>
        <v>3.637978807091713E-12</v>
      </c>
      <c r="Y44" s="4">
        <f t="shared" si="19"/>
        <v>1.0004441719502211E-11</v>
      </c>
      <c r="Z44" s="4">
        <f t="shared" si="19"/>
        <v>-9.0949470177292824E-12</v>
      </c>
      <c r="AA44" s="4">
        <f t="shared" si="19"/>
        <v>7.2759576141834259E-12</v>
      </c>
      <c r="AB44" s="4">
        <f t="shared" si="19"/>
        <v>9.0949470177292824E-13</v>
      </c>
      <c r="AC44" s="4">
        <f t="shared" si="19"/>
        <v>-4.5474735088646412E-12</v>
      </c>
      <c r="AD44" s="4">
        <f t="shared" si="19"/>
        <v>4.5474735088646412E-12</v>
      </c>
      <c r="AE44" s="4">
        <f t="shared" si="19"/>
        <v>-2.7284841053187847E-12</v>
      </c>
      <c r="AF44" s="4">
        <f t="shared" si="19"/>
        <v>9.0949470177292824E-13</v>
      </c>
      <c r="AG44" s="4">
        <f t="shared" si="19"/>
        <v>5.4569682106375694E-12</v>
      </c>
      <c r="AH44" s="4">
        <f t="shared" si="19"/>
        <v>-3.637978807091713E-12</v>
      </c>
      <c r="AI44" s="4">
        <f t="shared" si="19"/>
        <v>-1.4551915228366852E-11</v>
      </c>
      <c r="AJ44" s="4">
        <f t="shared" si="19"/>
        <v>-9.0949470177292824E-12</v>
      </c>
      <c r="AK44" s="4">
        <f t="shared" si="19"/>
        <v>5.4569682106375694E-12</v>
      </c>
      <c r="AL44" s="4">
        <f t="shared" si="19"/>
        <v>1.2732925824820995E-11</v>
      </c>
      <c r="AM44" s="4">
        <f t="shared" si="19"/>
        <v>-9.0949470177292824E-12</v>
      </c>
      <c r="AN44" s="4">
        <f t="shared" si="19"/>
        <v>1.8189894035458565E-12</v>
      </c>
      <c r="AO44" s="4">
        <f t="shared" si="19"/>
        <v>0</v>
      </c>
      <c r="AP44" s="4">
        <f t="shared" si="19"/>
        <v>-1.8189894035458565E-11</v>
      </c>
      <c r="AQ44" s="4">
        <f t="shared" si="19"/>
        <v>1.6370904631912708E-11</v>
      </c>
      <c r="AR44" s="4">
        <f t="shared" si="19"/>
        <v>3.637978807091713E-12</v>
      </c>
      <c r="AS44" s="4">
        <f t="shared" si="19"/>
        <v>3.8198777474462986E-11</v>
      </c>
      <c r="AT44" s="4">
        <f t="shared" si="19"/>
        <v>7.2759576141834259E-12</v>
      </c>
      <c r="AU44" s="4">
        <f t="shared" si="19"/>
        <v>1.0913936421275139E-11</v>
      </c>
      <c r="AV44" s="4">
        <f t="shared" si="19"/>
        <v>4.0017766878008842E-11</v>
      </c>
      <c r="AW44" s="4">
        <f t="shared" si="19"/>
        <v>4.3655745685100555E-11</v>
      </c>
      <c r="AX44" s="4">
        <f t="shared" si="19"/>
        <v>-1.4551915228366852E-11</v>
      </c>
      <c r="AY44" s="4">
        <f t="shared" si="19"/>
        <v>1.0913936421275139E-11</v>
      </c>
      <c r="AZ44" s="4">
        <f t="shared" si="19"/>
        <v>-2.1827872842550278E-11</v>
      </c>
      <c r="BA44" s="4">
        <f t="shared" si="19"/>
        <v>-3.637978807091713E-12</v>
      </c>
      <c r="BB44" s="4">
        <f t="shared" si="19"/>
        <v>-3.2741809263825417E-11</v>
      </c>
      <c r="BC44" s="4">
        <f t="shared" si="19"/>
        <v>4.3655745685100555E-11</v>
      </c>
      <c r="BD44" s="4">
        <f t="shared" si="19"/>
        <v>-3.637978807091713E-11</v>
      </c>
      <c r="BE44" s="4">
        <f t="shared" si="19"/>
        <v>9.4587448984384537E-11</v>
      </c>
      <c r="BF44" s="4"/>
    </row>
    <row r="46" spans="2:58" x14ac:dyDescent="0.25">
      <c r="B46" t="s">
        <v>73</v>
      </c>
    </row>
    <row r="47" spans="2:58" x14ac:dyDescent="0.25">
      <c r="B47" t="s">
        <v>74</v>
      </c>
      <c r="C47" s="4">
        <f>+C35/(1-C31)</f>
        <v>3000</v>
      </c>
      <c r="D47" s="4">
        <f t="shared" ref="D47:BF47" si="20">+D35/(1-D31)</f>
        <v>3420</v>
      </c>
      <c r="E47" s="4">
        <f t="shared" si="20"/>
        <v>3779.0999999999995</v>
      </c>
      <c r="F47" s="4">
        <f t="shared" si="20"/>
        <v>4081.4279999999994</v>
      </c>
      <c r="G47" s="4">
        <f t="shared" si="20"/>
        <v>4326.3136799999993</v>
      </c>
      <c r="H47" s="4">
        <f t="shared" si="20"/>
        <v>4564.2609323999995</v>
      </c>
      <c r="I47" s="4">
        <f t="shared" si="20"/>
        <v>4815.2952836819986</v>
      </c>
      <c r="J47" s="4">
        <f t="shared" si="20"/>
        <v>5104.2130007029191</v>
      </c>
      <c r="K47" s="4">
        <f t="shared" si="20"/>
        <v>5410.465780745094</v>
      </c>
      <c r="L47" s="4">
        <f t="shared" si="20"/>
        <v>5735.0937275897986</v>
      </c>
      <c r="M47" s="4">
        <f t="shared" si="20"/>
        <v>6079.1993512451863</v>
      </c>
      <c r="N47" s="4">
        <f t="shared" si="20"/>
        <v>6443.9513123198976</v>
      </c>
      <c r="O47" s="4">
        <f t="shared" si="20"/>
        <v>6830.5883910590919</v>
      </c>
      <c r="P47" s="4">
        <f t="shared" si="20"/>
        <v>7240.4236945226376</v>
      </c>
      <c r="Q47" s="4">
        <f t="shared" si="20"/>
        <v>7674.8491161939955</v>
      </c>
      <c r="R47" s="4">
        <f t="shared" si="20"/>
        <v>8135.3400631656341</v>
      </c>
      <c r="S47" s="4">
        <f t="shared" si="20"/>
        <v>8623.460466955572</v>
      </c>
      <c r="T47" s="4">
        <f t="shared" si="20"/>
        <v>9140.8680949729078</v>
      </c>
      <c r="U47" s="4">
        <f t="shared" si="20"/>
        <v>9689.3201806712823</v>
      </c>
      <c r="V47" s="4">
        <f t="shared" si="20"/>
        <v>10270.67939151156</v>
      </c>
      <c r="W47" s="4">
        <f t="shared" si="20"/>
        <v>10886.920155002254</v>
      </c>
      <c r="X47" s="4">
        <f t="shared" si="20"/>
        <v>11540.135364302389</v>
      </c>
      <c r="Y47" s="4">
        <f t="shared" si="20"/>
        <v>12232.543486160532</v>
      </c>
      <c r="Z47" s="4">
        <f t="shared" si="20"/>
        <v>12966.496095330163</v>
      </c>
      <c r="AA47" s="4">
        <f t="shared" si="20"/>
        <v>13744.485861049974</v>
      </c>
      <c r="AB47" s="4">
        <f t="shared" si="20"/>
        <v>14569.155012712974</v>
      </c>
      <c r="AC47" s="4">
        <f t="shared" si="20"/>
        <v>15443.304313475752</v>
      </c>
      <c r="AD47" s="4">
        <f t="shared" si="20"/>
        <v>16369.902572284296</v>
      </c>
      <c r="AE47" s="4">
        <f t="shared" si="20"/>
        <v>17352.096726621356</v>
      </c>
      <c r="AF47" s="4">
        <f t="shared" si="20"/>
        <v>18393.222530218634</v>
      </c>
      <c r="AG47" s="4">
        <f t="shared" si="20"/>
        <v>19496.815882031751</v>
      </c>
      <c r="AH47" s="4">
        <f t="shared" si="20"/>
        <v>20666.624834953658</v>
      </c>
      <c r="AI47" s="4">
        <f t="shared" si="20"/>
        <v>21906.622325050877</v>
      </c>
      <c r="AJ47" s="4">
        <f t="shared" si="20"/>
        <v>23221.019664553933</v>
      </c>
      <c r="AK47" s="4">
        <f t="shared" si="20"/>
        <v>24614.280844427165</v>
      </c>
      <c r="AL47" s="4">
        <f t="shared" si="20"/>
        <v>26091.137695092795</v>
      </c>
      <c r="AM47" s="4">
        <f t="shared" si="20"/>
        <v>27656.605956798365</v>
      </c>
      <c r="AN47" s="4">
        <f t="shared" si="20"/>
        <v>29316.002314206264</v>
      </c>
      <c r="AO47" s="4">
        <f t="shared" si="20"/>
        <v>31074.962453058641</v>
      </c>
      <c r="AP47" s="4">
        <f t="shared" si="20"/>
        <v>32939.46020024216</v>
      </c>
      <c r="AQ47" s="4">
        <f t="shared" si="20"/>
        <v>34915.827812256684</v>
      </c>
      <c r="AR47" s="4">
        <f t="shared" si="20"/>
        <v>37010.777480992088</v>
      </c>
      <c r="AS47" s="4">
        <f t="shared" si="20"/>
        <v>39231.424129851614</v>
      </c>
      <c r="AT47" s="4">
        <f t="shared" si="20"/>
        <v>41585.309577642707</v>
      </c>
      <c r="AU47" s="4">
        <f t="shared" si="20"/>
        <v>44080.428152301269</v>
      </c>
      <c r="AV47" s="4">
        <f t="shared" si="20"/>
        <v>46725.253841439349</v>
      </c>
      <c r="AW47" s="4">
        <f t="shared" si="20"/>
        <v>49528.769071925715</v>
      </c>
      <c r="AX47" s="4">
        <f t="shared" si="20"/>
        <v>52500.495216241259</v>
      </c>
      <c r="AY47" s="4">
        <f t="shared" si="20"/>
        <v>55650.524929215731</v>
      </c>
      <c r="AZ47" s="4">
        <f t="shared" si="20"/>
        <v>58989.556424968672</v>
      </c>
      <c r="BA47" s="4">
        <f t="shared" si="20"/>
        <v>62528.929810466798</v>
      </c>
      <c r="BB47" s="4">
        <f t="shared" si="20"/>
        <v>66280.665599094806</v>
      </c>
      <c r="BC47" s="4">
        <f t="shared" si="20"/>
        <v>70257.505535040502</v>
      </c>
      <c r="BD47" s="4">
        <f t="shared" si="20"/>
        <v>74472.955867142926</v>
      </c>
      <c r="BE47" s="4">
        <f t="shared" si="20"/>
        <v>78941.333219171502</v>
      </c>
      <c r="BF47" s="4">
        <f t="shared" si="20"/>
        <v>83677.813212321795</v>
      </c>
    </row>
    <row r="48" spans="2:58" x14ac:dyDescent="0.25">
      <c r="B48" s="4" t="str">
        <f>+B38</f>
        <v>D*rD</v>
      </c>
      <c r="C48" s="4">
        <f t="shared" ref="C48:BF48" si="21">+C38</f>
        <v>0</v>
      </c>
      <c r="D48" s="4">
        <f t="shared" si="21"/>
        <v>80.865458666575194</v>
      </c>
      <c r="E48" s="4">
        <f t="shared" si="21"/>
        <v>186.9066383129335</v>
      </c>
      <c r="F48" s="4">
        <f t="shared" si="21"/>
        <v>341.24680971127498</v>
      </c>
      <c r="G48" s="4">
        <f t="shared" si="21"/>
        <v>498.04992222683455</v>
      </c>
      <c r="H48" s="4">
        <f t="shared" si="21"/>
        <v>548.21729358566529</v>
      </c>
      <c r="I48" s="4">
        <f t="shared" si="21"/>
        <v>578.51604114907389</v>
      </c>
      <c r="J48" s="4">
        <f t="shared" si="21"/>
        <v>613.22700361801822</v>
      </c>
      <c r="K48" s="4">
        <f t="shared" si="21"/>
        <v>650.0206238350994</v>
      </c>
      <c r="L48" s="4">
        <f t="shared" si="21"/>
        <v>689.02186126520542</v>
      </c>
      <c r="M48" s="4">
        <f t="shared" si="21"/>
        <v>730.36317294111791</v>
      </c>
      <c r="N48" s="4">
        <f t="shared" si="21"/>
        <v>774.1849633175849</v>
      </c>
      <c r="O48" s="4">
        <f t="shared" si="21"/>
        <v>820.63606111664012</v>
      </c>
      <c r="P48" s="4">
        <f t="shared" si="21"/>
        <v>869.8742247836384</v>
      </c>
      <c r="Q48" s="4">
        <f t="shared" si="21"/>
        <v>922.06667827065678</v>
      </c>
      <c r="R48" s="4">
        <f t="shared" si="21"/>
        <v>977.3906789668963</v>
      </c>
      <c r="S48" s="4">
        <f t="shared" si="21"/>
        <v>1036.0341197049099</v>
      </c>
      <c r="T48" s="4">
        <f t="shared" si="21"/>
        <v>1098.1961668872048</v>
      </c>
      <c r="U48" s="4">
        <f t="shared" si="21"/>
        <v>1164.0879369004369</v>
      </c>
      <c r="V48" s="4">
        <f t="shared" si="21"/>
        <v>1233.9332131144633</v>
      </c>
      <c r="W48" s="4">
        <f t="shared" si="21"/>
        <v>1307.969205901331</v>
      </c>
      <c r="X48" s="4">
        <f t="shared" si="21"/>
        <v>1386.4473582554108</v>
      </c>
      <c r="Y48" s="4">
        <f t="shared" si="21"/>
        <v>1469.6341997507354</v>
      </c>
      <c r="Z48" s="4">
        <f t="shared" si="21"/>
        <v>1557.8122517357797</v>
      </c>
      <c r="AA48" s="4">
        <f t="shared" si="21"/>
        <v>1651.2809868399265</v>
      </c>
      <c r="AB48" s="4">
        <f t="shared" si="21"/>
        <v>1750.3578460503222</v>
      </c>
      <c r="AC48" s="4">
        <f t="shared" si="21"/>
        <v>1855.3793168133416</v>
      </c>
      <c r="AD48" s="4">
        <f t="shared" si="21"/>
        <v>1966.7020758221422</v>
      </c>
      <c r="AE48" s="4">
        <f t="shared" si="21"/>
        <v>2084.7042003714705</v>
      </c>
      <c r="AF48" s="4">
        <f t="shared" si="21"/>
        <v>2209.7864523937587</v>
      </c>
      <c r="AG48" s="4">
        <f t="shared" si="21"/>
        <v>2342.373639537384</v>
      </c>
      <c r="AH48" s="4">
        <f t="shared" si="21"/>
        <v>2482.9160579096269</v>
      </c>
      <c r="AI48" s="4">
        <f t="shared" si="21"/>
        <v>2631.891021384205</v>
      </c>
      <c r="AJ48" s="4">
        <f t="shared" si="21"/>
        <v>2789.8044826672572</v>
      </c>
      <c r="AK48" s="4">
        <f t="shared" si="21"/>
        <v>2957.1927516272926</v>
      </c>
      <c r="AL48" s="4">
        <f t="shared" si="21"/>
        <v>3134.6243167249299</v>
      </c>
      <c r="AM48" s="4">
        <f t="shared" si="21"/>
        <v>3322.7017757284261</v>
      </c>
      <c r="AN48" s="4">
        <f t="shared" si="21"/>
        <v>3522.0638822721312</v>
      </c>
      <c r="AO48" s="4">
        <f t="shared" si="21"/>
        <v>3733.3877152084592</v>
      </c>
      <c r="AP48" s="4">
        <f t="shared" si="21"/>
        <v>3957.3909781209672</v>
      </c>
      <c r="AQ48" s="4">
        <f t="shared" si="21"/>
        <v>4194.8344368082244</v>
      </c>
      <c r="AR48" s="4">
        <f t="shared" si="21"/>
        <v>4446.524503016718</v>
      </c>
      <c r="AS48" s="4">
        <f t="shared" si="21"/>
        <v>4713.3159731977221</v>
      </c>
      <c r="AT48" s="4">
        <f t="shared" si="21"/>
        <v>4996.1149315895846</v>
      </c>
      <c r="AU48" s="4">
        <f t="shared" si="21"/>
        <v>5295.88182748496</v>
      </c>
      <c r="AV48" s="4">
        <f t="shared" si="21"/>
        <v>5613.6347371340571</v>
      </c>
      <c r="AW48" s="4">
        <f t="shared" si="21"/>
        <v>5950.4528213621015</v>
      </c>
      <c r="AX48" s="4">
        <f t="shared" si="21"/>
        <v>6307.4799906438275</v>
      </c>
      <c r="AY48" s="4">
        <f t="shared" si="21"/>
        <v>6685.9287900824565</v>
      </c>
      <c r="AZ48" s="4">
        <f t="shared" si="21"/>
        <v>7087.0845174874048</v>
      </c>
      <c r="BA48" s="4">
        <f t="shared" si="21"/>
        <v>7512.3095885366474</v>
      </c>
      <c r="BB48" s="4">
        <f t="shared" si="21"/>
        <v>7963.0481638488482</v>
      </c>
      <c r="BC48" s="4">
        <f t="shared" si="21"/>
        <v>8440.8310536797799</v>
      </c>
      <c r="BD48" s="4">
        <f t="shared" si="21"/>
        <v>8947.280916900565</v>
      </c>
      <c r="BE48" s="4">
        <f t="shared" si="21"/>
        <v>9484.1177719145999</v>
      </c>
      <c r="BF48" s="4">
        <f t="shared" si="21"/>
        <v>10053.164838229475</v>
      </c>
    </row>
    <row r="49" spans="2:59" x14ac:dyDescent="0.25">
      <c r="B49" t="s">
        <v>76</v>
      </c>
      <c r="C49" s="4">
        <f>+C47-C48</f>
        <v>3000</v>
      </c>
      <c r="D49" s="4">
        <f t="shared" ref="D49:BF49" si="22">+D47-D48</f>
        <v>3339.1345413334247</v>
      </c>
      <c r="E49" s="4">
        <f t="shared" si="22"/>
        <v>3592.193361687066</v>
      </c>
      <c r="F49" s="4">
        <f t="shared" si="22"/>
        <v>3740.1811902887243</v>
      </c>
      <c r="G49" s="4">
        <f t="shared" si="22"/>
        <v>3828.2637577731648</v>
      </c>
      <c r="H49" s="4">
        <f t="shared" si="22"/>
        <v>4016.0436388143344</v>
      </c>
      <c r="I49" s="4">
        <f t="shared" si="22"/>
        <v>4236.7792425329244</v>
      </c>
      <c r="J49" s="4">
        <f t="shared" si="22"/>
        <v>4490.9859970849011</v>
      </c>
      <c r="K49" s="4">
        <f t="shared" si="22"/>
        <v>4760.4451569099947</v>
      </c>
      <c r="L49" s="4">
        <f t="shared" si="22"/>
        <v>5046.0718663245934</v>
      </c>
      <c r="M49" s="4">
        <f t="shared" si="22"/>
        <v>5348.8361783040682</v>
      </c>
      <c r="N49" s="4">
        <f t="shared" si="22"/>
        <v>5669.7663490023124</v>
      </c>
      <c r="O49" s="4">
        <f t="shared" si="22"/>
        <v>6009.9523299424518</v>
      </c>
      <c r="P49" s="4">
        <f t="shared" si="22"/>
        <v>6370.5494697389995</v>
      </c>
      <c r="Q49" s="4">
        <f t="shared" si="22"/>
        <v>6752.7824379233389</v>
      </c>
      <c r="R49" s="4">
        <f t="shared" si="22"/>
        <v>7157.9493841987378</v>
      </c>
      <c r="S49" s="4">
        <f t="shared" si="22"/>
        <v>7587.4263472506618</v>
      </c>
      <c r="T49" s="4">
        <f t="shared" si="22"/>
        <v>8042.6719280857033</v>
      </c>
      <c r="U49" s="4">
        <f t="shared" si="22"/>
        <v>8525.2322437708463</v>
      </c>
      <c r="V49" s="4">
        <f t="shared" si="22"/>
        <v>9036.7461783970957</v>
      </c>
      <c r="W49" s="4">
        <f t="shared" si="22"/>
        <v>9578.950949100923</v>
      </c>
      <c r="X49" s="4">
        <f t="shared" si="22"/>
        <v>10153.688006046978</v>
      </c>
      <c r="Y49" s="4">
        <f t="shared" si="22"/>
        <v>10762.909286409797</v>
      </c>
      <c r="Z49" s="4">
        <f t="shared" si="22"/>
        <v>11408.683843594383</v>
      </c>
      <c r="AA49" s="4">
        <f t="shared" si="22"/>
        <v>12093.204874210047</v>
      </c>
      <c r="AB49" s="4">
        <f t="shared" si="22"/>
        <v>12818.797166662651</v>
      </c>
      <c r="AC49" s="4">
        <f t="shared" si="22"/>
        <v>13587.92499666241</v>
      </c>
      <c r="AD49" s="4">
        <f t="shared" si="22"/>
        <v>14403.200496462154</v>
      </c>
      <c r="AE49" s="4">
        <f t="shared" si="22"/>
        <v>15267.392526249885</v>
      </c>
      <c r="AF49" s="4">
        <f t="shared" si="22"/>
        <v>16183.436077824876</v>
      </c>
      <c r="AG49" s="4">
        <f t="shared" si="22"/>
        <v>17154.442242494366</v>
      </c>
      <c r="AH49" s="4">
        <f t="shared" si="22"/>
        <v>18183.70877704403</v>
      </c>
      <c r="AI49" s="4">
        <f t="shared" si="22"/>
        <v>19274.731303666671</v>
      </c>
      <c r="AJ49" s="4">
        <f t="shared" si="22"/>
        <v>20431.215181886677</v>
      </c>
      <c r="AK49" s="4">
        <f t="shared" si="22"/>
        <v>21657.088092799873</v>
      </c>
      <c r="AL49" s="4">
        <f t="shared" si="22"/>
        <v>22956.513378367865</v>
      </c>
      <c r="AM49" s="4">
        <f t="shared" si="22"/>
        <v>24333.904181069938</v>
      </c>
      <c r="AN49" s="4">
        <f t="shared" si="22"/>
        <v>25793.938431934133</v>
      </c>
      <c r="AO49" s="4">
        <f t="shared" si="22"/>
        <v>27341.57473785018</v>
      </c>
      <c r="AP49" s="4">
        <f t="shared" si="22"/>
        <v>28982.069222121194</v>
      </c>
      <c r="AQ49" s="4">
        <f t="shared" si="22"/>
        <v>30720.993375448459</v>
      </c>
      <c r="AR49" s="4">
        <f t="shared" si="22"/>
        <v>32564.252977975371</v>
      </c>
      <c r="AS49" s="4">
        <f t="shared" si="22"/>
        <v>34518.108156653892</v>
      </c>
      <c r="AT49" s="4">
        <f t="shared" si="22"/>
        <v>36589.194646053125</v>
      </c>
      <c r="AU49" s="4">
        <f t="shared" si="22"/>
        <v>38784.546324816307</v>
      </c>
      <c r="AV49" s="4">
        <f t="shared" si="22"/>
        <v>41111.61910430529</v>
      </c>
      <c r="AW49" s="4">
        <f t="shared" si="22"/>
        <v>43578.316250563614</v>
      </c>
      <c r="AX49" s="4">
        <f t="shared" si="22"/>
        <v>46193.015225597432</v>
      </c>
      <c r="AY49" s="4">
        <f t="shared" si="22"/>
        <v>48964.596139133275</v>
      </c>
      <c r="AZ49" s="4">
        <f t="shared" si="22"/>
        <v>51902.471907481267</v>
      </c>
      <c r="BA49" s="4">
        <f t="shared" si="22"/>
        <v>55016.620221930149</v>
      </c>
      <c r="BB49" s="4">
        <f t="shared" si="22"/>
        <v>58317.617435245957</v>
      </c>
      <c r="BC49" s="4">
        <f t="shared" si="22"/>
        <v>61816.674481360722</v>
      </c>
      <c r="BD49" s="4">
        <f t="shared" si="22"/>
        <v>65525.674950242363</v>
      </c>
      <c r="BE49" s="4">
        <f t="shared" si="22"/>
        <v>69457.215447256895</v>
      </c>
      <c r="BF49" s="4">
        <f t="shared" si="22"/>
        <v>73624.648374092314</v>
      </c>
    </row>
    <row r="50" spans="2:59" x14ac:dyDescent="0.25">
      <c r="B50" t="s">
        <v>77</v>
      </c>
      <c r="C50" s="4">
        <f>+IF(C49&lt;0,0,C49*C27)</f>
        <v>600</v>
      </c>
      <c r="D50" s="4">
        <f t="shared" ref="D50:BF50" si="23">+IF(D49&lt;0,0,D49*D27)</f>
        <v>667.826908266685</v>
      </c>
      <c r="E50" s="4">
        <f t="shared" si="23"/>
        <v>718.43867233741321</v>
      </c>
      <c r="F50" s="4">
        <f t="shared" si="23"/>
        <v>748.03623805774487</v>
      </c>
      <c r="G50" s="4">
        <f t="shared" si="23"/>
        <v>765.65275155463303</v>
      </c>
      <c r="H50" s="4">
        <f t="shared" si="23"/>
        <v>803.20872776286694</v>
      </c>
      <c r="I50" s="4">
        <f t="shared" si="23"/>
        <v>847.35584850658495</v>
      </c>
      <c r="J50" s="4">
        <f t="shared" si="23"/>
        <v>898.19719941698031</v>
      </c>
      <c r="K50" s="4">
        <f t="shared" si="23"/>
        <v>952.08903138199901</v>
      </c>
      <c r="L50" s="4">
        <f t="shared" si="23"/>
        <v>1009.2143732649188</v>
      </c>
      <c r="M50" s="4">
        <f t="shared" si="23"/>
        <v>1069.7672356608136</v>
      </c>
      <c r="N50" s="4">
        <f t="shared" si="23"/>
        <v>1133.9532698004625</v>
      </c>
      <c r="O50" s="4">
        <f t="shared" si="23"/>
        <v>1201.9904659884903</v>
      </c>
      <c r="P50" s="4">
        <f t="shared" si="23"/>
        <v>1274.1098939477999</v>
      </c>
      <c r="Q50" s="4">
        <f t="shared" si="23"/>
        <v>1350.5564875846678</v>
      </c>
      <c r="R50" s="4">
        <f t="shared" si="23"/>
        <v>1431.5898768397476</v>
      </c>
      <c r="S50" s="4">
        <f t="shared" si="23"/>
        <v>1517.4852694501324</v>
      </c>
      <c r="T50" s="4">
        <f t="shared" si="23"/>
        <v>1608.5343856171407</v>
      </c>
      <c r="U50" s="4">
        <f t="shared" si="23"/>
        <v>1705.0464487541694</v>
      </c>
      <c r="V50" s="4">
        <f t="shared" si="23"/>
        <v>1807.3492356794193</v>
      </c>
      <c r="W50" s="4">
        <f t="shared" si="23"/>
        <v>1915.7901898201847</v>
      </c>
      <c r="X50" s="4">
        <f t="shared" si="23"/>
        <v>2030.7376012093955</v>
      </c>
      <c r="Y50" s="4">
        <f t="shared" si="23"/>
        <v>2152.5818572819594</v>
      </c>
      <c r="Z50" s="4">
        <f t="shared" si="23"/>
        <v>2281.7367687188766</v>
      </c>
      <c r="AA50" s="4">
        <f t="shared" si="23"/>
        <v>2418.6409748420097</v>
      </c>
      <c r="AB50" s="4">
        <f t="shared" si="23"/>
        <v>2563.7594333325305</v>
      </c>
      <c r="AC50" s="4">
        <f t="shared" si="23"/>
        <v>2717.5849993324823</v>
      </c>
      <c r="AD50" s="4">
        <f t="shared" si="23"/>
        <v>2880.6400992924309</v>
      </c>
      <c r="AE50" s="4">
        <f t="shared" si="23"/>
        <v>3053.4785052499774</v>
      </c>
      <c r="AF50" s="4">
        <f t="shared" si="23"/>
        <v>3236.6872155649753</v>
      </c>
      <c r="AG50" s="4">
        <f t="shared" si="23"/>
        <v>3430.8884484988735</v>
      </c>
      <c r="AH50" s="4">
        <f t="shared" si="23"/>
        <v>3636.7417554088061</v>
      </c>
      <c r="AI50" s="4">
        <f t="shared" si="23"/>
        <v>3854.9462607333344</v>
      </c>
      <c r="AJ50" s="4">
        <f t="shared" si="23"/>
        <v>4086.2430363773356</v>
      </c>
      <c r="AK50" s="4">
        <f t="shared" si="23"/>
        <v>4331.4176185599745</v>
      </c>
      <c r="AL50" s="4">
        <f t="shared" si="23"/>
        <v>4591.3026756735735</v>
      </c>
      <c r="AM50" s="4">
        <f t="shared" si="23"/>
        <v>4866.7808362139876</v>
      </c>
      <c r="AN50" s="4">
        <f t="shared" si="23"/>
        <v>5158.7876863868269</v>
      </c>
      <c r="AO50" s="4">
        <f t="shared" si="23"/>
        <v>5468.3149475700366</v>
      </c>
      <c r="AP50" s="4">
        <f t="shared" si="23"/>
        <v>5796.413844424239</v>
      </c>
      <c r="AQ50" s="4">
        <f t="shared" si="23"/>
        <v>6144.1986750896922</v>
      </c>
      <c r="AR50" s="4">
        <f t="shared" si="23"/>
        <v>6512.850595595075</v>
      </c>
      <c r="AS50" s="4">
        <f t="shared" si="23"/>
        <v>6903.6216313307787</v>
      </c>
      <c r="AT50" s="4">
        <f t="shared" si="23"/>
        <v>7317.8389292106258</v>
      </c>
      <c r="AU50" s="4">
        <f t="shared" si="23"/>
        <v>7756.9092649632621</v>
      </c>
      <c r="AV50" s="4">
        <f t="shared" si="23"/>
        <v>8222.3238208610583</v>
      </c>
      <c r="AW50" s="4">
        <f t="shared" si="23"/>
        <v>8715.6632501127224</v>
      </c>
      <c r="AX50" s="4">
        <f t="shared" si="23"/>
        <v>9238.6030451194874</v>
      </c>
      <c r="AY50" s="4">
        <f t="shared" si="23"/>
        <v>9792.9192278266546</v>
      </c>
      <c r="AZ50" s="4">
        <f t="shared" si="23"/>
        <v>10380.494381496253</v>
      </c>
      <c r="BA50" s="4">
        <f t="shared" si="23"/>
        <v>11003.32404438603</v>
      </c>
      <c r="BB50" s="4">
        <f t="shared" si="23"/>
        <v>11663.523487049191</v>
      </c>
      <c r="BC50" s="4">
        <f t="shared" si="23"/>
        <v>12363.334896272145</v>
      </c>
      <c r="BD50" s="4">
        <f t="shared" si="23"/>
        <v>13105.134990048473</v>
      </c>
      <c r="BE50" s="4">
        <f t="shared" si="23"/>
        <v>13891.443089451379</v>
      </c>
      <c r="BF50" s="4">
        <f t="shared" si="23"/>
        <v>14724.929674818464</v>
      </c>
    </row>
    <row r="51" spans="2:59" x14ac:dyDescent="0.25">
      <c r="B51" t="s">
        <v>78</v>
      </c>
      <c r="C51" s="4">
        <f>+C49-C50</f>
        <v>2400</v>
      </c>
      <c r="D51" s="4">
        <f t="shared" ref="D51:BF51" si="24">+D49-D50</f>
        <v>2671.30763306674</v>
      </c>
      <c r="E51" s="4">
        <f t="shared" si="24"/>
        <v>2873.7546893496528</v>
      </c>
      <c r="F51" s="4">
        <f t="shared" si="24"/>
        <v>2992.1449522309795</v>
      </c>
      <c r="G51" s="4">
        <f t="shared" si="24"/>
        <v>3062.6110062185317</v>
      </c>
      <c r="H51" s="4">
        <f t="shared" si="24"/>
        <v>3212.8349110514673</v>
      </c>
      <c r="I51" s="4">
        <f t="shared" si="24"/>
        <v>3389.4233940263393</v>
      </c>
      <c r="J51" s="4">
        <f t="shared" si="24"/>
        <v>3592.7887976679208</v>
      </c>
      <c r="K51" s="4">
        <f t="shared" si="24"/>
        <v>3808.3561255279956</v>
      </c>
      <c r="L51" s="4">
        <f t="shared" si="24"/>
        <v>4036.8574930596747</v>
      </c>
      <c r="M51" s="4">
        <f t="shared" si="24"/>
        <v>4279.0689426432546</v>
      </c>
      <c r="N51" s="4">
        <f t="shared" si="24"/>
        <v>4535.8130792018501</v>
      </c>
      <c r="O51" s="4">
        <f t="shared" si="24"/>
        <v>4807.9618639539613</v>
      </c>
      <c r="P51" s="4">
        <f t="shared" si="24"/>
        <v>5096.4395757911998</v>
      </c>
      <c r="Q51" s="4">
        <f t="shared" si="24"/>
        <v>5402.2259503386713</v>
      </c>
      <c r="R51" s="4">
        <f t="shared" si="24"/>
        <v>5726.3595073589904</v>
      </c>
      <c r="S51" s="4">
        <f t="shared" si="24"/>
        <v>6069.9410778005295</v>
      </c>
      <c r="T51" s="4">
        <f t="shared" si="24"/>
        <v>6434.137542468563</v>
      </c>
      <c r="U51" s="4">
        <f t="shared" si="24"/>
        <v>6820.1857950166768</v>
      </c>
      <c r="V51" s="4">
        <f t="shared" si="24"/>
        <v>7229.3969427176762</v>
      </c>
      <c r="W51" s="4">
        <f t="shared" si="24"/>
        <v>7663.1607592807386</v>
      </c>
      <c r="X51" s="4">
        <f t="shared" si="24"/>
        <v>8122.950404837582</v>
      </c>
      <c r="Y51" s="4">
        <f t="shared" si="24"/>
        <v>8610.3274291278376</v>
      </c>
      <c r="Z51" s="4">
        <f t="shared" si="24"/>
        <v>9126.9470748755066</v>
      </c>
      <c r="AA51" s="4">
        <f t="shared" si="24"/>
        <v>9674.5638993680368</v>
      </c>
      <c r="AB51" s="4">
        <f t="shared" si="24"/>
        <v>10255.03773333012</v>
      </c>
      <c r="AC51" s="4">
        <f t="shared" si="24"/>
        <v>10870.339997329927</v>
      </c>
      <c r="AD51" s="4">
        <f t="shared" si="24"/>
        <v>11522.560397169724</v>
      </c>
      <c r="AE51" s="4">
        <f t="shared" si="24"/>
        <v>12213.914020999908</v>
      </c>
      <c r="AF51" s="4">
        <f t="shared" si="24"/>
        <v>12946.748862259901</v>
      </c>
      <c r="AG51" s="4">
        <f t="shared" si="24"/>
        <v>13723.553793995492</v>
      </c>
      <c r="AH51" s="4">
        <f t="shared" si="24"/>
        <v>14546.967021635224</v>
      </c>
      <c r="AI51" s="4">
        <f t="shared" si="24"/>
        <v>15419.785042933338</v>
      </c>
      <c r="AJ51" s="4">
        <f t="shared" si="24"/>
        <v>16344.972145509342</v>
      </c>
      <c r="AK51" s="4">
        <f t="shared" si="24"/>
        <v>17325.670474239898</v>
      </c>
      <c r="AL51" s="4">
        <f t="shared" si="24"/>
        <v>18365.21070269429</v>
      </c>
      <c r="AM51" s="4">
        <f t="shared" si="24"/>
        <v>19467.123344855951</v>
      </c>
      <c r="AN51" s="4">
        <f t="shared" si="24"/>
        <v>20635.150745547307</v>
      </c>
      <c r="AO51" s="4">
        <f t="shared" si="24"/>
        <v>21873.259790280143</v>
      </c>
      <c r="AP51" s="4">
        <f t="shared" si="24"/>
        <v>23185.655377696956</v>
      </c>
      <c r="AQ51" s="4">
        <f t="shared" si="24"/>
        <v>24576.794700358769</v>
      </c>
      <c r="AR51" s="4">
        <f t="shared" si="24"/>
        <v>26051.402382380296</v>
      </c>
      <c r="AS51" s="4">
        <f t="shared" si="24"/>
        <v>27614.486525323115</v>
      </c>
      <c r="AT51" s="4">
        <f t="shared" si="24"/>
        <v>29271.3557168425</v>
      </c>
      <c r="AU51" s="4">
        <f t="shared" si="24"/>
        <v>31027.637059853045</v>
      </c>
      <c r="AV51" s="4">
        <f t="shared" si="24"/>
        <v>32889.295283444233</v>
      </c>
      <c r="AW51" s="4">
        <f t="shared" si="24"/>
        <v>34862.65300045089</v>
      </c>
      <c r="AX51" s="4">
        <f t="shared" si="24"/>
        <v>36954.412180477942</v>
      </c>
      <c r="AY51" s="4">
        <f t="shared" si="24"/>
        <v>39171.676911306618</v>
      </c>
      <c r="AZ51" s="4">
        <f t="shared" si="24"/>
        <v>41521.977525985014</v>
      </c>
      <c r="BA51" s="4">
        <f t="shared" si="24"/>
        <v>44013.296177544122</v>
      </c>
      <c r="BB51" s="4">
        <f t="shared" si="24"/>
        <v>46654.093948196765</v>
      </c>
      <c r="BC51" s="4">
        <f t="shared" si="24"/>
        <v>49453.339585088579</v>
      </c>
      <c r="BD51" s="4">
        <f t="shared" si="24"/>
        <v>52420.539960193892</v>
      </c>
      <c r="BE51" s="4">
        <f t="shared" si="24"/>
        <v>55565.772357805516</v>
      </c>
      <c r="BF51" s="4">
        <f t="shared" si="24"/>
        <v>58899.71869927385</v>
      </c>
    </row>
    <row r="52" spans="2:59" x14ac:dyDescent="0.25">
      <c r="B52" t="s">
        <v>80</v>
      </c>
      <c r="C52" s="4">
        <f>+C51-C53</f>
        <v>1635.2208380939319</v>
      </c>
      <c r="D52" s="4">
        <f t="shared" ref="D52:BF52" si="25">+D51-D53</f>
        <v>2318.2929528707473</v>
      </c>
      <c r="E52" s="4">
        <f t="shared" si="25"/>
        <v>2873.7546893496528</v>
      </c>
      <c r="F52" s="4">
        <f t="shared" si="25"/>
        <v>2992.1449522309795</v>
      </c>
      <c r="G52" s="4">
        <f t="shared" si="25"/>
        <v>2383.7633623459542</v>
      </c>
      <c r="H52" s="4">
        <f t="shared" si="25"/>
        <v>1895.7284228586277</v>
      </c>
      <c r="I52" s="4">
        <f t="shared" si="25"/>
        <v>1871.6695448940618</v>
      </c>
      <c r="J52" s="4">
        <f t="shared" si="25"/>
        <v>1983.9697175877059</v>
      </c>
      <c r="K52" s="4">
        <f t="shared" si="25"/>
        <v>2103.0079006429723</v>
      </c>
      <c r="L52" s="4">
        <f t="shared" si="25"/>
        <v>2229.1883746815488</v>
      </c>
      <c r="M52" s="4">
        <f t="shared" si="25"/>
        <v>2362.9396771624415</v>
      </c>
      <c r="N52" s="4">
        <f t="shared" si="25"/>
        <v>2504.7160577921904</v>
      </c>
      <c r="O52" s="4">
        <f t="shared" si="25"/>
        <v>2654.9990212597104</v>
      </c>
      <c r="P52" s="4">
        <f t="shared" si="25"/>
        <v>2814.2989625353048</v>
      </c>
      <c r="Q52" s="4">
        <f t="shared" si="25"/>
        <v>2983.1569002874176</v>
      </c>
      <c r="R52" s="4">
        <f t="shared" si="25"/>
        <v>3162.1463143046576</v>
      </c>
      <c r="S52" s="4">
        <f t="shared" si="25"/>
        <v>3351.8750931629511</v>
      </c>
      <c r="T52" s="4">
        <f t="shared" si="25"/>
        <v>3552.9875987527212</v>
      </c>
      <c r="U52" s="4">
        <f t="shared" si="25"/>
        <v>3766.1668546778919</v>
      </c>
      <c r="V52" s="4">
        <f t="shared" si="25"/>
        <v>3992.1368659585478</v>
      </c>
      <c r="W52" s="4">
        <f t="shared" si="25"/>
        <v>4231.6650779160673</v>
      </c>
      <c r="X52" s="4">
        <f t="shared" si="25"/>
        <v>4485.5649825910295</v>
      </c>
      <c r="Y52" s="4">
        <f t="shared" si="25"/>
        <v>4754.6988815464883</v>
      </c>
      <c r="Z52" s="4">
        <f t="shared" si="25"/>
        <v>5039.9808144392973</v>
      </c>
      <c r="AA52" s="4">
        <f t="shared" si="25"/>
        <v>5342.3796633056372</v>
      </c>
      <c r="AB52" s="4">
        <f t="shared" si="25"/>
        <v>5662.922443103982</v>
      </c>
      <c r="AC52" s="4">
        <f t="shared" si="25"/>
        <v>6002.6977896902281</v>
      </c>
      <c r="AD52" s="4">
        <f t="shared" si="25"/>
        <v>6362.859657071629</v>
      </c>
      <c r="AE52" s="4">
        <f t="shared" si="25"/>
        <v>6744.6312364959358</v>
      </c>
      <c r="AF52" s="4">
        <f t="shared" si="25"/>
        <v>7149.3091106856846</v>
      </c>
      <c r="AG52" s="4">
        <f t="shared" si="25"/>
        <v>7578.2676573268218</v>
      </c>
      <c r="AH52" s="4">
        <f t="shared" si="25"/>
        <v>8032.9637167664478</v>
      </c>
      <c r="AI52" s="4">
        <f t="shared" si="25"/>
        <v>8514.9415397724406</v>
      </c>
      <c r="AJ52" s="4">
        <f t="shared" si="25"/>
        <v>9025.8380321587792</v>
      </c>
      <c r="AK52" s="4">
        <f t="shared" si="25"/>
        <v>9567.3883140882936</v>
      </c>
      <c r="AL52" s="4">
        <f t="shared" si="25"/>
        <v>10141.431612933586</v>
      </c>
      <c r="AM52" s="4">
        <f t="shared" si="25"/>
        <v>10749.917509709616</v>
      </c>
      <c r="AN52" s="4">
        <f t="shared" si="25"/>
        <v>11394.912560292189</v>
      </c>
      <c r="AO52" s="4">
        <f t="shared" si="25"/>
        <v>12078.607313909721</v>
      </c>
      <c r="AP52" s="4">
        <f t="shared" si="25"/>
        <v>12803.323752744316</v>
      </c>
      <c r="AQ52" s="4">
        <f t="shared" si="25"/>
        <v>13571.523177908944</v>
      </c>
      <c r="AR52" s="4">
        <f t="shared" si="25"/>
        <v>14385.814568583501</v>
      </c>
      <c r="AS52" s="4">
        <f t="shared" si="25"/>
        <v>15248.963442698459</v>
      </c>
      <c r="AT52" s="4">
        <f t="shared" si="25"/>
        <v>16163.90124926042</v>
      </c>
      <c r="AU52" s="4">
        <f t="shared" si="25"/>
        <v>17133.735324216028</v>
      </c>
      <c r="AV52" s="4">
        <f t="shared" si="25"/>
        <v>18161.759443668976</v>
      </c>
      <c r="AW52" s="4">
        <f t="shared" si="25"/>
        <v>19251.465010289096</v>
      </c>
      <c r="AX52" s="4">
        <f t="shared" si="25"/>
        <v>20406.55291090651</v>
      </c>
      <c r="AY52" s="4">
        <f t="shared" si="25"/>
        <v>21630.946085560885</v>
      </c>
      <c r="AZ52" s="4">
        <f t="shared" si="25"/>
        <v>22928.802850694541</v>
      </c>
      <c r="BA52" s="4">
        <f t="shared" si="25"/>
        <v>24304.531021736228</v>
      </c>
      <c r="BB52" s="4">
        <f t="shared" si="25"/>
        <v>25762.802883040422</v>
      </c>
      <c r="BC52" s="4">
        <f t="shared" si="25"/>
        <v>27308.571056022753</v>
      </c>
      <c r="BD52" s="4">
        <f t="shared" si="25"/>
        <v>28947.085319384212</v>
      </c>
      <c r="BE52" s="4">
        <f t="shared" si="25"/>
        <v>30683.910438547144</v>
      </c>
      <c r="BF52" s="4">
        <f t="shared" si="25"/>
        <v>0</v>
      </c>
    </row>
    <row r="53" spans="2:59" x14ac:dyDescent="0.25">
      <c r="B53" t="s">
        <v>81</v>
      </c>
      <c r="C53" s="4">
        <f>+IF(C51&lt;0,C51,MAX(0,MIN(C51,C55)))</f>
        <v>764.77916190606811</v>
      </c>
      <c r="D53" s="4">
        <f t="shared" ref="D53:BF53" si="26">+IF(D51&lt;0,D51,MAX(0,MIN(D51,D55)))</f>
        <v>353.0146801959927</v>
      </c>
      <c r="E53" s="4">
        <f t="shared" si="26"/>
        <v>0</v>
      </c>
      <c r="F53" s="4">
        <f t="shared" si="26"/>
        <v>0</v>
      </c>
      <c r="G53" s="4">
        <f t="shared" si="26"/>
        <v>678.84764387257746</v>
      </c>
      <c r="H53" s="4">
        <f t="shared" si="26"/>
        <v>1317.1064881928396</v>
      </c>
      <c r="I53" s="4">
        <f t="shared" si="26"/>
        <v>1517.7538491322775</v>
      </c>
      <c r="J53" s="4">
        <f t="shared" si="26"/>
        <v>1608.8190800802149</v>
      </c>
      <c r="K53" s="4">
        <f t="shared" si="26"/>
        <v>1705.3482248850232</v>
      </c>
      <c r="L53" s="4">
        <f t="shared" si="26"/>
        <v>1807.6691183781259</v>
      </c>
      <c r="M53" s="4">
        <f t="shared" si="26"/>
        <v>1916.129265480813</v>
      </c>
      <c r="N53" s="4">
        <f t="shared" si="26"/>
        <v>2031.0970214096596</v>
      </c>
      <c r="O53" s="4">
        <f t="shared" si="26"/>
        <v>2152.9628426942509</v>
      </c>
      <c r="P53" s="4">
        <f t="shared" si="26"/>
        <v>2282.140613255895</v>
      </c>
      <c r="Q53" s="4">
        <f t="shared" si="26"/>
        <v>2419.0690500512537</v>
      </c>
      <c r="R53" s="4">
        <f t="shared" si="26"/>
        <v>2564.2131930543328</v>
      </c>
      <c r="S53" s="4">
        <f t="shared" si="26"/>
        <v>2718.0659846375784</v>
      </c>
      <c r="T53" s="4">
        <f t="shared" si="26"/>
        <v>2881.1499437158418</v>
      </c>
      <c r="U53" s="4">
        <f t="shared" si="26"/>
        <v>3054.0189403387849</v>
      </c>
      <c r="V53" s="4">
        <f t="shared" si="26"/>
        <v>3237.2600767591284</v>
      </c>
      <c r="W53" s="4">
        <f t="shared" si="26"/>
        <v>3431.4956813646713</v>
      </c>
      <c r="X53" s="4">
        <f t="shared" si="26"/>
        <v>3637.3854222465525</v>
      </c>
      <c r="Y53" s="4">
        <f t="shared" si="26"/>
        <v>3855.6285475813493</v>
      </c>
      <c r="Z53" s="4">
        <f t="shared" si="26"/>
        <v>4086.9662604362093</v>
      </c>
      <c r="AA53" s="4">
        <f t="shared" si="26"/>
        <v>4332.1842360623996</v>
      </c>
      <c r="AB53" s="4">
        <f t="shared" si="26"/>
        <v>4592.1152902261383</v>
      </c>
      <c r="AC53" s="4">
        <f t="shared" si="26"/>
        <v>4867.6422076396993</v>
      </c>
      <c r="AD53" s="4">
        <f t="shared" si="26"/>
        <v>5159.7007400980947</v>
      </c>
      <c r="AE53" s="4">
        <f t="shared" si="26"/>
        <v>5469.2827845039719</v>
      </c>
      <c r="AF53" s="4">
        <f t="shared" si="26"/>
        <v>5797.4397515742166</v>
      </c>
      <c r="AG53" s="4">
        <f t="shared" si="26"/>
        <v>6145.2861366686702</v>
      </c>
      <c r="AH53" s="4">
        <f t="shared" si="26"/>
        <v>6514.0033048687765</v>
      </c>
      <c r="AI53" s="4">
        <f t="shared" si="26"/>
        <v>6904.8435031608969</v>
      </c>
      <c r="AJ53" s="4">
        <f t="shared" si="26"/>
        <v>7319.134113350563</v>
      </c>
      <c r="AK53" s="4">
        <f t="shared" si="26"/>
        <v>7758.2821601516043</v>
      </c>
      <c r="AL53" s="4">
        <f t="shared" si="26"/>
        <v>8223.7790897607047</v>
      </c>
      <c r="AM53" s="4">
        <f t="shared" si="26"/>
        <v>8717.2058351463347</v>
      </c>
      <c r="AN53" s="4">
        <f t="shared" si="26"/>
        <v>9240.2381852551189</v>
      </c>
      <c r="AO53" s="4">
        <f t="shared" si="26"/>
        <v>9794.6524763704219</v>
      </c>
      <c r="AP53" s="4">
        <f t="shared" si="26"/>
        <v>10382.33162495264</v>
      </c>
      <c r="AQ53" s="4">
        <f t="shared" si="26"/>
        <v>11005.271522449824</v>
      </c>
      <c r="AR53" s="4">
        <f t="shared" si="26"/>
        <v>11665.587813796796</v>
      </c>
      <c r="AS53" s="4">
        <f t="shared" si="26"/>
        <v>12365.523082624655</v>
      </c>
      <c r="AT53" s="4">
        <f t="shared" si="26"/>
        <v>13107.45446758208</v>
      </c>
      <c r="AU53" s="4">
        <f t="shared" si="26"/>
        <v>13893.901735637017</v>
      </c>
      <c r="AV53" s="4">
        <f t="shared" si="26"/>
        <v>14727.535839775257</v>
      </c>
      <c r="AW53" s="4">
        <f t="shared" si="26"/>
        <v>15611.187990161794</v>
      </c>
      <c r="AX53" s="4">
        <f t="shared" si="26"/>
        <v>16547.859269571432</v>
      </c>
      <c r="AY53" s="4">
        <f t="shared" si="26"/>
        <v>17540.730825745733</v>
      </c>
      <c r="AZ53" s="4">
        <f t="shared" si="26"/>
        <v>18593.174675290473</v>
      </c>
      <c r="BA53" s="4">
        <f t="shared" si="26"/>
        <v>19708.765155807894</v>
      </c>
      <c r="BB53" s="4">
        <f t="shared" si="26"/>
        <v>20891.291065156343</v>
      </c>
      <c r="BC53" s="4">
        <f t="shared" si="26"/>
        <v>22144.768529065826</v>
      </c>
      <c r="BD53" s="4">
        <f t="shared" si="26"/>
        <v>23473.454640809679</v>
      </c>
      <c r="BE53" s="4">
        <f t="shared" si="26"/>
        <v>24881.861919258372</v>
      </c>
      <c r="BF53" s="4">
        <f t="shared" si="26"/>
        <v>58899.71869927385</v>
      </c>
    </row>
    <row r="55" spans="2:59" x14ac:dyDescent="0.25">
      <c r="B55" t="s">
        <v>82</v>
      </c>
      <c r="C55" s="4">
        <f>+D65-C65</f>
        <v>764.77916190606811</v>
      </c>
      <c r="D55" s="4">
        <f t="shared" ref="D55:BF55" si="27">+E65-D65</f>
        <v>353.0146801959927</v>
      </c>
      <c r="E55" s="4">
        <f t="shared" si="27"/>
        <v>-307.66388327909772</v>
      </c>
      <c r="F55" s="4">
        <f t="shared" si="27"/>
        <v>-369.3973283365267</v>
      </c>
      <c r="G55" s="4">
        <f t="shared" si="27"/>
        <v>678.84764387257746</v>
      </c>
      <c r="H55" s="4">
        <f t="shared" si="27"/>
        <v>1317.1064881928396</v>
      </c>
      <c r="I55" s="4">
        <f t="shared" si="27"/>
        <v>1517.7538491322775</v>
      </c>
      <c r="J55" s="4">
        <f t="shared" si="27"/>
        <v>1608.8190800802149</v>
      </c>
      <c r="K55" s="4">
        <f t="shared" si="27"/>
        <v>1705.3482248850232</v>
      </c>
      <c r="L55" s="4">
        <f t="shared" si="27"/>
        <v>1807.6691183781259</v>
      </c>
      <c r="M55" s="4">
        <f t="shared" si="27"/>
        <v>1916.129265480813</v>
      </c>
      <c r="N55" s="4">
        <f t="shared" si="27"/>
        <v>2031.0970214096596</v>
      </c>
      <c r="O55" s="4">
        <f t="shared" si="27"/>
        <v>2152.9628426942509</v>
      </c>
      <c r="P55" s="4">
        <f t="shared" si="27"/>
        <v>2282.140613255895</v>
      </c>
      <c r="Q55" s="4">
        <f t="shared" si="27"/>
        <v>2419.0690500512537</v>
      </c>
      <c r="R55" s="4">
        <f t="shared" si="27"/>
        <v>2564.2131930543328</v>
      </c>
      <c r="S55" s="4">
        <f t="shared" si="27"/>
        <v>2718.0659846375784</v>
      </c>
      <c r="T55" s="4">
        <f t="shared" si="27"/>
        <v>2881.1499437158418</v>
      </c>
      <c r="U55" s="4">
        <f t="shared" si="27"/>
        <v>3054.0189403387849</v>
      </c>
      <c r="V55" s="4">
        <f t="shared" si="27"/>
        <v>3237.2600767591284</v>
      </c>
      <c r="W55" s="4">
        <f t="shared" si="27"/>
        <v>3431.4956813646713</v>
      </c>
      <c r="X55" s="4">
        <f t="shared" si="27"/>
        <v>3637.3854222465525</v>
      </c>
      <c r="Y55" s="4">
        <f t="shared" si="27"/>
        <v>3855.6285475813493</v>
      </c>
      <c r="Z55" s="4">
        <f t="shared" si="27"/>
        <v>4086.9662604362093</v>
      </c>
      <c r="AA55" s="4">
        <f t="shared" si="27"/>
        <v>4332.1842360623996</v>
      </c>
      <c r="AB55" s="4">
        <f t="shared" si="27"/>
        <v>4592.1152902261383</v>
      </c>
      <c r="AC55" s="4">
        <f t="shared" si="27"/>
        <v>4867.6422076396993</v>
      </c>
      <c r="AD55" s="4">
        <f t="shared" si="27"/>
        <v>5159.7007400980947</v>
      </c>
      <c r="AE55" s="4">
        <f t="shared" si="27"/>
        <v>5469.2827845039719</v>
      </c>
      <c r="AF55" s="4">
        <f t="shared" si="27"/>
        <v>5797.4397515742166</v>
      </c>
      <c r="AG55" s="4">
        <f t="shared" si="27"/>
        <v>6145.2861366686702</v>
      </c>
      <c r="AH55" s="4">
        <f t="shared" si="27"/>
        <v>6514.0033048687765</v>
      </c>
      <c r="AI55" s="4">
        <f t="shared" si="27"/>
        <v>6904.8435031608969</v>
      </c>
      <c r="AJ55" s="4">
        <f t="shared" si="27"/>
        <v>7319.134113350563</v>
      </c>
      <c r="AK55" s="4">
        <f t="shared" si="27"/>
        <v>7758.2821601516043</v>
      </c>
      <c r="AL55" s="4">
        <f t="shared" si="27"/>
        <v>8223.7790897607047</v>
      </c>
      <c r="AM55" s="4">
        <f t="shared" si="27"/>
        <v>8717.2058351463347</v>
      </c>
      <c r="AN55" s="4">
        <f t="shared" si="27"/>
        <v>9240.2381852551189</v>
      </c>
      <c r="AO55" s="4">
        <f t="shared" si="27"/>
        <v>9794.6524763704219</v>
      </c>
      <c r="AP55" s="4">
        <f t="shared" si="27"/>
        <v>10382.33162495264</v>
      </c>
      <c r="AQ55" s="4">
        <f t="shared" si="27"/>
        <v>11005.271522449824</v>
      </c>
      <c r="AR55" s="4">
        <f t="shared" si="27"/>
        <v>11665.587813796796</v>
      </c>
      <c r="AS55" s="4">
        <f t="shared" si="27"/>
        <v>12365.523082624655</v>
      </c>
      <c r="AT55" s="4">
        <f t="shared" si="27"/>
        <v>13107.45446758208</v>
      </c>
      <c r="AU55" s="4">
        <f t="shared" si="27"/>
        <v>13893.901735637017</v>
      </c>
      <c r="AV55" s="4">
        <f t="shared" si="27"/>
        <v>14727.535839775257</v>
      </c>
      <c r="AW55" s="4">
        <f t="shared" si="27"/>
        <v>15611.187990161794</v>
      </c>
      <c r="AX55" s="4">
        <f t="shared" si="27"/>
        <v>16547.859269571432</v>
      </c>
      <c r="AY55" s="4">
        <f t="shared" si="27"/>
        <v>17540.730825745733</v>
      </c>
      <c r="AZ55" s="4">
        <f t="shared" si="27"/>
        <v>18593.174675290473</v>
      </c>
      <c r="BA55" s="4">
        <f t="shared" si="27"/>
        <v>19708.765155807894</v>
      </c>
      <c r="BB55" s="4">
        <f t="shared" si="27"/>
        <v>20891.291065156343</v>
      </c>
      <c r="BC55" s="4">
        <f t="shared" si="27"/>
        <v>22144.768529065826</v>
      </c>
      <c r="BD55" s="4">
        <f t="shared" si="27"/>
        <v>23473.454640809679</v>
      </c>
      <c r="BE55" s="4">
        <f t="shared" si="27"/>
        <v>24881.861919258372</v>
      </c>
      <c r="BF55" s="4"/>
    </row>
    <row r="56" spans="2:59" x14ac:dyDescent="0.25">
      <c r="B56" t="s">
        <v>83</v>
      </c>
      <c r="C56" s="4">
        <f>+C55-C53</f>
        <v>0</v>
      </c>
      <c r="D56" s="4">
        <f t="shared" ref="D56:BE56" si="28">+D55-D53</f>
        <v>0</v>
      </c>
      <c r="E56" s="4">
        <f t="shared" si="28"/>
        <v>-307.66388327909772</v>
      </c>
      <c r="F56" s="4">
        <f t="shared" si="28"/>
        <v>-369.3973283365267</v>
      </c>
      <c r="G56" s="4">
        <f t="shared" si="28"/>
        <v>0</v>
      </c>
      <c r="H56" s="4">
        <f t="shared" si="28"/>
        <v>0</v>
      </c>
      <c r="I56" s="4">
        <f t="shared" si="28"/>
        <v>0</v>
      </c>
      <c r="J56" s="4">
        <f t="shared" si="28"/>
        <v>0</v>
      </c>
      <c r="K56" s="4">
        <f t="shared" si="28"/>
        <v>0</v>
      </c>
      <c r="L56" s="4">
        <f t="shared" si="28"/>
        <v>0</v>
      </c>
      <c r="M56" s="4">
        <f t="shared" si="28"/>
        <v>0</v>
      </c>
      <c r="N56" s="4">
        <f t="shared" si="28"/>
        <v>0</v>
      </c>
      <c r="O56" s="4">
        <f t="shared" si="28"/>
        <v>0</v>
      </c>
      <c r="P56" s="4">
        <f t="shared" si="28"/>
        <v>0</v>
      </c>
      <c r="Q56" s="4">
        <f t="shared" si="28"/>
        <v>0</v>
      </c>
      <c r="R56" s="4">
        <f t="shared" si="28"/>
        <v>0</v>
      </c>
      <c r="S56" s="4">
        <f t="shared" si="28"/>
        <v>0</v>
      </c>
      <c r="T56" s="4">
        <f t="shared" si="28"/>
        <v>0</v>
      </c>
      <c r="U56" s="4">
        <f t="shared" si="28"/>
        <v>0</v>
      </c>
      <c r="V56" s="4">
        <f t="shared" si="28"/>
        <v>0</v>
      </c>
      <c r="W56" s="4">
        <f t="shared" si="28"/>
        <v>0</v>
      </c>
      <c r="X56" s="4">
        <f t="shared" si="28"/>
        <v>0</v>
      </c>
      <c r="Y56" s="4">
        <f t="shared" si="28"/>
        <v>0</v>
      </c>
      <c r="Z56" s="4">
        <f t="shared" si="28"/>
        <v>0</v>
      </c>
      <c r="AA56" s="4">
        <f t="shared" si="28"/>
        <v>0</v>
      </c>
      <c r="AB56" s="4">
        <f t="shared" si="28"/>
        <v>0</v>
      </c>
      <c r="AC56" s="4">
        <f t="shared" si="28"/>
        <v>0</v>
      </c>
      <c r="AD56" s="4">
        <f t="shared" si="28"/>
        <v>0</v>
      </c>
      <c r="AE56" s="4">
        <f t="shared" si="28"/>
        <v>0</v>
      </c>
      <c r="AF56" s="4">
        <f t="shared" si="28"/>
        <v>0</v>
      </c>
      <c r="AG56" s="4">
        <f t="shared" si="28"/>
        <v>0</v>
      </c>
      <c r="AH56" s="4">
        <f t="shared" si="28"/>
        <v>0</v>
      </c>
      <c r="AI56" s="4">
        <f t="shared" si="28"/>
        <v>0</v>
      </c>
      <c r="AJ56" s="4">
        <f t="shared" si="28"/>
        <v>0</v>
      </c>
      <c r="AK56" s="4">
        <f t="shared" si="28"/>
        <v>0</v>
      </c>
      <c r="AL56" s="4">
        <f t="shared" si="28"/>
        <v>0</v>
      </c>
      <c r="AM56" s="4">
        <f t="shared" si="28"/>
        <v>0</v>
      </c>
      <c r="AN56" s="4">
        <f t="shared" si="28"/>
        <v>0</v>
      </c>
      <c r="AO56" s="4">
        <f t="shared" si="28"/>
        <v>0</v>
      </c>
      <c r="AP56" s="4">
        <f t="shared" si="28"/>
        <v>0</v>
      </c>
      <c r="AQ56" s="4">
        <f t="shared" si="28"/>
        <v>0</v>
      </c>
      <c r="AR56" s="4">
        <f t="shared" si="28"/>
        <v>0</v>
      </c>
      <c r="AS56" s="4">
        <f t="shared" si="28"/>
        <v>0</v>
      </c>
      <c r="AT56" s="4">
        <f t="shared" si="28"/>
        <v>0</v>
      </c>
      <c r="AU56" s="4">
        <f t="shared" si="28"/>
        <v>0</v>
      </c>
      <c r="AV56" s="4">
        <f t="shared" si="28"/>
        <v>0</v>
      </c>
      <c r="AW56" s="4">
        <f t="shared" si="28"/>
        <v>0</v>
      </c>
      <c r="AX56" s="4">
        <f t="shared" si="28"/>
        <v>0</v>
      </c>
      <c r="AY56" s="4">
        <f t="shared" si="28"/>
        <v>0</v>
      </c>
      <c r="AZ56" s="4">
        <f t="shared" si="28"/>
        <v>0</v>
      </c>
      <c r="BA56" s="4">
        <f t="shared" si="28"/>
        <v>0</v>
      </c>
      <c r="BB56" s="4">
        <f t="shared" si="28"/>
        <v>0</v>
      </c>
      <c r="BC56" s="4">
        <f t="shared" si="28"/>
        <v>0</v>
      </c>
      <c r="BD56" s="4">
        <f t="shared" si="28"/>
        <v>0</v>
      </c>
      <c r="BE56" s="4">
        <f t="shared" si="28"/>
        <v>0</v>
      </c>
      <c r="BF56" s="4"/>
    </row>
    <row r="58" spans="2:59" x14ac:dyDescent="0.25">
      <c r="B58" t="s">
        <v>18</v>
      </c>
      <c r="I58" s="2" t="s">
        <v>7</v>
      </c>
      <c r="J58" s="2" t="s">
        <v>8</v>
      </c>
      <c r="K58" s="2" t="s">
        <v>16</v>
      </c>
      <c r="L58" s="2" t="s">
        <v>17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  <c r="V58" s="2" t="s">
        <v>29</v>
      </c>
      <c r="W58" s="2" t="s">
        <v>30</v>
      </c>
      <c r="X58" s="2" t="s">
        <v>31</v>
      </c>
      <c r="Y58" s="2" t="s">
        <v>32</v>
      </c>
      <c r="Z58" s="2" t="s">
        <v>33</v>
      </c>
      <c r="AA58" s="2" t="s">
        <v>34</v>
      </c>
      <c r="AB58" s="2" t="s">
        <v>35</v>
      </c>
      <c r="AC58" s="2" t="s">
        <v>36</v>
      </c>
      <c r="AD58" s="2" t="s">
        <v>37</v>
      </c>
      <c r="AE58" s="2" t="s">
        <v>38</v>
      </c>
      <c r="AF58" s="2" t="s">
        <v>39</v>
      </c>
      <c r="AG58" s="2" t="s">
        <v>40</v>
      </c>
      <c r="AH58" s="2" t="s">
        <v>41</v>
      </c>
      <c r="AI58" s="2" t="s">
        <v>42</v>
      </c>
      <c r="AJ58" s="2" t="s">
        <v>43</v>
      </c>
      <c r="AK58" s="2" t="s">
        <v>44</v>
      </c>
      <c r="AL58" s="2" t="s">
        <v>45</v>
      </c>
      <c r="AM58" s="2" t="s">
        <v>46</v>
      </c>
      <c r="AN58" s="2" t="s">
        <v>47</v>
      </c>
      <c r="AO58" s="2" t="s">
        <v>48</v>
      </c>
      <c r="AP58" s="2" t="s">
        <v>49</v>
      </c>
      <c r="AQ58" s="2" t="s">
        <v>50</v>
      </c>
      <c r="AR58" s="2" t="s">
        <v>51</v>
      </c>
      <c r="AS58" s="2" t="s">
        <v>52</v>
      </c>
      <c r="AT58" s="2" t="s">
        <v>53</v>
      </c>
      <c r="AU58" s="2" t="s">
        <v>54</v>
      </c>
      <c r="AV58" s="2" t="s">
        <v>55</v>
      </c>
      <c r="AW58" s="2" t="s">
        <v>56</v>
      </c>
      <c r="AX58" s="2" t="s">
        <v>57</v>
      </c>
      <c r="AY58" s="2" t="s">
        <v>58</v>
      </c>
      <c r="AZ58" s="2" t="s">
        <v>59</v>
      </c>
      <c r="BA58" s="2" t="s">
        <v>60</v>
      </c>
      <c r="BB58" s="2" t="s">
        <v>61</v>
      </c>
      <c r="BC58" s="2" t="s">
        <v>62</v>
      </c>
      <c r="BD58" s="2" t="s">
        <v>63</v>
      </c>
      <c r="BE58" s="2" t="s">
        <v>64</v>
      </c>
      <c r="BF58" s="2" t="s">
        <v>65</v>
      </c>
    </row>
    <row r="59" spans="2:59" x14ac:dyDescent="0.25">
      <c r="B59" s="4" t="str">
        <f>+B37</f>
        <v>FCFF</v>
      </c>
      <c r="C59" s="4">
        <f t="shared" ref="C59:BF59" si="29">+C37</f>
        <v>479.99999999999955</v>
      </c>
      <c r="D59" s="4">
        <f t="shared" si="29"/>
        <v>1046.1176470588236</v>
      </c>
      <c r="E59" s="4">
        <f t="shared" si="29"/>
        <v>1557.4472727272725</v>
      </c>
      <c r="F59" s="4">
        <f t="shared" si="29"/>
        <v>2040.7139999999999</v>
      </c>
      <c r="G59" s="4">
        <f t="shared" si="29"/>
        <v>2191.9989311999998</v>
      </c>
      <c r="H59" s="4">
        <f t="shared" si="29"/>
        <v>1977.8464040399997</v>
      </c>
      <c r="I59" s="4">
        <f t="shared" si="29"/>
        <v>1926.1181134727997</v>
      </c>
      <c r="J59" s="4">
        <f t="shared" si="29"/>
        <v>2041.6852002811677</v>
      </c>
      <c r="K59" s="4">
        <f t="shared" si="29"/>
        <v>2164.1863122980376</v>
      </c>
      <c r="L59" s="4">
        <f t="shared" si="29"/>
        <v>2294.0374910359196</v>
      </c>
      <c r="M59" s="4">
        <f t="shared" si="29"/>
        <v>2431.6797404980748</v>
      </c>
      <c r="N59" s="4">
        <f t="shared" si="29"/>
        <v>2577.5805249279592</v>
      </c>
      <c r="O59" s="4">
        <f t="shared" si="29"/>
        <v>2732.2353564236369</v>
      </c>
      <c r="P59" s="4">
        <f t="shared" si="29"/>
        <v>2896.169477809055</v>
      </c>
      <c r="Q59" s="4">
        <f t="shared" si="29"/>
        <v>3069.9396464775982</v>
      </c>
      <c r="R59" s="4">
        <f t="shared" si="29"/>
        <v>3254.1360252662539</v>
      </c>
      <c r="S59" s="4">
        <f t="shared" si="29"/>
        <v>3449.3841867822293</v>
      </c>
      <c r="T59" s="4">
        <f t="shared" si="29"/>
        <v>3656.3472379891632</v>
      </c>
      <c r="U59" s="4">
        <f t="shared" si="29"/>
        <v>3875.7280722685132</v>
      </c>
      <c r="V59" s="4">
        <f t="shared" si="29"/>
        <v>4108.271756604624</v>
      </c>
      <c r="W59" s="4">
        <f t="shared" si="29"/>
        <v>4354.7680620009014</v>
      </c>
      <c r="X59" s="4">
        <f t="shared" si="29"/>
        <v>4616.0541457209556</v>
      </c>
      <c r="Y59" s="4">
        <f t="shared" si="29"/>
        <v>4893.0173944642129</v>
      </c>
      <c r="Z59" s="4">
        <f t="shared" si="29"/>
        <v>5186.5984381320659</v>
      </c>
      <c r="AA59" s="4">
        <f t="shared" si="29"/>
        <v>5497.79434441999</v>
      </c>
      <c r="AB59" s="4">
        <f t="shared" si="29"/>
        <v>5827.6620050851898</v>
      </c>
      <c r="AC59" s="4">
        <f t="shared" si="29"/>
        <v>6177.3217253903013</v>
      </c>
      <c r="AD59" s="4">
        <f t="shared" si="29"/>
        <v>6547.961028913719</v>
      </c>
      <c r="AE59" s="4">
        <f t="shared" si="29"/>
        <v>6940.8386906485421</v>
      </c>
      <c r="AF59" s="4">
        <f t="shared" si="29"/>
        <v>7357.2890120874545</v>
      </c>
      <c r="AG59" s="4">
        <f t="shared" si="29"/>
        <v>7798.7263528127014</v>
      </c>
      <c r="AH59" s="4">
        <f t="shared" si="29"/>
        <v>8266.6499339814636</v>
      </c>
      <c r="AI59" s="4">
        <f t="shared" si="29"/>
        <v>8762.6489300203521</v>
      </c>
      <c r="AJ59" s="4">
        <f t="shared" si="29"/>
        <v>9288.4078658215731</v>
      </c>
      <c r="AK59" s="4">
        <f t="shared" si="29"/>
        <v>9845.7123377708667</v>
      </c>
      <c r="AL59" s="4">
        <f t="shared" si="29"/>
        <v>10436.455078037119</v>
      </c>
      <c r="AM59" s="4">
        <f t="shared" si="29"/>
        <v>11062.642382719347</v>
      </c>
      <c r="AN59" s="4">
        <f t="shared" si="29"/>
        <v>11726.400925682507</v>
      </c>
      <c r="AO59" s="4">
        <f t="shared" si="29"/>
        <v>12429.984981223457</v>
      </c>
      <c r="AP59" s="4">
        <f t="shared" si="29"/>
        <v>13175.784080096864</v>
      </c>
      <c r="AQ59" s="4">
        <f t="shared" si="29"/>
        <v>13966.331124902676</v>
      </c>
      <c r="AR59" s="4">
        <f t="shared" si="29"/>
        <v>14804.310992396837</v>
      </c>
      <c r="AS59" s="4">
        <f t="shared" si="29"/>
        <v>15692.569651940647</v>
      </c>
      <c r="AT59" s="4">
        <f t="shared" si="29"/>
        <v>16634.123831057084</v>
      </c>
      <c r="AU59" s="4">
        <f t="shared" si="29"/>
        <v>17632.17126092051</v>
      </c>
      <c r="AV59" s="4">
        <f t="shared" si="29"/>
        <v>18690.101536575741</v>
      </c>
      <c r="AW59" s="4">
        <f t="shared" si="29"/>
        <v>19811.507628770287</v>
      </c>
      <c r="AX59" s="4">
        <f t="shared" si="29"/>
        <v>21000.198086496504</v>
      </c>
      <c r="AY59" s="4">
        <f t="shared" si="29"/>
        <v>22260.209971686294</v>
      </c>
      <c r="AZ59" s="4">
        <f t="shared" si="29"/>
        <v>23595.822569987471</v>
      </c>
      <c r="BA59" s="4">
        <f t="shared" si="29"/>
        <v>25011.571924186719</v>
      </c>
      <c r="BB59" s="4">
        <f t="shared" si="29"/>
        <v>26512.266239637924</v>
      </c>
      <c r="BC59" s="4">
        <f t="shared" si="29"/>
        <v>28103.0022140162</v>
      </c>
      <c r="BD59" s="4">
        <f t="shared" si="29"/>
        <v>29789.182346857171</v>
      </c>
      <c r="BE59" s="4">
        <f t="shared" si="29"/>
        <v>31576.533287668601</v>
      </c>
      <c r="BF59" s="4">
        <f t="shared" si="29"/>
        <v>33471.125284928719</v>
      </c>
      <c r="BG59" s="4"/>
    </row>
    <row r="60" spans="2:59" x14ac:dyDescent="0.25">
      <c r="B60" s="3" t="str">
        <f>+B29</f>
        <v>WACC=rA-D/V*rD*t</v>
      </c>
      <c r="C60" s="3">
        <f t="shared" ref="C60:BF60" si="30">+C29</f>
        <v>0.12</v>
      </c>
      <c r="D60" s="3">
        <f t="shared" si="30"/>
        <v>0.11936999999999999</v>
      </c>
      <c r="E60" s="3">
        <f t="shared" si="30"/>
        <v>0.11864999999999999</v>
      </c>
      <c r="F60" s="3">
        <f t="shared" si="30"/>
        <v>0.11767999999999999</v>
      </c>
      <c r="G60" s="3">
        <f t="shared" si="30"/>
        <v>0.11677</v>
      </c>
      <c r="H60" s="3">
        <f t="shared" si="30"/>
        <v>0.1166</v>
      </c>
      <c r="I60" s="3">
        <f t="shared" si="30"/>
        <v>0.1166</v>
      </c>
      <c r="J60" s="3">
        <f t="shared" si="30"/>
        <v>0.1166</v>
      </c>
      <c r="K60" s="3">
        <f t="shared" si="30"/>
        <v>0.1166</v>
      </c>
      <c r="L60" s="3">
        <f t="shared" si="30"/>
        <v>0.1166</v>
      </c>
      <c r="M60" s="3">
        <f t="shared" si="30"/>
        <v>0.1166</v>
      </c>
      <c r="N60" s="3">
        <f t="shared" si="30"/>
        <v>0.1166</v>
      </c>
      <c r="O60" s="3">
        <f t="shared" si="30"/>
        <v>0.1166</v>
      </c>
      <c r="P60" s="3">
        <f t="shared" si="30"/>
        <v>0.1166</v>
      </c>
      <c r="Q60" s="3">
        <f t="shared" si="30"/>
        <v>0.1166</v>
      </c>
      <c r="R60" s="3">
        <f t="shared" si="30"/>
        <v>0.1166</v>
      </c>
      <c r="S60" s="3">
        <f t="shared" si="30"/>
        <v>0.1166</v>
      </c>
      <c r="T60" s="3">
        <f t="shared" si="30"/>
        <v>0.1166</v>
      </c>
      <c r="U60" s="3">
        <f t="shared" si="30"/>
        <v>0.1166</v>
      </c>
      <c r="V60" s="3">
        <f t="shared" si="30"/>
        <v>0.1166</v>
      </c>
      <c r="W60" s="3">
        <f t="shared" si="30"/>
        <v>0.1166</v>
      </c>
      <c r="X60" s="3">
        <f t="shared" si="30"/>
        <v>0.1166</v>
      </c>
      <c r="Y60" s="3">
        <f t="shared" si="30"/>
        <v>0.1166</v>
      </c>
      <c r="Z60" s="3">
        <f t="shared" si="30"/>
        <v>0.1166</v>
      </c>
      <c r="AA60" s="3">
        <f t="shared" si="30"/>
        <v>0.1166</v>
      </c>
      <c r="AB60" s="3">
        <f t="shared" si="30"/>
        <v>0.1166</v>
      </c>
      <c r="AC60" s="3">
        <f t="shared" si="30"/>
        <v>0.1166</v>
      </c>
      <c r="AD60" s="3">
        <f t="shared" si="30"/>
        <v>0.1166</v>
      </c>
      <c r="AE60" s="3">
        <f t="shared" si="30"/>
        <v>0.1166</v>
      </c>
      <c r="AF60" s="3">
        <f t="shared" si="30"/>
        <v>0.1166</v>
      </c>
      <c r="AG60" s="3">
        <f t="shared" si="30"/>
        <v>0.1166</v>
      </c>
      <c r="AH60" s="3">
        <f t="shared" si="30"/>
        <v>0.1166</v>
      </c>
      <c r="AI60" s="3">
        <f t="shared" si="30"/>
        <v>0.1166</v>
      </c>
      <c r="AJ60" s="3">
        <f t="shared" si="30"/>
        <v>0.1166</v>
      </c>
      <c r="AK60" s="3">
        <f t="shared" si="30"/>
        <v>0.1166</v>
      </c>
      <c r="AL60" s="3">
        <f t="shared" si="30"/>
        <v>0.1166</v>
      </c>
      <c r="AM60" s="3">
        <f t="shared" si="30"/>
        <v>0.1166</v>
      </c>
      <c r="AN60" s="3">
        <f t="shared" si="30"/>
        <v>0.1166</v>
      </c>
      <c r="AO60" s="3">
        <f t="shared" si="30"/>
        <v>0.1166</v>
      </c>
      <c r="AP60" s="3">
        <f t="shared" si="30"/>
        <v>0.1166</v>
      </c>
      <c r="AQ60" s="3">
        <f t="shared" si="30"/>
        <v>0.1166</v>
      </c>
      <c r="AR60" s="3">
        <f t="shared" si="30"/>
        <v>0.1166</v>
      </c>
      <c r="AS60" s="3">
        <f t="shared" si="30"/>
        <v>0.1166</v>
      </c>
      <c r="AT60" s="3">
        <f t="shared" si="30"/>
        <v>0.1166</v>
      </c>
      <c r="AU60" s="3">
        <f t="shared" si="30"/>
        <v>0.1166</v>
      </c>
      <c r="AV60" s="3">
        <f t="shared" si="30"/>
        <v>0.1166</v>
      </c>
      <c r="AW60" s="3">
        <f t="shared" si="30"/>
        <v>0.1166</v>
      </c>
      <c r="AX60" s="3">
        <f t="shared" si="30"/>
        <v>0.1166</v>
      </c>
      <c r="AY60" s="3">
        <f t="shared" si="30"/>
        <v>0.1166</v>
      </c>
      <c r="AZ60" s="3">
        <f t="shared" si="30"/>
        <v>0.1166</v>
      </c>
      <c r="BA60" s="3">
        <f t="shared" si="30"/>
        <v>0.1166</v>
      </c>
      <c r="BB60" s="3">
        <f t="shared" si="30"/>
        <v>0.1166</v>
      </c>
      <c r="BC60" s="3">
        <f t="shared" si="30"/>
        <v>0.1166</v>
      </c>
      <c r="BD60" s="3">
        <f t="shared" si="30"/>
        <v>0.1166</v>
      </c>
      <c r="BE60" s="3">
        <f t="shared" si="30"/>
        <v>0.1166</v>
      </c>
      <c r="BF60" s="3">
        <f t="shared" si="30"/>
        <v>0.1166</v>
      </c>
      <c r="BG60" s="3"/>
    </row>
    <row r="61" spans="2:59" x14ac:dyDescent="0.25">
      <c r="B61" s="12" t="s">
        <v>19</v>
      </c>
      <c r="C61" s="13">
        <f t="shared" ref="C61:G61" si="31">+(C59+D61)/(1+C60)</f>
        <v>23349.619803451016</v>
      </c>
      <c r="D61" s="13">
        <f t="shared" si="31"/>
        <v>25671.57417986514</v>
      </c>
      <c r="E61" s="13">
        <f t="shared" si="31"/>
        <v>27689.872342656818</v>
      </c>
      <c r="F61" s="13">
        <f t="shared" si="31"/>
        <v>29417.828423385774</v>
      </c>
      <c r="G61" s="13">
        <f t="shared" si="31"/>
        <v>30839.004472249813</v>
      </c>
      <c r="H61" s="13">
        <f>+(H59+I61)/(1+H60)</f>
        <v>32248.076093274423</v>
      </c>
      <c r="I61" s="13">
        <f t="shared" ref="I61:T61" si="32">+(I59+J61)/(1+I60)</f>
        <v>34030.355361710222</v>
      </c>
      <c r="J61" s="13">
        <f t="shared" si="32"/>
        <v>36072.176683412836</v>
      </c>
      <c r="K61" s="13">
        <f t="shared" si="32"/>
        <v>38236.50728441761</v>
      </c>
      <c r="L61" s="13">
        <f t="shared" si="32"/>
        <v>40530.697721482669</v>
      </c>
      <c r="M61" s="13">
        <f t="shared" si="32"/>
        <v>42962.539584771635</v>
      </c>
      <c r="N61" s="13">
        <f t="shared" si="32"/>
        <v>45540.291959857932</v>
      </c>
      <c r="O61" s="13">
        <f t="shared" si="32"/>
        <v>48272.709477449411</v>
      </c>
      <c r="P61" s="13">
        <f t="shared" si="32"/>
        <v>51169.072046096371</v>
      </c>
      <c r="Q61" s="13">
        <f t="shared" si="32"/>
        <v>54239.216368862159</v>
      </c>
      <c r="R61" s="13">
        <f t="shared" si="32"/>
        <v>57493.569350993886</v>
      </c>
      <c r="S61" s="13">
        <f t="shared" si="32"/>
        <v>60943.183512053518</v>
      </c>
      <c r="T61" s="13">
        <f t="shared" si="32"/>
        <v>64599.774522776737</v>
      </c>
      <c r="U61" s="13">
        <f>+(U59+V61)/(1+U60)</f>
        <v>68475.760994143347</v>
      </c>
      <c r="V61" s="15">
        <f>+V59/(V60-W23)</f>
        <v>72584.306653791951</v>
      </c>
      <c r="W61" s="15">
        <f t="shared" ref="W61:BF61" si="33">+W59/(W60-X23)</f>
        <v>76939.365053019457</v>
      </c>
      <c r="X61" s="15">
        <f t="shared" si="33"/>
        <v>81555.726956200626</v>
      </c>
      <c r="Y61" s="15">
        <f t="shared" si="33"/>
        <v>86449.070573572666</v>
      </c>
      <c r="Z61" s="15">
        <f t="shared" si="33"/>
        <v>91636.014807987027</v>
      </c>
      <c r="AA61" s="15">
        <f t="shared" si="33"/>
        <v>97134.175696466264</v>
      </c>
      <c r="AB61" s="15">
        <f t="shared" si="33"/>
        <v>102962.22623825424</v>
      </c>
      <c r="AC61" s="15">
        <f t="shared" si="33"/>
        <v>109139.9598125495</v>
      </c>
      <c r="AD61" s="15">
        <f t="shared" si="33"/>
        <v>115688.35740130246</v>
      </c>
      <c r="AE61" s="15">
        <f t="shared" si="33"/>
        <v>122629.6588453806</v>
      </c>
      <c r="AF61" s="15">
        <f t="shared" si="33"/>
        <v>129987.43837610344</v>
      </c>
      <c r="AG61" s="15">
        <f t="shared" si="33"/>
        <v>137786.68467866964</v>
      </c>
      <c r="AH61" s="15">
        <f t="shared" si="33"/>
        <v>146053.88575938981</v>
      </c>
      <c r="AI61" s="15">
        <f t="shared" si="33"/>
        <v>154817.11890495321</v>
      </c>
      <c r="AJ61" s="15">
        <f t="shared" si="33"/>
        <v>164106.14603925042</v>
      </c>
      <c r="AK61" s="15">
        <f t="shared" si="33"/>
        <v>173952.51480160543</v>
      </c>
      <c r="AL61" s="15">
        <f t="shared" si="33"/>
        <v>184389.66568970177</v>
      </c>
      <c r="AM61" s="15">
        <f t="shared" si="33"/>
        <v>195453.04563108386</v>
      </c>
      <c r="AN61" s="15">
        <f t="shared" si="33"/>
        <v>207180.22836894888</v>
      </c>
      <c r="AO61" s="15">
        <f t="shared" si="33"/>
        <v>219611.04207108583</v>
      </c>
      <c r="AP61" s="15">
        <f t="shared" si="33"/>
        <v>232787.70459535098</v>
      </c>
      <c r="AQ61" s="15">
        <f t="shared" si="33"/>
        <v>246754.96687107201</v>
      </c>
      <c r="AR61" s="15">
        <f t="shared" si="33"/>
        <v>261560.26488333635</v>
      </c>
      <c r="AS61" s="15">
        <f t="shared" si="33"/>
        <v>277253.88077633653</v>
      </c>
      <c r="AT61" s="15">
        <f t="shared" si="33"/>
        <v>293889.11362291669</v>
      </c>
      <c r="AU61" s="15">
        <f t="shared" si="33"/>
        <v>311522.46044029173</v>
      </c>
      <c r="AV61" s="15">
        <f t="shared" si="33"/>
        <v>330213.8080667092</v>
      </c>
      <c r="AW61" s="15">
        <f t="shared" si="33"/>
        <v>350026.63655071182</v>
      </c>
      <c r="AX61" s="15">
        <f t="shared" si="33"/>
        <v>371028.2347437545</v>
      </c>
      <c r="AY61" s="15">
        <f t="shared" si="33"/>
        <v>393289.92882837978</v>
      </c>
      <c r="AZ61" s="15">
        <f t="shared" si="33"/>
        <v>416887.32455808256</v>
      </c>
      <c r="BA61" s="15">
        <f t="shared" si="33"/>
        <v>441900.56403156748</v>
      </c>
      <c r="BB61" s="15">
        <f t="shared" si="33"/>
        <v>468414.59787346155</v>
      </c>
      <c r="BC61" s="15">
        <f t="shared" si="33"/>
        <v>496519.4737458693</v>
      </c>
      <c r="BD61" s="15">
        <f t="shared" si="33"/>
        <v>526310.64217062143</v>
      </c>
      <c r="BE61" s="15">
        <f t="shared" si="33"/>
        <v>557889.28070085868</v>
      </c>
      <c r="BF61" s="15">
        <f t="shared" si="33"/>
        <v>591362.63754291029</v>
      </c>
      <c r="BG61" s="15"/>
    </row>
    <row r="62" spans="2:59" x14ac:dyDescent="0.25">
      <c r="C62" s="19">
        <f>+C61/'Base Case'!$C$61</f>
        <v>1.0233438924087408</v>
      </c>
    </row>
    <row r="63" spans="2:59" x14ac:dyDescent="0.25">
      <c r="B63" s="4" t="str">
        <f>+B20</f>
        <v>IC boy</v>
      </c>
      <c r="C63" s="4">
        <f t="shared" ref="C63:BF63" si="34">+C20</f>
        <v>15000</v>
      </c>
      <c r="D63" s="4">
        <f t="shared" si="34"/>
        <v>16920</v>
      </c>
      <c r="E63" s="4">
        <f t="shared" si="34"/>
        <v>18609.882352941175</v>
      </c>
      <c r="F63" s="4">
        <f t="shared" si="34"/>
        <v>20075.7150802139</v>
      </c>
      <c r="G63" s="4">
        <f t="shared" si="34"/>
        <v>21300.143480213901</v>
      </c>
      <c r="H63" s="4">
        <f t="shared" si="34"/>
        <v>22569.1954930139</v>
      </c>
      <c r="I63" s="4">
        <f t="shared" si="34"/>
        <v>24242.757834893899</v>
      </c>
      <c r="J63" s="4">
        <f t="shared" si="34"/>
        <v>26168.875948366698</v>
      </c>
      <c r="K63" s="4">
        <f t="shared" si="34"/>
        <v>28210.561148647867</v>
      </c>
      <c r="L63" s="4">
        <f t="shared" si="34"/>
        <v>30374.747460945902</v>
      </c>
      <c r="M63" s="4">
        <f t="shared" si="34"/>
        <v>32668.784951981823</v>
      </c>
      <c r="N63" s="4">
        <f t="shared" si="34"/>
        <v>35100.464692479894</v>
      </c>
      <c r="O63" s="4">
        <f t="shared" si="34"/>
        <v>37678.045217407853</v>
      </c>
      <c r="P63" s="4">
        <f t="shared" si="34"/>
        <v>40410.280573831493</v>
      </c>
      <c r="Q63" s="4">
        <f t="shared" si="34"/>
        <v>43306.450051640546</v>
      </c>
      <c r="R63" s="4">
        <f t="shared" si="34"/>
        <v>46376.389698118146</v>
      </c>
      <c r="S63" s="4">
        <f t="shared" si="34"/>
        <v>49630.525723384402</v>
      </c>
      <c r="T63" s="4">
        <f t="shared" si="34"/>
        <v>53079.909910166629</v>
      </c>
      <c r="U63" s="4">
        <f t="shared" si="34"/>
        <v>56736.25714815579</v>
      </c>
      <c r="V63" s="4">
        <f t="shared" si="34"/>
        <v>60611.9852204243</v>
      </c>
      <c r="W63" s="4">
        <f t="shared" si="34"/>
        <v>64720.256977028926</v>
      </c>
      <c r="X63" s="4">
        <f t="shared" si="34"/>
        <v>69075.025039029832</v>
      </c>
      <c r="Y63" s="4">
        <f t="shared" si="34"/>
        <v>73691.079184750794</v>
      </c>
      <c r="Z63" s="4">
        <f t="shared" si="34"/>
        <v>78584.096579215009</v>
      </c>
      <c r="AA63" s="4">
        <f t="shared" si="34"/>
        <v>83770.695017347069</v>
      </c>
      <c r="AB63" s="4">
        <f t="shared" si="34"/>
        <v>89268.48936176706</v>
      </c>
      <c r="AC63" s="4">
        <f t="shared" si="34"/>
        <v>95096.151366852253</v>
      </c>
      <c r="AD63" s="4">
        <f t="shared" si="34"/>
        <v>101273.47309224255</v>
      </c>
      <c r="AE63" s="4">
        <f t="shared" si="34"/>
        <v>107821.43412115627</v>
      </c>
      <c r="AF63" s="4">
        <f t="shared" si="34"/>
        <v>114762.27281180481</v>
      </c>
      <c r="AG63" s="4">
        <f t="shared" si="34"/>
        <v>122119.56182389226</v>
      </c>
      <c r="AH63" s="4">
        <f t="shared" si="34"/>
        <v>129918.28817670497</v>
      </c>
      <c r="AI63" s="4">
        <f t="shared" si="34"/>
        <v>138184.93811068643</v>
      </c>
      <c r="AJ63" s="4">
        <f t="shared" si="34"/>
        <v>146947.58704070677</v>
      </c>
      <c r="AK63" s="4">
        <f t="shared" si="34"/>
        <v>156235.99490652833</v>
      </c>
      <c r="AL63" s="4">
        <f t="shared" si="34"/>
        <v>166081.70724429921</v>
      </c>
      <c r="AM63" s="4">
        <f t="shared" si="34"/>
        <v>176518.16232233631</v>
      </c>
      <c r="AN63" s="4">
        <f t="shared" si="34"/>
        <v>187580.80470505566</v>
      </c>
      <c r="AO63" s="4">
        <f t="shared" si="34"/>
        <v>199307.20563073817</v>
      </c>
      <c r="AP63" s="4">
        <f t="shared" si="34"/>
        <v>211737.19061196162</v>
      </c>
      <c r="AQ63" s="4">
        <f t="shared" si="34"/>
        <v>224912.97469205849</v>
      </c>
      <c r="AR63" s="4">
        <f t="shared" si="34"/>
        <v>238879.30581696116</v>
      </c>
      <c r="AS63" s="4">
        <f t="shared" si="34"/>
        <v>253683.61680935801</v>
      </c>
      <c r="AT63" s="4">
        <f t="shared" si="34"/>
        <v>269376.18646129867</v>
      </c>
      <c r="AU63" s="4">
        <f t="shared" si="34"/>
        <v>286010.31029235577</v>
      </c>
      <c r="AV63" s="4">
        <f t="shared" si="34"/>
        <v>303642.4815532763</v>
      </c>
      <c r="AW63" s="4">
        <f t="shared" si="34"/>
        <v>322332.58308985207</v>
      </c>
      <c r="AX63" s="4">
        <f t="shared" si="34"/>
        <v>342144.09071862238</v>
      </c>
      <c r="AY63" s="4">
        <f t="shared" si="34"/>
        <v>363144.28880511888</v>
      </c>
      <c r="AZ63" s="4">
        <f t="shared" si="34"/>
        <v>385404.49877680518</v>
      </c>
      <c r="BA63" s="4">
        <f t="shared" si="34"/>
        <v>409000.32134679263</v>
      </c>
      <c r="BB63" s="4">
        <f t="shared" si="34"/>
        <v>434011.89327097934</v>
      </c>
      <c r="BC63" s="4">
        <f t="shared" si="34"/>
        <v>460524.15951061726</v>
      </c>
      <c r="BD63" s="4">
        <f t="shared" si="34"/>
        <v>488627.16172463348</v>
      </c>
      <c r="BE63" s="4">
        <f t="shared" si="34"/>
        <v>518416.34407149063</v>
      </c>
      <c r="BF63" s="4">
        <f t="shared" si="34"/>
        <v>549992.87735915929</v>
      </c>
      <c r="BG63" s="4"/>
    </row>
    <row r="64" spans="2:59" x14ac:dyDescent="0.25">
      <c r="B64" t="s">
        <v>66</v>
      </c>
      <c r="C64" s="4">
        <f>+C61*C24</f>
        <v>0</v>
      </c>
      <c r="D64" s="4">
        <f t="shared" ref="D64:BF64" si="35">+D61*D24</f>
        <v>1155.2208380939312</v>
      </c>
      <c r="E64" s="4">
        <f t="shared" si="35"/>
        <v>2492.0885108391135</v>
      </c>
      <c r="F64" s="4">
        <f t="shared" si="35"/>
        <v>4265.5851213909373</v>
      </c>
      <c r="G64" s="4">
        <f t="shared" si="35"/>
        <v>5859.4108497274647</v>
      </c>
      <c r="H64" s="4">
        <f t="shared" si="35"/>
        <v>6449.6152186548852</v>
      </c>
      <c r="I64" s="4">
        <f t="shared" si="35"/>
        <v>6806.0710723420452</v>
      </c>
      <c r="J64" s="4">
        <f t="shared" si="35"/>
        <v>7214.4353366825671</v>
      </c>
      <c r="K64" s="4">
        <f t="shared" si="35"/>
        <v>7647.3014568835224</v>
      </c>
      <c r="L64" s="4">
        <f t="shared" si="35"/>
        <v>8106.139544296534</v>
      </c>
      <c r="M64" s="4">
        <f t="shared" si="35"/>
        <v>8592.5079169543278</v>
      </c>
      <c r="N64" s="4">
        <f t="shared" si="35"/>
        <v>9108.0583919715864</v>
      </c>
      <c r="O64" s="4">
        <f t="shared" si="35"/>
        <v>9654.5418954898832</v>
      </c>
      <c r="P64" s="4">
        <f t="shared" si="35"/>
        <v>10233.814409219274</v>
      </c>
      <c r="Q64" s="4">
        <f t="shared" si="35"/>
        <v>10847.843273772432</v>
      </c>
      <c r="R64" s="4">
        <f t="shared" si="35"/>
        <v>11498.713870198779</v>
      </c>
      <c r="S64" s="4">
        <f t="shared" si="35"/>
        <v>12188.636702410704</v>
      </c>
      <c r="T64" s="4">
        <f t="shared" si="35"/>
        <v>12919.954904555349</v>
      </c>
      <c r="U64" s="4">
        <f t="shared" si="35"/>
        <v>13695.152198828669</v>
      </c>
      <c r="V64" s="4">
        <f t="shared" si="35"/>
        <v>14516.861330758391</v>
      </c>
      <c r="W64" s="4">
        <f t="shared" si="35"/>
        <v>15387.873010603893</v>
      </c>
      <c r="X64" s="4">
        <f t="shared" si="35"/>
        <v>16311.145391240127</v>
      </c>
      <c r="Y64" s="4">
        <f t="shared" si="35"/>
        <v>17289.814114714532</v>
      </c>
      <c r="Z64" s="4">
        <f t="shared" si="35"/>
        <v>18327.202961597406</v>
      </c>
      <c r="AA64" s="4">
        <f t="shared" si="35"/>
        <v>19426.835139293253</v>
      </c>
      <c r="AB64" s="4">
        <f t="shared" si="35"/>
        <v>20592.445247650849</v>
      </c>
      <c r="AC64" s="4">
        <f t="shared" si="35"/>
        <v>21827.991962509899</v>
      </c>
      <c r="AD64" s="4">
        <f t="shared" si="35"/>
        <v>23137.671480260495</v>
      </c>
      <c r="AE64" s="4">
        <f t="shared" si="35"/>
        <v>24525.931769076124</v>
      </c>
      <c r="AF64" s="4">
        <f t="shared" si="35"/>
        <v>25997.487675220691</v>
      </c>
      <c r="AG64" s="4">
        <f t="shared" si="35"/>
        <v>27557.336935733929</v>
      </c>
      <c r="AH64" s="4">
        <f t="shared" si="35"/>
        <v>29210.777151877963</v>
      </c>
      <c r="AI64" s="4">
        <f t="shared" si="35"/>
        <v>30963.423780990644</v>
      </c>
      <c r="AJ64" s="4">
        <f t="shared" si="35"/>
        <v>32821.229207850083</v>
      </c>
      <c r="AK64" s="4">
        <f t="shared" si="35"/>
        <v>34790.502960321086</v>
      </c>
      <c r="AL64" s="4">
        <f t="shared" si="35"/>
        <v>36877.933137940352</v>
      </c>
      <c r="AM64" s="4">
        <f t="shared" si="35"/>
        <v>39090.609126216776</v>
      </c>
      <c r="AN64" s="4">
        <f t="shared" si="35"/>
        <v>41436.045673789777</v>
      </c>
      <c r="AO64" s="4">
        <f t="shared" si="35"/>
        <v>43922.208414217166</v>
      </c>
      <c r="AP64" s="4">
        <f t="shared" si="35"/>
        <v>46557.540919070198</v>
      </c>
      <c r="AQ64" s="4">
        <f t="shared" si="35"/>
        <v>49350.993374214406</v>
      </c>
      <c r="AR64" s="4">
        <f t="shared" si="35"/>
        <v>52312.05297666727</v>
      </c>
      <c r="AS64" s="4">
        <f t="shared" si="35"/>
        <v>55450.776155267311</v>
      </c>
      <c r="AT64" s="4">
        <f t="shared" si="35"/>
        <v>58777.82272458334</v>
      </c>
      <c r="AU64" s="4">
        <f t="shared" si="35"/>
        <v>62304.492088058352</v>
      </c>
      <c r="AV64" s="4">
        <f t="shared" si="35"/>
        <v>66042.761613341849</v>
      </c>
      <c r="AW64" s="4">
        <f t="shared" si="35"/>
        <v>70005.327310142369</v>
      </c>
      <c r="AX64" s="4">
        <f t="shared" si="35"/>
        <v>74205.646948750902</v>
      </c>
      <c r="AY64" s="4">
        <f t="shared" si="35"/>
        <v>78657.985765675956</v>
      </c>
      <c r="AZ64" s="4">
        <f t="shared" si="35"/>
        <v>83377.464911616524</v>
      </c>
      <c r="BA64" s="4">
        <f t="shared" si="35"/>
        <v>88380.112806313497</v>
      </c>
      <c r="BB64" s="4">
        <f t="shared" si="35"/>
        <v>93682.919574692321</v>
      </c>
      <c r="BC64" s="4">
        <f t="shared" si="35"/>
        <v>99303.894749173865</v>
      </c>
      <c r="BD64" s="4">
        <f t="shared" si="35"/>
        <v>105262.12843412429</v>
      </c>
      <c r="BE64" s="4">
        <f t="shared" si="35"/>
        <v>111577.85614017175</v>
      </c>
      <c r="BF64" s="4">
        <f t="shared" si="35"/>
        <v>118272.52750858206</v>
      </c>
      <c r="BG64" s="4"/>
    </row>
    <row r="65" spans="2:59" x14ac:dyDescent="0.25">
      <c r="B65" t="s">
        <v>67</v>
      </c>
      <c r="C65" s="4">
        <f>+C63-C64</f>
        <v>15000</v>
      </c>
      <c r="D65" s="4">
        <f t="shared" ref="D65:BF65" si="36">+D63-D64</f>
        <v>15764.779161906068</v>
      </c>
      <c r="E65" s="4">
        <f t="shared" si="36"/>
        <v>16117.793842102061</v>
      </c>
      <c r="F65" s="4">
        <f t="shared" si="36"/>
        <v>15810.129958822963</v>
      </c>
      <c r="G65" s="4">
        <f t="shared" si="36"/>
        <v>15440.732630486436</v>
      </c>
      <c r="H65" s="4">
        <f t="shared" si="36"/>
        <v>16119.580274359014</v>
      </c>
      <c r="I65" s="4">
        <f t="shared" si="36"/>
        <v>17436.686762551853</v>
      </c>
      <c r="J65" s="4">
        <f t="shared" si="36"/>
        <v>18954.440611684131</v>
      </c>
      <c r="K65" s="4">
        <f t="shared" si="36"/>
        <v>20563.259691764346</v>
      </c>
      <c r="L65" s="4">
        <f t="shared" si="36"/>
        <v>22268.607916649369</v>
      </c>
      <c r="M65" s="4">
        <f t="shared" si="36"/>
        <v>24076.277035027495</v>
      </c>
      <c r="N65" s="4">
        <f t="shared" si="36"/>
        <v>25992.406300508308</v>
      </c>
      <c r="O65" s="4">
        <f t="shared" si="36"/>
        <v>28023.503321917968</v>
      </c>
      <c r="P65" s="4">
        <f t="shared" si="36"/>
        <v>30176.466164612219</v>
      </c>
      <c r="Q65" s="4">
        <f t="shared" si="36"/>
        <v>32458.606777868114</v>
      </c>
      <c r="R65" s="4">
        <f t="shared" si="36"/>
        <v>34877.675827919367</v>
      </c>
      <c r="S65" s="4">
        <f t="shared" si="36"/>
        <v>37441.8890209737</v>
      </c>
      <c r="T65" s="4">
        <f t="shared" si="36"/>
        <v>40159.955005611278</v>
      </c>
      <c r="U65" s="4">
        <f t="shared" si="36"/>
        <v>43041.10494932712</v>
      </c>
      <c r="V65" s="4">
        <f t="shared" si="36"/>
        <v>46095.123889665905</v>
      </c>
      <c r="W65" s="4">
        <f t="shared" si="36"/>
        <v>49332.383966425034</v>
      </c>
      <c r="X65" s="4">
        <f t="shared" si="36"/>
        <v>52763.879647789705</v>
      </c>
      <c r="Y65" s="4">
        <f t="shared" si="36"/>
        <v>56401.265070036257</v>
      </c>
      <c r="Z65" s="4">
        <f t="shared" si="36"/>
        <v>60256.893617617607</v>
      </c>
      <c r="AA65" s="4">
        <f t="shared" si="36"/>
        <v>64343.859878053816</v>
      </c>
      <c r="AB65" s="4">
        <f t="shared" si="36"/>
        <v>68676.044114116215</v>
      </c>
      <c r="AC65" s="4">
        <f t="shared" si="36"/>
        <v>73268.159404342354</v>
      </c>
      <c r="AD65" s="4">
        <f t="shared" si="36"/>
        <v>78135.801611982053</v>
      </c>
      <c r="AE65" s="4">
        <f t="shared" si="36"/>
        <v>83295.502352080148</v>
      </c>
      <c r="AF65" s="4">
        <f t="shared" si="36"/>
        <v>88764.78513658412</v>
      </c>
      <c r="AG65" s="4">
        <f t="shared" si="36"/>
        <v>94562.224888158336</v>
      </c>
      <c r="AH65" s="4">
        <f t="shared" si="36"/>
        <v>100707.51102482701</v>
      </c>
      <c r="AI65" s="4">
        <f t="shared" si="36"/>
        <v>107221.51432969578</v>
      </c>
      <c r="AJ65" s="4">
        <f t="shared" si="36"/>
        <v>114126.35783285668</v>
      </c>
      <c r="AK65" s="4">
        <f t="shared" si="36"/>
        <v>121445.49194620724</v>
      </c>
      <c r="AL65" s="4">
        <f t="shared" si="36"/>
        <v>129203.77410635885</v>
      </c>
      <c r="AM65" s="4">
        <f t="shared" si="36"/>
        <v>137427.55319611955</v>
      </c>
      <c r="AN65" s="4">
        <f t="shared" si="36"/>
        <v>146144.75903126589</v>
      </c>
      <c r="AO65" s="4">
        <f t="shared" si="36"/>
        <v>155384.99721652101</v>
      </c>
      <c r="AP65" s="4">
        <f t="shared" si="36"/>
        <v>165179.64969289143</v>
      </c>
      <c r="AQ65" s="4">
        <f t="shared" si="36"/>
        <v>175561.98131784407</v>
      </c>
      <c r="AR65" s="4">
        <f t="shared" si="36"/>
        <v>186567.25284029389</v>
      </c>
      <c r="AS65" s="4">
        <f t="shared" si="36"/>
        <v>198232.84065409069</v>
      </c>
      <c r="AT65" s="4">
        <f t="shared" si="36"/>
        <v>210598.36373671534</v>
      </c>
      <c r="AU65" s="4">
        <f t="shared" si="36"/>
        <v>223705.81820429742</v>
      </c>
      <c r="AV65" s="4">
        <f t="shared" si="36"/>
        <v>237599.71993993444</v>
      </c>
      <c r="AW65" s="4">
        <f t="shared" si="36"/>
        <v>252327.2557797097</v>
      </c>
      <c r="AX65" s="4">
        <f t="shared" si="36"/>
        <v>267938.44376987149</v>
      </c>
      <c r="AY65" s="4">
        <f t="shared" si="36"/>
        <v>284486.30303944292</v>
      </c>
      <c r="AZ65" s="4">
        <f t="shared" si="36"/>
        <v>302027.03386518866</v>
      </c>
      <c r="BA65" s="4">
        <f t="shared" si="36"/>
        <v>320620.20854047913</v>
      </c>
      <c r="BB65" s="4">
        <f t="shared" si="36"/>
        <v>340328.97369628702</v>
      </c>
      <c r="BC65" s="4">
        <f t="shared" si="36"/>
        <v>361220.26476144337</v>
      </c>
      <c r="BD65" s="4">
        <f t="shared" si="36"/>
        <v>383365.03329050919</v>
      </c>
      <c r="BE65" s="4">
        <f t="shared" si="36"/>
        <v>406838.48793131887</v>
      </c>
      <c r="BF65" s="4">
        <f t="shared" si="36"/>
        <v>431720.34985057724</v>
      </c>
      <c r="BG65" s="4"/>
    </row>
    <row r="68" spans="2:59" x14ac:dyDescent="0.25">
      <c r="B68" t="s">
        <v>86</v>
      </c>
    </row>
    <row r="69" spans="2:59" x14ac:dyDescent="0.25">
      <c r="B69" t="s">
        <v>87</v>
      </c>
      <c r="C69" s="4">
        <f t="shared" ref="C69:V69" si="37">+C37+C39</f>
        <v>479.99999999999955</v>
      </c>
      <c r="D69" s="4">
        <f t="shared" si="37"/>
        <v>1062.2907387921387</v>
      </c>
      <c r="E69" s="4">
        <f t="shared" si="37"/>
        <v>1594.8286003898593</v>
      </c>
      <c r="F69" s="4">
        <f t="shared" si="37"/>
        <v>2108.9633619422548</v>
      </c>
      <c r="G69" s="4">
        <f t="shared" si="37"/>
        <v>2291.6089156453668</v>
      </c>
      <c r="H69" s="4">
        <f t="shared" si="37"/>
        <v>2087.4898627571329</v>
      </c>
      <c r="I69" s="4">
        <f t="shared" si="37"/>
        <v>2041.8213217026146</v>
      </c>
      <c r="J69" s="4">
        <f t="shared" si="37"/>
        <v>2164.3306010047713</v>
      </c>
      <c r="K69" s="4">
        <f t="shared" si="37"/>
        <v>2294.1904370650573</v>
      </c>
      <c r="L69" s="4">
        <f t="shared" si="37"/>
        <v>2431.8418632889607</v>
      </c>
      <c r="M69" s="4">
        <f t="shared" si="37"/>
        <v>2577.7523750862983</v>
      </c>
      <c r="N69" s="4">
        <f t="shared" si="37"/>
        <v>2732.4175175914761</v>
      </c>
      <c r="O69" s="4">
        <f t="shared" si="37"/>
        <v>2896.362568646965</v>
      </c>
      <c r="P69" s="4">
        <f t="shared" si="37"/>
        <v>3070.1443227657828</v>
      </c>
      <c r="Q69" s="4">
        <f t="shared" si="37"/>
        <v>3254.3529821317297</v>
      </c>
      <c r="R69" s="4">
        <f t="shared" si="37"/>
        <v>3449.6141610596333</v>
      </c>
      <c r="S69" s="4">
        <f t="shared" si="37"/>
        <v>3656.5910107232112</v>
      </c>
      <c r="T69" s="4">
        <f t="shared" si="37"/>
        <v>3875.9864713666043</v>
      </c>
      <c r="U69" s="4">
        <f t="shared" si="37"/>
        <v>4108.5456596486001</v>
      </c>
      <c r="V69" s="4">
        <f t="shared" si="37"/>
        <v>4355.0583992275169</v>
      </c>
      <c r="W69" s="4">
        <f>+W37+W39</f>
        <v>4616.3619031811677</v>
      </c>
    </row>
    <row r="70" spans="2:59" x14ac:dyDescent="0.25">
      <c r="B70" t="str">
        <f>+B26</f>
        <v>rA</v>
      </c>
      <c r="C70" s="3">
        <f>+C26</f>
        <v>0.12</v>
      </c>
      <c r="D70" s="3">
        <f t="shared" ref="D70:W70" si="38">+D26</f>
        <v>0.12</v>
      </c>
      <c r="E70" s="3">
        <f t="shared" si="38"/>
        <v>0.12</v>
      </c>
      <c r="F70" s="3">
        <f t="shared" si="38"/>
        <v>0.12</v>
      </c>
      <c r="G70" s="3">
        <f t="shared" si="38"/>
        <v>0.12</v>
      </c>
      <c r="H70" s="3">
        <f t="shared" si="38"/>
        <v>0.12</v>
      </c>
      <c r="I70" s="3">
        <f t="shared" si="38"/>
        <v>0.12</v>
      </c>
      <c r="J70" s="3">
        <f t="shared" si="38"/>
        <v>0.12</v>
      </c>
      <c r="K70" s="3">
        <f t="shared" si="38"/>
        <v>0.12</v>
      </c>
      <c r="L70" s="3">
        <f t="shared" si="38"/>
        <v>0.12</v>
      </c>
      <c r="M70" s="3">
        <f t="shared" si="38"/>
        <v>0.12</v>
      </c>
      <c r="N70" s="3">
        <f t="shared" si="38"/>
        <v>0.12</v>
      </c>
      <c r="O70" s="3">
        <f t="shared" si="38"/>
        <v>0.12</v>
      </c>
      <c r="P70" s="3">
        <f t="shared" si="38"/>
        <v>0.12</v>
      </c>
      <c r="Q70" s="3">
        <f t="shared" si="38"/>
        <v>0.12</v>
      </c>
      <c r="R70" s="3">
        <f t="shared" si="38"/>
        <v>0.12</v>
      </c>
      <c r="S70" s="3">
        <f t="shared" si="38"/>
        <v>0.12</v>
      </c>
      <c r="T70" s="3">
        <f t="shared" si="38"/>
        <v>0.12</v>
      </c>
      <c r="U70" s="3">
        <f t="shared" si="38"/>
        <v>0.12</v>
      </c>
      <c r="V70" s="3">
        <f t="shared" si="38"/>
        <v>0.12</v>
      </c>
      <c r="W70" s="3">
        <f t="shared" si="38"/>
        <v>0.12</v>
      </c>
    </row>
    <row r="71" spans="2:59" s="12" customFormat="1" x14ac:dyDescent="0.25">
      <c r="B71" s="12" t="s">
        <v>19</v>
      </c>
      <c r="C71" s="13">
        <f t="shared" ref="C71:U71" si="39">+(C69+D71)/(1+C70)</f>
        <v>23349.619803450994</v>
      </c>
      <c r="D71" s="13">
        <f t="shared" si="39"/>
        <v>25671.574179865114</v>
      </c>
      <c r="E71" s="13">
        <f t="shared" si="39"/>
        <v>27689.872342656792</v>
      </c>
      <c r="F71" s="13">
        <f t="shared" si="39"/>
        <v>29417.828423385752</v>
      </c>
      <c r="G71" s="13">
        <f t="shared" si="39"/>
        <v>30839.004472249791</v>
      </c>
      <c r="H71" s="13">
        <f t="shared" si="39"/>
        <v>32248.076093274405</v>
      </c>
      <c r="I71" s="13">
        <f t="shared" si="39"/>
        <v>34030.355361710208</v>
      </c>
      <c r="J71" s="13">
        <f t="shared" si="39"/>
        <v>36072.176683412821</v>
      </c>
      <c r="K71" s="13">
        <f t="shared" si="39"/>
        <v>38236.507284417588</v>
      </c>
      <c r="L71" s="13">
        <f t="shared" si="39"/>
        <v>40530.69772148264</v>
      </c>
      <c r="M71" s="13">
        <f t="shared" si="39"/>
        <v>42962.539584771606</v>
      </c>
      <c r="N71" s="13">
        <f t="shared" si="39"/>
        <v>45540.29195985791</v>
      </c>
      <c r="O71" s="13">
        <f t="shared" si="39"/>
        <v>48272.709477449389</v>
      </c>
      <c r="P71" s="13">
        <f t="shared" si="39"/>
        <v>51169.072046096349</v>
      </c>
      <c r="Q71" s="13">
        <f t="shared" si="39"/>
        <v>54239.216368862137</v>
      </c>
      <c r="R71" s="13">
        <f t="shared" si="39"/>
        <v>57493.569350993872</v>
      </c>
      <c r="S71" s="13">
        <f t="shared" si="39"/>
        <v>60943.183512053511</v>
      </c>
      <c r="T71" s="13">
        <f t="shared" si="39"/>
        <v>64599.774522776723</v>
      </c>
      <c r="U71" s="13">
        <f t="shared" si="39"/>
        <v>68475.760994143333</v>
      </c>
      <c r="V71" s="13">
        <f>+(V69+W71)/(1+V70)</f>
        <v>72584.306653791937</v>
      </c>
      <c r="W71" s="13">
        <f>+W69/(W70-X23)</f>
        <v>76939.365053019457</v>
      </c>
    </row>
    <row r="74" spans="2:59" x14ac:dyDescent="0.25">
      <c r="B74" t="s">
        <v>88</v>
      </c>
    </row>
    <row r="75" spans="2:59" x14ac:dyDescent="0.25">
      <c r="B75" t="str">
        <f>+B41</f>
        <v>FCFE</v>
      </c>
      <c r="C75" s="4">
        <f t="shared" ref="C75:T75" si="40">+C41</f>
        <v>1635.2208380939308</v>
      </c>
      <c r="D75" s="4">
        <f t="shared" si="40"/>
        <v>2318.2929528707455</v>
      </c>
      <c r="E75" s="4">
        <f t="shared" si="40"/>
        <v>3181.4185726287496</v>
      </c>
      <c r="F75" s="4">
        <f t="shared" si="40"/>
        <v>3361.5422805675071</v>
      </c>
      <c r="G75" s="4">
        <f t="shared" si="40"/>
        <v>2383.7633623459528</v>
      </c>
      <c r="H75" s="4">
        <f t="shared" si="40"/>
        <v>1895.7284228586273</v>
      </c>
      <c r="I75" s="4">
        <f t="shared" si="40"/>
        <v>1871.6695448940623</v>
      </c>
      <c r="J75" s="4">
        <f t="shared" si="40"/>
        <v>1983.9697175877084</v>
      </c>
      <c r="K75" s="4">
        <f t="shared" si="40"/>
        <v>2103.0079006429696</v>
      </c>
      <c r="L75" s="4">
        <f t="shared" si="40"/>
        <v>2229.1883746815492</v>
      </c>
      <c r="M75" s="4">
        <f t="shared" si="40"/>
        <v>2362.9396771624388</v>
      </c>
      <c r="N75" s="4">
        <f t="shared" si="40"/>
        <v>2504.7160577921882</v>
      </c>
      <c r="O75" s="4">
        <f t="shared" si="40"/>
        <v>2654.9990212597158</v>
      </c>
      <c r="P75" s="4">
        <f t="shared" si="40"/>
        <v>2814.2989625353025</v>
      </c>
      <c r="Q75" s="4">
        <f t="shared" si="40"/>
        <v>2983.1569002874194</v>
      </c>
      <c r="R75" s="4">
        <f t="shared" si="40"/>
        <v>3162.1463143046622</v>
      </c>
      <c r="S75" s="4">
        <f t="shared" si="40"/>
        <v>3351.8750931629456</v>
      </c>
      <c r="T75" s="4">
        <f t="shared" si="40"/>
        <v>3552.9875987527203</v>
      </c>
    </row>
    <row r="76" spans="2:59" x14ac:dyDescent="0.25">
      <c r="B76" t="str">
        <f>+B28</f>
        <v>rE=(rA-D/V*rD)/(1-D/V)</v>
      </c>
      <c r="C76" s="3">
        <f t="shared" ref="C76:T76" si="41">+C28</f>
        <v>0.12</v>
      </c>
      <c r="D76" s="3">
        <f t="shared" si="41"/>
        <v>0.12235602094240838</v>
      </c>
      <c r="E76" s="3">
        <f t="shared" si="41"/>
        <v>0.12445054945054944</v>
      </c>
      <c r="F76" s="3">
        <f t="shared" si="41"/>
        <v>0.12678362573099414</v>
      </c>
      <c r="G76" s="3">
        <f t="shared" si="41"/>
        <v>0.12820987654320987</v>
      </c>
      <c r="H76" s="3">
        <f t="shared" si="41"/>
        <v>0.12874999999999998</v>
      </c>
      <c r="I76" s="3">
        <f t="shared" si="41"/>
        <v>0.12874999999999998</v>
      </c>
      <c r="J76" s="3">
        <f t="shared" si="41"/>
        <v>0.12874999999999998</v>
      </c>
      <c r="K76" s="3">
        <f t="shared" si="41"/>
        <v>0.12874999999999998</v>
      </c>
      <c r="L76" s="3">
        <f t="shared" si="41"/>
        <v>0.12874999999999998</v>
      </c>
      <c r="M76" s="3">
        <f t="shared" si="41"/>
        <v>0.12874999999999998</v>
      </c>
      <c r="N76" s="3">
        <f t="shared" si="41"/>
        <v>0.12874999999999998</v>
      </c>
      <c r="O76" s="3">
        <f t="shared" si="41"/>
        <v>0.12874999999999998</v>
      </c>
      <c r="P76" s="3">
        <f t="shared" si="41"/>
        <v>0.12874999999999998</v>
      </c>
      <c r="Q76" s="3">
        <f t="shared" si="41"/>
        <v>0.12874999999999998</v>
      </c>
      <c r="R76" s="3">
        <f t="shared" si="41"/>
        <v>0.12874999999999998</v>
      </c>
      <c r="S76" s="3">
        <f t="shared" si="41"/>
        <v>0.12874999999999998</v>
      </c>
      <c r="T76" s="3">
        <f t="shared" si="41"/>
        <v>0.12874999999999998</v>
      </c>
    </row>
    <row r="77" spans="2:59" x14ac:dyDescent="0.25">
      <c r="B77" t="s">
        <v>89</v>
      </c>
      <c r="C77" s="4">
        <f t="shared" ref="C77:R77" si="42">+(C75+D77)/(1+C76)</f>
        <v>23349.619803451031</v>
      </c>
      <c r="D77" s="4">
        <f t="shared" si="42"/>
        <v>24516.353341771228</v>
      </c>
      <c r="E77" s="4">
        <f t="shared" si="42"/>
        <v>25197.783831817724</v>
      </c>
      <c r="F77" s="4">
        <f t="shared" si="42"/>
        <v>25152.243301994862</v>
      </c>
      <c r="G77" s="4">
        <f t="shared" si="42"/>
        <v>24979.593622522378</v>
      </c>
      <c r="H77" s="4">
        <f t="shared" si="42"/>
        <v>25798.46087461957</v>
      </c>
      <c r="I77" s="4">
        <f t="shared" si="42"/>
        <v>27224.28428936821</v>
      </c>
      <c r="J77" s="4">
        <f t="shared" si="42"/>
        <v>28857.741346730301</v>
      </c>
      <c r="K77" s="4">
        <f t="shared" si="42"/>
        <v>30589.205827534119</v>
      </c>
      <c r="L77" s="4">
        <f t="shared" si="42"/>
        <v>32424.558177186162</v>
      </c>
      <c r="M77" s="4">
        <f t="shared" si="42"/>
        <v>34370.031667817326</v>
      </c>
      <c r="N77" s="4">
        <f t="shared" si="42"/>
        <v>36432.233567886367</v>
      </c>
      <c r="O77" s="4">
        <f t="shared" si="42"/>
        <v>38618.167581959548</v>
      </c>
      <c r="P77" s="4">
        <f t="shared" si="42"/>
        <v>40935.257636877119</v>
      </c>
      <c r="Q77" s="4">
        <f t="shared" si="42"/>
        <v>43391.373095089744</v>
      </c>
      <c r="R77" s="4">
        <f t="shared" si="42"/>
        <v>45994.85548079513</v>
      </c>
      <c r="S77" s="4">
        <f>+(S75+T77)/(1+S76)</f>
        <v>48754.546809642838</v>
      </c>
      <c r="T77" s="4">
        <f>+T75/(T76-U23)</f>
        <v>51679.819618221401</v>
      </c>
    </row>
    <row r="78" spans="2:59" x14ac:dyDescent="0.25">
      <c r="B78" t="str">
        <f>+B64</f>
        <v>D boy</v>
      </c>
      <c r="C78" s="4">
        <f>+C64</f>
        <v>0</v>
      </c>
      <c r="D78" s="4">
        <f t="shared" ref="D78:T78" si="43">+D64</f>
        <v>1155.2208380939312</v>
      </c>
      <c r="E78" s="4">
        <f t="shared" si="43"/>
        <v>2492.0885108391135</v>
      </c>
      <c r="F78" s="4">
        <f t="shared" si="43"/>
        <v>4265.5851213909373</v>
      </c>
      <c r="G78" s="4">
        <f t="shared" si="43"/>
        <v>5859.4108497274647</v>
      </c>
      <c r="H78" s="4">
        <f t="shared" si="43"/>
        <v>6449.6152186548852</v>
      </c>
      <c r="I78" s="4">
        <f t="shared" si="43"/>
        <v>6806.0710723420452</v>
      </c>
      <c r="J78" s="4">
        <f t="shared" si="43"/>
        <v>7214.4353366825671</v>
      </c>
      <c r="K78" s="4">
        <f t="shared" si="43"/>
        <v>7647.3014568835224</v>
      </c>
      <c r="L78" s="4">
        <f t="shared" si="43"/>
        <v>8106.139544296534</v>
      </c>
      <c r="M78" s="4">
        <f t="shared" si="43"/>
        <v>8592.5079169543278</v>
      </c>
      <c r="N78" s="4">
        <f t="shared" si="43"/>
        <v>9108.0583919715864</v>
      </c>
      <c r="O78" s="4">
        <f t="shared" si="43"/>
        <v>9654.5418954898832</v>
      </c>
      <c r="P78" s="4">
        <f t="shared" si="43"/>
        <v>10233.814409219274</v>
      </c>
      <c r="Q78" s="4">
        <f t="shared" si="43"/>
        <v>10847.843273772432</v>
      </c>
      <c r="R78" s="4">
        <f t="shared" si="43"/>
        <v>11498.713870198779</v>
      </c>
      <c r="S78" s="4">
        <f t="shared" si="43"/>
        <v>12188.636702410704</v>
      </c>
      <c r="T78" s="4">
        <f t="shared" si="43"/>
        <v>12919.954904555349</v>
      </c>
    </row>
    <row r="79" spans="2:59" x14ac:dyDescent="0.25">
      <c r="B79" s="12" t="s">
        <v>19</v>
      </c>
      <c r="C79" s="13">
        <f>+C77+C78</f>
        <v>23349.619803451031</v>
      </c>
      <c r="D79" s="13">
        <f t="shared" ref="D79:T79" si="44">+D77+D78</f>
        <v>25671.574179865158</v>
      </c>
      <c r="E79" s="13">
        <f t="shared" si="44"/>
        <v>27689.872342656836</v>
      </c>
      <c r="F79" s="13">
        <f t="shared" si="44"/>
        <v>29417.828423385799</v>
      </c>
      <c r="G79" s="13">
        <f t="shared" si="44"/>
        <v>30839.004472249842</v>
      </c>
      <c r="H79" s="13">
        <f t="shared" si="44"/>
        <v>32248.076093274456</v>
      </c>
      <c r="I79" s="13">
        <f t="shared" si="44"/>
        <v>34030.355361710259</v>
      </c>
      <c r="J79" s="13">
        <f t="shared" si="44"/>
        <v>36072.176683412865</v>
      </c>
      <c r="K79" s="13">
        <f t="shared" si="44"/>
        <v>38236.507284417639</v>
      </c>
      <c r="L79" s="13">
        <f t="shared" si="44"/>
        <v>40530.697721482698</v>
      </c>
      <c r="M79" s="13">
        <f t="shared" si="44"/>
        <v>42962.539584771657</v>
      </c>
      <c r="N79" s="13">
        <f t="shared" si="44"/>
        <v>45540.291959857954</v>
      </c>
      <c r="O79" s="13">
        <f t="shared" si="44"/>
        <v>48272.709477449433</v>
      </c>
      <c r="P79" s="13">
        <f t="shared" si="44"/>
        <v>51169.072046096393</v>
      </c>
      <c r="Q79" s="13">
        <f t="shared" si="44"/>
        <v>54239.21636886218</v>
      </c>
      <c r="R79" s="13">
        <f t="shared" si="44"/>
        <v>57493.569350993908</v>
      </c>
      <c r="S79" s="13">
        <f t="shared" si="44"/>
        <v>60943.18351205354</v>
      </c>
      <c r="T79" s="13">
        <f t="shared" si="44"/>
        <v>64599.774522776752</v>
      </c>
    </row>
    <row r="82" spans="2:21" x14ac:dyDescent="0.25">
      <c r="B82" t="s">
        <v>90</v>
      </c>
    </row>
    <row r="83" spans="2:21" x14ac:dyDescent="0.25">
      <c r="B83" s="4" t="str">
        <f>+B35</f>
        <v>Noplat</v>
      </c>
      <c r="C83" s="4">
        <f t="shared" ref="C83:T83" si="45">+C35</f>
        <v>2400</v>
      </c>
      <c r="D83" s="4">
        <f t="shared" si="45"/>
        <v>2736</v>
      </c>
      <c r="E83" s="4">
        <f t="shared" si="45"/>
        <v>3023.2799999999997</v>
      </c>
      <c r="F83" s="4">
        <f t="shared" si="45"/>
        <v>3265.1423999999997</v>
      </c>
      <c r="G83" s="4">
        <f t="shared" si="45"/>
        <v>3461.0509439999996</v>
      </c>
      <c r="H83" s="4">
        <f t="shared" si="45"/>
        <v>3651.4087459199995</v>
      </c>
      <c r="I83" s="4">
        <f t="shared" si="45"/>
        <v>3852.2362269455994</v>
      </c>
      <c r="J83" s="4">
        <f t="shared" si="45"/>
        <v>4083.3704005623354</v>
      </c>
      <c r="K83" s="4">
        <f t="shared" si="45"/>
        <v>4328.3726245960752</v>
      </c>
      <c r="L83" s="4">
        <f t="shared" si="45"/>
        <v>4588.0749820718393</v>
      </c>
      <c r="M83" s="4">
        <f t="shared" si="45"/>
        <v>4863.3594809961496</v>
      </c>
      <c r="N83" s="4">
        <f t="shared" si="45"/>
        <v>5155.1610498559185</v>
      </c>
      <c r="O83" s="4">
        <f t="shared" si="45"/>
        <v>5464.4707128472737</v>
      </c>
      <c r="P83" s="4">
        <f t="shared" si="45"/>
        <v>5792.33895561811</v>
      </c>
      <c r="Q83" s="4">
        <f t="shared" si="45"/>
        <v>6139.8792929551964</v>
      </c>
      <c r="R83" s="4">
        <f t="shared" si="45"/>
        <v>6508.2720505325078</v>
      </c>
      <c r="S83" s="4">
        <f t="shared" si="45"/>
        <v>6898.7683735644587</v>
      </c>
      <c r="T83" s="4">
        <f t="shared" si="45"/>
        <v>7312.6944759783264</v>
      </c>
    </row>
    <row r="84" spans="2:21" x14ac:dyDescent="0.25">
      <c r="B84" s="4" t="str">
        <f>+B63</f>
        <v>IC boy</v>
      </c>
      <c r="C84" s="4">
        <f t="shared" ref="C84:T84" si="46">+C63</f>
        <v>15000</v>
      </c>
      <c r="D84" s="4">
        <f t="shared" si="46"/>
        <v>16920</v>
      </c>
      <c r="E84" s="4">
        <f t="shared" si="46"/>
        <v>18609.882352941175</v>
      </c>
      <c r="F84" s="4">
        <f t="shared" si="46"/>
        <v>20075.7150802139</v>
      </c>
      <c r="G84" s="4">
        <f t="shared" si="46"/>
        <v>21300.143480213901</v>
      </c>
      <c r="H84" s="4">
        <f t="shared" si="46"/>
        <v>22569.1954930139</v>
      </c>
      <c r="I84" s="4">
        <f t="shared" si="46"/>
        <v>24242.757834893899</v>
      </c>
      <c r="J84" s="4">
        <f t="shared" si="46"/>
        <v>26168.875948366698</v>
      </c>
      <c r="K84" s="4">
        <f t="shared" si="46"/>
        <v>28210.561148647867</v>
      </c>
      <c r="L84" s="4">
        <f t="shared" si="46"/>
        <v>30374.747460945902</v>
      </c>
      <c r="M84" s="4">
        <f t="shared" si="46"/>
        <v>32668.784951981823</v>
      </c>
      <c r="N84" s="4">
        <f t="shared" si="46"/>
        <v>35100.464692479894</v>
      </c>
      <c r="O84" s="4">
        <f t="shared" si="46"/>
        <v>37678.045217407853</v>
      </c>
      <c r="P84" s="4">
        <f t="shared" si="46"/>
        <v>40410.280573831493</v>
      </c>
      <c r="Q84" s="4">
        <f t="shared" si="46"/>
        <v>43306.450051640546</v>
      </c>
      <c r="R84" s="4">
        <f t="shared" si="46"/>
        <v>46376.389698118146</v>
      </c>
      <c r="S84" s="4">
        <f t="shared" si="46"/>
        <v>49630.525723384402</v>
      </c>
      <c r="T84" s="4">
        <f t="shared" si="46"/>
        <v>53079.909910166629</v>
      </c>
    </row>
    <row r="85" spans="2:21" x14ac:dyDescent="0.25">
      <c r="B85" s="3" t="str">
        <f>+B29</f>
        <v>WACC=rA-D/V*rD*t</v>
      </c>
      <c r="C85" s="3">
        <f t="shared" ref="C85:T85" si="47">+C29</f>
        <v>0.12</v>
      </c>
      <c r="D85" s="3">
        <f t="shared" si="47"/>
        <v>0.11936999999999999</v>
      </c>
      <c r="E85" s="3">
        <f t="shared" si="47"/>
        <v>0.11864999999999999</v>
      </c>
      <c r="F85" s="3">
        <f t="shared" si="47"/>
        <v>0.11767999999999999</v>
      </c>
      <c r="G85" s="3">
        <f t="shared" si="47"/>
        <v>0.11677</v>
      </c>
      <c r="H85" s="3">
        <f t="shared" si="47"/>
        <v>0.1166</v>
      </c>
      <c r="I85" s="3">
        <f t="shared" si="47"/>
        <v>0.1166</v>
      </c>
      <c r="J85" s="3">
        <f t="shared" si="47"/>
        <v>0.1166</v>
      </c>
      <c r="K85" s="3">
        <f t="shared" si="47"/>
        <v>0.1166</v>
      </c>
      <c r="L85" s="3">
        <f t="shared" si="47"/>
        <v>0.1166</v>
      </c>
      <c r="M85" s="3">
        <f t="shared" si="47"/>
        <v>0.1166</v>
      </c>
      <c r="N85" s="3">
        <f t="shared" si="47"/>
        <v>0.1166</v>
      </c>
      <c r="O85" s="3">
        <f t="shared" si="47"/>
        <v>0.1166</v>
      </c>
      <c r="P85" s="3">
        <f t="shared" si="47"/>
        <v>0.1166</v>
      </c>
      <c r="Q85" s="3">
        <f t="shared" si="47"/>
        <v>0.1166</v>
      </c>
      <c r="R85" s="3">
        <f t="shared" si="47"/>
        <v>0.1166</v>
      </c>
      <c r="S85" s="3">
        <f t="shared" si="47"/>
        <v>0.1166</v>
      </c>
      <c r="T85" s="3">
        <f t="shared" si="47"/>
        <v>0.1166</v>
      </c>
    </row>
    <row r="86" spans="2:21" x14ac:dyDescent="0.25">
      <c r="B86" t="s">
        <v>91</v>
      </c>
      <c r="C86" s="4">
        <f>+C84*C85</f>
        <v>1800</v>
      </c>
      <c r="D86" s="4">
        <f>+D84*D85</f>
        <v>2019.7403999999999</v>
      </c>
      <c r="E86" s="4">
        <f t="shared" ref="E86:T86" si="48">+E84*E85</f>
        <v>2208.0625411764704</v>
      </c>
      <c r="F86" s="4">
        <f t="shared" si="48"/>
        <v>2362.5101506395717</v>
      </c>
      <c r="G86" s="4">
        <f t="shared" si="48"/>
        <v>2487.2177541845772</v>
      </c>
      <c r="H86" s="4">
        <f t="shared" si="48"/>
        <v>2631.5681944854205</v>
      </c>
      <c r="I86" s="4">
        <f t="shared" si="48"/>
        <v>2826.7055635486286</v>
      </c>
      <c r="J86" s="4">
        <f t="shared" si="48"/>
        <v>3051.2909355795568</v>
      </c>
      <c r="K86" s="4">
        <f t="shared" si="48"/>
        <v>3289.351429932341</v>
      </c>
      <c r="L86" s="4">
        <f t="shared" si="48"/>
        <v>3541.695553946292</v>
      </c>
      <c r="M86" s="4">
        <f t="shared" si="48"/>
        <v>3809.1803254010806</v>
      </c>
      <c r="N86" s="4">
        <f t="shared" si="48"/>
        <v>4092.7141831431554</v>
      </c>
      <c r="O86" s="4">
        <f t="shared" si="48"/>
        <v>4393.2600723497553</v>
      </c>
      <c r="P86" s="4">
        <f t="shared" si="48"/>
        <v>4711.8387149087521</v>
      </c>
      <c r="Q86" s="4">
        <f t="shared" si="48"/>
        <v>5049.5320760212871</v>
      </c>
      <c r="R86" s="4">
        <f t="shared" si="48"/>
        <v>5407.4870388005756</v>
      </c>
      <c r="S86" s="4">
        <f t="shared" si="48"/>
        <v>5786.9192993466213</v>
      </c>
      <c r="T86" s="4">
        <f t="shared" si="48"/>
        <v>6189.1174955254282</v>
      </c>
    </row>
    <row r="87" spans="2:21" x14ac:dyDescent="0.25">
      <c r="B87" t="s">
        <v>90</v>
      </c>
      <c r="C87" s="4">
        <f>+C83-C86</f>
        <v>600</v>
      </c>
      <c r="D87" s="4">
        <f>+D83-D86</f>
        <v>716.25960000000009</v>
      </c>
      <c r="E87" s="4">
        <f t="shared" ref="E87:T87" si="49">+E83-E86</f>
        <v>815.21745882352934</v>
      </c>
      <c r="F87" s="4">
        <f t="shared" si="49"/>
        <v>902.63224936042798</v>
      </c>
      <c r="G87" s="4">
        <f t="shared" si="49"/>
        <v>973.83318981542243</v>
      </c>
      <c r="H87" s="4">
        <f t="shared" si="49"/>
        <v>1019.8405514345791</v>
      </c>
      <c r="I87" s="4">
        <f t="shared" si="49"/>
        <v>1025.5306633969708</v>
      </c>
      <c r="J87" s="4">
        <f t="shared" si="49"/>
        <v>1032.0794649827785</v>
      </c>
      <c r="K87" s="4">
        <f t="shared" si="49"/>
        <v>1039.0211946637341</v>
      </c>
      <c r="L87" s="4">
        <f t="shared" si="49"/>
        <v>1046.3794281255473</v>
      </c>
      <c r="M87" s="4">
        <f t="shared" si="49"/>
        <v>1054.179155595069</v>
      </c>
      <c r="N87" s="4">
        <f t="shared" si="49"/>
        <v>1062.446866712763</v>
      </c>
      <c r="O87" s="4">
        <f t="shared" si="49"/>
        <v>1071.2106404975184</v>
      </c>
      <c r="P87" s="4">
        <f t="shared" si="49"/>
        <v>1080.500240709358</v>
      </c>
      <c r="Q87" s="4">
        <f t="shared" si="49"/>
        <v>1090.3472169339093</v>
      </c>
      <c r="R87" s="4">
        <f t="shared" si="49"/>
        <v>1100.7850117319322</v>
      </c>
      <c r="S87" s="4">
        <f t="shared" si="49"/>
        <v>1111.8490742178374</v>
      </c>
      <c r="T87" s="4">
        <f t="shared" si="49"/>
        <v>1123.5769804528982</v>
      </c>
      <c r="U87" s="4"/>
    </row>
    <row r="88" spans="2:21" x14ac:dyDescent="0.25">
      <c r="B88" t="s">
        <v>92</v>
      </c>
      <c r="C88" s="4">
        <f t="shared" ref="C88:R88" si="50">+(C87+D88)/(1+C85)</f>
        <v>8349.6198034510253</v>
      </c>
      <c r="D88" s="4">
        <f t="shared" si="50"/>
        <v>8751.5741798651488</v>
      </c>
      <c r="E88" s="4">
        <f t="shared" si="50"/>
        <v>9079.989989715652</v>
      </c>
      <c r="F88" s="4">
        <f t="shared" si="50"/>
        <v>9342.1133431718845</v>
      </c>
      <c r="G88" s="4">
        <f t="shared" si="50"/>
        <v>9538.8609920359249</v>
      </c>
      <c r="H88" s="4">
        <f t="shared" si="50"/>
        <v>9678.8806002605379</v>
      </c>
      <c r="I88" s="4">
        <f t="shared" si="50"/>
        <v>9787.5975268163384</v>
      </c>
      <c r="J88" s="4">
        <f t="shared" si="50"/>
        <v>9903.3007350461539</v>
      </c>
      <c r="K88" s="4">
        <f t="shared" si="50"/>
        <v>10025.946135769758</v>
      </c>
      <c r="L88" s="4">
        <f t="shared" si="50"/>
        <v>10155.95026053678</v>
      </c>
      <c r="M88" s="4">
        <f t="shared" si="50"/>
        <v>10293.754632789822</v>
      </c>
      <c r="N88" s="4">
        <f t="shared" si="50"/>
        <v>10439.827267378047</v>
      </c>
      <c r="O88" s="4">
        <f t="shared" si="50"/>
        <v>10594.664260041565</v>
      </c>
      <c r="P88" s="4">
        <f t="shared" si="50"/>
        <v>10758.791472264895</v>
      </c>
      <c r="Q88" s="4">
        <f t="shared" si="50"/>
        <v>10932.766317221623</v>
      </c>
      <c r="R88" s="4">
        <f t="shared" si="50"/>
        <v>11117.179652875757</v>
      </c>
      <c r="S88" s="4">
        <f>+(S87+T88)/(1+S85)</f>
        <v>11312.657788669138</v>
      </c>
      <c r="T88" s="14">
        <f>+T79-T84</f>
        <v>11519.864612610123</v>
      </c>
      <c r="U88" s="4">
        <f>+T87/T85+U36*(V22-V29)/V29/(V29-W23)</f>
        <v>11632.886516577921</v>
      </c>
    </row>
    <row r="89" spans="2:21" x14ac:dyDescent="0.25">
      <c r="B89" s="12" t="s">
        <v>19</v>
      </c>
      <c r="C89" s="13">
        <f>+C88+C84</f>
        <v>23349.619803451023</v>
      </c>
      <c r="D89" s="13">
        <f t="shared" ref="D89:T89" si="51">+D88+D84</f>
        <v>25671.574179865151</v>
      </c>
      <c r="E89" s="13">
        <f t="shared" si="51"/>
        <v>27689.872342656825</v>
      </c>
      <c r="F89" s="13">
        <f t="shared" si="51"/>
        <v>29417.828423385785</v>
      </c>
      <c r="G89" s="13">
        <f t="shared" si="51"/>
        <v>30839.004472249828</v>
      </c>
      <c r="H89" s="13">
        <f t="shared" si="51"/>
        <v>32248.076093274438</v>
      </c>
      <c r="I89" s="13">
        <f t="shared" si="51"/>
        <v>34030.355361710237</v>
      </c>
      <c r="J89" s="13">
        <f t="shared" si="51"/>
        <v>36072.17668341285</v>
      </c>
      <c r="K89" s="13">
        <f t="shared" si="51"/>
        <v>38236.507284417625</v>
      </c>
      <c r="L89" s="13">
        <f t="shared" si="51"/>
        <v>40530.697721482684</v>
      </c>
      <c r="M89" s="13">
        <f t="shared" si="51"/>
        <v>42962.539584771643</v>
      </c>
      <c r="N89" s="13">
        <f t="shared" si="51"/>
        <v>45540.291959857939</v>
      </c>
      <c r="O89" s="13">
        <f t="shared" si="51"/>
        <v>48272.709477449418</v>
      </c>
      <c r="P89" s="13">
        <f t="shared" si="51"/>
        <v>51169.072046096386</v>
      </c>
      <c r="Q89" s="13">
        <f t="shared" si="51"/>
        <v>54239.216368862166</v>
      </c>
      <c r="R89" s="13">
        <f t="shared" si="51"/>
        <v>57493.569350993901</v>
      </c>
      <c r="S89" s="13">
        <f t="shared" si="51"/>
        <v>60943.18351205354</v>
      </c>
      <c r="T89" s="13">
        <f t="shared" si="51"/>
        <v>64599.774522776752</v>
      </c>
    </row>
    <row r="92" spans="2:21" x14ac:dyDescent="0.25">
      <c r="B92" t="s">
        <v>93</v>
      </c>
    </row>
    <row r="93" spans="2:21" x14ac:dyDescent="0.25">
      <c r="B93" t="str">
        <f>+B51</f>
        <v>PAT</v>
      </c>
      <c r="C93" s="4">
        <f t="shared" ref="C93:R93" si="52">+C51</f>
        <v>2400</v>
      </c>
      <c r="D93" s="4">
        <f t="shared" si="52"/>
        <v>2671.30763306674</v>
      </c>
      <c r="E93" s="4">
        <f t="shared" si="52"/>
        <v>2873.7546893496528</v>
      </c>
      <c r="F93" s="4">
        <f t="shared" si="52"/>
        <v>2992.1449522309795</v>
      </c>
      <c r="G93" s="4">
        <f t="shared" si="52"/>
        <v>3062.6110062185317</v>
      </c>
      <c r="H93" s="4">
        <f t="shared" si="52"/>
        <v>3212.8349110514673</v>
      </c>
      <c r="I93" s="4">
        <f t="shared" si="52"/>
        <v>3389.4233940263393</v>
      </c>
      <c r="J93" s="4">
        <f t="shared" si="52"/>
        <v>3592.7887976679208</v>
      </c>
      <c r="K93" s="4">
        <f t="shared" si="52"/>
        <v>3808.3561255279956</v>
      </c>
      <c r="L93" s="4">
        <f t="shared" si="52"/>
        <v>4036.8574930596747</v>
      </c>
      <c r="M93" s="4">
        <f t="shared" si="52"/>
        <v>4279.0689426432546</v>
      </c>
      <c r="N93" s="4">
        <f t="shared" si="52"/>
        <v>4535.8130792018501</v>
      </c>
      <c r="O93" s="4">
        <f t="shared" si="52"/>
        <v>4807.9618639539613</v>
      </c>
      <c r="P93" s="4">
        <f t="shared" si="52"/>
        <v>5096.4395757911998</v>
      </c>
      <c r="Q93" s="4">
        <f t="shared" si="52"/>
        <v>5402.2259503386713</v>
      </c>
      <c r="R93" s="4">
        <f t="shared" si="52"/>
        <v>5726.3595073589904</v>
      </c>
    </row>
    <row r="94" spans="2:21" x14ac:dyDescent="0.25">
      <c r="B94" t="str">
        <f>+B65</f>
        <v>BV E boy</v>
      </c>
      <c r="C94" s="4">
        <f t="shared" ref="C94:R94" si="53">+C65</f>
        <v>15000</v>
      </c>
      <c r="D94" s="4">
        <f t="shared" si="53"/>
        <v>15764.779161906068</v>
      </c>
      <c r="E94" s="4">
        <f t="shared" si="53"/>
        <v>16117.793842102061</v>
      </c>
      <c r="F94" s="4">
        <f t="shared" si="53"/>
        <v>15810.129958822963</v>
      </c>
      <c r="G94" s="4">
        <f t="shared" si="53"/>
        <v>15440.732630486436</v>
      </c>
      <c r="H94" s="4">
        <f t="shared" si="53"/>
        <v>16119.580274359014</v>
      </c>
      <c r="I94" s="4">
        <f t="shared" si="53"/>
        <v>17436.686762551853</v>
      </c>
      <c r="J94" s="4">
        <f t="shared" si="53"/>
        <v>18954.440611684131</v>
      </c>
      <c r="K94" s="4">
        <f t="shared" si="53"/>
        <v>20563.259691764346</v>
      </c>
      <c r="L94" s="4">
        <f t="shared" si="53"/>
        <v>22268.607916649369</v>
      </c>
      <c r="M94" s="4">
        <f t="shared" si="53"/>
        <v>24076.277035027495</v>
      </c>
      <c r="N94" s="4">
        <f t="shared" si="53"/>
        <v>25992.406300508308</v>
      </c>
      <c r="O94" s="4">
        <f t="shared" si="53"/>
        <v>28023.503321917968</v>
      </c>
      <c r="P94" s="4">
        <f t="shared" si="53"/>
        <v>30176.466164612219</v>
      </c>
      <c r="Q94" s="4">
        <f t="shared" si="53"/>
        <v>32458.606777868114</v>
      </c>
      <c r="R94" s="4">
        <f t="shared" si="53"/>
        <v>34877.675827919367</v>
      </c>
    </row>
    <row r="95" spans="2:21" x14ac:dyDescent="0.25">
      <c r="B95" s="3" t="str">
        <f>+B28</f>
        <v>rE=(rA-D/V*rD)/(1-D/V)</v>
      </c>
      <c r="C95" s="3">
        <f t="shared" ref="C95:R95" si="54">+C28</f>
        <v>0.12</v>
      </c>
      <c r="D95" s="3">
        <f t="shared" si="54"/>
        <v>0.12235602094240838</v>
      </c>
      <c r="E95" s="3">
        <f t="shared" si="54"/>
        <v>0.12445054945054944</v>
      </c>
      <c r="F95" s="3">
        <f t="shared" si="54"/>
        <v>0.12678362573099414</v>
      </c>
      <c r="G95" s="3">
        <f t="shared" si="54"/>
        <v>0.12820987654320987</v>
      </c>
      <c r="H95" s="3">
        <f t="shared" si="54"/>
        <v>0.12874999999999998</v>
      </c>
      <c r="I95" s="3">
        <f t="shared" si="54"/>
        <v>0.12874999999999998</v>
      </c>
      <c r="J95" s="3">
        <f t="shared" si="54"/>
        <v>0.12874999999999998</v>
      </c>
      <c r="K95" s="3">
        <f t="shared" si="54"/>
        <v>0.12874999999999998</v>
      </c>
      <c r="L95" s="3">
        <f t="shared" si="54"/>
        <v>0.12874999999999998</v>
      </c>
      <c r="M95" s="3">
        <f t="shared" si="54"/>
        <v>0.12874999999999998</v>
      </c>
      <c r="N95" s="3">
        <f t="shared" si="54"/>
        <v>0.12874999999999998</v>
      </c>
      <c r="O95" s="3">
        <f t="shared" si="54"/>
        <v>0.12874999999999998</v>
      </c>
      <c r="P95" s="3">
        <f t="shared" si="54"/>
        <v>0.12874999999999998</v>
      </c>
      <c r="Q95" s="3">
        <f t="shared" si="54"/>
        <v>0.12874999999999998</v>
      </c>
      <c r="R95" s="3">
        <f t="shared" si="54"/>
        <v>0.12874999999999998</v>
      </c>
    </row>
    <row r="96" spans="2:21" x14ac:dyDescent="0.25">
      <c r="B96" t="s">
        <v>94</v>
      </c>
      <c r="C96" s="4">
        <f>+C94*C95</f>
        <v>1800</v>
      </c>
      <c r="D96" s="4">
        <f t="shared" ref="D96:R96" si="55">+D94*D95</f>
        <v>1928.9156492866221</v>
      </c>
      <c r="E96" s="4">
        <f t="shared" si="55"/>
        <v>2005.8682995802837</v>
      </c>
      <c r="F96" s="4">
        <f t="shared" si="55"/>
        <v>2004.4655994577884</v>
      </c>
      <c r="G96" s="4">
        <f t="shared" si="55"/>
        <v>1979.6544242913781</v>
      </c>
      <c r="H96" s="4">
        <f t="shared" si="55"/>
        <v>2075.3959603237226</v>
      </c>
      <c r="I96" s="4">
        <f t="shared" si="55"/>
        <v>2244.9734206785506</v>
      </c>
      <c r="J96" s="4">
        <f t="shared" si="55"/>
        <v>2440.3842287543316</v>
      </c>
      <c r="K96" s="4">
        <f t="shared" si="55"/>
        <v>2647.519685314659</v>
      </c>
      <c r="L96" s="4">
        <f t="shared" si="55"/>
        <v>2867.0832692686058</v>
      </c>
      <c r="M96" s="4">
        <f t="shared" si="55"/>
        <v>3099.8206682597893</v>
      </c>
      <c r="N96" s="4">
        <f t="shared" si="55"/>
        <v>3346.5223111904438</v>
      </c>
      <c r="O96" s="4">
        <f t="shared" si="55"/>
        <v>3608.0260526969378</v>
      </c>
      <c r="P96" s="4">
        <f t="shared" si="55"/>
        <v>3885.2200186938226</v>
      </c>
      <c r="Q96" s="4">
        <f t="shared" si="55"/>
        <v>4179.0456226505185</v>
      </c>
      <c r="R96" s="4">
        <f t="shared" si="55"/>
        <v>4490.5007628446174</v>
      </c>
    </row>
    <row r="97" spans="2:19" x14ac:dyDescent="0.25">
      <c r="B97" t="s">
        <v>95</v>
      </c>
      <c r="C97" s="4">
        <f>+C93-C96</f>
        <v>600</v>
      </c>
      <c r="D97" s="4">
        <f t="shared" ref="D97:R97" si="56">+D93-D96</f>
        <v>742.39198378011793</v>
      </c>
      <c r="E97" s="4">
        <f t="shared" si="56"/>
        <v>867.88638976936909</v>
      </c>
      <c r="F97" s="4">
        <f t="shared" si="56"/>
        <v>987.67935277319111</v>
      </c>
      <c r="G97" s="4">
        <f t="shared" si="56"/>
        <v>1082.9565819271536</v>
      </c>
      <c r="H97" s="4">
        <f t="shared" si="56"/>
        <v>1137.4389507277447</v>
      </c>
      <c r="I97" s="4">
        <f t="shared" si="56"/>
        <v>1144.4499733477887</v>
      </c>
      <c r="J97" s="4">
        <f t="shared" si="56"/>
        <v>1152.4045689135892</v>
      </c>
      <c r="K97" s="4">
        <f t="shared" si="56"/>
        <v>1160.8364402133366</v>
      </c>
      <c r="L97" s="4">
        <f t="shared" si="56"/>
        <v>1169.7742237910688</v>
      </c>
      <c r="M97" s="4">
        <f t="shared" si="56"/>
        <v>1179.2482743834653</v>
      </c>
      <c r="N97" s="4">
        <f t="shared" si="56"/>
        <v>1189.2907680114063</v>
      </c>
      <c r="O97" s="4">
        <f t="shared" si="56"/>
        <v>1199.9358112570235</v>
      </c>
      <c r="P97" s="4">
        <f t="shared" si="56"/>
        <v>1211.2195570973772</v>
      </c>
      <c r="Q97" s="4">
        <f t="shared" si="56"/>
        <v>1223.1803276881528</v>
      </c>
      <c r="R97" s="4">
        <f t="shared" si="56"/>
        <v>1235.858744514373</v>
      </c>
    </row>
    <row r="98" spans="2:19" x14ac:dyDescent="0.25">
      <c r="B98" t="s">
        <v>96</v>
      </c>
      <c r="C98" s="4">
        <f t="shared" ref="C98:P98" si="57">+(C97+D98)/(1+C95)</f>
        <v>8349.6198034510344</v>
      </c>
      <c r="D98" s="4">
        <f t="shared" si="57"/>
        <v>8751.5741798651597</v>
      </c>
      <c r="E98" s="4">
        <f t="shared" si="57"/>
        <v>9079.9899897156629</v>
      </c>
      <c r="F98" s="4">
        <f t="shared" si="57"/>
        <v>9342.1133431718954</v>
      </c>
      <c r="G98" s="4">
        <f t="shared" si="57"/>
        <v>9538.8609920359359</v>
      </c>
      <c r="H98" s="4">
        <f t="shared" si="57"/>
        <v>9678.8806002605488</v>
      </c>
      <c r="I98" s="4">
        <f t="shared" si="57"/>
        <v>9787.5975268163493</v>
      </c>
      <c r="J98" s="4">
        <f t="shared" si="57"/>
        <v>9903.3007350461648</v>
      </c>
      <c r="K98" s="4">
        <f t="shared" si="57"/>
        <v>10025.946135769769</v>
      </c>
      <c r="L98" s="4">
        <f t="shared" si="57"/>
        <v>10155.950260536791</v>
      </c>
      <c r="M98" s="4">
        <f t="shared" si="57"/>
        <v>10293.754632789833</v>
      </c>
      <c r="N98" s="4">
        <f t="shared" si="57"/>
        <v>10439.827267378056</v>
      </c>
      <c r="O98" s="4">
        <f t="shared" si="57"/>
        <v>10594.664260041574</v>
      </c>
      <c r="P98" s="4">
        <f t="shared" si="57"/>
        <v>10758.791472264904</v>
      </c>
      <c r="Q98" s="4">
        <f>+(Q97+R98)/(1+Q95)</f>
        <v>10932.766317221631</v>
      </c>
      <c r="R98" s="14">
        <f>+R77-R94</f>
        <v>11117.179652875762</v>
      </c>
      <c r="S98" t="s">
        <v>97</v>
      </c>
    </row>
    <row r="99" spans="2:19" x14ac:dyDescent="0.25">
      <c r="B99" t="s">
        <v>89</v>
      </c>
      <c r="C99" s="4">
        <f>+C98+C94</f>
        <v>23349.619803451034</v>
      </c>
      <c r="D99" s="4">
        <f t="shared" ref="D99:R99" si="58">+D98+D94</f>
        <v>24516.353341771228</v>
      </c>
      <c r="E99" s="4">
        <f t="shared" si="58"/>
        <v>25197.783831817724</v>
      </c>
      <c r="F99" s="4">
        <f t="shared" si="58"/>
        <v>25152.243301994858</v>
      </c>
      <c r="G99" s="4">
        <f t="shared" si="58"/>
        <v>24979.59362252237</v>
      </c>
      <c r="H99" s="4">
        <f t="shared" si="58"/>
        <v>25798.460874619563</v>
      </c>
      <c r="I99" s="4">
        <f t="shared" si="58"/>
        <v>27224.284289368203</v>
      </c>
      <c r="J99" s="4">
        <f t="shared" si="58"/>
        <v>28857.741346730298</v>
      </c>
      <c r="K99" s="4">
        <f t="shared" si="58"/>
        <v>30589.205827534115</v>
      </c>
      <c r="L99" s="4">
        <f t="shared" si="58"/>
        <v>32424.558177186162</v>
      </c>
      <c r="M99" s="4">
        <f t="shared" si="58"/>
        <v>34370.031667817326</v>
      </c>
      <c r="N99" s="4">
        <f t="shared" si="58"/>
        <v>36432.23356788636</v>
      </c>
      <c r="O99" s="4">
        <f t="shared" si="58"/>
        <v>38618.16758195954</v>
      </c>
      <c r="P99" s="4">
        <f t="shared" si="58"/>
        <v>40935.257636877126</v>
      </c>
      <c r="Q99" s="4">
        <f t="shared" si="58"/>
        <v>43391.373095089744</v>
      </c>
      <c r="R99" s="4">
        <f t="shared" si="58"/>
        <v>45994.85548079513</v>
      </c>
    </row>
    <row r="100" spans="2:19" x14ac:dyDescent="0.25">
      <c r="B100" s="4" t="str">
        <f>+B78</f>
        <v>D boy</v>
      </c>
      <c r="C100" s="4">
        <f>+C78</f>
        <v>0</v>
      </c>
      <c r="D100" s="4">
        <f t="shared" ref="D100:R100" si="59">+D78</f>
        <v>1155.2208380939312</v>
      </c>
      <c r="E100" s="4">
        <f t="shared" si="59"/>
        <v>2492.0885108391135</v>
      </c>
      <c r="F100" s="4">
        <f t="shared" si="59"/>
        <v>4265.5851213909373</v>
      </c>
      <c r="G100" s="4">
        <f t="shared" si="59"/>
        <v>5859.4108497274647</v>
      </c>
      <c r="H100" s="4">
        <f t="shared" si="59"/>
        <v>6449.6152186548852</v>
      </c>
      <c r="I100" s="4">
        <f t="shared" si="59"/>
        <v>6806.0710723420452</v>
      </c>
      <c r="J100" s="4">
        <f t="shared" si="59"/>
        <v>7214.4353366825671</v>
      </c>
      <c r="K100" s="4">
        <f t="shared" si="59"/>
        <v>7647.3014568835224</v>
      </c>
      <c r="L100" s="4">
        <f t="shared" si="59"/>
        <v>8106.139544296534</v>
      </c>
      <c r="M100" s="4">
        <f t="shared" si="59"/>
        <v>8592.5079169543278</v>
      </c>
      <c r="N100" s="4">
        <f t="shared" si="59"/>
        <v>9108.0583919715864</v>
      </c>
      <c r="O100" s="4">
        <f t="shared" si="59"/>
        <v>9654.5418954898832</v>
      </c>
      <c r="P100" s="4">
        <f t="shared" si="59"/>
        <v>10233.814409219274</v>
      </c>
      <c r="Q100" s="4">
        <f t="shared" si="59"/>
        <v>10847.843273772432</v>
      </c>
      <c r="R100" s="4">
        <f t="shared" si="59"/>
        <v>11498.713870198779</v>
      </c>
    </row>
    <row r="101" spans="2:19" x14ac:dyDescent="0.25">
      <c r="B101" s="12" t="s">
        <v>19</v>
      </c>
      <c r="C101" s="13">
        <f>+C99+C100</f>
        <v>23349.619803451034</v>
      </c>
      <c r="D101" s="13">
        <f t="shared" ref="D101:R101" si="60">+D99+D100</f>
        <v>25671.574179865158</v>
      </c>
      <c r="E101" s="13">
        <f t="shared" si="60"/>
        <v>27689.872342656836</v>
      </c>
      <c r="F101" s="13">
        <f t="shared" si="60"/>
        <v>29417.828423385796</v>
      </c>
      <c r="G101" s="13">
        <f t="shared" si="60"/>
        <v>30839.004472249835</v>
      </c>
      <c r="H101" s="13">
        <f t="shared" si="60"/>
        <v>32248.076093274449</v>
      </c>
      <c r="I101" s="13">
        <f t="shared" si="60"/>
        <v>34030.355361710244</v>
      </c>
      <c r="J101" s="13">
        <f t="shared" si="60"/>
        <v>36072.176683412865</v>
      </c>
      <c r="K101" s="13">
        <f t="shared" si="60"/>
        <v>38236.507284417639</v>
      </c>
      <c r="L101" s="13">
        <f t="shared" si="60"/>
        <v>40530.697721482698</v>
      </c>
      <c r="M101" s="13">
        <f t="shared" si="60"/>
        <v>42962.539584771657</v>
      </c>
      <c r="N101" s="13">
        <f t="shared" si="60"/>
        <v>45540.291959857946</v>
      </c>
      <c r="O101" s="13">
        <f t="shared" si="60"/>
        <v>48272.709477449425</v>
      </c>
      <c r="P101" s="13">
        <f t="shared" si="60"/>
        <v>51169.0720460964</v>
      </c>
      <c r="Q101" s="13">
        <f t="shared" si="60"/>
        <v>54239.21636886218</v>
      </c>
      <c r="R101" s="13">
        <f t="shared" si="60"/>
        <v>57493.569350993908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CEA6-04DA-4752-A3DE-D570CE3AB813}">
  <dimension ref="B18:BG101"/>
  <sheetViews>
    <sheetView topLeftCell="H85" zoomScale="200" zoomScaleNormal="200" workbookViewId="0">
      <selection activeCell="I97" sqref="I97:R97"/>
    </sheetView>
  </sheetViews>
  <sheetFormatPr defaultRowHeight="15.75" x14ac:dyDescent="0.25"/>
  <cols>
    <col min="2" max="2" width="24.875" bestFit="1" customWidth="1"/>
    <col min="3" max="8" width="8.875" bestFit="1" customWidth="1"/>
    <col min="9" max="9" width="12.375" bestFit="1" customWidth="1"/>
    <col min="10" max="33" width="8.875" bestFit="1" customWidth="1"/>
    <col min="34" max="57" width="9.875" bestFit="1" customWidth="1"/>
    <col min="58" max="58" width="10.5" bestFit="1" customWidth="1"/>
    <col min="59" max="59" width="9.875" bestFit="1" customWidth="1"/>
  </cols>
  <sheetData>
    <row r="18" spans="2:59" x14ac:dyDescent="0.25">
      <c r="I18" s="21" t="s">
        <v>98</v>
      </c>
    </row>
    <row r="19" spans="2:59" x14ac:dyDescent="0.25">
      <c r="C19" s="1">
        <v>2025</v>
      </c>
      <c r="D19" s="2">
        <f>+C19+1</f>
        <v>2026</v>
      </c>
      <c r="E19" s="2">
        <f t="shared" ref="E19:H19" si="0">+D19+1</f>
        <v>2027</v>
      </c>
      <c r="F19" s="2">
        <f t="shared" si="0"/>
        <v>2028</v>
      </c>
      <c r="G19" s="2">
        <f t="shared" si="0"/>
        <v>2029</v>
      </c>
      <c r="H19" s="2">
        <f t="shared" si="0"/>
        <v>2030</v>
      </c>
      <c r="I19" s="2" t="s">
        <v>7</v>
      </c>
      <c r="J19" s="2" t="s">
        <v>8</v>
      </c>
      <c r="K19" s="2" t="s">
        <v>16</v>
      </c>
      <c r="L19" s="2" t="s">
        <v>17</v>
      </c>
      <c r="M19" s="2" t="s">
        <v>20</v>
      </c>
      <c r="N19" s="2" t="s">
        <v>21</v>
      </c>
      <c r="O19" s="2" t="s">
        <v>22</v>
      </c>
      <c r="P19" s="2" t="s">
        <v>23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  <c r="V19" s="2" t="s">
        <v>29</v>
      </c>
      <c r="W19" s="2" t="s">
        <v>30</v>
      </c>
      <c r="X19" s="2" t="s">
        <v>31</v>
      </c>
      <c r="Y19" s="2" t="s">
        <v>32</v>
      </c>
      <c r="Z19" s="2" t="s">
        <v>33</v>
      </c>
      <c r="AA19" s="2" t="s">
        <v>34</v>
      </c>
      <c r="AB19" s="2" t="s">
        <v>35</v>
      </c>
      <c r="AC19" s="2" t="s">
        <v>36</v>
      </c>
      <c r="AD19" s="2" t="s">
        <v>37</v>
      </c>
      <c r="AE19" s="2" t="s">
        <v>38</v>
      </c>
      <c r="AF19" s="2" t="s">
        <v>39</v>
      </c>
      <c r="AG19" s="2" t="s">
        <v>40</v>
      </c>
      <c r="AH19" s="2" t="s">
        <v>41</v>
      </c>
      <c r="AI19" s="2" t="s">
        <v>42</v>
      </c>
      <c r="AJ19" s="2" t="s">
        <v>43</v>
      </c>
      <c r="AK19" s="2" t="s">
        <v>44</v>
      </c>
      <c r="AL19" s="2" t="s">
        <v>45</v>
      </c>
      <c r="AM19" s="2" t="s">
        <v>46</v>
      </c>
      <c r="AN19" s="2" t="s">
        <v>47</v>
      </c>
      <c r="AO19" s="2" t="s">
        <v>48</v>
      </c>
      <c r="AP19" s="2" t="s">
        <v>49</v>
      </c>
      <c r="AQ19" s="2" t="s">
        <v>50</v>
      </c>
      <c r="AR19" s="2" t="s">
        <v>51</v>
      </c>
      <c r="AS19" s="2" t="s">
        <v>52</v>
      </c>
      <c r="AT19" s="2" t="s">
        <v>53</v>
      </c>
      <c r="AU19" s="2" t="s">
        <v>54</v>
      </c>
      <c r="AV19" s="2" t="s">
        <v>55</v>
      </c>
      <c r="AW19" s="2" t="s">
        <v>56</v>
      </c>
      <c r="AX19" s="2" t="s">
        <v>57</v>
      </c>
      <c r="AY19" s="2" t="s">
        <v>58</v>
      </c>
      <c r="AZ19" s="2" t="s">
        <v>59</v>
      </c>
      <c r="BA19" s="2" t="s">
        <v>60</v>
      </c>
      <c r="BB19" s="2" t="s">
        <v>61</v>
      </c>
      <c r="BC19" s="2" t="s">
        <v>62</v>
      </c>
      <c r="BD19" s="2" t="s">
        <v>63</v>
      </c>
      <c r="BE19" s="2" t="s">
        <v>64</v>
      </c>
      <c r="BF19" s="2" t="s">
        <v>65</v>
      </c>
    </row>
    <row r="20" spans="2:59" x14ac:dyDescent="0.25">
      <c r="B20" t="s">
        <v>1</v>
      </c>
      <c r="C20" s="7">
        <v>15000</v>
      </c>
      <c r="D20" s="4">
        <f>+C20+C36</f>
        <v>16920</v>
      </c>
      <c r="E20" s="4">
        <f>+D20+D36</f>
        <v>18609.882352941175</v>
      </c>
      <c r="F20" s="4">
        <f>+E20+E36</f>
        <v>20075.7150802139</v>
      </c>
      <c r="G20" s="4">
        <f>+F20+F36</f>
        <v>21300.143480213901</v>
      </c>
      <c r="H20" s="4">
        <f>+G20+G36</f>
        <v>22569.1954930139</v>
      </c>
      <c r="I20" s="4">
        <f>+H20+H36</f>
        <v>24291.558109013899</v>
      </c>
      <c r="J20" s="4">
        <f>+I20+I36</f>
        <v>25506.136014464595</v>
      </c>
      <c r="K20" s="4">
        <f>+J20+J36</f>
        <v>26781.442815187824</v>
      </c>
      <c r="L20" s="4">
        <f t="shared" ref="L20:BG20" si="1">+K20+K36</f>
        <v>28120.514955947216</v>
      </c>
      <c r="M20" s="4">
        <f t="shared" si="1"/>
        <v>29526.540703744577</v>
      </c>
      <c r="N20" s="4">
        <f t="shared" si="1"/>
        <v>31002.867738931804</v>
      </c>
      <c r="O20" s="4">
        <f t="shared" si="1"/>
        <v>32553.011125878395</v>
      </c>
      <c r="P20" s="4">
        <f t="shared" si="1"/>
        <v>34180.661682172315</v>
      </c>
      <c r="Q20" s="4">
        <f t="shared" si="1"/>
        <v>35889.694766280933</v>
      </c>
      <c r="R20" s="4">
        <f t="shared" si="1"/>
        <v>37684.179504594977</v>
      </c>
      <c r="S20" s="4">
        <f t="shared" si="1"/>
        <v>39568.388479824724</v>
      </c>
      <c r="T20" s="4">
        <f t="shared" si="1"/>
        <v>41546.807903815963</v>
      </c>
      <c r="U20" s="4">
        <f t="shared" si="1"/>
        <v>43624.14829900676</v>
      </c>
      <c r="V20" s="4">
        <f t="shared" si="1"/>
        <v>45805.355713957098</v>
      </c>
      <c r="W20" s="4">
        <f t="shared" si="1"/>
        <v>48095.623499654954</v>
      </c>
      <c r="X20" s="4">
        <f t="shared" si="1"/>
        <v>50500.404674637699</v>
      </c>
      <c r="Y20" s="4">
        <f t="shared" si="1"/>
        <v>53025.424908369583</v>
      </c>
      <c r="Z20" s="4">
        <f t="shared" si="1"/>
        <v>55676.696153788063</v>
      </c>
      <c r="AA20" s="4">
        <f t="shared" si="1"/>
        <v>58460.530961477467</v>
      </c>
      <c r="AB20" s="4">
        <f t="shared" si="1"/>
        <v>61383.557509551341</v>
      </c>
      <c r="AC20" s="4">
        <f t="shared" si="1"/>
        <v>64452.735385028907</v>
      </c>
      <c r="AD20" s="4">
        <f t="shared" si="1"/>
        <v>67675.372154280354</v>
      </c>
      <c r="AE20" s="4">
        <f t="shared" si="1"/>
        <v>71059.140761994378</v>
      </c>
      <c r="AF20" s="4">
        <f t="shared" si="1"/>
        <v>74612.097800094096</v>
      </c>
      <c r="AG20" s="4">
        <f t="shared" si="1"/>
        <v>78342.702690098798</v>
      </c>
      <c r="AH20" s="4">
        <f t="shared" si="1"/>
        <v>82259.837824603732</v>
      </c>
      <c r="AI20" s="4">
        <f t="shared" si="1"/>
        <v>86372.829715833912</v>
      </c>
      <c r="AJ20" s="4">
        <f t="shared" si="1"/>
        <v>90691.471201625609</v>
      </c>
      <c r="AK20" s="4">
        <f t="shared" si="1"/>
        <v>95226.044761706886</v>
      </c>
      <c r="AL20" s="4">
        <f t="shared" si="1"/>
        <v>99987.346999792237</v>
      </c>
      <c r="AM20" s="4">
        <f t="shared" si="1"/>
        <v>104986.71434978185</v>
      </c>
      <c r="AN20" s="4">
        <f t="shared" si="1"/>
        <v>110236.05006727093</v>
      </c>
      <c r="AO20" s="4">
        <f t="shared" si="1"/>
        <v>115747.85257063448</v>
      </c>
      <c r="AP20" s="4">
        <f t="shared" si="1"/>
        <v>121535.24519916621</v>
      </c>
      <c r="AQ20" s="4">
        <f t="shared" si="1"/>
        <v>127612.00745912452</v>
      </c>
      <c r="AR20" s="4">
        <f t="shared" si="1"/>
        <v>133992.60783208074</v>
      </c>
      <c r="AS20" s="4">
        <f t="shared" si="1"/>
        <v>140692.23822368478</v>
      </c>
      <c r="AT20" s="4">
        <f t="shared" si="1"/>
        <v>147726.85013486902</v>
      </c>
      <c r="AU20" s="4">
        <f t="shared" si="1"/>
        <v>155113.19264161246</v>
      </c>
      <c r="AV20" s="4">
        <f t="shared" si="1"/>
        <v>162868.85227369308</v>
      </c>
      <c r="AW20" s="4">
        <f t="shared" si="1"/>
        <v>171012.29488737773</v>
      </c>
      <c r="AX20" s="4">
        <f t="shared" si="1"/>
        <v>179562.90963174662</v>
      </c>
      <c r="AY20" s="4">
        <f t="shared" si="1"/>
        <v>188541.05511333395</v>
      </c>
      <c r="AZ20" s="4">
        <f t="shared" si="1"/>
        <v>197968.10786900064</v>
      </c>
      <c r="BA20" s="4">
        <f t="shared" si="1"/>
        <v>207866.51326245067</v>
      </c>
      <c r="BB20" s="4">
        <f t="shared" si="1"/>
        <v>218259.83892557322</v>
      </c>
      <c r="BC20" s="4">
        <f t="shared" si="1"/>
        <v>229172.83087185188</v>
      </c>
      <c r="BD20" s="4">
        <f t="shared" si="1"/>
        <v>240631.47241544447</v>
      </c>
      <c r="BE20" s="4">
        <f t="shared" si="1"/>
        <v>252663.04603621669</v>
      </c>
      <c r="BF20" s="4">
        <f t="shared" si="1"/>
        <v>265296.19833802752</v>
      </c>
      <c r="BG20" s="4">
        <f t="shared" si="1"/>
        <v>278561.00825492892</v>
      </c>
    </row>
    <row r="21" spans="2:59" x14ac:dyDescent="0.25">
      <c r="B21" t="s">
        <v>2</v>
      </c>
      <c r="C21" s="8">
        <v>0.16</v>
      </c>
      <c r="D21" s="3"/>
      <c r="E21" s="3"/>
      <c r="F21" s="3"/>
      <c r="G21" s="3"/>
      <c r="H21" s="3"/>
      <c r="I21" s="22">
        <f>+I29</f>
        <v>0.1166</v>
      </c>
    </row>
    <row r="22" spans="2:59" x14ac:dyDescent="0.25">
      <c r="B22" t="s">
        <v>3</v>
      </c>
      <c r="C22" s="3">
        <f>+C21</f>
        <v>0.16</v>
      </c>
      <c r="D22" s="8">
        <v>0.17499999999999999</v>
      </c>
      <c r="E22" s="8">
        <v>0.17</v>
      </c>
      <c r="F22" s="8">
        <v>0.16500000000000001</v>
      </c>
      <c r="G22" s="8">
        <v>0.16</v>
      </c>
      <c r="H22" s="8">
        <v>0.15</v>
      </c>
      <c r="I22" s="10">
        <f>+I29</f>
        <v>0.1166</v>
      </c>
      <c r="J22" s="10">
        <f>+I22</f>
        <v>0.1166</v>
      </c>
      <c r="K22" s="10">
        <f>+J22</f>
        <v>0.1166</v>
      </c>
      <c r="L22" s="10">
        <f t="shared" ref="L22:BG22" si="2">+K22</f>
        <v>0.1166</v>
      </c>
      <c r="M22" s="10">
        <f t="shared" si="2"/>
        <v>0.1166</v>
      </c>
      <c r="N22" s="10">
        <f t="shared" si="2"/>
        <v>0.1166</v>
      </c>
      <c r="O22" s="10">
        <f t="shared" si="2"/>
        <v>0.1166</v>
      </c>
      <c r="P22" s="10">
        <f t="shared" si="2"/>
        <v>0.1166</v>
      </c>
      <c r="Q22" s="10">
        <f t="shared" si="2"/>
        <v>0.1166</v>
      </c>
      <c r="R22" s="10">
        <f t="shared" si="2"/>
        <v>0.1166</v>
      </c>
      <c r="S22" s="10">
        <f t="shared" si="2"/>
        <v>0.1166</v>
      </c>
      <c r="T22" s="10">
        <f t="shared" si="2"/>
        <v>0.1166</v>
      </c>
      <c r="U22" s="10">
        <f t="shared" si="2"/>
        <v>0.1166</v>
      </c>
      <c r="V22" s="10">
        <f t="shared" si="2"/>
        <v>0.1166</v>
      </c>
      <c r="W22" s="10">
        <f t="shared" si="2"/>
        <v>0.1166</v>
      </c>
      <c r="X22" s="10">
        <f t="shared" si="2"/>
        <v>0.1166</v>
      </c>
      <c r="Y22" s="10">
        <f t="shared" si="2"/>
        <v>0.1166</v>
      </c>
      <c r="Z22" s="10">
        <f t="shared" si="2"/>
        <v>0.1166</v>
      </c>
      <c r="AA22" s="10">
        <f t="shared" si="2"/>
        <v>0.1166</v>
      </c>
      <c r="AB22" s="10">
        <f t="shared" si="2"/>
        <v>0.1166</v>
      </c>
      <c r="AC22" s="10">
        <f t="shared" si="2"/>
        <v>0.1166</v>
      </c>
      <c r="AD22" s="10">
        <f t="shared" si="2"/>
        <v>0.1166</v>
      </c>
      <c r="AE22" s="10">
        <f t="shared" si="2"/>
        <v>0.1166</v>
      </c>
      <c r="AF22" s="10">
        <f t="shared" si="2"/>
        <v>0.1166</v>
      </c>
      <c r="AG22" s="10">
        <f t="shared" si="2"/>
        <v>0.1166</v>
      </c>
      <c r="AH22" s="10">
        <f t="shared" si="2"/>
        <v>0.1166</v>
      </c>
      <c r="AI22" s="10">
        <f t="shared" si="2"/>
        <v>0.1166</v>
      </c>
      <c r="AJ22" s="10">
        <f t="shared" si="2"/>
        <v>0.1166</v>
      </c>
      <c r="AK22" s="10">
        <f t="shared" si="2"/>
        <v>0.1166</v>
      </c>
      <c r="AL22" s="10">
        <f t="shared" si="2"/>
        <v>0.1166</v>
      </c>
      <c r="AM22" s="10">
        <f t="shared" si="2"/>
        <v>0.1166</v>
      </c>
      <c r="AN22" s="10">
        <f t="shared" si="2"/>
        <v>0.1166</v>
      </c>
      <c r="AO22" s="10">
        <f t="shared" si="2"/>
        <v>0.1166</v>
      </c>
      <c r="AP22" s="10">
        <f t="shared" si="2"/>
        <v>0.1166</v>
      </c>
      <c r="AQ22" s="10">
        <f t="shared" si="2"/>
        <v>0.1166</v>
      </c>
      <c r="AR22" s="10">
        <f t="shared" si="2"/>
        <v>0.1166</v>
      </c>
      <c r="AS22" s="10">
        <f t="shared" si="2"/>
        <v>0.1166</v>
      </c>
      <c r="AT22" s="10">
        <f t="shared" si="2"/>
        <v>0.1166</v>
      </c>
      <c r="AU22" s="10">
        <f t="shared" si="2"/>
        <v>0.1166</v>
      </c>
      <c r="AV22" s="10">
        <f t="shared" si="2"/>
        <v>0.1166</v>
      </c>
      <c r="AW22" s="10">
        <f t="shared" si="2"/>
        <v>0.1166</v>
      </c>
      <c r="AX22" s="10">
        <f t="shared" si="2"/>
        <v>0.1166</v>
      </c>
      <c r="AY22" s="10">
        <f t="shared" si="2"/>
        <v>0.1166</v>
      </c>
      <c r="AZ22" s="10">
        <f t="shared" si="2"/>
        <v>0.1166</v>
      </c>
      <c r="BA22" s="10">
        <f t="shared" si="2"/>
        <v>0.1166</v>
      </c>
      <c r="BB22" s="10">
        <f t="shared" si="2"/>
        <v>0.1166</v>
      </c>
      <c r="BC22" s="10">
        <f t="shared" si="2"/>
        <v>0.1166</v>
      </c>
      <c r="BD22" s="10">
        <f t="shared" si="2"/>
        <v>0.1166</v>
      </c>
      <c r="BE22" s="10">
        <f t="shared" si="2"/>
        <v>0.1166</v>
      </c>
      <c r="BF22" s="10">
        <f t="shared" si="2"/>
        <v>0.1166</v>
      </c>
      <c r="BG22" s="10">
        <f t="shared" si="2"/>
        <v>0.1166</v>
      </c>
    </row>
    <row r="23" spans="2:59" x14ac:dyDescent="0.25">
      <c r="B23" t="s">
        <v>5</v>
      </c>
      <c r="C23" s="3"/>
      <c r="D23" s="8">
        <v>0.14000000000000001</v>
      </c>
      <c r="E23" s="8">
        <v>0.105</v>
      </c>
      <c r="F23" s="8">
        <v>0.08</v>
      </c>
      <c r="G23" s="8">
        <v>0.06</v>
      </c>
      <c r="H23" s="8">
        <v>5.5E-2</v>
      </c>
      <c r="I23" s="24">
        <v>5.5E-2</v>
      </c>
      <c r="J23" s="8">
        <v>0.05</v>
      </c>
      <c r="K23" s="8">
        <v>0.05</v>
      </c>
      <c r="L23" s="8">
        <v>0.05</v>
      </c>
      <c r="M23" s="8">
        <v>0.05</v>
      </c>
      <c r="N23" s="8">
        <v>0.05</v>
      </c>
      <c r="O23" s="8">
        <v>0.05</v>
      </c>
      <c r="P23" s="8">
        <v>0.05</v>
      </c>
      <c r="Q23" s="8">
        <v>0.05</v>
      </c>
      <c r="R23" s="8">
        <v>0.05</v>
      </c>
      <c r="S23" s="8">
        <v>0.05</v>
      </c>
      <c r="T23" s="8">
        <v>0.05</v>
      </c>
      <c r="U23" s="8">
        <v>0.05</v>
      </c>
      <c r="V23" s="8">
        <v>0.05</v>
      </c>
      <c r="W23" s="8">
        <v>0.05</v>
      </c>
      <c r="X23" s="8">
        <v>0.05</v>
      </c>
      <c r="Y23" s="8">
        <v>0.05</v>
      </c>
      <c r="Z23" s="8">
        <v>0.05</v>
      </c>
      <c r="AA23" s="8">
        <v>0.05</v>
      </c>
      <c r="AB23" s="8">
        <v>0.05</v>
      </c>
      <c r="AC23" s="8">
        <v>0.05</v>
      </c>
      <c r="AD23" s="8">
        <v>0.05</v>
      </c>
      <c r="AE23" s="8">
        <v>0.05</v>
      </c>
      <c r="AF23" s="8">
        <v>0.05</v>
      </c>
      <c r="AG23" s="8">
        <v>0.05</v>
      </c>
      <c r="AH23" s="8">
        <v>0.05</v>
      </c>
      <c r="AI23" s="8">
        <v>0.05</v>
      </c>
      <c r="AJ23" s="8">
        <v>0.05</v>
      </c>
      <c r="AK23" s="8">
        <v>0.05</v>
      </c>
      <c r="AL23" s="8">
        <v>0.05</v>
      </c>
      <c r="AM23" s="8">
        <v>0.05</v>
      </c>
      <c r="AN23" s="8">
        <v>0.05</v>
      </c>
      <c r="AO23" s="8">
        <v>0.05</v>
      </c>
      <c r="AP23" s="8">
        <v>0.05</v>
      </c>
      <c r="AQ23" s="8">
        <v>0.05</v>
      </c>
      <c r="AR23" s="8">
        <v>0.05</v>
      </c>
      <c r="AS23" s="8">
        <v>0.05</v>
      </c>
      <c r="AT23" s="8">
        <v>0.05</v>
      </c>
      <c r="AU23" s="8">
        <v>0.05</v>
      </c>
      <c r="AV23" s="8">
        <v>0.05</v>
      </c>
      <c r="AW23" s="8">
        <v>0.05</v>
      </c>
      <c r="AX23" s="8">
        <v>0.05</v>
      </c>
      <c r="AY23" s="8">
        <v>0.05</v>
      </c>
      <c r="AZ23" s="8">
        <v>0.05</v>
      </c>
      <c r="BA23" s="8">
        <v>0.05</v>
      </c>
      <c r="BB23" s="8">
        <v>0.05</v>
      </c>
      <c r="BC23" s="8">
        <v>0.05</v>
      </c>
      <c r="BD23" s="8">
        <v>0.05</v>
      </c>
      <c r="BE23" s="8">
        <v>0.05</v>
      </c>
      <c r="BF23" s="8">
        <v>0.05</v>
      </c>
      <c r="BG23" s="8">
        <v>0.05</v>
      </c>
    </row>
    <row r="24" spans="2:59" x14ac:dyDescent="0.25">
      <c r="B24" t="s">
        <v>6</v>
      </c>
      <c r="C24" s="8">
        <v>0</v>
      </c>
      <c r="D24" s="8">
        <v>4.4999999999999998E-2</v>
      </c>
      <c r="E24" s="8">
        <v>0.09</v>
      </c>
      <c r="F24" s="8">
        <v>0.14499999999999999</v>
      </c>
      <c r="G24" s="8">
        <v>0.19</v>
      </c>
      <c r="H24" s="8">
        <v>0.2</v>
      </c>
      <c r="I24" s="8">
        <v>0.2</v>
      </c>
      <c r="J24" s="8">
        <v>0.2</v>
      </c>
      <c r="K24" s="8">
        <v>0.2</v>
      </c>
      <c r="L24" s="8">
        <v>0.2</v>
      </c>
      <c r="M24" s="8">
        <v>0.2</v>
      </c>
      <c r="N24" s="8">
        <v>0.2</v>
      </c>
      <c r="O24" s="8">
        <v>0.2</v>
      </c>
      <c r="P24" s="8">
        <v>0.2</v>
      </c>
      <c r="Q24" s="8">
        <v>0.2</v>
      </c>
      <c r="R24" s="8">
        <v>0.2</v>
      </c>
      <c r="S24" s="8">
        <v>0.2</v>
      </c>
      <c r="T24" s="8">
        <v>0.2</v>
      </c>
      <c r="U24" s="8">
        <v>0.2</v>
      </c>
      <c r="V24" s="8">
        <v>0.2</v>
      </c>
      <c r="W24" s="8">
        <v>0.2</v>
      </c>
      <c r="X24" s="8">
        <v>0.2</v>
      </c>
      <c r="Y24" s="8">
        <v>0.2</v>
      </c>
      <c r="Z24" s="8">
        <v>0.2</v>
      </c>
      <c r="AA24" s="8">
        <v>0.2</v>
      </c>
      <c r="AB24" s="8">
        <v>0.2</v>
      </c>
      <c r="AC24" s="8">
        <v>0.2</v>
      </c>
      <c r="AD24" s="8">
        <v>0.2</v>
      </c>
      <c r="AE24" s="8">
        <v>0.2</v>
      </c>
      <c r="AF24" s="8">
        <v>0.2</v>
      </c>
      <c r="AG24" s="8">
        <v>0.2</v>
      </c>
      <c r="AH24" s="8">
        <v>0.2</v>
      </c>
      <c r="AI24" s="8">
        <v>0.2</v>
      </c>
      <c r="AJ24" s="8">
        <v>0.2</v>
      </c>
      <c r="AK24" s="8">
        <v>0.2</v>
      </c>
      <c r="AL24" s="8">
        <v>0.2</v>
      </c>
      <c r="AM24" s="8">
        <v>0.2</v>
      </c>
      <c r="AN24" s="8">
        <v>0.2</v>
      </c>
      <c r="AO24" s="8">
        <v>0.2</v>
      </c>
      <c r="AP24" s="8">
        <v>0.2</v>
      </c>
      <c r="AQ24" s="8">
        <v>0.2</v>
      </c>
      <c r="AR24" s="8">
        <v>0.2</v>
      </c>
      <c r="AS24" s="8">
        <v>0.2</v>
      </c>
      <c r="AT24" s="8">
        <v>0.2</v>
      </c>
      <c r="AU24" s="8">
        <v>0.2</v>
      </c>
      <c r="AV24" s="8">
        <v>0.2</v>
      </c>
      <c r="AW24" s="8">
        <v>0.2</v>
      </c>
      <c r="AX24" s="8">
        <v>0.2</v>
      </c>
      <c r="AY24" s="8">
        <v>0.2</v>
      </c>
      <c r="AZ24" s="8">
        <v>0.2</v>
      </c>
      <c r="BA24" s="8">
        <v>0.2</v>
      </c>
      <c r="BB24" s="8">
        <v>0.2</v>
      </c>
      <c r="BC24" s="8">
        <v>0.2</v>
      </c>
      <c r="BD24" s="8">
        <v>0.2</v>
      </c>
      <c r="BE24" s="8">
        <v>0.2</v>
      </c>
      <c r="BF24" s="8">
        <v>0.2</v>
      </c>
    </row>
    <row r="25" spans="2:59" x14ac:dyDescent="0.25">
      <c r="B25" t="s">
        <v>0</v>
      </c>
      <c r="C25" s="5"/>
      <c r="D25" s="6">
        <v>7.0000000000000007E-2</v>
      </c>
      <c r="E25" s="6">
        <v>7.4999999999999997E-2</v>
      </c>
      <c r="F25" s="6">
        <v>0.08</v>
      </c>
      <c r="G25" s="6">
        <v>8.5000000000000006E-2</v>
      </c>
      <c r="H25" s="6">
        <v>8.5000000000000006E-2</v>
      </c>
      <c r="I25" s="6">
        <v>8.5000000000000006E-2</v>
      </c>
      <c r="J25" s="6">
        <v>8.5000000000000006E-2</v>
      </c>
      <c r="K25" s="6">
        <v>8.5000000000000006E-2</v>
      </c>
      <c r="L25" s="6">
        <v>8.5000000000000006E-2</v>
      </c>
      <c r="M25" s="6">
        <v>8.5000000000000006E-2</v>
      </c>
      <c r="N25" s="6">
        <v>8.5000000000000006E-2</v>
      </c>
      <c r="O25" s="6">
        <v>8.5000000000000006E-2</v>
      </c>
      <c r="P25" s="6">
        <v>8.5000000000000006E-2</v>
      </c>
      <c r="Q25" s="6">
        <v>8.5000000000000006E-2</v>
      </c>
      <c r="R25" s="6">
        <v>8.5000000000000006E-2</v>
      </c>
      <c r="S25" s="6">
        <v>8.5000000000000006E-2</v>
      </c>
      <c r="T25" s="6">
        <v>8.5000000000000006E-2</v>
      </c>
      <c r="U25" s="6">
        <v>8.5000000000000006E-2</v>
      </c>
      <c r="V25" s="6">
        <v>8.5000000000000006E-2</v>
      </c>
      <c r="W25" s="6">
        <v>8.5000000000000006E-2</v>
      </c>
      <c r="X25" s="6">
        <v>8.5000000000000006E-2</v>
      </c>
      <c r="Y25" s="6">
        <v>8.5000000000000006E-2</v>
      </c>
      <c r="Z25" s="6">
        <v>8.5000000000000006E-2</v>
      </c>
      <c r="AA25" s="6">
        <v>8.5000000000000006E-2</v>
      </c>
      <c r="AB25" s="6">
        <v>8.5000000000000006E-2</v>
      </c>
      <c r="AC25" s="6">
        <v>8.5000000000000006E-2</v>
      </c>
      <c r="AD25" s="6">
        <v>8.5000000000000006E-2</v>
      </c>
      <c r="AE25" s="6">
        <v>8.5000000000000006E-2</v>
      </c>
      <c r="AF25" s="6">
        <v>8.5000000000000006E-2</v>
      </c>
      <c r="AG25" s="6">
        <v>8.5000000000000006E-2</v>
      </c>
      <c r="AH25" s="6">
        <v>8.5000000000000006E-2</v>
      </c>
      <c r="AI25" s="6">
        <v>8.5000000000000006E-2</v>
      </c>
      <c r="AJ25" s="6">
        <v>8.5000000000000006E-2</v>
      </c>
      <c r="AK25" s="6">
        <v>8.5000000000000006E-2</v>
      </c>
      <c r="AL25" s="6">
        <v>8.5000000000000006E-2</v>
      </c>
      <c r="AM25" s="6">
        <v>8.5000000000000006E-2</v>
      </c>
      <c r="AN25" s="6">
        <v>8.5000000000000006E-2</v>
      </c>
      <c r="AO25" s="6">
        <v>8.5000000000000006E-2</v>
      </c>
      <c r="AP25" s="6">
        <v>8.5000000000000006E-2</v>
      </c>
      <c r="AQ25" s="6">
        <v>8.5000000000000006E-2</v>
      </c>
      <c r="AR25" s="6">
        <v>8.5000000000000006E-2</v>
      </c>
      <c r="AS25" s="6">
        <v>8.5000000000000006E-2</v>
      </c>
      <c r="AT25" s="6">
        <v>8.5000000000000006E-2</v>
      </c>
      <c r="AU25" s="6">
        <v>8.5000000000000006E-2</v>
      </c>
      <c r="AV25" s="6">
        <v>8.5000000000000006E-2</v>
      </c>
      <c r="AW25" s="6">
        <v>8.5000000000000006E-2</v>
      </c>
      <c r="AX25" s="6">
        <v>8.5000000000000006E-2</v>
      </c>
      <c r="AY25" s="6">
        <v>8.5000000000000006E-2</v>
      </c>
      <c r="AZ25" s="6">
        <v>8.5000000000000006E-2</v>
      </c>
      <c r="BA25" s="6">
        <v>8.5000000000000006E-2</v>
      </c>
      <c r="BB25" s="6">
        <v>8.5000000000000006E-2</v>
      </c>
      <c r="BC25" s="6">
        <v>8.5000000000000006E-2</v>
      </c>
      <c r="BD25" s="6">
        <v>8.5000000000000006E-2</v>
      </c>
      <c r="BE25" s="6">
        <v>8.5000000000000006E-2</v>
      </c>
      <c r="BF25" s="6">
        <v>8.5000000000000006E-2</v>
      </c>
    </row>
    <row r="26" spans="2:59" x14ac:dyDescent="0.25">
      <c r="B26" t="s">
        <v>4</v>
      </c>
      <c r="C26" s="6">
        <v>0.12</v>
      </c>
      <c r="D26" s="6">
        <v>0.12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6">
        <v>0.12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0.12</v>
      </c>
      <c r="AG26" s="6">
        <v>0.12</v>
      </c>
      <c r="AH26" s="6">
        <v>0.12</v>
      </c>
      <c r="AI26" s="6">
        <v>0.12</v>
      </c>
      <c r="AJ26" s="6">
        <v>0.12</v>
      </c>
      <c r="AK26" s="6">
        <v>0.12</v>
      </c>
      <c r="AL26" s="6">
        <v>0.12</v>
      </c>
      <c r="AM26" s="6">
        <v>0.12</v>
      </c>
      <c r="AN26" s="6">
        <v>0.12</v>
      </c>
      <c r="AO26" s="6">
        <v>0.12</v>
      </c>
      <c r="AP26" s="6">
        <v>0.12</v>
      </c>
      <c r="AQ26" s="6">
        <v>0.12</v>
      </c>
      <c r="AR26" s="6">
        <v>0.12</v>
      </c>
      <c r="AS26" s="6">
        <v>0.12</v>
      </c>
      <c r="AT26" s="6">
        <v>0.12</v>
      </c>
      <c r="AU26" s="6">
        <v>0.12</v>
      </c>
      <c r="AV26" s="6">
        <v>0.12</v>
      </c>
      <c r="AW26" s="6">
        <v>0.12</v>
      </c>
      <c r="AX26" s="6">
        <v>0.12</v>
      </c>
      <c r="AY26" s="6">
        <v>0.12</v>
      </c>
      <c r="AZ26" s="6">
        <v>0.12</v>
      </c>
      <c r="BA26" s="6">
        <v>0.12</v>
      </c>
      <c r="BB26" s="6">
        <v>0.12</v>
      </c>
      <c r="BC26" s="6">
        <v>0.12</v>
      </c>
      <c r="BD26" s="6">
        <v>0.12</v>
      </c>
      <c r="BE26" s="6">
        <v>0.12</v>
      </c>
      <c r="BF26" s="6">
        <v>0.12</v>
      </c>
    </row>
    <row r="27" spans="2:59" x14ac:dyDescent="0.25">
      <c r="B27" t="s">
        <v>72</v>
      </c>
      <c r="C27" s="6">
        <v>0.2</v>
      </c>
      <c r="D27" s="6">
        <v>0.2</v>
      </c>
      <c r="E27" s="6">
        <v>0.2</v>
      </c>
      <c r="F27" s="6">
        <v>0.2</v>
      </c>
      <c r="G27" s="6">
        <v>0.2</v>
      </c>
      <c r="H27" s="6">
        <v>0.2</v>
      </c>
      <c r="I27" s="6">
        <v>0.2</v>
      </c>
      <c r="J27" s="6">
        <v>0.2</v>
      </c>
      <c r="K27" s="6">
        <v>0.2</v>
      </c>
      <c r="L27" s="6">
        <v>0.2</v>
      </c>
      <c r="M27" s="6">
        <v>0.2</v>
      </c>
      <c r="N27" s="6">
        <v>0.2</v>
      </c>
      <c r="O27" s="6">
        <v>0.2</v>
      </c>
      <c r="P27" s="6">
        <v>0.2</v>
      </c>
      <c r="Q27" s="6">
        <v>0.2</v>
      </c>
      <c r="R27" s="6">
        <v>0.2</v>
      </c>
      <c r="S27" s="6">
        <v>0.2</v>
      </c>
      <c r="T27" s="6">
        <v>0.2</v>
      </c>
      <c r="U27" s="6">
        <v>0.2</v>
      </c>
      <c r="V27" s="6">
        <v>0.2</v>
      </c>
      <c r="W27" s="6">
        <v>0.2</v>
      </c>
      <c r="X27" s="6">
        <v>0.2</v>
      </c>
      <c r="Y27" s="6">
        <v>0.2</v>
      </c>
      <c r="Z27" s="6">
        <v>0.2</v>
      </c>
      <c r="AA27" s="6">
        <v>0.2</v>
      </c>
      <c r="AB27" s="6">
        <v>0.2</v>
      </c>
      <c r="AC27" s="6">
        <v>0.2</v>
      </c>
      <c r="AD27" s="6">
        <v>0.2</v>
      </c>
      <c r="AE27" s="6">
        <v>0.2</v>
      </c>
      <c r="AF27" s="6">
        <v>0.2</v>
      </c>
      <c r="AG27" s="6">
        <v>0.2</v>
      </c>
      <c r="AH27" s="6">
        <v>0.2</v>
      </c>
      <c r="AI27" s="6">
        <v>0.2</v>
      </c>
      <c r="AJ27" s="6">
        <v>0.2</v>
      </c>
      <c r="AK27" s="6">
        <v>0.2</v>
      </c>
      <c r="AL27" s="6">
        <v>0.2</v>
      </c>
      <c r="AM27" s="6">
        <v>0.2</v>
      </c>
      <c r="AN27" s="6">
        <v>0.2</v>
      </c>
      <c r="AO27" s="6">
        <v>0.2</v>
      </c>
      <c r="AP27" s="6">
        <v>0.2</v>
      </c>
      <c r="AQ27" s="6">
        <v>0.2</v>
      </c>
      <c r="AR27" s="6">
        <v>0.2</v>
      </c>
      <c r="AS27" s="6">
        <v>0.2</v>
      </c>
      <c r="AT27" s="6">
        <v>0.2</v>
      </c>
      <c r="AU27" s="6">
        <v>0.2</v>
      </c>
      <c r="AV27" s="6">
        <v>0.2</v>
      </c>
      <c r="AW27" s="6">
        <v>0.2</v>
      </c>
      <c r="AX27" s="6">
        <v>0.2</v>
      </c>
      <c r="AY27" s="6">
        <v>0.2</v>
      </c>
      <c r="AZ27" s="6">
        <v>0.2</v>
      </c>
      <c r="BA27" s="6">
        <v>0.2</v>
      </c>
      <c r="BB27" s="6">
        <v>0.2</v>
      </c>
      <c r="BC27" s="6">
        <v>0.2</v>
      </c>
      <c r="BD27" s="6">
        <v>0.2</v>
      </c>
      <c r="BE27" s="6">
        <v>0.2</v>
      </c>
      <c r="BF27" s="6">
        <v>0.2</v>
      </c>
    </row>
    <row r="28" spans="2:59" x14ac:dyDescent="0.25">
      <c r="B28" t="s">
        <v>15</v>
      </c>
      <c r="C28" s="9">
        <f>+(C26-C24*C25)/(1-C24)</f>
        <v>0.12</v>
      </c>
      <c r="D28" s="9">
        <f t="shared" ref="D28:BF28" si="3">+(D26-D24*D25)/(1-D24)</f>
        <v>0.12235602094240838</v>
      </c>
      <c r="E28" s="9">
        <f t="shared" si="3"/>
        <v>0.12445054945054944</v>
      </c>
      <c r="F28" s="9">
        <f t="shared" si="3"/>
        <v>0.12678362573099414</v>
      </c>
      <c r="G28" s="9">
        <f t="shared" si="3"/>
        <v>0.12820987654320987</v>
      </c>
      <c r="H28" s="9">
        <f t="shared" si="3"/>
        <v>0.12874999999999998</v>
      </c>
      <c r="I28" s="9">
        <f t="shared" si="3"/>
        <v>0.12874999999999998</v>
      </c>
      <c r="J28" s="9">
        <f t="shared" si="3"/>
        <v>0.12874999999999998</v>
      </c>
      <c r="K28" s="9">
        <f t="shared" si="3"/>
        <v>0.12874999999999998</v>
      </c>
      <c r="L28" s="9">
        <f t="shared" si="3"/>
        <v>0.12874999999999998</v>
      </c>
      <c r="M28" s="9">
        <f t="shared" si="3"/>
        <v>0.12874999999999998</v>
      </c>
      <c r="N28" s="9">
        <f t="shared" si="3"/>
        <v>0.12874999999999998</v>
      </c>
      <c r="O28" s="9">
        <f t="shared" si="3"/>
        <v>0.12874999999999998</v>
      </c>
      <c r="P28" s="9">
        <f t="shared" si="3"/>
        <v>0.12874999999999998</v>
      </c>
      <c r="Q28" s="9">
        <f t="shared" si="3"/>
        <v>0.12874999999999998</v>
      </c>
      <c r="R28" s="9">
        <f t="shared" si="3"/>
        <v>0.12874999999999998</v>
      </c>
      <c r="S28" s="9">
        <f t="shared" si="3"/>
        <v>0.12874999999999998</v>
      </c>
      <c r="T28" s="9">
        <f t="shared" si="3"/>
        <v>0.12874999999999998</v>
      </c>
      <c r="U28" s="9">
        <f t="shared" si="3"/>
        <v>0.12874999999999998</v>
      </c>
      <c r="V28" s="9">
        <f t="shared" si="3"/>
        <v>0.12874999999999998</v>
      </c>
      <c r="W28" s="9">
        <f t="shared" si="3"/>
        <v>0.12874999999999998</v>
      </c>
      <c r="X28" s="9">
        <f t="shared" si="3"/>
        <v>0.12874999999999998</v>
      </c>
      <c r="Y28" s="9">
        <f t="shared" si="3"/>
        <v>0.12874999999999998</v>
      </c>
      <c r="Z28" s="9">
        <f t="shared" si="3"/>
        <v>0.12874999999999998</v>
      </c>
      <c r="AA28" s="9">
        <f t="shared" si="3"/>
        <v>0.12874999999999998</v>
      </c>
      <c r="AB28" s="9">
        <f t="shared" si="3"/>
        <v>0.12874999999999998</v>
      </c>
      <c r="AC28" s="9">
        <f t="shared" si="3"/>
        <v>0.12874999999999998</v>
      </c>
      <c r="AD28" s="9">
        <f t="shared" si="3"/>
        <v>0.12874999999999998</v>
      </c>
      <c r="AE28" s="9">
        <f t="shared" si="3"/>
        <v>0.12874999999999998</v>
      </c>
      <c r="AF28" s="9">
        <f t="shared" si="3"/>
        <v>0.12874999999999998</v>
      </c>
      <c r="AG28" s="9">
        <f t="shared" si="3"/>
        <v>0.12874999999999998</v>
      </c>
      <c r="AH28" s="9">
        <f t="shared" si="3"/>
        <v>0.12874999999999998</v>
      </c>
      <c r="AI28" s="9">
        <f t="shared" si="3"/>
        <v>0.12874999999999998</v>
      </c>
      <c r="AJ28" s="9">
        <f t="shared" si="3"/>
        <v>0.12874999999999998</v>
      </c>
      <c r="AK28" s="9">
        <f t="shared" si="3"/>
        <v>0.12874999999999998</v>
      </c>
      <c r="AL28" s="9">
        <f t="shared" si="3"/>
        <v>0.12874999999999998</v>
      </c>
      <c r="AM28" s="9">
        <f t="shared" si="3"/>
        <v>0.12874999999999998</v>
      </c>
      <c r="AN28" s="9">
        <f t="shared" si="3"/>
        <v>0.12874999999999998</v>
      </c>
      <c r="AO28" s="9">
        <f t="shared" si="3"/>
        <v>0.12874999999999998</v>
      </c>
      <c r="AP28" s="9">
        <f t="shared" si="3"/>
        <v>0.12874999999999998</v>
      </c>
      <c r="AQ28" s="9">
        <f t="shared" si="3"/>
        <v>0.12874999999999998</v>
      </c>
      <c r="AR28" s="9">
        <f t="shared" si="3"/>
        <v>0.12874999999999998</v>
      </c>
      <c r="AS28" s="9">
        <f t="shared" si="3"/>
        <v>0.12874999999999998</v>
      </c>
      <c r="AT28" s="9">
        <f t="shared" si="3"/>
        <v>0.12874999999999998</v>
      </c>
      <c r="AU28" s="9">
        <f t="shared" si="3"/>
        <v>0.12874999999999998</v>
      </c>
      <c r="AV28" s="9">
        <f t="shared" si="3"/>
        <v>0.12874999999999998</v>
      </c>
      <c r="AW28" s="9">
        <f t="shared" si="3"/>
        <v>0.12874999999999998</v>
      </c>
      <c r="AX28" s="9">
        <f t="shared" si="3"/>
        <v>0.12874999999999998</v>
      </c>
      <c r="AY28" s="9">
        <f t="shared" si="3"/>
        <v>0.12874999999999998</v>
      </c>
      <c r="AZ28" s="9">
        <f t="shared" si="3"/>
        <v>0.12874999999999998</v>
      </c>
      <c r="BA28" s="9">
        <f t="shared" si="3"/>
        <v>0.12874999999999998</v>
      </c>
      <c r="BB28" s="9">
        <f t="shared" si="3"/>
        <v>0.12874999999999998</v>
      </c>
      <c r="BC28" s="9">
        <f t="shared" si="3"/>
        <v>0.12874999999999998</v>
      </c>
      <c r="BD28" s="9">
        <f t="shared" si="3"/>
        <v>0.12874999999999998</v>
      </c>
      <c r="BE28" s="9">
        <f t="shared" si="3"/>
        <v>0.12874999999999998</v>
      </c>
      <c r="BF28" s="9">
        <f t="shared" si="3"/>
        <v>0.12874999999999998</v>
      </c>
    </row>
    <row r="29" spans="2:59" x14ac:dyDescent="0.25">
      <c r="B29" t="s">
        <v>14</v>
      </c>
      <c r="C29" s="9">
        <f>+C26-C24*C25*C31</f>
        <v>0.12</v>
      </c>
      <c r="D29" s="9">
        <f t="shared" ref="D29:BF29" si="4">+D26-D24*D25*D31</f>
        <v>0.11936999999999999</v>
      </c>
      <c r="E29" s="9">
        <f t="shared" si="4"/>
        <v>0.11864999999999999</v>
      </c>
      <c r="F29" s="9">
        <f t="shared" si="4"/>
        <v>0.11767999999999999</v>
      </c>
      <c r="G29" s="9">
        <f t="shared" si="4"/>
        <v>0.11677</v>
      </c>
      <c r="H29" s="9">
        <f t="shared" si="4"/>
        <v>0.1166</v>
      </c>
      <c r="I29" s="9">
        <f t="shared" si="4"/>
        <v>0.1166</v>
      </c>
      <c r="J29" s="9">
        <f t="shared" si="4"/>
        <v>0.1166</v>
      </c>
      <c r="K29" s="9">
        <f t="shared" si="4"/>
        <v>0.1166</v>
      </c>
      <c r="L29" s="9">
        <f t="shared" si="4"/>
        <v>0.1166</v>
      </c>
      <c r="M29" s="9">
        <f t="shared" si="4"/>
        <v>0.1166</v>
      </c>
      <c r="N29" s="9">
        <f t="shared" si="4"/>
        <v>0.1166</v>
      </c>
      <c r="O29" s="9">
        <f t="shared" si="4"/>
        <v>0.1166</v>
      </c>
      <c r="P29" s="9">
        <f t="shared" si="4"/>
        <v>0.1166</v>
      </c>
      <c r="Q29" s="9">
        <f t="shared" si="4"/>
        <v>0.1166</v>
      </c>
      <c r="R29" s="9">
        <f t="shared" si="4"/>
        <v>0.1166</v>
      </c>
      <c r="S29" s="9">
        <f t="shared" si="4"/>
        <v>0.1166</v>
      </c>
      <c r="T29" s="9">
        <f t="shared" si="4"/>
        <v>0.1166</v>
      </c>
      <c r="U29" s="9">
        <f t="shared" si="4"/>
        <v>0.1166</v>
      </c>
      <c r="V29" s="9">
        <f t="shared" si="4"/>
        <v>0.1166</v>
      </c>
      <c r="W29" s="9">
        <f t="shared" si="4"/>
        <v>0.1166</v>
      </c>
      <c r="X29" s="9">
        <f t="shared" si="4"/>
        <v>0.1166</v>
      </c>
      <c r="Y29" s="9">
        <f t="shared" si="4"/>
        <v>0.1166</v>
      </c>
      <c r="Z29" s="9">
        <f t="shared" si="4"/>
        <v>0.1166</v>
      </c>
      <c r="AA29" s="9">
        <f t="shared" si="4"/>
        <v>0.1166</v>
      </c>
      <c r="AB29" s="9">
        <f t="shared" si="4"/>
        <v>0.1166</v>
      </c>
      <c r="AC29" s="9">
        <f t="shared" si="4"/>
        <v>0.1166</v>
      </c>
      <c r="AD29" s="9">
        <f t="shared" si="4"/>
        <v>0.1166</v>
      </c>
      <c r="AE29" s="9">
        <f t="shared" si="4"/>
        <v>0.1166</v>
      </c>
      <c r="AF29" s="9">
        <f t="shared" si="4"/>
        <v>0.1166</v>
      </c>
      <c r="AG29" s="9">
        <f t="shared" si="4"/>
        <v>0.1166</v>
      </c>
      <c r="AH29" s="9">
        <f t="shared" si="4"/>
        <v>0.1166</v>
      </c>
      <c r="AI29" s="9">
        <f t="shared" si="4"/>
        <v>0.1166</v>
      </c>
      <c r="AJ29" s="9">
        <f t="shared" si="4"/>
        <v>0.1166</v>
      </c>
      <c r="AK29" s="9">
        <f t="shared" si="4"/>
        <v>0.1166</v>
      </c>
      <c r="AL29" s="9">
        <f t="shared" si="4"/>
        <v>0.1166</v>
      </c>
      <c r="AM29" s="9">
        <f t="shared" si="4"/>
        <v>0.1166</v>
      </c>
      <c r="AN29" s="9">
        <f t="shared" si="4"/>
        <v>0.1166</v>
      </c>
      <c r="AO29" s="9">
        <f t="shared" si="4"/>
        <v>0.1166</v>
      </c>
      <c r="AP29" s="9">
        <f t="shared" si="4"/>
        <v>0.1166</v>
      </c>
      <c r="AQ29" s="9">
        <f t="shared" si="4"/>
        <v>0.1166</v>
      </c>
      <c r="AR29" s="9">
        <f t="shared" si="4"/>
        <v>0.1166</v>
      </c>
      <c r="AS29" s="9">
        <f t="shared" si="4"/>
        <v>0.1166</v>
      </c>
      <c r="AT29" s="9">
        <f t="shared" si="4"/>
        <v>0.1166</v>
      </c>
      <c r="AU29" s="9">
        <f t="shared" si="4"/>
        <v>0.1166</v>
      </c>
      <c r="AV29" s="9">
        <f t="shared" si="4"/>
        <v>0.1166</v>
      </c>
      <c r="AW29" s="9">
        <f t="shared" si="4"/>
        <v>0.1166</v>
      </c>
      <c r="AX29" s="9">
        <f t="shared" si="4"/>
        <v>0.1166</v>
      </c>
      <c r="AY29" s="9">
        <f t="shared" si="4"/>
        <v>0.1166</v>
      </c>
      <c r="AZ29" s="9">
        <f t="shared" si="4"/>
        <v>0.1166</v>
      </c>
      <c r="BA29" s="9">
        <f t="shared" si="4"/>
        <v>0.1166</v>
      </c>
      <c r="BB29" s="9">
        <f t="shared" si="4"/>
        <v>0.1166</v>
      </c>
      <c r="BC29" s="9">
        <f t="shared" si="4"/>
        <v>0.1166</v>
      </c>
      <c r="BD29" s="9">
        <f t="shared" si="4"/>
        <v>0.1166</v>
      </c>
      <c r="BE29" s="9">
        <f t="shared" si="4"/>
        <v>0.1166</v>
      </c>
      <c r="BF29" s="9">
        <f t="shared" si="4"/>
        <v>0.1166</v>
      </c>
    </row>
    <row r="30" spans="2:59" x14ac:dyDescent="0.25">
      <c r="B30" t="s">
        <v>12</v>
      </c>
      <c r="C30" s="9">
        <f>+D23/D22</f>
        <v>0.80000000000000016</v>
      </c>
      <c r="D30" s="9">
        <f t="shared" ref="D30:J30" si="5">+E23/E22</f>
        <v>0.61764705882352933</v>
      </c>
      <c r="E30" s="9">
        <f t="shared" si="5"/>
        <v>0.48484848484848486</v>
      </c>
      <c r="F30" s="9">
        <f t="shared" si="5"/>
        <v>0.375</v>
      </c>
      <c r="G30" s="9">
        <f t="shared" si="5"/>
        <v>0.3666666666666667</v>
      </c>
      <c r="H30" s="9">
        <f t="shared" si="5"/>
        <v>0.47169811320754718</v>
      </c>
      <c r="I30" s="9">
        <f t="shared" si="5"/>
        <v>0.42881646655231564</v>
      </c>
      <c r="J30" s="9">
        <f t="shared" si="5"/>
        <v>0.42881646655231564</v>
      </c>
      <c r="K30" s="9">
        <f>+L23/L22</f>
        <v>0.42881646655231564</v>
      </c>
      <c r="L30" s="9">
        <f t="shared" ref="L30:BF30" si="6">+M23/M22</f>
        <v>0.42881646655231564</v>
      </c>
      <c r="M30" s="9">
        <f t="shared" si="6"/>
        <v>0.42881646655231564</v>
      </c>
      <c r="N30" s="9">
        <f t="shared" si="6"/>
        <v>0.42881646655231564</v>
      </c>
      <c r="O30" s="9">
        <f t="shared" si="6"/>
        <v>0.42881646655231564</v>
      </c>
      <c r="P30" s="9">
        <f t="shared" si="6"/>
        <v>0.42881646655231564</v>
      </c>
      <c r="Q30" s="9">
        <f t="shared" si="6"/>
        <v>0.42881646655231564</v>
      </c>
      <c r="R30" s="9">
        <f t="shared" si="6"/>
        <v>0.42881646655231564</v>
      </c>
      <c r="S30" s="9">
        <f t="shared" si="6"/>
        <v>0.42881646655231564</v>
      </c>
      <c r="T30" s="9">
        <f t="shared" si="6"/>
        <v>0.42881646655231564</v>
      </c>
      <c r="U30" s="9">
        <f t="shared" si="6"/>
        <v>0.42881646655231564</v>
      </c>
      <c r="V30" s="9">
        <f t="shared" si="6"/>
        <v>0.42881646655231564</v>
      </c>
      <c r="W30" s="9">
        <f t="shared" si="6"/>
        <v>0.42881646655231564</v>
      </c>
      <c r="X30" s="9">
        <f t="shared" si="6"/>
        <v>0.42881646655231564</v>
      </c>
      <c r="Y30" s="9">
        <f t="shared" si="6"/>
        <v>0.42881646655231564</v>
      </c>
      <c r="Z30" s="9">
        <f t="shared" si="6"/>
        <v>0.42881646655231564</v>
      </c>
      <c r="AA30" s="9">
        <f t="shared" si="6"/>
        <v>0.42881646655231564</v>
      </c>
      <c r="AB30" s="9">
        <f t="shared" si="6"/>
        <v>0.42881646655231564</v>
      </c>
      <c r="AC30" s="9">
        <f t="shared" si="6"/>
        <v>0.42881646655231564</v>
      </c>
      <c r="AD30" s="9">
        <f t="shared" si="6"/>
        <v>0.42881646655231564</v>
      </c>
      <c r="AE30" s="9">
        <f t="shared" si="6"/>
        <v>0.42881646655231564</v>
      </c>
      <c r="AF30" s="9">
        <f t="shared" si="6"/>
        <v>0.42881646655231564</v>
      </c>
      <c r="AG30" s="9">
        <f t="shared" si="6"/>
        <v>0.42881646655231564</v>
      </c>
      <c r="AH30" s="9">
        <f t="shared" si="6"/>
        <v>0.42881646655231564</v>
      </c>
      <c r="AI30" s="9">
        <f t="shared" si="6"/>
        <v>0.42881646655231564</v>
      </c>
      <c r="AJ30" s="9">
        <f t="shared" si="6"/>
        <v>0.42881646655231564</v>
      </c>
      <c r="AK30" s="9">
        <f t="shared" si="6"/>
        <v>0.42881646655231564</v>
      </c>
      <c r="AL30" s="9">
        <f t="shared" si="6"/>
        <v>0.42881646655231564</v>
      </c>
      <c r="AM30" s="9">
        <f t="shared" si="6"/>
        <v>0.42881646655231564</v>
      </c>
      <c r="AN30" s="9">
        <f t="shared" si="6"/>
        <v>0.42881646655231564</v>
      </c>
      <c r="AO30" s="9">
        <f t="shared" si="6"/>
        <v>0.42881646655231564</v>
      </c>
      <c r="AP30" s="9">
        <f t="shared" si="6"/>
        <v>0.42881646655231564</v>
      </c>
      <c r="AQ30" s="9">
        <f t="shared" si="6"/>
        <v>0.42881646655231564</v>
      </c>
      <c r="AR30" s="9">
        <f t="shared" si="6"/>
        <v>0.42881646655231564</v>
      </c>
      <c r="AS30" s="9">
        <f t="shared" si="6"/>
        <v>0.42881646655231564</v>
      </c>
      <c r="AT30" s="9">
        <f t="shared" si="6"/>
        <v>0.42881646655231564</v>
      </c>
      <c r="AU30" s="9">
        <f t="shared" si="6"/>
        <v>0.42881646655231564</v>
      </c>
      <c r="AV30" s="9">
        <f t="shared" si="6"/>
        <v>0.42881646655231564</v>
      </c>
      <c r="AW30" s="9">
        <f t="shared" si="6"/>
        <v>0.42881646655231564</v>
      </c>
      <c r="AX30" s="9">
        <f t="shared" si="6"/>
        <v>0.42881646655231564</v>
      </c>
      <c r="AY30" s="9">
        <f t="shared" si="6"/>
        <v>0.42881646655231564</v>
      </c>
      <c r="AZ30" s="9">
        <f t="shared" si="6"/>
        <v>0.42881646655231564</v>
      </c>
      <c r="BA30" s="9">
        <f t="shared" si="6"/>
        <v>0.42881646655231564</v>
      </c>
      <c r="BB30" s="9">
        <f t="shared" si="6"/>
        <v>0.42881646655231564</v>
      </c>
      <c r="BC30" s="9">
        <f t="shared" si="6"/>
        <v>0.42881646655231564</v>
      </c>
      <c r="BD30" s="9">
        <f t="shared" si="6"/>
        <v>0.42881646655231564</v>
      </c>
      <c r="BE30" s="9">
        <f t="shared" si="6"/>
        <v>0.42881646655231564</v>
      </c>
      <c r="BF30" s="9">
        <f t="shared" si="6"/>
        <v>0.42881646655231564</v>
      </c>
    </row>
    <row r="31" spans="2:59" x14ac:dyDescent="0.25">
      <c r="B31" t="s">
        <v>75</v>
      </c>
      <c r="C31" s="16">
        <f>+C27</f>
        <v>0.2</v>
      </c>
      <c r="D31" s="16">
        <f t="shared" ref="D31:BF31" si="7">+D27</f>
        <v>0.2</v>
      </c>
      <c r="E31" s="16">
        <f t="shared" si="7"/>
        <v>0.2</v>
      </c>
      <c r="F31" s="16">
        <f t="shared" si="7"/>
        <v>0.2</v>
      </c>
      <c r="G31" s="16">
        <f t="shared" si="7"/>
        <v>0.2</v>
      </c>
      <c r="H31" s="16">
        <f t="shared" si="7"/>
        <v>0.2</v>
      </c>
      <c r="I31" s="16">
        <f t="shared" si="7"/>
        <v>0.2</v>
      </c>
      <c r="J31" s="16">
        <f t="shared" si="7"/>
        <v>0.2</v>
      </c>
      <c r="K31" s="16">
        <f t="shared" si="7"/>
        <v>0.2</v>
      </c>
      <c r="L31" s="16">
        <f t="shared" si="7"/>
        <v>0.2</v>
      </c>
      <c r="M31" s="16">
        <f t="shared" si="7"/>
        <v>0.2</v>
      </c>
      <c r="N31" s="16">
        <f t="shared" si="7"/>
        <v>0.2</v>
      </c>
      <c r="O31" s="16">
        <f t="shared" si="7"/>
        <v>0.2</v>
      </c>
      <c r="P31" s="16">
        <f t="shared" si="7"/>
        <v>0.2</v>
      </c>
      <c r="Q31" s="16">
        <f t="shared" si="7"/>
        <v>0.2</v>
      </c>
      <c r="R31" s="16">
        <f t="shared" si="7"/>
        <v>0.2</v>
      </c>
      <c r="S31" s="16">
        <f t="shared" si="7"/>
        <v>0.2</v>
      </c>
      <c r="T31" s="16">
        <f t="shared" si="7"/>
        <v>0.2</v>
      </c>
      <c r="U31" s="16">
        <f t="shared" si="7"/>
        <v>0.2</v>
      </c>
      <c r="V31" s="16">
        <f t="shared" si="7"/>
        <v>0.2</v>
      </c>
      <c r="W31" s="16">
        <f t="shared" si="7"/>
        <v>0.2</v>
      </c>
      <c r="X31" s="16">
        <f t="shared" si="7"/>
        <v>0.2</v>
      </c>
      <c r="Y31" s="16">
        <f t="shared" si="7"/>
        <v>0.2</v>
      </c>
      <c r="Z31" s="16">
        <f t="shared" si="7"/>
        <v>0.2</v>
      </c>
      <c r="AA31" s="16">
        <f t="shared" si="7"/>
        <v>0.2</v>
      </c>
      <c r="AB31" s="16">
        <f t="shared" si="7"/>
        <v>0.2</v>
      </c>
      <c r="AC31" s="16">
        <f t="shared" si="7"/>
        <v>0.2</v>
      </c>
      <c r="AD31" s="16">
        <f t="shared" si="7"/>
        <v>0.2</v>
      </c>
      <c r="AE31" s="16">
        <f t="shared" si="7"/>
        <v>0.2</v>
      </c>
      <c r="AF31" s="16">
        <f t="shared" si="7"/>
        <v>0.2</v>
      </c>
      <c r="AG31" s="16">
        <f t="shared" si="7"/>
        <v>0.2</v>
      </c>
      <c r="AH31" s="16">
        <f t="shared" si="7"/>
        <v>0.2</v>
      </c>
      <c r="AI31" s="16">
        <f t="shared" si="7"/>
        <v>0.2</v>
      </c>
      <c r="AJ31" s="16">
        <f t="shared" si="7"/>
        <v>0.2</v>
      </c>
      <c r="AK31" s="16">
        <f t="shared" si="7"/>
        <v>0.2</v>
      </c>
      <c r="AL31" s="16">
        <f t="shared" si="7"/>
        <v>0.2</v>
      </c>
      <c r="AM31" s="16">
        <f t="shared" si="7"/>
        <v>0.2</v>
      </c>
      <c r="AN31" s="16">
        <f t="shared" si="7"/>
        <v>0.2</v>
      </c>
      <c r="AO31" s="16">
        <f t="shared" si="7"/>
        <v>0.2</v>
      </c>
      <c r="AP31" s="16">
        <f t="shared" si="7"/>
        <v>0.2</v>
      </c>
      <c r="AQ31" s="16">
        <f t="shared" si="7"/>
        <v>0.2</v>
      </c>
      <c r="AR31" s="16">
        <f t="shared" si="7"/>
        <v>0.2</v>
      </c>
      <c r="AS31" s="16">
        <f t="shared" si="7"/>
        <v>0.2</v>
      </c>
      <c r="AT31" s="16">
        <f t="shared" si="7"/>
        <v>0.2</v>
      </c>
      <c r="AU31" s="16">
        <f t="shared" si="7"/>
        <v>0.2</v>
      </c>
      <c r="AV31" s="16">
        <f t="shared" si="7"/>
        <v>0.2</v>
      </c>
      <c r="AW31" s="16">
        <f t="shared" si="7"/>
        <v>0.2</v>
      </c>
      <c r="AX31" s="16">
        <f t="shared" si="7"/>
        <v>0.2</v>
      </c>
      <c r="AY31" s="16">
        <f t="shared" si="7"/>
        <v>0.2</v>
      </c>
      <c r="AZ31" s="16">
        <f t="shared" si="7"/>
        <v>0.2</v>
      </c>
      <c r="BA31" s="16">
        <f t="shared" si="7"/>
        <v>0.2</v>
      </c>
      <c r="BB31" s="16">
        <f t="shared" si="7"/>
        <v>0.2</v>
      </c>
      <c r="BC31" s="16">
        <f t="shared" si="7"/>
        <v>0.2</v>
      </c>
      <c r="BD31" s="16">
        <f t="shared" si="7"/>
        <v>0.2</v>
      </c>
      <c r="BE31" s="16">
        <f t="shared" si="7"/>
        <v>0.2</v>
      </c>
      <c r="BF31" s="16">
        <f t="shared" si="7"/>
        <v>0.2</v>
      </c>
    </row>
    <row r="32" spans="2:59" x14ac:dyDescent="0.25">
      <c r="B32" t="s">
        <v>79</v>
      </c>
      <c r="C32" s="17">
        <f>+C50/C49</f>
        <v>0.2</v>
      </c>
      <c r="D32" s="17">
        <f t="shared" ref="D32:BF32" si="8">+D50/D49</f>
        <v>0.20000000000000004</v>
      </c>
      <c r="E32" s="17">
        <f t="shared" si="8"/>
        <v>0.2</v>
      </c>
      <c r="F32" s="17">
        <f t="shared" si="8"/>
        <v>0.2</v>
      </c>
      <c r="G32" s="17">
        <f t="shared" si="8"/>
        <v>0.2</v>
      </c>
      <c r="H32" s="17">
        <f t="shared" si="8"/>
        <v>0.2</v>
      </c>
      <c r="I32" s="17">
        <f t="shared" si="8"/>
        <v>0.20000000000000004</v>
      </c>
      <c r="J32" s="17">
        <f t="shared" si="8"/>
        <v>0.2</v>
      </c>
      <c r="K32" s="17">
        <f t="shared" si="8"/>
        <v>0.20000000000000004</v>
      </c>
      <c r="L32" s="17">
        <f t="shared" si="8"/>
        <v>0.2</v>
      </c>
      <c r="M32" s="17">
        <f t="shared" si="8"/>
        <v>0.2</v>
      </c>
      <c r="N32" s="17">
        <f t="shared" si="8"/>
        <v>0.2</v>
      </c>
      <c r="O32" s="17">
        <f t="shared" si="8"/>
        <v>0.2</v>
      </c>
      <c r="P32" s="17">
        <f t="shared" si="8"/>
        <v>0.2</v>
      </c>
      <c r="Q32" s="17">
        <f t="shared" si="8"/>
        <v>0.2</v>
      </c>
      <c r="R32" s="17">
        <f t="shared" si="8"/>
        <v>0.2</v>
      </c>
      <c r="S32" s="17">
        <f t="shared" si="8"/>
        <v>0.2</v>
      </c>
      <c r="T32" s="17">
        <f t="shared" si="8"/>
        <v>0.20000000000000004</v>
      </c>
      <c r="U32" s="17">
        <f t="shared" si="8"/>
        <v>0.2</v>
      </c>
      <c r="V32" s="17">
        <f t="shared" si="8"/>
        <v>0.2</v>
      </c>
      <c r="W32" s="17">
        <f t="shared" si="8"/>
        <v>0.2</v>
      </c>
      <c r="X32" s="17">
        <f t="shared" si="8"/>
        <v>0.2</v>
      </c>
      <c r="Y32" s="17">
        <f t="shared" si="8"/>
        <v>0.2</v>
      </c>
      <c r="Z32" s="17">
        <f t="shared" si="8"/>
        <v>0.2</v>
      </c>
      <c r="AA32" s="17">
        <f t="shared" si="8"/>
        <v>0.2</v>
      </c>
      <c r="AB32" s="17">
        <f t="shared" si="8"/>
        <v>0.2</v>
      </c>
      <c r="AC32" s="17">
        <f t="shared" si="8"/>
        <v>0.2</v>
      </c>
      <c r="AD32" s="17">
        <f t="shared" si="8"/>
        <v>0.2</v>
      </c>
      <c r="AE32" s="17">
        <f t="shared" si="8"/>
        <v>0.2</v>
      </c>
      <c r="AF32" s="17">
        <f t="shared" si="8"/>
        <v>0.2</v>
      </c>
      <c r="AG32" s="17">
        <f t="shared" si="8"/>
        <v>0.2</v>
      </c>
      <c r="AH32" s="17">
        <f t="shared" si="8"/>
        <v>0.20000000000000004</v>
      </c>
      <c r="AI32" s="17">
        <f t="shared" si="8"/>
        <v>0.2</v>
      </c>
      <c r="AJ32" s="17">
        <f t="shared" si="8"/>
        <v>0.2</v>
      </c>
      <c r="AK32" s="17">
        <f t="shared" si="8"/>
        <v>0.2</v>
      </c>
      <c r="AL32" s="17">
        <f t="shared" si="8"/>
        <v>0.2</v>
      </c>
      <c r="AM32" s="17">
        <f t="shared" si="8"/>
        <v>0.2</v>
      </c>
      <c r="AN32" s="17">
        <f t="shared" si="8"/>
        <v>0.2</v>
      </c>
      <c r="AO32" s="17">
        <f t="shared" si="8"/>
        <v>0.2</v>
      </c>
      <c r="AP32" s="17">
        <f t="shared" si="8"/>
        <v>0.2</v>
      </c>
      <c r="AQ32" s="17">
        <f t="shared" si="8"/>
        <v>0.2</v>
      </c>
      <c r="AR32" s="17">
        <f t="shared" si="8"/>
        <v>0.2</v>
      </c>
      <c r="AS32" s="17">
        <f t="shared" si="8"/>
        <v>0.2</v>
      </c>
      <c r="AT32" s="17">
        <f t="shared" si="8"/>
        <v>0.2</v>
      </c>
      <c r="AU32" s="17">
        <f t="shared" si="8"/>
        <v>0.2</v>
      </c>
      <c r="AV32" s="17">
        <f t="shared" si="8"/>
        <v>0.20000000000000004</v>
      </c>
      <c r="AW32" s="17">
        <f t="shared" si="8"/>
        <v>0.2</v>
      </c>
      <c r="AX32" s="17">
        <f t="shared" si="8"/>
        <v>0.2</v>
      </c>
      <c r="AY32" s="17">
        <f t="shared" si="8"/>
        <v>0.2</v>
      </c>
      <c r="AZ32" s="17">
        <f t="shared" si="8"/>
        <v>0.2</v>
      </c>
      <c r="BA32" s="17">
        <f t="shared" si="8"/>
        <v>0.2</v>
      </c>
      <c r="BB32" s="17">
        <f t="shared" si="8"/>
        <v>0.2</v>
      </c>
      <c r="BC32" s="17">
        <f t="shared" si="8"/>
        <v>0.2</v>
      </c>
      <c r="BD32" s="17">
        <f t="shared" si="8"/>
        <v>0.2</v>
      </c>
      <c r="BE32" s="17">
        <f t="shared" si="8"/>
        <v>0.2</v>
      </c>
      <c r="BF32" s="17">
        <f t="shared" si="8"/>
        <v>0.2</v>
      </c>
    </row>
    <row r="33" spans="2:58" x14ac:dyDescent="0.25">
      <c r="C33" s="3"/>
      <c r="D33" s="3"/>
      <c r="E33" s="3"/>
      <c r="F33" s="3"/>
      <c r="G33" s="3"/>
      <c r="H33" s="3"/>
      <c r="I33" s="3"/>
      <c r="J33" s="3"/>
    </row>
    <row r="34" spans="2:58" x14ac:dyDescent="0.25">
      <c r="C34" s="3"/>
      <c r="D34" s="11">
        <f>+C35*(1+D23)</f>
        <v>2736.0000000000005</v>
      </c>
      <c r="E34" s="11">
        <f t="shared" ref="E34:BF34" si="9">+D35*(1+E23)</f>
        <v>3023.2799999999997</v>
      </c>
      <c r="F34" s="11">
        <f t="shared" si="9"/>
        <v>3265.1423999999997</v>
      </c>
      <c r="G34" s="11">
        <f t="shared" si="9"/>
        <v>3461.0509440000001</v>
      </c>
      <c r="H34" s="11">
        <f t="shared" si="9"/>
        <v>3651.4087459199995</v>
      </c>
      <c r="I34" s="11">
        <f t="shared" si="9"/>
        <v>3852.2362269455994</v>
      </c>
      <c r="J34" s="11">
        <f t="shared" si="9"/>
        <v>2974.0154592865715</v>
      </c>
      <c r="K34" s="11">
        <f t="shared" si="9"/>
        <v>3122.7162322509002</v>
      </c>
      <c r="L34" s="11">
        <f t="shared" si="9"/>
        <v>3278.8520438634455</v>
      </c>
      <c r="M34" s="11">
        <f t="shared" si="9"/>
        <v>3442.7946460566172</v>
      </c>
      <c r="N34" s="11">
        <f t="shared" si="9"/>
        <v>3614.9343783594481</v>
      </c>
      <c r="O34" s="11">
        <f t="shared" si="9"/>
        <v>3795.6810972774206</v>
      </c>
      <c r="P34" s="11">
        <f t="shared" si="9"/>
        <v>3985.4651521412916</v>
      </c>
      <c r="Q34" s="11">
        <f t="shared" si="9"/>
        <v>4184.7384097483564</v>
      </c>
      <c r="R34" s="11">
        <f t="shared" si="9"/>
        <v>4393.975330235774</v>
      </c>
      <c r="S34" s="11">
        <f t="shared" si="9"/>
        <v>4613.6740967475625</v>
      </c>
      <c r="T34" s="11">
        <f t="shared" si="9"/>
        <v>4844.3578015849407</v>
      </c>
      <c r="U34" s="11">
        <f t="shared" si="9"/>
        <v>5086.5756916641876</v>
      </c>
      <c r="V34" s="11">
        <f t="shared" si="9"/>
        <v>5340.9044762473968</v>
      </c>
      <c r="W34" s="11">
        <f t="shared" si="9"/>
        <v>5607.9497000597667</v>
      </c>
      <c r="X34" s="11">
        <f t="shared" si="9"/>
        <v>5888.3471850627557</v>
      </c>
      <c r="Y34" s="11">
        <f t="shared" si="9"/>
        <v>6182.7645443158926</v>
      </c>
      <c r="Z34" s="11">
        <f t="shared" si="9"/>
        <v>6491.9027715316879</v>
      </c>
      <c r="AA34" s="11">
        <f t="shared" si="9"/>
        <v>6816.4979101082718</v>
      </c>
      <c r="AB34" s="11">
        <f t="shared" si="9"/>
        <v>7157.3228056136859</v>
      </c>
      <c r="AC34" s="11">
        <f t="shared" si="9"/>
        <v>7515.1889458943697</v>
      </c>
      <c r="AD34" s="11">
        <f t="shared" si="9"/>
        <v>7890.9483931890882</v>
      </c>
      <c r="AE34" s="11">
        <f t="shared" si="9"/>
        <v>8285.4958128485432</v>
      </c>
      <c r="AF34" s="11">
        <f t="shared" si="9"/>
        <v>8699.7706034909716</v>
      </c>
      <c r="AG34" s="11">
        <f t="shared" si="9"/>
        <v>9134.7591336655187</v>
      </c>
      <c r="AH34" s="11">
        <f t="shared" si="9"/>
        <v>9591.4970903487956</v>
      </c>
      <c r="AI34" s="11">
        <f t="shared" si="9"/>
        <v>10071.071944866233</v>
      </c>
      <c r="AJ34" s="11">
        <f t="shared" si="9"/>
        <v>10574.625542109545</v>
      </c>
      <c r="AK34" s="11">
        <f t="shared" si="9"/>
        <v>11103.356819215023</v>
      </c>
      <c r="AL34" s="11">
        <f t="shared" si="9"/>
        <v>11658.524660175774</v>
      </c>
      <c r="AM34" s="11">
        <f t="shared" si="9"/>
        <v>12241.450893184561</v>
      </c>
      <c r="AN34" s="11">
        <f t="shared" si="9"/>
        <v>12853.523437843789</v>
      </c>
      <c r="AO34" s="11">
        <f t="shared" si="9"/>
        <v>13496.199609735979</v>
      </c>
      <c r="AP34" s="11">
        <f t="shared" si="9"/>
        <v>14171.009590222779</v>
      </c>
      <c r="AQ34" s="11">
        <f t="shared" si="9"/>
        <v>14879.560069733918</v>
      </c>
      <c r="AR34" s="11">
        <f t="shared" si="9"/>
        <v>15623.538073220614</v>
      </c>
      <c r="AS34" s="11">
        <f t="shared" si="9"/>
        <v>16404.714976881645</v>
      </c>
      <c r="AT34" s="11">
        <f t="shared" si="9"/>
        <v>17224.950725725728</v>
      </c>
      <c r="AU34" s="11">
        <f t="shared" si="9"/>
        <v>18086.198262012014</v>
      </c>
      <c r="AV34" s="11">
        <f t="shared" si="9"/>
        <v>18990.508175112616</v>
      </c>
      <c r="AW34" s="11">
        <f t="shared" si="9"/>
        <v>19940.033583868248</v>
      </c>
      <c r="AX34" s="11">
        <f t="shared" si="9"/>
        <v>20937.035263061662</v>
      </c>
      <c r="AY34" s="11">
        <f t="shared" si="9"/>
        <v>21983.887026214747</v>
      </c>
      <c r="AZ34" s="11">
        <f t="shared" si="9"/>
        <v>23083.081377525486</v>
      </c>
      <c r="BA34" s="11">
        <f t="shared" si="9"/>
        <v>24237.235446401759</v>
      </c>
      <c r="BB34" s="11">
        <f t="shared" si="9"/>
        <v>25449.097218721843</v>
      </c>
      <c r="BC34" s="11">
        <f t="shared" si="9"/>
        <v>26721.552079657937</v>
      </c>
      <c r="BD34" s="11">
        <f t="shared" si="9"/>
        <v>28057.629683640836</v>
      </c>
      <c r="BE34" s="11">
        <f t="shared" si="9"/>
        <v>29460.511167822875</v>
      </c>
      <c r="BF34" s="11">
        <f t="shared" si="9"/>
        <v>30933.536726214021</v>
      </c>
    </row>
    <row r="35" spans="2:58" x14ac:dyDescent="0.25">
      <c r="B35" t="s">
        <v>9</v>
      </c>
      <c r="C35" s="4">
        <f>+C20*C21</f>
        <v>2400</v>
      </c>
      <c r="D35" s="4">
        <f>+D22*C36+C35</f>
        <v>2736</v>
      </c>
      <c r="E35" s="4">
        <f t="shared" ref="E35:BF35" si="10">+E22*D36+D35</f>
        <v>3023.2799999999997</v>
      </c>
      <c r="F35" s="4">
        <f t="shared" si="10"/>
        <v>3265.1423999999997</v>
      </c>
      <c r="G35" s="4">
        <f t="shared" si="10"/>
        <v>3461.0509439999996</v>
      </c>
      <c r="H35" s="4">
        <f t="shared" si="10"/>
        <v>3651.4087459199995</v>
      </c>
      <c r="I35" s="23">
        <f>+I20*I21</f>
        <v>2832.3956755110203</v>
      </c>
      <c r="J35" s="4">
        <f t="shared" si="10"/>
        <v>2974.0154592865715</v>
      </c>
      <c r="K35" s="4">
        <f t="shared" si="10"/>
        <v>3122.7162322509002</v>
      </c>
      <c r="L35" s="4">
        <f t="shared" si="10"/>
        <v>3278.852043863445</v>
      </c>
      <c r="M35" s="4">
        <f t="shared" si="10"/>
        <v>3442.7946460566172</v>
      </c>
      <c r="N35" s="4">
        <f t="shared" si="10"/>
        <v>3614.9343783594481</v>
      </c>
      <c r="O35" s="4">
        <f t="shared" si="10"/>
        <v>3795.6810972774206</v>
      </c>
      <c r="P35" s="4">
        <f t="shared" si="10"/>
        <v>3985.4651521412916</v>
      </c>
      <c r="Q35" s="4">
        <f t="shared" si="10"/>
        <v>4184.7384097483564</v>
      </c>
      <c r="R35" s="4">
        <f t="shared" si="10"/>
        <v>4393.975330235774</v>
      </c>
      <c r="S35" s="4">
        <f t="shared" si="10"/>
        <v>4613.6740967475625</v>
      </c>
      <c r="T35" s="4">
        <f t="shared" si="10"/>
        <v>4844.3578015849407</v>
      </c>
      <c r="U35" s="4">
        <f t="shared" si="10"/>
        <v>5086.5756916641876</v>
      </c>
      <c r="V35" s="4">
        <f t="shared" si="10"/>
        <v>5340.9044762473968</v>
      </c>
      <c r="W35" s="4">
        <f t="shared" si="10"/>
        <v>5607.9497000597667</v>
      </c>
      <c r="X35" s="4">
        <f t="shared" si="10"/>
        <v>5888.3471850627548</v>
      </c>
      <c r="Y35" s="4">
        <f t="shared" si="10"/>
        <v>6182.7645443158926</v>
      </c>
      <c r="Z35" s="4">
        <f t="shared" si="10"/>
        <v>6491.902771531687</v>
      </c>
      <c r="AA35" s="4">
        <f t="shared" si="10"/>
        <v>6816.4979101082718</v>
      </c>
      <c r="AB35" s="4">
        <f t="shared" si="10"/>
        <v>7157.322805613685</v>
      </c>
      <c r="AC35" s="4">
        <f t="shared" si="10"/>
        <v>7515.1889458943697</v>
      </c>
      <c r="AD35" s="4">
        <f t="shared" si="10"/>
        <v>7890.9483931890882</v>
      </c>
      <c r="AE35" s="4">
        <f t="shared" si="10"/>
        <v>8285.4958128485432</v>
      </c>
      <c r="AF35" s="4">
        <f t="shared" si="10"/>
        <v>8699.7706034909697</v>
      </c>
      <c r="AG35" s="4">
        <f t="shared" si="10"/>
        <v>9134.7591336655187</v>
      </c>
      <c r="AH35" s="4">
        <f t="shared" si="10"/>
        <v>9591.4970903487938</v>
      </c>
      <c r="AI35" s="4">
        <f t="shared" si="10"/>
        <v>10071.071944866233</v>
      </c>
      <c r="AJ35" s="4">
        <f t="shared" si="10"/>
        <v>10574.625542109545</v>
      </c>
      <c r="AK35" s="4">
        <f t="shared" si="10"/>
        <v>11103.356819215021</v>
      </c>
      <c r="AL35" s="4">
        <f t="shared" si="10"/>
        <v>11658.524660175772</v>
      </c>
      <c r="AM35" s="4">
        <f t="shared" si="10"/>
        <v>12241.450893184561</v>
      </c>
      <c r="AN35" s="4">
        <f t="shared" si="10"/>
        <v>12853.523437843789</v>
      </c>
      <c r="AO35" s="4">
        <f t="shared" si="10"/>
        <v>13496.199609735979</v>
      </c>
      <c r="AP35" s="4">
        <f t="shared" si="10"/>
        <v>14171.009590222779</v>
      </c>
      <c r="AQ35" s="4">
        <f t="shared" si="10"/>
        <v>14879.560069733918</v>
      </c>
      <c r="AR35" s="4">
        <f t="shared" si="10"/>
        <v>15623.538073220614</v>
      </c>
      <c r="AS35" s="4">
        <f t="shared" si="10"/>
        <v>16404.714976881645</v>
      </c>
      <c r="AT35" s="4">
        <f t="shared" si="10"/>
        <v>17224.950725725728</v>
      </c>
      <c r="AU35" s="4">
        <f t="shared" si="10"/>
        <v>18086.198262012014</v>
      </c>
      <c r="AV35" s="4">
        <f t="shared" si="10"/>
        <v>18990.508175112616</v>
      </c>
      <c r="AW35" s="4">
        <f t="shared" si="10"/>
        <v>19940.033583868248</v>
      </c>
      <c r="AX35" s="4">
        <f t="shared" si="10"/>
        <v>20937.035263061662</v>
      </c>
      <c r="AY35" s="4">
        <f t="shared" si="10"/>
        <v>21983.887026214747</v>
      </c>
      <c r="AZ35" s="4">
        <f t="shared" si="10"/>
        <v>23083.081377525483</v>
      </c>
      <c r="BA35" s="4">
        <f t="shared" si="10"/>
        <v>24237.235446401755</v>
      </c>
      <c r="BB35" s="4">
        <f t="shared" si="10"/>
        <v>25449.097218721843</v>
      </c>
      <c r="BC35" s="4">
        <f t="shared" si="10"/>
        <v>26721.552079657937</v>
      </c>
      <c r="BD35" s="4">
        <f t="shared" si="10"/>
        <v>28057.629683640833</v>
      </c>
      <c r="BE35" s="4">
        <f t="shared" si="10"/>
        <v>29460.511167822875</v>
      </c>
      <c r="BF35" s="4">
        <f t="shared" si="10"/>
        <v>30933.536726214021</v>
      </c>
    </row>
    <row r="36" spans="2:58" x14ac:dyDescent="0.25">
      <c r="B36" t="s">
        <v>10</v>
      </c>
      <c r="C36" s="4">
        <f>+C35*C30</f>
        <v>1920.0000000000005</v>
      </c>
      <c r="D36" s="4">
        <f t="shared" ref="D36:BF36" si="11">+D35*D30</f>
        <v>1689.8823529411764</v>
      </c>
      <c r="E36" s="4">
        <f t="shared" si="11"/>
        <v>1465.8327272727272</v>
      </c>
      <c r="F36" s="4">
        <f t="shared" si="11"/>
        <v>1224.4283999999998</v>
      </c>
      <c r="G36" s="4">
        <f t="shared" si="11"/>
        <v>1269.0520128000001</v>
      </c>
      <c r="H36" s="4">
        <f t="shared" si="11"/>
        <v>1722.3626159999999</v>
      </c>
      <c r="I36" s="4">
        <f t="shared" si="11"/>
        <v>1214.577905450695</v>
      </c>
      <c r="J36" s="4">
        <f t="shared" si="11"/>
        <v>1275.3068007232298</v>
      </c>
      <c r="K36" s="4">
        <f t="shared" si="11"/>
        <v>1339.0721407593912</v>
      </c>
      <c r="L36" s="4">
        <f t="shared" si="11"/>
        <v>1406.0257477973607</v>
      </c>
      <c r="M36" s="4">
        <f t="shared" si="11"/>
        <v>1476.3270351872288</v>
      </c>
      <c r="N36" s="4">
        <f t="shared" si="11"/>
        <v>1550.1433869465902</v>
      </c>
      <c r="O36" s="4">
        <f t="shared" si="11"/>
        <v>1627.6505562939199</v>
      </c>
      <c r="P36" s="4">
        <f t="shared" si="11"/>
        <v>1709.0330841086156</v>
      </c>
      <c r="Q36" s="4">
        <f t="shared" si="11"/>
        <v>1794.4847383140466</v>
      </c>
      <c r="R36" s="4">
        <f t="shared" si="11"/>
        <v>1884.2089752297488</v>
      </c>
      <c r="S36" s="4">
        <f t="shared" si="11"/>
        <v>1978.4194239912363</v>
      </c>
      <c r="T36" s="4">
        <f t="shared" si="11"/>
        <v>2077.3403951907981</v>
      </c>
      <c r="U36" s="4">
        <f t="shared" si="11"/>
        <v>2181.2074149503378</v>
      </c>
      <c r="V36" s="4">
        <f t="shared" si="11"/>
        <v>2290.2677856978548</v>
      </c>
      <c r="W36" s="4">
        <f t="shared" si="11"/>
        <v>2404.7811749827474</v>
      </c>
      <c r="X36" s="4">
        <f t="shared" si="11"/>
        <v>2525.0202337318847</v>
      </c>
      <c r="Y36" s="4">
        <f t="shared" si="11"/>
        <v>2651.2712454184789</v>
      </c>
      <c r="Z36" s="4">
        <f t="shared" si="11"/>
        <v>2783.8348076894031</v>
      </c>
      <c r="AA36" s="4">
        <f t="shared" si="11"/>
        <v>2923.0265480738731</v>
      </c>
      <c r="AB36" s="4">
        <f t="shared" si="11"/>
        <v>3069.1778754775669</v>
      </c>
      <c r="AC36" s="4">
        <f t="shared" si="11"/>
        <v>3222.6367692514455</v>
      </c>
      <c r="AD36" s="4">
        <f t="shared" si="11"/>
        <v>3383.7686077140174</v>
      </c>
      <c r="AE36" s="4">
        <f t="shared" si="11"/>
        <v>3552.9570380997188</v>
      </c>
      <c r="AF36" s="4">
        <f t="shared" si="11"/>
        <v>3730.6048900047044</v>
      </c>
      <c r="AG36" s="4">
        <f t="shared" si="11"/>
        <v>3917.1351345049397</v>
      </c>
      <c r="AH36" s="4">
        <f t="shared" si="11"/>
        <v>4112.9918912301864</v>
      </c>
      <c r="AI36" s="4">
        <f t="shared" si="11"/>
        <v>4318.6414857916952</v>
      </c>
      <c r="AJ36" s="4">
        <f t="shared" si="11"/>
        <v>4534.5735600812804</v>
      </c>
      <c r="AK36" s="4">
        <f t="shared" si="11"/>
        <v>4761.3022380853445</v>
      </c>
      <c r="AL36" s="4">
        <f t="shared" si="11"/>
        <v>4999.3673499896113</v>
      </c>
      <c r="AM36" s="4">
        <f t="shared" si="11"/>
        <v>5249.3357174890916</v>
      </c>
      <c r="AN36" s="4">
        <f t="shared" si="11"/>
        <v>5511.8025033635467</v>
      </c>
      <c r="AO36" s="4">
        <f t="shared" si="11"/>
        <v>5787.3926285317239</v>
      </c>
      <c r="AP36" s="4">
        <f t="shared" si="11"/>
        <v>6076.7622599583101</v>
      </c>
      <c r="AQ36" s="4">
        <f t="shared" si="11"/>
        <v>6380.6003729562262</v>
      </c>
      <c r="AR36" s="4">
        <f t="shared" si="11"/>
        <v>6699.6303916040379</v>
      </c>
      <c r="AS36" s="4">
        <f t="shared" si="11"/>
        <v>7034.6119111842399</v>
      </c>
      <c r="AT36" s="4">
        <f t="shared" si="11"/>
        <v>7386.3425067434518</v>
      </c>
      <c r="AU36" s="4">
        <f t="shared" si="11"/>
        <v>7755.6596320806239</v>
      </c>
      <c r="AV36" s="4">
        <f t="shared" si="11"/>
        <v>8143.442613684656</v>
      </c>
      <c r="AW36" s="4">
        <f t="shared" si="11"/>
        <v>8550.6147443688897</v>
      </c>
      <c r="AX36" s="4">
        <f t="shared" si="11"/>
        <v>8978.1454815873349</v>
      </c>
      <c r="AY36" s="4">
        <f t="shared" si="11"/>
        <v>9427.0527556667021</v>
      </c>
      <c r="AZ36" s="4">
        <f t="shared" si="11"/>
        <v>9898.4053934500371</v>
      </c>
      <c r="BA36" s="4">
        <f t="shared" si="11"/>
        <v>10393.325663122538</v>
      </c>
      <c r="BB36" s="4">
        <f t="shared" si="11"/>
        <v>10912.991946278664</v>
      </c>
      <c r="BC36" s="4">
        <f t="shared" si="11"/>
        <v>11458.641543592597</v>
      </c>
      <c r="BD36" s="4">
        <f t="shared" si="11"/>
        <v>12031.573620772228</v>
      </c>
      <c r="BE36" s="4">
        <f t="shared" si="11"/>
        <v>12633.15230181084</v>
      </c>
      <c r="BF36" s="4">
        <f t="shared" si="11"/>
        <v>13264.809916901382</v>
      </c>
    </row>
    <row r="37" spans="2:58" x14ac:dyDescent="0.25">
      <c r="B37" t="s">
        <v>11</v>
      </c>
      <c r="C37" s="4">
        <f>+C35-C36</f>
        <v>479.99999999999955</v>
      </c>
      <c r="D37" s="4">
        <f t="shared" ref="D37:BF37" si="12">+D35-D36</f>
        <v>1046.1176470588236</v>
      </c>
      <c r="E37" s="4">
        <f t="shared" si="12"/>
        <v>1557.4472727272725</v>
      </c>
      <c r="F37" s="4">
        <f t="shared" si="12"/>
        <v>2040.7139999999999</v>
      </c>
      <c r="G37" s="4">
        <f t="shared" si="12"/>
        <v>2191.9989311999998</v>
      </c>
      <c r="H37" s="4">
        <f t="shared" si="12"/>
        <v>1929.0461299199997</v>
      </c>
      <c r="I37" s="4">
        <f>+I35-I36</f>
        <v>1617.8177700603253</v>
      </c>
      <c r="J37" s="4">
        <f t="shared" si="12"/>
        <v>1698.7086585633417</v>
      </c>
      <c r="K37" s="4">
        <f t="shared" si="12"/>
        <v>1783.644091491509</v>
      </c>
      <c r="L37" s="4">
        <f t="shared" si="12"/>
        <v>1872.8262960660843</v>
      </c>
      <c r="M37" s="4">
        <f t="shared" si="12"/>
        <v>1966.4676108693884</v>
      </c>
      <c r="N37" s="4">
        <f t="shared" si="12"/>
        <v>2064.7909914128577</v>
      </c>
      <c r="O37" s="4">
        <f t="shared" si="12"/>
        <v>2168.0305409835009</v>
      </c>
      <c r="P37" s="4">
        <f t="shared" si="12"/>
        <v>2276.4320680326759</v>
      </c>
      <c r="Q37" s="4">
        <f t="shared" si="12"/>
        <v>2390.2536714343096</v>
      </c>
      <c r="R37" s="4">
        <f t="shared" si="12"/>
        <v>2509.7663550060252</v>
      </c>
      <c r="S37" s="4">
        <f t="shared" si="12"/>
        <v>2635.2546727563263</v>
      </c>
      <c r="T37" s="4">
        <f t="shared" si="12"/>
        <v>2767.0174063941427</v>
      </c>
      <c r="U37" s="4">
        <f t="shared" si="12"/>
        <v>2905.3682767138498</v>
      </c>
      <c r="V37" s="4">
        <f t="shared" si="12"/>
        <v>3050.636690549542</v>
      </c>
      <c r="W37" s="4">
        <f t="shared" si="12"/>
        <v>3203.1685250770192</v>
      </c>
      <c r="X37" s="4">
        <f t="shared" si="12"/>
        <v>3363.3269513308701</v>
      </c>
      <c r="Y37" s="4">
        <f t="shared" si="12"/>
        <v>3531.4932988974138</v>
      </c>
      <c r="Z37" s="4">
        <f t="shared" si="12"/>
        <v>3708.0679638422839</v>
      </c>
      <c r="AA37" s="4">
        <f t="shared" si="12"/>
        <v>3893.4713620343987</v>
      </c>
      <c r="AB37" s="4">
        <f t="shared" si="12"/>
        <v>4088.1449301361181</v>
      </c>
      <c r="AC37" s="4">
        <f t="shared" si="12"/>
        <v>4292.5521766429247</v>
      </c>
      <c r="AD37" s="4">
        <f t="shared" si="12"/>
        <v>4507.1797854750712</v>
      </c>
      <c r="AE37" s="4">
        <f t="shared" si="12"/>
        <v>4732.5387747488239</v>
      </c>
      <c r="AF37" s="4">
        <f t="shared" si="12"/>
        <v>4969.1657134862653</v>
      </c>
      <c r="AG37" s="4">
        <f t="shared" si="12"/>
        <v>5217.6239991605789</v>
      </c>
      <c r="AH37" s="4">
        <f t="shared" si="12"/>
        <v>5478.5051991186074</v>
      </c>
      <c r="AI37" s="4">
        <f t="shared" si="12"/>
        <v>5752.4304590745378</v>
      </c>
      <c r="AJ37" s="4">
        <f t="shared" si="12"/>
        <v>6040.0519820282643</v>
      </c>
      <c r="AK37" s="4">
        <f t="shared" si="12"/>
        <v>6342.054581129677</v>
      </c>
      <c r="AL37" s="4">
        <f t="shared" si="12"/>
        <v>6659.1573101861604</v>
      </c>
      <c r="AM37" s="4">
        <f t="shared" si="12"/>
        <v>6992.1151756954696</v>
      </c>
      <c r="AN37" s="4">
        <f t="shared" si="12"/>
        <v>7341.7209344802422</v>
      </c>
      <c r="AO37" s="4">
        <f t="shared" si="12"/>
        <v>7708.806981204255</v>
      </c>
      <c r="AP37" s="4">
        <f t="shared" si="12"/>
        <v>8094.2473302644685</v>
      </c>
      <c r="AQ37" s="4">
        <f t="shared" si="12"/>
        <v>8498.9596967776924</v>
      </c>
      <c r="AR37" s="4">
        <f t="shared" si="12"/>
        <v>8923.9076816165762</v>
      </c>
      <c r="AS37" s="4">
        <f t="shared" si="12"/>
        <v>9370.1030656974053</v>
      </c>
      <c r="AT37" s="4">
        <f t="shared" si="12"/>
        <v>9838.6082189822773</v>
      </c>
      <c r="AU37" s="4">
        <f t="shared" si="12"/>
        <v>10330.53862993139</v>
      </c>
      <c r="AV37" s="4">
        <f t="shared" si="12"/>
        <v>10847.06556142796</v>
      </c>
      <c r="AW37" s="4">
        <f t="shared" si="12"/>
        <v>11389.418839499358</v>
      </c>
      <c r="AX37" s="4">
        <f t="shared" si="12"/>
        <v>11958.889781474327</v>
      </c>
      <c r="AY37" s="4">
        <f t="shared" si="12"/>
        <v>12556.834270548045</v>
      </c>
      <c r="AZ37" s="4">
        <f t="shared" si="12"/>
        <v>13184.675984075446</v>
      </c>
      <c r="BA37" s="4">
        <f t="shared" si="12"/>
        <v>13843.909783279218</v>
      </c>
      <c r="BB37" s="4">
        <f t="shared" si="12"/>
        <v>14536.105272443179</v>
      </c>
      <c r="BC37" s="4">
        <f t="shared" si="12"/>
        <v>15262.910536065339</v>
      </c>
      <c r="BD37" s="4">
        <f t="shared" si="12"/>
        <v>16026.056062868605</v>
      </c>
      <c r="BE37" s="4">
        <f t="shared" si="12"/>
        <v>16827.358866012037</v>
      </c>
      <c r="BF37" s="4">
        <f t="shared" si="12"/>
        <v>17668.72680931264</v>
      </c>
    </row>
    <row r="38" spans="2:58" x14ac:dyDescent="0.25">
      <c r="B38" t="s">
        <v>68</v>
      </c>
      <c r="C38" s="4">
        <f>+C64*C25</f>
        <v>0</v>
      </c>
      <c r="D38" s="4">
        <f t="shared" ref="D38:BF38" si="13">+D64*D25</f>
        <v>63.199389599961044</v>
      </c>
      <c r="E38" s="4">
        <f t="shared" si="13"/>
        <v>144.53192174629945</v>
      </c>
      <c r="F38" s="4">
        <f t="shared" si="13"/>
        <v>259.78477570056737</v>
      </c>
      <c r="G38" s="4">
        <f t="shared" si="13"/>
        <v>371.28845225309607</v>
      </c>
      <c r="H38" s="4">
        <f t="shared" si="13"/>
        <v>399.20318114085268</v>
      </c>
      <c r="I38" s="4">
        <f t="shared" si="13"/>
        <v>412.95648785323618</v>
      </c>
      <c r="J38" s="4">
        <f t="shared" si="13"/>
        <v>433.60431224589792</v>
      </c>
      <c r="K38" s="4">
        <f t="shared" si="13"/>
        <v>455.2845278581928</v>
      </c>
      <c r="L38" s="4">
        <f t="shared" si="13"/>
        <v>478.04875425110248</v>
      </c>
      <c r="M38" s="4">
        <f t="shared" si="13"/>
        <v>501.95119196365761</v>
      </c>
      <c r="N38" s="4">
        <f t="shared" si="13"/>
        <v>527.0487515618405</v>
      </c>
      <c r="O38" s="4">
        <f t="shared" si="13"/>
        <v>553.40118913993251</v>
      </c>
      <c r="P38" s="4">
        <f t="shared" si="13"/>
        <v>581.07124859692931</v>
      </c>
      <c r="Q38" s="4">
        <f t="shared" si="13"/>
        <v>610.12481102677566</v>
      </c>
      <c r="R38" s="4">
        <f t="shared" si="13"/>
        <v>640.63105157811458</v>
      </c>
      <c r="S38" s="4">
        <f t="shared" si="13"/>
        <v>672.66260415702027</v>
      </c>
      <c r="T38" s="4">
        <f t="shared" si="13"/>
        <v>706.29573436487135</v>
      </c>
      <c r="U38" s="4">
        <f t="shared" si="13"/>
        <v>741.61052108311492</v>
      </c>
      <c r="V38" s="4">
        <f t="shared" si="13"/>
        <v>778.69104713727074</v>
      </c>
      <c r="W38" s="4">
        <f t="shared" si="13"/>
        <v>817.62559949413424</v>
      </c>
      <c r="X38" s="4">
        <f t="shared" si="13"/>
        <v>858.50687946884091</v>
      </c>
      <c r="Y38" s="4">
        <f t="shared" si="13"/>
        <v>901.43222344228309</v>
      </c>
      <c r="Z38" s="4">
        <f t="shared" si="13"/>
        <v>946.50383461439708</v>
      </c>
      <c r="AA38" s="4">
        <f t="shared" si="13"/>
        <v>993.82902634511709</v>
      </c>
      <c r="AB38" s="4">
        <f t="shared" si="13"/>
        <v>1043.5204776623727</v>
      </c>
      <c r="AC38" s="4">
        <f t="shared" si="13"/>
        <v>1095.6965015454916</v>
      </c>
      <c r="AD38" s="4">
        <f t="shared" si="13"/>
        <v>1150.4813266227661</v>
      </c>
      <c r="AE38" s="4">
        <f t="shared" si="13"/>
        <v>1208.0053929539044</v>
      </c>
      <c r="AF38" s="4">
        <f t="shared" si="13"/>
        <v>1268.4056626015995</v>
      </c>
      <c r="AG38" s="4">
        <f t="shared" si="13"/>
        <v>1331.8259457316797</v>
      </c>
      <c r="AH38" s="4">
        <f t="shared" si="13"/>
        <v>1398.4172430182634</v>
      </c>
      <c r="AI38" s="4">
        <f t="shared" si="13"/>
        <v>1468.3381051691767</v>
      </c>
      <c r="AJ38" s="4">
        <f t="shared" si="13"/>
        <v>1541.7550104276352</v>
      </c>
      <c r="AK38" s="4">
        <f t="shared" si="13"/>
        <v>1618.842760949017</v>
      </c>
      <c r="AL38" s="4">
        <f t="shared" si="13"/>
        <v>1699.7848989964677</v>
      </c>
      <c r="AM38" s="4">
        <f t="shared" si="13"/>
        <v>1784.7741439462914</v>
      </c>
      <c r="AN38" s="4">
        <f t="shared" si="13"/>
        <v>1874.0128511436058</v>
      </c>
      <c r="AO38" s="4">
        <f t="shared" si="13"/>
        <v>1967.7134937007863</v>
      </c>
      <c r="AP38" s="4">
        <f t="shared" si="13"/>
        <v>2066.099168385826</v>
      </c>
      <c r="AQ38" s="4">
        <f t="shared" si="13"/>
        <v>2169.4041268051169</v>
      </c>
      <c r="AR38" s="4">
        <f t="shared" si="13"/>
        <v>2277.8743331453729</v>
      </c>
      <c r="AS38" s="4">
        <f t="shared" si="13"/>
        <v>2391.7680498026416</v>
      </c>
      <c r="AT38" s="4">
        <f t="shared" si="13"/>
        <v>2511.3564522927741</v>
      </c>
      <c r="AU38" s="4">
        <f t="shared" si="13"/>
        <v>2636.9242749074124</v>
      </c>
      <c r="AV38" s="4">
        <f t="shared" si="13"/>
        <v>2768.7704886527831</v>
      </c>
      <c r="AW38" s="4">
        <f t="shared" si="13"/>
        <v>2907.2090130854222</v>
      </c>
      <c r="AX38" s="4">
        <f t="shared" si="13"/>
        <v>3052.5694637396941</v>
      </c>
      <c r="AY38" s="4">
        <f t="shared" si="13"/>
        <v>3205.1979369266787</v>
      </c>
      <c r="AZ38" s="4">
        <f t="shared" si="13"/>
        <v>3365.4578337730122</v>
      </c>
      <c r="BA38" s="4">
        <f t="shared" si="13"/>
        <v>3533.730725461663</v>
      </c>
      <c r="BB38" s="4">
        <f t="shared" si="13"/>
        <v>3710.4172617347458</v>
      </c>
      <c r="BC38" s="4">
        <f t="shared" si="13"/>
        <v>3895.9381248214841</v>
      </c>
      <c r="BD38" s="4">
        <f t="shared" si="13"/>
        <v>4090.7350310625584</v>
      </c>
      <c r="BE38" s="4">
        <f t="shared" si="13"/>
        <v>4295.2717826156868</v>
      </c>
      <c r="BF38" s="4">
        <f t="shared" si="13"/>
        <v>4510.0353717464704</v>
      </c>
    </row>
    <row r="39" spans="2:58" x14ac:dyDescent="0.25">
      <c r="B39" t="s">
        <v>69</v>
      </c>
      <c r="C39" s="4">
        <f>+C38*C31</f>
        <v>0</v>
      </c>
      <c r="D39" s="4">
        <f t="shared" ref="D39:BF39" si="14">+D38*D31</f>
        <v>12.639877919992209</v>
      </c>
      <c r="E39" s="4">
        <f t="shared" si="14"/>
        <v>28.906384349259891</v>
      </c>
      <c r="F39" s="4">
        <f t="shared" si="14"/>
        <v>51.956955140113479</v>
      </c>
      <c r="G39" s="4">
        <f t="shared" si="14"/>
        <v>74.257690450619222</v>
      </c>
      <c r="H39" s="4">
        <f t="shared" si="14"/>
        <v>79.840636228170538</v>
      </c>
      <c r="I39" s="4">
        <f t="shared" si="14"/>
        <v>82.591297570647242</v>
      </c>
      <c r="J39" s="4">
        <f t="shared" si="14"/>
        <v>86.720862449179592</v>
      </c>
      <c r="K39" s="4">
        <f t="shared" si="14"/>
        <v>91.056905571638566</v>
      </c>
      <c r="L39" s="4">
        <f t="shared" si="14"/>
        <v>95.609750850220507</v>
      </c>
      <c r="M39" s="4">
        <f t="shared" si="14"/>
        <v>100.39023839273153</v>
      </c>
      <c r="N39" s="4">
        <f t="shared" si="14"/>
        <v>105.4097503123681</v>
      </c>
      <c r="O39" s="4">
        <f t="shared" si="14"/>
        <v>110.6802378279865</v>
      </c>
      <c r="P39" s="4">
        <f t="shared" si="14"/>
        <v>116.21424971938586</v>
      </c>
      <c r="Q39" s="4">
        <f t="shared" si="14"/>
        <v>122.02496220535514</v>
      </c>
      <c r="R39" s="4">
        <f t="shared" si="14"/>
        <v>128.12621031562293</v>
      </c>
      <c r="S39" s="4">
        <f t="shared" si="14"/>
        <v>134.53252083140407</v>
      </c>
      <c r="T39" s="4">
        <f t="shared" si="14"/>
        <v>141.25914687297427</v>
      </c>
      <c r="U39" s="4">
        <f t="shared" si="14"/>
        <v>148.32210421662299</v>
      </c>
      <c r="V39" s="4">
        <f t="shared" si="14"/>
        <v>155.73820942745417</v>
      </c>
      <c r="W39" s="4">
        <f t="shared" si="14"/>
        <v>163.52511989882686</v>
      </c>
      <c r="X39" s="4">
        <f t="shared" si="14"/>
        <v>171.70137589376819</v>
      </c>
      <c r="Y39" s="4">
        <f t="shared" si="14"/>
        <v>180.28644468845664</v>
      </c>
      <c r="Z39" s="4">
        <f t="shared" si="14"/>
        <v>189.30076692287943</v>
      </c>
      <c r="AA39" s="4">
        <f t="shared" si="14"/>
        <v>198.76580526902342</v>
      </c>
      <c r="AB39" s="4">
        <f t="shared" si="14"/>
        <v>208.70409553247455</v>
      </c>
      <c r="AC39" s="4">
        <f t="shared" si="14"/>
        <v>219.13930030909833</v>
      </c>
      <c r="AD39" s="4">
        <f t="shared" si="14"/>
        <v>230.09626532455323</v>
      </c>
      <c r="AE39" s="4">
        <f t="shared" si="14"/>
        <v>241.6010785907809</v>
      </c>
      <c r="AF39" s="4">
        <f t="shared" si="14"/>
        <v>253.68113252031992</v>
      </c>
      <c r="AG39" s="4">
        <f t="shared" si="14"/>
        <v>266.36518914633592</v>
      </c>
      <c r="AH39" s="4">
        <f t="shared" si="14"/>
        <v>279.68344860365272</v>
      </c>
      <c r="AI39" s="4">
        <f t="shared" si="14"/>
        <v>293.66762103383536</v>
      </c>
      <c r="AJ39" s="4">
        <f t="shared" si="14"/>
        <v>308.35100208552706</v>
      </c>
      <c r="AK39" s="4">
        <f t="shared" si="14"/>
        <v>323.76855218980342</v>
      </c>
      <c r="AL39" s="4">
        <f t="shared" si="14"/>
        <v>339.95697979929355</v>
      </c>
      <c r="AM39" s="4">
        <f t="shared" si="14"/>
        <v>356.95482878925827</v>
      </c>
      <c r="AN39" s="4">
        <f t="shared" si="14"/>
        <v>374.80257022872115</v>
      </c>
      <c r="AO39" s="4">
        <f t="shared" si="14"/>
        <v>393.54269874015728</v>
      </c>
      <c r="AP39" s="4">
        <f t="shared" si="14"/>
        <v>413.21983367716524</v>
      </c>
      <c r="AQ39" s="4">
        <f t="shared" si="14"/>
        <v>433.88082536102343</v>
      </c>
      <c r="AR39" s="4">
        <f t="shared" si="14"/>
        <v>455.57486662907462</v>
      </c>
      <c r="AS39" s="4">
        <f t="shared" si="14"/>
        <v>478.35360996052833</v>
      </c>
      <c r="AT39" s="4">
        <f t="shared" si="14"/>
        <v>502.27129045855486</v>
      </c>
      <c r="AU39" s="4">
        <f t="shared" si="14"/>
        <v>527.38485498148248</v>
      </c>
      <c r="AV39" s="4">
        <f t="shared" si="14"/>
        <v>553.75409773055662</v>
      </c>
      <c r="AW39" s="4">
        <f t="shared" si="14"/>
        <v>581.44180261708448</v>
      </c>
      <c r="AX39" s="4">
        <f t="shared" si="14"/>
        <v>610.51389274793883</v>
      </c>
      <c r="AY39" s="4">
        <f t="shared" si="14"/>
        <v>641.03958738533584</v>
      </c>
      <c r="AZ39" s="4">
        <f t="shared" si="14"/>
        <v>673.09156675460247</v>
      </c>
      <c r="BA39" s="4">
        <f t="shared" si="14"/>
        <v>706.74614509233265</v>
      </c>
      <c r="BB39" s="4">
        <f t="shared" si="14"/>
        <v>742.08345234694923</v>
      </c>
      <c r="BC39" s="4">
        <f t="shared" si="14"/>
        <v>779.1876249642969</v>
      </c>
      <c r="BD39" s="4">
        <f t="shared" si="14"/>
        <v>818.14700621251177</v>
      </c>
      <c r="BE39" s="4">
        <f t="shared" si="14"/>
        <v>859.05435652313736</v>
      </c>
      <c r="BF39" s="4">
        <f t="shared" si="14"/>
        <v>902.00707434929416</v>
      </c>
    </row>
    <row r="40" spans="2:58" x14ac:dyDescent="0.25">
      <c r="B40" t="s">
        <v>70</v>
      </c>
      <c r="C40" s="4">
        <f>+D64-C64</f>
        <v>902.84842285658624</v>
      </c>
      <c r="D40" s="4">
        <f t="shared" ref="D40:BF40" si="15">+E64-D64</f>
        <v>1024.2438670940733</v>
      </c>
      <c r="E40" s="4">
        <f t="shared" si="15"/>
        <v>1320.2174063064326</v>
      </c>
      <c r="F40" s="4">
        <f t="shared" si="15"/>
        <v>1120.789742014626</v>
      </c>
      <c r="G40" s="4">
        <f t="shared" si="15"/>
        <v>328.40857515007792</v>
      </c>
      <c r="H40" s="4">
        <f t="shared" si="15"/>
        <v>161.80360838098204</v>
      </c>
      <c r="I40" s="4">
        <f t="shared" si="15"/>
        <v>242.9155810901384</v>
      </c>
      <c r="J40" s="4">
        <f t="shared" si="15"/>
        <v>255.06136014464573</v>
      </c>
      <c r="K40" s="4">
        <f t="shared" si="15"/>
        <v>267.81442815187802</v>
      </c>
      <c r="L40" s="4">
        <f t="shared" si="15"/>
        <v>281.20514955947237</v>
      </c>
      <c r="M40" s="4">
        <f t="shared" si="15"/>
        <v>295.26540703744649</v>
      </c>
      <c r="N40" s="4">
        <f t="shared" si="15"/>
        <v>310.02867738931764</v>
      </c>
      <c r="O40" s="4">
        <f t="shared" si="15"/>
        <v>325.53011125878493</v>
      </c>
      <c r="P40" s="4">
        <f t="shared" si="15"/>
        <v>341.80661682172195</v>
      </c>
      <c r="Q40" s="4">
        <f t="shared" si="15"/>
        <v>358.89694766281082</v>
      </c>
      <c r="R40" s="4">
        <f t="shared" si="15"/>
        <v>376.84179504594886</v>
      </c>
      <c r="S40" s="4">
        <f t="shared" si="15"/>
        <v>395.68388479824898</v>
      </c>
      <c r="T40" s="4">
        <f t="shared" si="15"/>
        <v>415.46807903815898</v>
      </c>
      <c r="U40" s="4">
        <f t="shared" si="15"/>
        <v>436.24148299006811</v>
      </c>
      <c r="V40" s="4">
        <f t="shared" si="15"/>
        <v>458.05355713957033</v>
      </c>
      <c r="W40" s="4">
        <f t="shared" si="15"/>
        <v>480.95623499654903</v>
      </c>
      <c r="X40" s="4">
        <f t="shared" si="15"/>
        <v>505.00404674637866</v>
      </c>
      <c r="Y40" s="4">
        <f t="shared" si="15"/>
        <v>530.25424908369496</v>
      </c>
      <c r="Z40" s="4">
        <f t="shared" si="15"/>
        <v>556.7669615378818</v>
      </c>
      <c r="AA40" s="4">
        <f t="shared" si="15"/>
        <v>584.60530961477161</v>
      </c>
      <c r="AB40" s="4">
        <f t="shared" si="15"/>
        <v>613.83557509551611</v>
      </c>
      <c r="AC40" s="4">
        <f t="shared" si="15"/>
        <v>644.52735385028973</v>
      </c>
      <c r="AD40" s="4">
        <f t="shared" si="15"/>
        <v>676.75372154280194</v>
      </c>
      <c r="AE40" s="4">
        <f t="shared" si="15"/>
        <v>710.59140761994422</v>
      </c>
      <c r="AF40" s="4">
        <f t="shared" si="15"/>
        <v>746.12097800094307</v>
      </c>
      <c r="AG40" s="4">
        <f t="shared" si="15"/>
        <v>783.42702690098486</v>
      </c>
      <c r="AH40" s="4">
        <f t="shared" si="15"/>
        <v>822.59837824603892</v>
      </c>
      <c r="AI40" s="4">
        <f t="shared" si="15"/>
        <v>863.72829715833359</v>
      </c>
      <c r="AJ40" s="4">
        <f t="shared" si="15"/>
        <v>906.91471201625609</v>
      </c>
      <c r="AK40" s="4">
        <f t="shared" si="15"/>
        <v>952.26044761706726</v>
      </c>
      <c r="AL40" s="4">
        <f t="shared" si="15"/>
        <v>999.87346999792499</v>
      </c>
      <c r="AM40" s="4">
        <f t="shared" si="15"/>
        <v>1049.8671434978169</v>
      </c>
      <c r="AN40" s="4">
        <f t="shared" si="15"/>
        <v>1102.3605006727121</v>
      </c>
      <c r="AO40" s="4">
        <f t="shared" si="15"/>
        <v>1157.4785257063486</v>
      </c>
      <c r="AP40" s="4">
        <f t="shared" si="15"/>
        <v>1215.3524519916609</v>
      </c>
      <c r="AQ40" s="4">
        <f t="shared" si="15"/>
        <v>1276.1200745912465</v>
      </c>
      <c r="AR40" s="4">
        <f t="shared" si="15"/>
        <v>1339.9260783208047</v>
      </c>
      <c r="AS40" s="4">
        <f t="shared" si="15"/>
        <v>1406.9223822368549</v>
      </c>
      <c r="AT40" s="4">
        <f t="shared" si="15"/>
        <v>1477.268501348688</v>
      </c>
      <c r="AU40" s="4">
        <f t="shared" si="15"/>
        <v>1551.1319264161248</v>
      </c>
      <c r="AV40" s="4">
        <f t="shared" si="15"/>
        <v>1628.6885227369276</v>
      </c>
      <c r="AW40" s="4">
        <f t="shared" si="15"/>
        <v>1710.1229488737881</v>
      </c>
      <c r="AX40" s="4">
        <f t="shared" si="15"/>
        <v>1795.6290963174688</v>
      </c>
      <c r="AY40" s="4">
        <f t="shared" si="15"/>
        <v>1885.4105511333328</v>
      </c>
      <c r="AZ40" s="4">
        <f t="shared" si="15"/>
        <v>1979.6810786900096</v>
      </c>
      <c r="BA40" s="4">
        <f t="shared" si="15"/>
        <v>2078.6651326245046</v>
      </c>
      <c r="BB40" s="4">
        <f t="shared" si="15"/>
        <v>2182.5983892557415</v>
      </c>
      <c r="BC40" s="4">
        <f t="shared" si="15"/>
        <v>2291.7283087185206</v>
      </c>
      <c r="BD40" s="4">
        <f t="shared" si="15"/>
        <v>2406.3147241544502</v>
      </c>
      <c r="BE40" s="4">
        <f t="shared" si="15"/>
        <v>2526.6304603621611</v>
      </c>
      <c r="BF40" s="4">
        <f t="shared" si="15"/>
        <v>-53059.239667605529</v>
      </c>
    </row>
    <row r="41" spans="2:58" x14ac:dyDescent="0.25">
      <c r="B41" t="s">
        <v>71</v>
      </c>
      <c r="C41" s="4">
        <f>+C37-C38+C39+C40</f>
        <v>1382.8484228565858</v>
      </c>
      <c r="D41" s="4">
        <f t="shared" ref="D41:BF41" si="16">+D37-D38+D39+D40</f>
        <v>2019.8020024729281</v>
      </c>
      <c r="E41" s="4">
        <f t="shared" si="16"/>
        <v>2762.0391416366656</v>
      </c>
      <c r="F41" s="4">
        <f t="shared" si="16"/>
        <v>2953.6759214541717</v>
      </c>
      <c r="G41" s="4">
        <f t="shared" si="16"/>
        <v>2223.376744547601</v>
      </c>
      <c r="H41" s="4">
        <f t="shared" si="16"/>
        <v>1771.4871933882996</v>
      </c>
      <c r="I41" s="4">
        <f t="shared" si="16"/>
        <v>1530.3681608678746</v>
      </c>
      <c r="J41" s="4">
        <f t="shared" si="16"/>
        <v>1606.886568911269</v>
      </c>
      <c r="K41" s="4">
        <f t="shared" si="16"/>
        <v>1687.2308973568327</v>
      </c>
      <c r="L41" s="4">
        <f t="shared" si="16"/>
        <v>1771.5924422246746</v>
      </c>
      <c r="M41" s="4">
        <f t="shared" si="16"/>
        <v>1860.172064335909</v>
      </c>
      <c r="N41" s="4">
        <f t="shared" si="16"/>
        <v>1953.1806675527027</v>
      </c>
      <c r="O41" s="4">
        <f t="shared" si="16"/>
        <v>2050.8397009303399</v>
      </c>
      <c r="P41" s="4">
        <f t="shared" si="16"/>
        <v>2153.3816859768544</v>
      </c>
      <c r="Q41" s="4">
        <f t="shared" si="16"/>
        <v>2261.0507702757</v>
      </c>
      <c r="R41" s="4">
        <f t="shared" si="16"/>
        <v>2374.1033087894821</v>
      </c>
      <c r="S41" s="4">
        <f t="shared" si="16"/>
        <v>2492.8084742289589</v>
      </c>
      <c r="T41" s="4">
        <f t="shared" si="16"/>
        <v>2617.4488979404045</v>
      </c>
      <c r="U41" s="4">
        <f t="shared" si="16"/>
        <v>2748.3213428374261</v>
      </c>
      <c r="V41" s="4">
        <f t="shared" si="16"/>
        <v>2885.7374099792955</v>
      </c>
      <c r="W41" s="4">
        <f t="shared" si="16"/>
        <v>3030.0242804782606</v>
      </c>
      <c r="X41" s="4">
        <f t="shared" si="16"/>
        <v>3181.5254945021761</v>
      </c>
      <c r="Y41" s="4">
        <f t="shared" si="16"/>
        <v>3340.6017692272826</v>
      </c>
      <c r="Z41" s="4">
        <f t="shared" si="16"/>
        <v>3507.6318576886483</v>
      </c>
      <c r="AA41" s="4">
        <f t="shared" si="16"/>
        <v>3683.0134505730766</v>
      </c>
      <c r="AB41" s="4">
        <f t="shared" si="16"/>
        <v>3867.1641231017361</v>
      </c>
      <c r="AC41" s="4">
        <f t="shared" si="16"/>
        <v>4060.5223292568212</v>
      </c>
      <c r="AD41" s="4">
        <f t="shared" si="16"/>
        <v>4263.5484457196599</v>
      </c>
      <c r="AE41" s="4">
        <f t="shared" si="16"/>
        <v>4476.7258680056448</v>
      </c>
      <c r="AF41" s="4">
        <f t="shared" si="16"/>
        <v>4700.5621614059291</v>
      </c>
      <c r="AG41" s="4">
        <f t="shared" si="16"/>
        <v>4935.5902694762199</v>
      </c>
      <c r="AH41" s="4">
        <f t="shared" si="16"/>
        <v>5182.3697829500352</v>
      </c>
      <c r="AI41" s="4">
        <f t="shared" si="16"/>
        <v>5441.4882720975302</v>
      </c>
      <c r="AJ41" s="4">
        <f t="shared" si="16"/>
        <v>5713.5626857024126</v>
      </c>
      <c r="AK41" s="4">
        <f t="shared" si="16"/>
        <v>5999.2408199875308</v>
      </c>
      <c r="AL41" s="4">
        <f t="shared" si="16"/>
        <v>6299.2028609869112</v>
      </c>
      <c r="AM41" s="4">
        <f t="shared" si="16"/>
        <v>6614.1630040362534</v>
      </c>
      <c r="AN41" s="4">
        <f t="shared" si="16"/>
        <v>6944.8711542380697</v>
      </c>
      <c r="AO41" s="4">
        <f t="shared" si="16"/>
        <v>7292.1147119499747</v>
      </c>
      <c r="AP41" s="4">
        <f t="shared" si="16"/>
        <v>7656.7204475474682</v>
      </c>
      <c r="AQ41" s="4">
        <f t="shared" si="16"/>
        <v>8039.5564699248453</v>
      </c>
      <c r="AR41" s="4">
        <f t="shared" si="16"/>
        <v>8441.5342934210821</v>
      </c>
      <c r="AS41" s="4">
        <f t="shared" si="16"/>
        <v>8863.6110080921462</v>
      </c>
      <c r="AT41" s="4">
        <f t="shared" si="16"/>
        <v>9306.7915584967468</v>
      </c>
      <c r="AU41" s="4">
        <f t="shared" si="16"/>
        <v>9772.1311364215853</v>
      </c>
      <c r="AV41" s="4">
        <f t="shared" si="16"/>
        <v>10260.737693242661</v>
      </c>
      <c r="AW41" s="4">
        <f t="shared" si="16"/>
        <v>10773.774577904807</v>
      </c>
      <c r="AX41" s="4">
        <f t="shared" si="16"/>
        <v>11312.46330680004</v>
      </c>
      <c r="AY41" s="4">
        <f t="shared" si="16"/>
        <v>11878.086472140034</v>
      </c>
      <c r="AZ41" s="4">
        <f t="shared" si="16"/>
        <v>12471.990795747046</v>
      </c>
      <c r="BA41" s="4">
        <f t="shared" si="16"/>
        <v>13095.590335534393</v>
      </c>
      <c r="BB41" s="4">
        <f t="shared" si="16"/>
        <v>13750.369852311123</v>
      </c>
      <c r="BC41" s="4">
        <f t="shared" si="16"/>
        <v>14437.888344926674</v>
      </c>
      <c r="BD41" s="4">
        <f t="shared" si="16"/>
        <v>15159.782762173008</v>
      </c>
      <c r="BE41" s="4">
        <f t="shared" si="16"/>
        <v>15917.771900281648</v>
      </c>
      <c r="BF41" s="4">
        <f t="shared" si="16"/>
        <v>-38998.541155690065</v>
      </c>
    </row>
    <row r="42" spans="2:58" x14ac:dyDescent="0.25">
      <c r="B42" s="4" t="str">
        <f>+B52</f>
        <v>Dividend</v>
      </c>
      <c r="C42" s="4">
        <f t="shared" ref="C42:BE42" si="17">+C52</f>
        <v>1382.8484228565867</v>
      </c>
      <c r="D42" s="4">
        <f t="shared" si="17"/>
        <v>2019.8020024729281</v>
      </c>
      <c r="E42" s="4">
        <f t="shared" si="17"/>
        <v>2762.0391416366683</v>
      </c>
      <c r="F42" s="4">
        <f t="shared" si="17"/>
        <v>2953.6759214541703</v>
      </c>
      <c r="G42" s="4">
        <f t="shared" si="17"/>
        <v>2223.3767445476024</v>
      </c>
      <c r="H42" s="4">
        <f t="shared" si="17"/>
        <v>1771.4871933883014</v>
      </c>
      <c r="I42" s="4">
        <f t="shared" si="17"/>
        <v>1530.3681608678703</v>
      </c>
      <c r="J42" s="4">
        <f t="shared" si="17"/>
        <v>1606.8865689112704</v>
      </c>
      <c r="K42" s="4">
        <f t="shared" si="17"/>
        <v>1687.2308973568338</v>
      </c>
      <c r="L42" s="4">
        <f t="shared" si="17"/>
        <v>1771.5924422246735</v>
      </c>
      <c r="M42" s="4">
        <f t="shared" si="17"/>
        <v>1860.1720643359122</v>
      </c>
      <c r="N42" s="4">
        <f t="shared" si="17"/>
        <v>1953.1806675527014</v>
      </c>
      <c r="O42" s="4">
        <f t="shared" si="17"/>
        <v>2050.8397009303385</v>
      </c>
      <c r="P42" s="4">
        <f t="shared" si="17"/>
        <v>2153.3816859768522</v>
      </c>
      <c r="Q42" s="4">
        <f t="shared" si="17"/>
        <v>2261.0507702757036</v>
      </c>
      <c r="R42" s="4">
        <f t="shared" si="17"/>
        <v>2374.103308789483</v>
      </c>
      <c r="S42" s="4">
        <f t="shared" si="17"/>
        <v>2492.8084742289575</v>
      </c>
      <c r="T42" s="4">
        <f t="shared" si="17"/>
        <v>2617.4488979404068</v>
      </c>
      <c r="U42" s="4">
        <f t="shared" si="17"/>
        <v>2748.3213428374238</v>
      </c>
      <c r="V42" s="4">
        <f t="shared" si="17"/>
        <v>2885.7374099792914</v>
      </c>
      <c r="W42" s="4">
        <f t="shared" si="17"/>
        <v>3030.0242804782629</v>
      </c>
      <c r="X42" s="4">
        <f t="shared" si="17"/>
        <v>3181.5254945021752</v>
      </c>
      <c r="Y42" s="4">
        <f t="shared" si="17"/>
        <v>3340.6017692272853</v>
      </c>
      <c r="Z42" s="4">
        <f t="shared" si="17"/>
        <v>3507.6318576886415</v>
      </c>
      <c r="AA42" s="4">
        <f t="shared" si="17"/>
        <v>3683.0134505730766</v>
      </c>
      <c r="AB42" s="4">
        <f t="shared" si="17"/>
        <v>3867.1641231017365</v>
      </c>
      <c r="AC42" s="4">
        <f t="shared" si="17"/>
        <v>4060.5223292568171</v>
      </c>
      <c r="AD42" s="4">
        <f t="shared" si="17"/>
        <v>4263.5484457196526</v>
      </c>
      <c r="AE42" s="4">
        <f t="shared" si="17"/>
        <v>4476.7258680056493</v>
      </c>
      <c r="AF42" s="4">
        <f t="shared" si="17"/>
        <v>4700.5621614059319</v>
      </c>
      <c r="AG42" s="4">
        <f t="shared" si="17"/>
        <v>4935.5902694762281</v>
      </c>
      <c r="AH42" s="4">
        <f t="shared" si="17"/>
        <v>5182.3697829500416</v>
      </c>
      <c r="AI42" s="4">
        <f t="shared" si="17"/>
        <v>5441.4882720975256</v>
      </c>
      <c r="AJ42" s="4">
        <f t="shared" si="17"/>
        <v>5713.5626857024126</v>
      </c>
      <c r="AK42" s="4">
        <f t="shared" si="17"/>
        <v>5999.2408199875244</v>
      </c>
      <c r="AL42" s="4">
        <f t="shared" si="17"/>
        <v>6299.2028609869121</v>
      </c>
      <c r="AM42" s="4">
        <f t="shared" si="17"/>
        <v>6614.1630040362597</v>
      </c>
      <c r="AN42" s="4">
        <f t="shared" si="17"/>
        <v>6944.8711542380715</v>
      </c>
      <c r="AO42" s="4">
        <f t="shared" si="17"/>
        <v>7292.1147119499692</v>
      </c>
      <c r="AP42" s="4">
        <f t="shared" si="17"/>
        <v>7656.7204475474573</v>
      </c>
      <c r="AQ42" s="4">
        <f t="shared" si="17"/>
        <v>8039.5564699248534</v>
      </c>
      <c r="AR42" s="4">
        <f t="shared" si="17"/>
        <v>8441.5342934210821</v>
      </c>
      <c r="AS42" s="4">
        <f t="shared" si="17"/>
        <v>8863.6110080921408</v>
      </c>
      <c r="AT42" s="4">
        <f t="shared" si="17"/>
        <v>9306.7915584967559</v>
      </c>
      <c r="AU42" s="4">
        <f t="shared" si="17"/>
        <v>9772.1311364215999</v>
      </c>
      <c r="AV42" s="4">
        <f t="shared" si="17"/>
        <v>10260.737693242663</v>
      </c>
      <c r="AW42" s="4">
        <f t="shared" si="17"/>
        <v>10773.774577904813</v>
      </c>
      <c r="AX42" s="4">
        <f t="shared" si="17"/>
        <v>11312.463306800029</v>
      </c>
      <c r="AY42" s="4">
        <f t="shared" si="17"/>
        <v>11878.086472140043</v>
      </c>
      <c r="AZ42" s="4">
        <f t="shared" si="17"/>
        <v>12471.990795747064</v>
      </c>
      <c r="BA42" s="4">
        <f t="shared" si="17"/>
        <v>13095.590335534376</v>
      </c>
      <c r="BB42" s="4">
        <f t="shared" si="17"/>
        <v>13750.369852311138</v>
      </c>
      <c r="BC42" s="4">
        <f t="shared" si="17"/>
        <v>14437.888344926665</v>
      </c>
      <c r="BD42" s="4">
        <f t="shared" si="17"/>
        <v>15159.782762173014</v>
      </c>
      <c r="BE42" s="4">
        <f t="shared" si="17"/>
        <v>15917.771900281648</v>
      </c>
      <c r="BF42" s="4"/>
    </row>
    <row r="43" spans="2:58" x14ac:dyDescent="0.25">
      <c r="B43" t="s">
        <v>84</v>
      </c>
      <c r="C43" s="4">
        <f>+D65-C65-C53</f>
        <v>0</v>
      </c>
      <c r="D43" s="4">
        <f t="shared" ref="D43:BF43" si="18">+E65-D65-D53</f>
        <v>0</v>
      </c>
      <c r="E43" s="4">
        <f t="shared" si="18"/>
        <v>0</v>
      </c>
      <c r="F43" s="4">
        <f t="shared" si="18"/>
        <v>0</v>
      </c>
      <c r="G43" s="4">
        <f t="shared" si="18"/>
        <v>0</v>
      </c>
      <c r="H43" s="4">
        <f t="shared" si="18"/>
        <v>0</v>
      </c>
      <c r="I43" s="4">
        <f t="shared" si="18"/>
        <v>0</v>
      </c>
      <c r="J43" s="4">
        <f t="shared" si="18"/>
        <v>0</v>
      </c>
      <c r="K43" s="4">
        <f t="shared" si="18"/>
        <v>0</v>
      </c>
      <c r="L43" s="4">
        <f t="shared" si="18"/>
        <v>0</v>
      </c>
      <c r="M43" s="4">
        <f t="shared" si="18"/>
        <v>0</v>
      </c>
      <c r="N43" s="4">
        <f t="shared" si="18"/>
        <v>0</v>
      </c>
      <c r="O43" s="4">
        <f t="shared" si="18"/>
        <v>0</v>
      </c>
      <c r="P43" s="4">
        <f t="shared" si="18"/>
        <v>0</v>
      </c>
      <c r="Q43" s="4">
        <f t="shared" si="18"/>
        <v>0</v>
      </c>
      <c r="R43" s="4">
        <f t="shared" si="18"/>
        <v>0</v>
      </c>
      <c r="S43" s="4">
        <f t="shared" si="18"/>
        <v>0</v>
      </c>
      <c r="T43" s="4">
        <f t="shared" si="18"/>
        <v>0</v>
      </c>
      <c r="U43" s="4">
        <f t="shared" si="18"/>
        <v>0</v>
      </c>
      <c r="V43" s="4">
        <f t="shared" si="18"/>
        <v>0</v>
      </c>
      <c r="W43" s="4">
        <f t="shared" si="18"/>
        <v>0</v>
      </c>
      <c r="X43" s="4">
        <f t="shared" si="18"/>
        <v>0</v>
      </c>
      <c r="Y43" s="4">
        <f t="shared" si="18"/>
        <v>0</v>
      </c>
      <c r="Z43" s="4">
        <f t="shared" si="18"/>
        <v>0</v>
      </c>
      <c r="AA43" s="4">
        <f t="shared" si="18"/>
        <v>0</v>
      </c>
      <c r="AB43" s="4">
        <f t="shared" si="18"/>
        <v>0</v>
      </c>
      <c r="AC43" s="4">
        <f t="shared" si="18"/>
        <v>0</v>
      </c>
      <c r="AD43" s="4">
        <f t="shared" si="18"/>
        <v>0</v>
      </c>
      <c r="AE43" s="4">
        <f t="shared" si="18"/>
        <v>0</v>
      </c>
      <c r="AF43" s="4">
        <f t="shared" si="18"/>
        <v>0</v>
      </c>
      <c r="AG43" s="4">
        <f t="shared" si="18"/>
        <v>0</v>
      </c>
      <c r="AH43" s="4">
        <f t="shared" si="18"/>
        <v>0</v>
      </c>
      <c r="AI43" s="4">
        <f t="shared" si="18"/>
        <v>0</v>
      </c>
      <c r="AJ43" s="4">
        <f t="shared" si="18"/>
        <v>0</v>
      </c>
      <c r="AK43" s="4">
        <f t="shared" si="18"/>
        <v>0</v>
      </c>
      <c r="AL43" s="4">
        <f t="shared" si="18"/>
        <v>0</v>
      </c>
      <c r="AM43" s="4">
        <f t="shared" si="18"/>
        <v>0</v>
      </c>
      <c r="AN43" s="4">
        <f t="shared" si="18"/>
        <v>0</v>
      </c>
      <c r="AO43" s="4">
        <f t="shared" si="18"/>
        <v>0</v>
      </c>
      <c r="AP43" s="4">
        <f t="shared" si="18"/>
        <v>0</v>
      </c>
      <c r="AQ43" s="4">
        <f t="shared" si="18"/>
        <v>0</v>
      </c>
      <c r="AR43" s="4">
        <f t="shared" si="18"/>
        <v>0</v>
      </c>
      <c r="AS43" s="4">
        <f t="shared" si="18"/>
        <v>0</v>
      </c>
      <c r="AT43" s="4">
        <f t="shared" si="18"/>
        <v>0</v>
      </c>
      <c r="AU43" s="4">
        <f t="shared" si="18"/>
        <v>0</v>
      </c>
      <c r="AV43" s="4">
        <f t="shared" si="18"/>
        <v>0</v>
      </c>
      <c r="AW43" s="4">
        <f t="shared" si="18"/>
        <v>0</v>
      </c>
      <c r="AX43" s="4">
        <f t="shared" si="18"/>
        <v>0</v>
      </c>
      <c r="AY43" s="4">
        <f t="shared" si="18"/>
        <v>0</v>
      </c>
      <c r="AZ43" s="4">
        <f t="shared" si="18"/>
        <v>0</v>
      </c>
      <c r="BA43" s="4">
        <f t="shared" si="18"/>
        <v>0</v>
      </c>
      <c r="BB43" s="4">
        <f t="shared" si="18"/>
        <v>0</v>
      </c>
      <c r="BC43" s="4">
        <f t="shared" si="18"/>
        <v>0</v>
      </c>
      <c r="BD43" s="4">
        <f t="shared" si="18"/>
        <v>0</v>
      </c>
      <c r="BE43" s="4">
        <f t="shared" si="18"/>
        <v>0</v>
      </c>
      <c r="BF43" s="4"/>
    </row>
    <row r="44" spans="2:58" x14ac:dyDescent="0.25">
      <c r="B44" t="s">
        <v>85</v>
      </c>
      <c r="C44" s="4">
        <f>+C41-C42+C43</f>
        <v>-9.0949470177292824E-13</v>
      </c>
      <c r="D44" s="4">
        <f t="shared" ref="D44:BE44" si="19">+D41-D42+D43</f>
        <v>0</v>
      </c>
      <c r="E44" s="4">
        <f t="shared" si="19"/>
        <v>-2.7284841053187847E-12</v>
      </c>
      <c r="F44" s="4">
        <f t="shared" si="19"/>
        <v>1.3642420526593924E-12</v>
      </c>
      <c r="G44" s="4">
        <f t="shared" si="19"/>
        <v>-1.3642420526593924E-12</v>
      </c>
      <c r="H44" s="4">
        <f t="shared" si="19"/>
        <v>-1.8189894035458565E-12</v>
      </c>
      <c r="I44" s="4">
        <f t="shared" si="19"/>
        <v>4.3200998334214091E-12</v>
      </c>
      <c r="J44" s="4">
        <f t="shared" si="19"/>
        <v>-1.3642420526593924E-12</v>
      </c>
      <c r="K44" s="4">
        <f t="shared" si="19"/>
        <v>-1.1368683772161603E-12</v>
      </c>
      <c r="L44" s="4">
        <f t="shared" si="19"/>
        <v>1.1368683772161603E-12</v>
      </c>
      <c r="M44" s="4">
        <f t="shared" si="19"/>
        <v>-3.1832314562052488E-12</v>
      </c>
      <c r="N44" s="4">
        <f t="shared" si="19"/>
        <v>1.3642420526593924E-12</v>
      </c>
      <c r="O44" s="4">
        <f t="shared" si="19"/>
        <v>1.3642420526593924E-12</v>
      </c>
      <c r="P44" s="4">
        <f t="shared" si="19"/>
        <v>2.2737367544323206E-12</v>
      </c>
      <c r="Q44" s="4">
        <f t="shared" si="19"/>
        <v>-3.637978807091713E-12</v>
      </c>
      <c r="R44" s="4">
        <f t="shared" si="19"/>
        <v>-9.0949470177292824E-13</v>
      </c>
      <c r="S44" s="4">
        <f t="shared" si="19"/>
        <v>1.3642420526593924E-12</v>
      </c>
      <c r="T44" s="4">
        <f t="shared" si="19"/>
        <v>-2.2737367544323206E-12</v>
      </c>
      <c r="U44" s="4">
        <f t="shared" si="19"/>
        <v>2.2737367544323206E-12</v>
      </c>
      <c r="V44" s="4">
        <f t="shared" si="19"/>
        <v>4.0927261579781771E-12</v>
      </c>
      <c r="W44" s="4">
        <f t="shared" si="19"/>
        <v>-2.2737367544323206E-12</v>
      </c>
      <c r="X44" s="4">
        <f t="shared" si="19"/>
        <v>9.0949470177292824E-13</v>
      </c>
      <c r="Y44" s="4">
        <f t="shared" si="19"/>
        <v>-2.7284841053187847E-12</v>
      </c>
      <c r="Z44" s="4">
        <f t="shared" si="19"/>
        <v>6.8212102632969618E-12</v>
      </c>
      <c r="AA44" s="4">
        <f t="shared" si="19"/>
        <v>0</v>
      </c>
      <c r="AB44" s="4">
        <f t="shared" si="19"/>
        <v>-4.5474735088646412E-13</v>
      </c>
      <c r="AC44" s="4">
        <f t="shared" si="19"/>
        <v>4.0927261579781771E-12</v>
      </c>
      <c r="AD44" s="4">
        <f t="shared" si="19"/>
        <v>7.2759576141834259E-12</v>
      </c>
      <c r="AE44" s="4">
        <f t="shared" si="19"/>
        <v>-4.5474735088646412E-12</v>
      </c>
      <c r="AF44" s="4">
        <f t="shared" si="19"/>
        <v>-2.7284841053187847E-12</v>
      </c>
      <c r="AG44" s="4">
        <f t="shared" si="19"/>
        <v>-8.1854523159563541E-12</v>
      </c>
      <c r="AH44" s="4">
        <f t="shared" si="19"/>
        <v>-6.3664629124104977E-12</v>
      </c>
      <c r="AI44" s="4">
        <f t="shared" si="19"/>
        <v>4.5474735088646412E-12</v>
      </c>
      <c r="AJ44" s="4">
        <f t="shared" si="19"/>
        <v>0</v>
      </c>
      <c r="AK44" s="4">
        <f t="shared" si="19"/>
        <v>6.3664629124104977E-12</v>
      </c>
      <c r="AL44" s="4">
        <f t="shared" si="19"/>
        <v>-9.0949470177292824E-13</v>
      </c>
      <c r="AM44" s="4">
        <f t="shared" si="19"/>
        <v>-6.3664629124104977E-12</v>
      </c>
      <c r="AN44" s="4">
        <f t="shared" si="19"/>
        <v>-1.8189894035458565E-12</v>
      </c>
      <c r="AO44" s="4">
        <f t="shared" si="19"/>
        <v>5.4569682106375694E-12</v>
      </c>
      <c r="AP44" s="4">
        <f t="shared" si="19"/>
        <v>1.0913936421275139E-11</v>
      </c>
      <c r="AQ44" s="4">
        <f t="shared" si="19"/>
        <v>-8.1854523159563541E-12</v>
      </c>
      <c r="AR44" s="4">
        <f t="shared" si="19"/>
        <v>0</v>
      </c>
      <c r="AS44" s="4">
        <f t="shared" si="19"/>
        <v>5.4569682106375694E-12</v>
      </c>
      <c r="AT44" s="4">
        <f t="shared" si="19"/>
        <v>-9.0949470177292824E-12</v>
      </c>
      <c r="AU44" s="4">
        <f t="shared" si="19"/>
        <v>-1.4551915228366852E-11</v>
      </c>
      <c r="AV44" s="4">
        <f t="shared" si="19"/>
        <v>-1.8189894035458565E-12</v>
      </c>
      <c r="AW44" s="4">
        <f t="shared" si="19"/>
        <v>-5.4569682106375694E-12</v>
      </c>
      <c r="AX44" s="4">
        <f t="shared" si="19"/>
        <v>1.0913936421275139E-11</v>
      </c>
      <c r="AY44" s="4">
        <f t="shared" si="19"/>
        <v>-9.0949470177292824E-12</v>
      </c>
      <c r="AZ44" s="4">
        <f t="shared" si="19"/>
        <v>-1.8189894035458565E-11</v>
      </c>
      <c r="BA44" s="4">
        <f t="shared" si="19"/>
        <v>1.6370904631912708E-11</v>
      </c>
      <c r="BB44" s="4">
        <f t="shared" si="19"/>
        <v>-1.4551915228366852E-11</v>
      </c>
      <c r="BC44" s="4">
        <f t="shared" si="19"/>
        <v>9.0949470177292824E-12</v>
      </c>
      <c r="BD44" s="4">
        <f t="shared" si="19"/>
        <v>-5.4569682106375694E-12</v>
      </c>
      <c r="BE44" s="4">
        <f t="shared" si="19"/>
        <v>0</v>
      </c>
      <c r="BF44" s="4"/>
    </row>
    <row r="46" spans="2:58" x14ac:dyDescent="0.25">
      <c r="B46" t="s">
        <v>73</v>
      </c>
    </row>
    <row r="47" spans="2:58" x14ac:dyDescent="0.25">
      <c r="B47" t="s">
        <v>74</v>
      </c>
      <c r="C47" s="4">
        <f>+C35/(1-C31)</f>
        <v>3000</v>
      </c>
      <c r="D47" s="4">
        <f t="shared" ref="D47:BF47" si="20">+D35/(1-D31)</f>
        <v>3420</v>
      </c>
      <c r="E47" s="4">
        <f t="shared" si="20"/>
        <v>3779.0999999999995</v>
      </c>
      <c r="F47" s="4">
        <f t="shared" si="20"/>
        <v>4081.4279999999994</v>
      </c>
      <c r="G47" s="4">
        <f t="shared" si="20"/>
        <v>4326.3136799999993</v>
      </c>
      <c r="H47" s="4">
        <f t="shared" si="20"/>
        <v>4564.2609323999995</v>
      </c>
      <c r="I47" s="4">
        <f t="shared" si="20"/>
        <v>3540.4945943887751</v>
      </c>
      <c r="J47" s="4">
        <f t="shared" si="20"/>
        <v>3717.5193241082143</v>
      </c>
      <c r="K47" s="4">
        <f t="shared" si="20"/>
        <v>3903.3952903136251</v>
      </c>
      <c r="L47" s="4">
        <f t="shared" si="20"/>
        <v>4098.5650548293061</v>
      </c>
      <c r="M47" s="4">
        <f t="shared" si="20"/>
        <v>4303.4933075707713</v>
      </c>
      <c r="N47" s="4">
        <f t="shared" si="20"/>
        <v>4518.6679729493098</v>
      </c>
      <c r="O47" s="4">
        <f t="shared" si="20"/>
        <v>4744.6013715967756</v>
      </c>
      <c r="P47" s="4">
        <f t="shared" si="20"/>
        <v>4981.8314401766138</v>
      </c>
      <c r="Q47" s="4">
        <f t="shared" si="20"/>
        <v>5230.9230121854453</v>
      </c>
      <c r="R47" s="4">
        <f t="shared" si="20"/>
        <v>5492.4691627947168</v>
      </c>
      <c r="S47" s="4">
        <f t="shared" si="20"/>
        <v>5767.0926209344525</v>
      </c>
      <c r="T47" s="4">
        <f t="shared" si="20"/>
        <v>6055.4472519811752</v>
      </c>
      <c r="U47" s="4">
        <f t="shared" si="20"/>
        <v>6358.2196145802345</v>
      </c>
      <c r="V47" s="4">
        <f t="shared" si="20"/>
        <v>6676.130595309246</v>
      </c>
      <c r="W47" s="4">
        <f t="shared" si="20"/>
        <v>7009.9371250747081</v>
      </c>
      <c r="X47" s="4">
        <f t="shared" si="20"/>
        <v>7360.4339813284432</v>
      </c>
      <c r="Y47" s="4">
        <f t="shared" si="20"/>
        <v>7728.4556803948653</v>
      </c>
      <c r="Z47" s="4">
        <f t="shared" si="20"/>
        <v>8114.8784644146081</v>
      </c>
      <c r="AA47" s="4">
        <f t="shared" si="20"/>
        <v>8520.6223876353397</v>
      </c>
      <c r="AB47" s="4">
        <f t="shared" si="20"/>
        <v>8946.6535070171049</v>
      </c>
      <c r="AC47" s="4">
        <f t="shared" si="20"/>
        <v>9393.9861823679621</v>
      </c>
      <c r="AD47" s="4">
        <f t="shared" si="20"/>
        <v>9863.6854914863598</v>
      </c>
      <c r="AE47" s="4">
        <f t="shared" si="20"/>
        <v>10356.869766060678</v>
      </c>
      <c r="AF47" s="4">
        <f t="shared" si="20"/>
        <v>10874.713254363711</v>
      </c>
      <c r="AG47" s="4">
        <f t="shared" si="20"/>
        <v>11418.448917081898</v>
      </c>
      <c r="AH47" s="4">
        <f t="shared" si="20"/>
        <v>11989.371362935992</v>
      </c>
      <c r="AI47" s="4">
        <f t="shared" si="20"/>
        <v>12588.83993108279</v>
      </c>
      <c r="AJ47" s="4">
        <f t="shared" si="20"/>
        <v>13218.28192763693</v>
      </c>
      <c r="AK47" s="4">
        <f t="shared" si="20"/>
        <v>13879.196024018776</v>
      </c>
      <c r="AL47" s="4">
        <f t="shared" si="20"/>
        <v>14573.155825219714</v>
      </c>
      <c r="AM47" s="4">
        <f t="shared" si="20"/>
        <v>15301.8136164807</v>
      </c>
      <c r="AN47" s="4">
        <f t="shared" si="20"/>
        <v>16066.904297304736</v>
      </c>
      <c r="AO47" s="4">
        <f t="shared" si="20"/>
        <v>16870.249512169972</v>
      </c>
      <c r="AP47" s="4">
        <f t="shared" si="20"/>
        <v>17713.761987778471</v>
      </c>
      <c r="AQ47" s="4">
        <f t="shared" si="20"/>
        <v>18599.450087167395</v>
      </c>
      <c r="AR47" s="4">
        <f t="shared" si="20"/>
        <v>19529.422591525767</v>
      </c>
      <c r="AS47" s="4">
        <f t="shared" si="20"/>
        <v>20505.893721102057</v>
      </c>
      <c r="AT47" s="4">
        <f t="shared" si="20"/>
        <v>21531.188407157159</v>
      </c>
      <c r="AU47" s="4">
        <f t="shared" si="20"/>
        <v>22607.747827515017</v>
      </c>
      <c r="AV47" s="4">
        <f t="shared" si="20"/>
        <v>23738.135218890769</v>
      </c>
      <c r="AW47" s="4">
        <f t="shared" si="20"/>
        <v>24925.041979835307</v>
      </c>
      <c r="AX47" s="4">
        <f t="shared" si="20"/>
        <v>26171.294078827075</v>
      </c>
      <c r="AY47" s="4">
        <f t="shared" si="20"/>
        <v>27479.858782768431</v>
      </c>
      <c r="AZ47" s="4">
        <f t="shared" si="20"/>
        <v>28853.851721906853</v>
      </c>
      <c r="BA47" s="4">
        <f t="shared" si="20"/>
        <v>30296.544308002194</v>
      </c>
      <c r="BB47" s="4">
        <f t="shared" si="20"/>
        <v>31811.371523402304</v>
      </c>
      <c r="BC47" s="4">
        <f t="shared" si="20"/>
        <v>33401.940099572421</v>
      </c>
      <c r="BD47" s="4">
        <f t="shared" si="20"/>
        <v>35072.03710455104</v>
      </c>
      <c r="BE47" s="4">
        <f t="shared" si="20"/>
        <v>36825.638959778589</v>
      </c>
      <c r="BF47" s="4">
        <f t="shared" si="20"/>
        <v>38666.920907767526</v>
      </c>
    </row>
    <row r="48" spans="2:58" x14ac:dyDescent="0.25">
      <c r="B48" s="4" t="str">
        <f>+B38</f>
        <v>D*rD</v>
      </c>
      <c r="C48" s="4">
        <f t="shared" ref="C48:BF48" si="21">+C38</f>
        <v>0</v>
      </c>
      <c r="D48" s="4">
        <f t="shared" si="21"/>
        <v>63.199389599961044</v>
      </c>
      <c r="E48" s="4">
        <f t="shared" si="21"/>
        <v>144.53192174629945</v>
      </c>
      <c r="F48" s="4">
        <f t="shared" si="21"/>
        <v>259.78477570056737</v>
      </c>
      <c r="G48" s="4">
        <f t="shared" si="21"/>
        <v>371.28845225309607</v>
      </c>
      <c r="H48" s="4">
        <f t="shared" si="21"/>
        <v>399.20318114085268</v>
      </c>
      <c r="I48" s="4">
        <f t="shared" si="21"/>
        <v>412.95648785323618</v>
      </c>
      <c r="J48" s="4">
        <f t="shared" si="21"/>
        <v>433.60431224589792</v>
      </c>
      <c r="K48" s="4">
        <f t="shared" si="21"/>
        <v>455.2845278581928</v>
      </c>
      <c r="L48" s="4">
        <f t="shared" si="21"/>
        <v>478.04875425110248</v>
      </c>
      <c r="M48" s="4">
        <f t="shared" si="21"/>
        <v>501.95119196365761</v>
      </c>
      <c r="N48" s="4">
        <f t="shared" si="21"/>
        <v>527.0487515618405</v>
      </c>
      <c r="O48" s="4">
        <f t="shared" si="21"/>
        <v>553.40118913993251</v>
      </c>
      <c r="P48" s="4">
        <f t="shared" si="21"/>
        <v>581.07124859692931</v>
      </c>
      <c r="Q48" s="4">
        <f t="shared" si="21"/>
        <v>610.12481102677566</v>
      </c>
      <c r="R48" s="4">
        <f t="shared" si="21"/>
        <v>640.63105157811458</v>
      </c>
      <c r="S48" s="4">
        <f t="shared" si="21"/>
        <v>672.66260415702027</v>
      </c>
      <c r="T48" s="4">
        <f t="shared" si="21"/>
        <v>706.29573436487135</v>
      </c>
      <c r="U48" s="4">
        <f t="shared" si="21"/>
        <v>741.61052108311492</v>
      </c>
      <c r="V48" s="4">
        <f t="shared" si="21"/>
        <v>778.69104713727074</v>
      </c>
      <c r="W48" s="4">
        <f t="shared" si="21"/>
        <v>817.62559949413424</v>
      </c>
      <c r="X48" s="4">
        <f t="shared" si="21"/>
        <v>858.50687946884091</v>
      </c>
      <c r="Y48" s="4">
        <f t="shared" si="21"/>
        <v>901.43222344228309</v>
      </c>
      <c r="Z48" s="4">
        <f t="shared" si="21"/>
        <v>946.50383461439708</v>
      </c>
      <c r="AA48" s="4">
        <f t="shared" si="21"/>
        <v>993.82902634511709</v>
      </c>
      <c r="AB48" s="4">
        <f t="shared" si="21"/>
        <v>1043.5204776623727</v>
      </c>
      <c r="AC48" s="4">
        <f t="shared" si="21"/>
        <v>1095.6965015454916</v>
      </c>
      <c r="AD48" s="4">
        <f t="shared" si="21"/>
        <v>1150.4813266227661</v>
      </c>
      <c r="AE48" s="4">
        <f t="shared" si="21"/>
        <v>1208.0053929539044</v>
      </c>
      <c r="AF48" s="4">
        <f t="shared" si="21"/>
        <v>1268.4056626015995</v>
      </c>
      <c r="AG48" s="4">
        <f t="shared" si="21"/>
        <v>1331.8259457316797</v>
      </c>
      <c r="AH48" s="4">
        <f t="shared" si="21"/>
        <v>1398.4172430182634</v>
      </c>
      <c r="AI48" s="4">
        <f t="shared" si="21"/>
        <v>1468.3381051691767</v>
      </c>
      <c r="AJ48" s="4">
        <f t="shared" si="21"/>
        <v>1541.7550104276352</v>
      </c>
      <c r="AK48" s="4">
        <f t="shared" si="21"/>
        <v>1618.842760949017</v>
      </c>
      <c r="AL48" s="4">
        <f t="shared" si="21"/>
        <v>1699.7848989964677</v>
      </c>
      <c r="AM48" s="4">
        <f t="shared" si="21"/>
        <v>1784.7741439462914</v>
      </c>
      <c r="AN48" s="4">
        <f t="shared" si="21"/>
        <v>1874.0128511436058</v>
      </c>
      <c r="AO48" s="4">
        <f t="shared" si="21"/>
        <v>1967.7134937007863</v>
      </c>
      <c r="AP48" s="4">
        <f t="shared" si="21"/>
        <v>2066.099168385826</v>
      </c>
      <c r="AQ48" s="4">
        <f t="shared" si="21"/>
        <v>2169.4041268051169</v>
      </c>
      <c r="AR48" s="4">
        <f t="shared" si="21"/>
        <v>2277.8743331453729</v>
      </c>
      <c r="AS48" s="4">
        <f t="shared" si="21"/>
        <v>2391.7680498026416</v>
      </c>
      <c r="AT48" s="4">
        <f t="shared" si="21"/>
        <v>2511.3564522927741</v>
      </c>
      <c r="AU48" s="4">
        <f t="shared" si="21"/>
        <v>2636.9242749074124</v>
      </c>
      <c r="AV48" s="4">
        <f t="shared" si="21"/>
        <v>2768.7704886527831</v>
      </c>
      <c r="AW48" s="4">
        <f t="shared" si="21"/>
        <v>2907.2090130854222</v>
      </c>
      <c r="AX48" s="4">
        <f t="shared" si="21"/>
        <v>3052.5694637396941</v>
      </c>
      <c r="AY48" s="4">
        <f t="shared" si="21"/>
        <v>3205.1979369266787</v>
      </c>
      <c r="AZ48" s="4">
        <f t="shared" si="21"/>
        <v>3365.4578337730122</v>
      </c>
      <c r="BA48" s="4">
        <f t="shared" si="21"/>
        <v>3533.730725461663</v>
      </c>
      <c r="BB48" s="4">
        <f t="shared" si="21"/>
        <v>3710.4172617347458</v>
      </c>
      <c r="BC48" s="4">
        <f t="shared" si="21"/>
        <v>3895.9381248214841</v>
      </c>
      <c r="BD48" s="4">
        <f t="shared" si="21"/>
        <v>4090.7350310625584</v>
      </c>
      <c r="BE48" s="4">
        <f t="shared" si="21"/>
        <v>4295.2717826156868</v>
      </c>
      <c r="BF48" s="4">
        <f t="shared" si="21"/>
        <v>4510.0353717464704</v>
      </c>
    </row>
    <row r="49" spans="2:59" x14ac:dyDescent="0.25">
      <c r="B49" t="s">
        <v>76</v>
      </c>
      <c r="C49" s="4">
        <f>+C47-C48</f>
        <v>3000</v>
      </c>
      <c r="D49" s="4">
        <f t="shared" ref="D49:BF49" si="22">+D47-D48</f>
        <v>3356.8006104000387</v>
      </c>
      <c r="E49" s="4">
        <f t="shared" si="22"/>
        <v>3634.5680782537002</v>
      </c>
      <c r="F49" s="4">
        <f t="shared" si="22"/>
        <v>3821.6432242994319</v>
      </c>
      <c r="G49" s="4">
        <f t="shared" si="22"/>
        <v>3955.0252277469031</v>
      </c>
      <c r="H49" s="4">
        <f t="shared" si="22"/>
        <v>4165.0577512591472</v>
      </c>
      <c r="I49" s="4">
        <f t="shared" si="22"/>
        <v>3127.5381065355391</v>
      </c>
      <c r="J49" s="4">
        <f t="shared" si="22"/>
        <v>3283.9150118623165</v>
      </c>
      <c r="K49" s="4">
        <f t="shared" si="22"/>
        <v>3448.1107624554325</v>
      </c>
      <c r="L49" s="4">
        <f t="shared" si="22"/>
        <v>3620.5163005782038</v>
      </c>
      <c r="M49" s="4">
        <f t="shared" si="22"/>
        <v>3801.5421156071138</v>
      </c>
      <c r="N49" s="4">
        <f t="shared" si="22"/>
        <v>3991.6192213874692</v>
      </c>
      <c r="O49" s="4">
        <f t="shared" si="22"/>
        <v>4191.2001824568433</v>
      </c>
      <c r="P49" s="4">
        <f t="shared" si="22"/>
        <v>4400.760191579684</v>
      </c>
      <c r="Q49" s="4">
        <f t="shared" si="22"/>
        <v>4620.7982011586701</v>
      </c>
      <c r="R49" s="4">
        <f t="shared" si="22"/>
        <v>4851.8381112166026</v>
      </c>
      <c r="S49" s="4">
        <f t="shared" si="22"/>
        <v>5094.4300167774327</v>
      </c>
      <c r="T49" s="4">
        <f t="shared" si="22"/>
        <v>5349.1515176163039</v>
      </c>
      <c r="U49" s="4">
        <f t="shared" si="22"/>
        <v>5616.6090934971198</v>
      </c>
      <c r="V49" s="4">
        <f t="shared" si="22"/>
        <v>5897.4395481719748</v>
      </c>
      <c r="W49" s="4">
        <f t="shared" si="22"/>
        <v>6192.3115255805742</v>
      </c>
      <c r="X49" s="4">
        <f t="shared" si="22"/>
        <v>6501.9271018596028</v>
      </c>
      <c r="Y49" s="4">
        <f t="shared" si="22"/>
        <v>6827.0234569525819</v>
      </c>
      <c r="Z49" s="4">
        <f t="shared" si="22"/>
        <v>7168.3746298002106</v>
      </c>
      <c r="AA49" s="4">
        <f t="shared" si="22"/>
        <v>7526.7933612902225</v>
      </c>
      <c r="AB49" s="4">
        <f t="shared" si="22"/>
        <v>7903.1330293547326</v>
      </c>
      <c r="AC49" s="4">
        <f t="shared" si="22"/>
        <v>8298.2896808224705</v>
      </c>
      <c r="AD49" s="4">
        <f t="shared" si="22"/>
        <v>8713.2041648635932</v>
      </c>
      <c r="AE49" s="4">
        <f t="shared" si="22"/>
        <v>9148.8643731067732</v>
      </c>
      <c r="AF49" s="4">
        <f t="shared" si="22"/>
        <v>9606.3075917621118</v>
      </c>
      <c r="AG49" s="4">
        <f t="shared" si="22"/>
        <v>10086.622971350218</v>
      </c>
      <c r="AH49" s="4">
        <f t="shared" si="22"/>
        <v>10590.954119917729</v>
      </c>
      <c r="AI49" s="4">
        <f t="shared" si="22"/>
        <v>11120.501825913612</v>
      </c>
      <c r="AJ49" s="4">
        <f t="shared" si="22"/>
        <v>11676.526917209296</v>
      </c>
      <c r="AK49" s="4">
        <f t="shared" si="22"/>
        <v>12260.353263069759</v>
      </c>
      <c r="AL49" s="4">
        <f t="shared" si="22"/>
        <v>12873.370926223246</v>
      </c>
      <c r="AM49" s="4">
        <f t="shared" si="22"/>
        <v>13517.039472534409</v>
      </c>
      <c r="AN49" s="4">
        <f t="shared" si="22"/>
        <v>14192.891446161131</v>
      </c>
      <c r="AO49" s="4">
        <f t="shared" si="22"/>
        <v>14902.536018469185</v>
      </c>
      <c r="AP49" s="4">
        <f t="shared" si="22"/>
        <v>15647.662819392644</v>
      </c>
      <c r="AQ49" s="4">
        <f t="shared" si="22"/>
        <v>16430.04596036228</v>
      </c>
      <c r="AR49" s="4">
        <f t="shared" si="22"/>
        <v>17251.548258380393</v>
      </c>
      <c r="AS49" s="4">
        <f t="shared" si="22"/>
        <v>18114.125671299415</v>
      </c>
      <c r="AT49" s="4">
        <f t="shared" si="22"/>
        <v>19019.831954864385</v>
      </c>
      <c r="AU49" s="4">
        <f t="shared" si="22"/>
        <v>19970.823552607606</v>
      </c>
      <c r="AV49" s="4">
        <f t="shared" si="22"/>
        <v>20969.364730237987</v>
      </c>
      <c r="AW49" s="4">
        <f t="shared" si="22"/>
        <v>22017.832966749884</v>
      </c>
      <c r="AX49" s="4">
        <f t="shared" si="22"/>
        <v>23118.72461508738</v>
      </c>
      <c r="AY49" s="4">
        <f t="shared" si="22"/>
        <v>24274.660845841754</v>
      </c>
      <c r="AZ49" s="4">
        <f t="shared" si="22"/>
        <v>25488.39388813384</v>
      </c>
      <c r="BA49" s="4">
        <f t="shared" si="22"/>
        <v>26762.81358254053</v>
      </c>
      <c r="BB49" s="4">
        <f t="shared" si="22"/>
        <v>28100.954261667557</v>
      </c>
      <c r="BC49" s="4">
        <f t="shared" si="22"/>
        <v>29506.001974750936</v>
      </c>
      <c r="BD49" s="4">
        <f t="shared" si="22"/>
        <v>30981.302073488481</v>
      </c>
      <c r="BE49" s="4">
        <f t="shared" si="22"/>
        <v>32530.367177162901</v>
      </c>
      <c r="BF49" s="4">
        <f t="shared" si="22"/>
        <v>34156.885536021058</v>
      </c>
    </row>
    <row r="50" spans="2:59" x14ac:dyDescent="0.25">
      <c r="B50" t="s">
        <v>77</v>
      </c>
      <c r="C50" s="4">
        <f>+IF(C49&lt;0,0,C49*C27)</f>
        <v>600</v>
      </c>
      <c r="D50" s="4">
        <f t="shared" ref="D50:BF50" si="23">+IF(D49&lt;0,0,D49*D27)</f>
        <v>671.36012208000784</v>
      </c>
      <c r="E50" s="4">
        <f t="shared" si="23"/>
        <v>726.9136156507401</v>
      </c>
      <c r="F50" s="4">
        <f t="shared" si="23"/>
        <v>764.32864485988648</v>
      </c>
      <c r="G50" s="4">
        <f t="shared" si="23"/>
        <v>791.00504554938061</v>
      </c>
      <c r="H50" s="4">
        <f t="shared" si="23"/>
        <v>833.01155025182948</v>
      </c>
      <c r="I50" s="4">
        <f t="shared" si="23"/>
        <v>625.50762130710791</v>
      </c>
      <c r="J50" s="4">
        <f t="shared" si="23"/>
        <v>656.78300237246333</v>
      </c>
      <c r="K50" s="4">
        <f t="shared" si="23"/>
        <v>689.62215249108658</v>
      </c>
      <c r="L50" s="4">
        <f t="shared" si="23"/>
        <v>724.10326011564075</v>
      </c>
      <c r="M50" s="4">
        <f t="shared" si="23"/>
        <v>760.30842312142283</v>
      </c>
      <c r="N50" s="4">
        <f t="shared" si="23"/>
        <v>798.32384427749389</v>
      </c>
      <c r="O50" s="4">
        <f t="shared" si="23"/>
        <v>838.24003649136876</v>
      </c>
      <c r="P50" s="4">
        <f t="shared" si="23"/>
        <v>880.15203831593681</v>
      </c>
      <c r="Q50" s="4">
        <f t="shared" si="23"/>
        <v>924.1596402317341</v>
      </c>
      <c r="R50" s="4">
        <f t="shared" si="23"/>
        <v>970.36762224332051</v>
      </c>
      <c r="S50" s="4">
        <f t="shared" si="23"/>
        <v>1018.8860033554865</v>
      </c>
      <c r="T50" s="4">
        <f t="shared" si="23"/>
        <v>1069.8303035232609</v>
      </c>
      <c r="U50" s="4">
        <f t="shared" si="23"/>
        <v>1123.3218186994241</v>
      </c>
      <c r="V50" s="4">
        <f t="shared" si="23"/>
        <v>1179.487909634395</v>
      </c>
      <c r="W50" s="4">
        <f t="shared" si="23"/>
        <v>1238.462305116115</v>
      </c>
      <c r="X50" s="4">
        <f t="shared" si="23"/>
        <v>1300.3854203719206</v>
      </c>
      <c r="Y50" s="4">
        <f t="shared" si="23"/>
        <v>1365.4046913905165</v>
      </c>
      <c r="Z50" s="4">
        <f t="shared" si="23"/>
        <v>1433.6749259600422</v>
      </c>
      <c r="AA50" s="4">
        <f t="shared" si="23"/>
        <v>1505.3586722580446</v>
      </c>
      <c r="AB50" s="4">
        <f t="shared" si="23"/>
        <v>1580.6266058709466</v>
      </c>
      <c r="AC50" s="4">
        <f t="shared" si="23"/>
        <v>1659.6579361644942</v>
      </c>
      <c r="AD50" s="4">
        <f t="shared" si="23"/>
        <v>1742.6408329727187</v>
      </c>
      <c r="AE50" s="4">
        <f t="shared" si="23"/>
        <v>1829.7728746213547</v>
      </c>
      <c r="AF50" s="4">
        <f t="shared" si="23"/>
        <v>1921.2615183524224</v>
      </c>
      <c r="AG50" s="4">
        <f t="shared" si="23"/>
        <v>2017.3245942700437</v>
      </c>
      <c r="AH50" s="4">
        <f t="shared" si="23"/>
        <v>2118.1908239835461</v>
      </c>
      <c r="AI50" s="4">
        <f t="shared" si="23"/>
        <v>2224.1003651827227</v>
      </c>
      <c r="AJ50" s="4">
        <f t="shared" si="23"/>
        <v>2335.3053834418592</v>
      </c>
      <c r="AK50" s="4">
        <f t="shared" si="23"/>
        <v>2452.070652613952</v>
      </c>
      <c r="AL50" s="4">
        <f t="shared" si="23"/>
        <v>2574.6741852446494</v>
      </c>
      <c r="AM50" s="4">
        <f t="shared" si="23"/>
        <v>2703.4078945068818</v>
      </c>
      <c r="AN50" s="4">
        <f t="shared" si="23"/>
        <v>2838.5782892322263</v>
      </c>
      <c r="AO50" s="4">
        <f t="shared" si="23"/>
        <v>2980.5072036938373</v>
      </c>
      <c r="AP50" s="4">
        <f t="shared" si="23"/>
        <v>3129.5325638785289</v>
      </c>
      <c r="AQ50" s="4">
        <f t="shared" si="23"/>
        <v>3286.0091920724562</v>
      </c>
      <c r="AR50" s="4">
        <f t="shared" si="23"/>
        <v>3450.3096516760788</v>
      </c>
      <c r="AS50" s="4">
        <f t="shared" si="23"/>
        <v>3622.8251342598833</v>
      </c>
      <c r="AT50" s="4">
        <f t="shared" si="23"/>
        <v>3803.966390972877</v>
      </c>
      <c r="AU50" s="4">
        <f t="shared" si="23"/>
        <v>3994.1647105215216</v>
      </c>
      <c r="AV50" s="4">
        <f t="shared" si="23"/>
        <v>4193.8729460475979</v>
      </c>
      <c r="AW50" s="4">
        <f t="shared" si="23"/>
        <v>4403.5665933499768</v>
      </c>
      <c r="AX50" s="4">
        <f t="shared" si="23"/>
        <v>4623.7449230174761</v>
      </c>
      <c r="AY50" s="4">
        <f t="shared" si="23"/>
        <v>4854.9321691683508</v>
      </c>
      <c r="AZ50" s="4">
        <f t="shared" si="23"/>
        <v>5097.6787776267684</v>
      </c>
      <c r="BA50" s="4">
        <f t="shared" si="23"/>
        <v>5352.562716508106</v>
      </c>
      <c r="BB50" s="4">
        <f t="shared" si="23"/>
        <v>5620.1908523335114</v>
      </c>
      <c r="BC50" s="4">
        <f t="shared" si="23"/>
        <v>5901.2003949501877</v>
      </c>
      <c r="BD50" s="4">
        <f t="shared" si="23"/>
        <v>6196.2604146976964</v>
      </c>
      <c r="BE50" s="4">
        <f t="shared" si="23"/>
        <v>6506.0734354325805</v>
      </c>
      <c r="BF50" s="4">
        <f t="shared" si="23"/>
        <v>6831.3771072042118</v>
      </c>
    </row>
    <row r="51" spans="2:59" x14ac:dyDescent="0.25">
      <c r="B51" t="s">
        <v>78</v>
      </c>
      <c r="C51" s="4">
        <f>+C49-C50</f>
        <v>2400</v>
      </c>
      <c r="D51" s="4">
        <f t="shared" ref="D51:BF51" si="24">+D49-D50</f>
        <v>2685.4404883200309</v>
      </c>
      <c r="E51" s="4">
        <f t="shared" si="24"/>
        <v>2907.6544626029599</v>
      </c>
      <c r="F51" s="4">
        <f t="shared" si="24"/>
        <v>3057.3145794395455</v>
      </c>
      <c r="G51" s="4">
        <f t="shared" si="24"/>
        <v>3164.0201821975224</v>
      </c>
      <c r="H51" s="4">
        <f t="shared" si="24"/>
        <v>3332.0462010073179</v>
      </c>
      <c r="I51" s="4">
        <f t="shared" si="24"/>
        <v>2502.0304852284312</v>
      </c>
      <c r="J51" s="4">
        <f t="shared" si="24"/>
        <v>2627.1320094898533</v>
      </c>
      <c r="K51" s="4">
        <f t="shared" si="24"/>
        <v>2758.4886099643459</v>
      </c>
      <c r="L51" s="4">
        <f t="shared" si="24"/>
        <v>2896.413040462563</v>
      </c>
      <c r="M51" s="4">
        <f t="shared" si="24"/>
        <v>3041.2336924856909</v>
      </c>
      <c r="N51" s="4">
        <f t="shared" si="24"/>
        <v>3193.2953771099756</v>
      </c>
      <c r="O51" s="4">
        <f t="shared" si="24"/>
        <v>3352.9601459654746</v>
      </c>
      <c r="P51" s="4">
        <f t="shared" si="24"/>
        <v>3520.6081532637472</v>
      </c>
      <c r="Q51" s="4">
        <f t="shared" si="24"/>
        <v>3696.638560926936</v>
      </c>
      <c r="R51" s="4">
        <f t="shared" si="24"/>
        <v>3881.470488973282</v>
      </c>
      <c r="S51" s="4">
        <f t="shared" si="24"/>
        <v>4075.5440134219461</v>
      </c>
      <c r="T51" s="4">
        <f t="shared" si="24"/>
        <v>4279.3212140930427</v>
      </c>
      <c r="U51" s="4">
        <f t="shared" si="24"/>
        <v>4493.2872747976962</v>
      </c>
      <c r="V51" s="4">
        <f t="shared" si="24"/>
        <v>4717.95163853758</v>
      </c>
      <c r="W51" s="4">
        <f t="shared" si="24"/>
        <v>4953.849220464459</v>
      </c>
      <c r="X51" s="4">
        <f t="shared" si="24"/>
        <v>5201.5416814876826</v>
      </c>
      <c r="Y51" s="4">
        <f t="shared" si="24"/>
        <v>5461.6187655620652</v>
      </c>
      <c r="Z51" s="4">
        <f t="shared" si="24"/>
        <v>5734.6997038401687</v>
      </c>
      <c r="AA51" s="4">
        <f t="shared" si="24"/>
        <v>6021.4346890321776</v>
      </c>
      <c r="AB51" s="4">
        <f t="shared" si="24"/>
        <v>6322.5064234837864</v>
      </c>
      <c r="AC51" s="4">
        <f t="shared" si="24"/>
        <v>6638.631744657976</v>
      </c>
      <c r="AD51" s="4">
        <f t="shared" si="24"/>
        <v>6970.5633318908749</v>
      </c>
      <c r="AE51" s="4">
        <f t="shared" si="24"/>
        <v>7319.0914984854189</v>
      </c>
      <c r="AF51" s="4">
        <f t="shared" si="24"/>
        <v>7685.0460734096896</v>
      </c>
      <c r="AG51" s="4">
        <f t="shared" si="24"/>
        <v>8069.2983770801748</v>
      </c>
      <c r="AH51" s="4">
        <f t="shared" si="24"/>
        <v>8472.7632959341827</v>
      </c>
      <c r="AI51" s="4">
        <f t="shared" si="24"/>
        <v>8896.4014607308891</v>
      </c>
      <c r="AJ51" s="4">
        <f t="shared" si="24"/>
        <v>9341.221533767437</v>
      </c>
      <c r="AK51" s="4">
        <f t="shared" si="24"/>
        <v>9808.282610455808</v>
      </c>
      <c r="AL51" s="4">
        <f t="shared" si="24"/>
        <v>10298.696740978598</v>
      </c>
      <c r="AM51" s="4">
        <f t="shared" si="24"/>
        <v>10813.631578027527</v>
      </c>
      <c r="AN51" s="4">
        <f t="shared" si="24"/>
        <v>11354.313156928905</v>
      </c>
      <c r="AO51" s="4">
        <f t="shared" si="24"/>
        <v>11922.028814775349</v>
      </c>
      <c r="AP51" s="4">
        <f t="shared" si="24"/>
        <v>12518.130255514116</v>
      </c>
      <c r="AQ51" s="4">
        <f t="shared" si="24"/>
        <v>13144.036768289825</v>
      </c>
      <c r="AR51" s="4">
        <f t="shared" si="24"/>
        <v>13801.238606704315</v>
      </c>
      <c r="AS51" s="4">
        <f t="shared" si="24"/>
        <v>14491.300537039531</v>
      </c>
      <c r="AT51" s="4">
        <f t="shared" si="24"/>
        <v>15215.865563891508</v>
      </c>
      <c r="AU51" s="4">
        <f t="shared" si="24"/>
        <v>15976.658842086084</v>
      </c>
      <c r="AV51" s="4">
        <f t="shared" si="24"/>
        <v>16775.491784190388</v>
      </c>
      <c r="AW51" s="4">
        <f t="shared" si="24"/>
        <v>17614.266373399907</v>
      </c>
      <c r="AX51" s="4">
        <f t="shared" si="24"/>
        <v>18494.979692069905</v>
      </c>
      <c r="AY51" s="4">
        <f t="shared" si="24"/>
        <v>19419.728676673403</v>
      </c>
      <c r="AZ51" s="4">
        <f t="shared" si="24"/>
        <v>20390.715110507073</v>
      </c>
      <c r="BA51" s="4">
        <f t="shared" si="24"/>
        <v>21410.250866032424</v>
      </c>
      <c r="BB51" s="4">
        <f t="shared" si="24"/>
        <v>22480.763409334046</v>
      </c>
      <c r="BC51" s="4">
        <f t="shared" si="24"/>
        <v>23604.801579800747</v>
      </c>
      <c r="BD51" s="4">
        <f t="shared" si="24"/>
        <v>24785.041658790786</v>
      </c>
      <c r="BE51" s="4">
        <f t="shared" si="24"/>
        <v>26024.293741730322</v>
      </c>
      <c r="BF51" s="4">
        <f t="shared" si="24"/>
        <v>27325.508428816847</v>
      </c>
    </row>
    <row r="52" spans="2:59" x14ac:dyDescent="0.25">
      <c r="B52" t="s">
        <v>80</v>
      </c>
      <c r="C52" s="4">
        <f>+C51-C53</f>
        <v>1382.8484228565867</v>
      </c>
      <c r="D52" s="4">
        <f t="shared" ref="D52:BF52" si="25">+D51-D53</f>
        <v>2019.8020024729281</v>
      </c>
      <c r="E52" s="4">
        <f t="shared" si="25"/>
        <v>2762.0391416366683</v>
      </c>
      <c r="F52" s="4">
        <f t="shared" si="25"/>
        <v>2953.6759214541703</v>
      </c>
      <c r="G52" s="4">
        <f t="shared" si="25"/>
        <v>2223.3767445476024</v>
      </c>
      <c r="H52" s="4">
        <f t="shared" si="25"/>
        <v>1771.4871933883014</v>
      </c>
      <c r="I52" s="4">
        <f t="shared" si="25"/>
        <v>1530.3681608678703</v>
      </c>
      <c r="J52" s="4">
        <f t="shared" si="25"/>
        <v>1606.8865689112704</v>
      </c>
      <c r="K52" s="4">
        <f t="shared" si="25"/>
        <v>1687.2308973568338</v>
      </c>
      <c r="L52" s="4">
        <f t="shared" si="25"/>
        <v>1771.5924422246735</v>
      </c>
      <c r="M52" s="4">
        <f t="shared" si="25"/>
        <v>1860.1720643359122</v>
      </c>
      <c r="N52" s="4">
        <f t="shared" si="25"/>
        <v>1953.1806675527014</v>
      </c>
      <c r="O52" s="4">
        <f t="shared" si="25"/>
        <v>2050.8397009303385</v>
      </c>
      <c r="P52" s="4">
        <f t="shared" si="25"/>
        <v>2153.3816859768522</v>
      </c>
      <c r="Q52" s="4">
        <f t="shared" si="25"/>
        <v>2261.0507702757036</v>
      </c>
      <c r="R52" s="4">
        <f t="shared" si="25"/>
        <v>2374.103308789483</v>
      </c>
      <c r="S52" s="4">
        <f t="shared" si="25"/>
        <v>2492.8084742289575</v>
      </c>
      <c r="T52" s="4">
        <f t="shared" si="25"/>
        <v>2617.4488979404068</v>
      </c>
      <c r="U52" s="4">
        <f t="shared" si="25"/>
        <v>2748.3213428374238</v>
      </c>
      <c r="V52" s="4">
        <f t="shared" si="25"/>
        <v>2885.7374099792914</v>
      </c>
      <c r="W52" s="4">
        <f t="shared" si="25"/>
        <v>3030.0242804782629</v>
      </c>
      <c r="X52" s="4">
        <f t="shared" si="25"/>
        <v>3181.5254945021752</v>
      </c>
      <c r="Y52" s="4">
        <f t="shared" si="25"/>
        <v>3340.6017692272853</v>
      </c>
      <c r="Z52" s="4">
        <f t="shared" si="25"/>
        <v>3507.6318576886415</v>
      </c>
      <c r="AA52" s="4">
        <f t="shared" si="25"/>
        <v>3683.0134505730766</v>
      </c>
      <c r="AB52" s="4">
        <f t="shared" si="25"/>
        <v>3867.1641231017365</v>
      </c>
      <c r="AC52" s="4">
        <f t="shared" si="25"/>
        <v>4060.5223292568171</v>
      </c>
      <c r="AD52" s="4">
        <f t="shared" si="25"/>
        <v>4263.5484457196526</v>
      </c>
      <c r="AE52" s="4">
        <f t="shared" si="25"/>
        <v>4476.7258680056493</v>
      </c>
      <c r="AF52" s="4">
        <f t="shared" si="25"/>
        <v>4700.5621614059319</v>
      </c>
      <c r="AG52" s="4">
        <f t="shared" si="25"/>
        <v>4935.5902694762281</v>
      </c>
      <c r="AH52" s="4">
        <f t="shared" si="25"/>
        <v>5182.3697829500416</v>
      </c>
      <c r="AI52" s="4">
        <f t="shared" si="25"/>
        <v>5441.4882720975256</v>
      </c>
      <c r="AJ52" s="4">
        <f t="shared" si="25"/>
        <v>5713.5626857024126</v>
      </c>
      <c r="AK52" s="4">
        <f t="shared" si="25"/>
        <v>5999.2408199875244</v>
      </c>
      <c r="AL52" s="4">
        <f t="shared" si="25"/>
        <v>6299.2028609869121</v>
      </c>
      <c r="AM52" s="4">
        <f t="shared" si="25"/>
        <v>6614.1630040362597</v>
      </c>
      <c r="AN52" s="4">
        <f t="shared" si="25"/>
        <v>6944.8711542380715</v>
      </c>
      <c r="AO52" s="4">
        <f t="shared" si="25"/>
        <v>7292.1147119499692</v>
      </c>
      <c r="AP52" s="4">
        <f t="shared" si="25"/>
        <v>7656.7204475474573</v>
      </c>
      <c r="AQ52" s="4">
        <f t="shared" si="25"/>
        <v>8039.5564699248534</v>
      </c>
      <c r="AR52" s="4">
        <f t="shared" si="25"/>
        <v>8441.5342934210821</v>
      </c>
      <c r="AS52" s="4">
        <f t="shared" si="25"/>
        <v>8863.6110080921408</v>
      </c>
      <c r="AT52" s="4">
        <f t="shared" si="25"/>
        <v>9306.7915584967559</v>
      </c>
      <c r="AU52" s="4">
        <f t="shared" si="25"/>
        <v>9772.1311364215999</v>
      </c>
      <c r="AV52" s="4">
        <f t="shared" si="25"/>
        <v>10260.737693242663</v>
      </c>
      <c r="AW52" s="4">
        <f t="shared" si="25"/>
        <v>10773.774577904813</v>
      </c>
      <c r="AX52" s="4">
        <f t="shared" si="25"/>
        <v>11312.463306800029</v>
      </c>
      <c r="AY52" s="4">
        <f t="shared" si="25"/>
        <v>11878.086472140043</v>
      </c>
      <c r="AZ52" s="4">
        <f t="shared" si="25"/>
        <v>12471.990795747064</v>
      </c>
      <c r="BA52" s="4">
        <f t="shared" si="25"/>
        <v>13095.590335534376</v>
      </c>
      <c r="BB52" s="4">
        <f t="shared" si="25"/>
        <v>13750.369852311138</v>
      </c>
      <c r="BC52" s="4">
        <f t="shared" si="25"/>
        <v>14437.888344926665</v>
      </c>
      <c r="BD52" s="4">
        <f t="shared" si="25"/>
        <v>15159.782762173014</v>
      </c>
      <c r="BE52" s="4">
        <f t="shared" si="25"/>
        <v>15917.771900281648</v>
      </c>
      <c r="BF52" s="4">
        <f t="shared" si="25"/>
        <v>0</v>
      </c>
    </row>
    <row r="53" spans="2:59" x14ac:dyDescent="0.25">
      <c r="B53" t="s">
        <v>81</v>
      </c>
      <c r="C53" s="4">
        <f>+IF(C51&lt;0,C51,MAX(0,MIN(C51,C55)))</f>
        <v>1017.1515771434133</v>
      </c>
      <c r="D53" s="4">
        <f t="shared" ref="D53:BF53" si="26">+IF(D51&lt;0,D51,MAX(0,MIN(D51,D55)))</f>
        <v>665.63848584710286</v>
      </c>
      <c r="E53" s="4">
        <f t="shared" si="26"/>
        <v>145.61532096629162</v>
      </c>
      <c r="F53" s="4">
        <f t="shared" si="26"/>
        <v>103.63865798537518</v>
      </c>
      <c r="G53" s="4">
        <f t="shared" si="26"/>
        <v>940.64343764992009</v>
      </c>
      <c r="H53" s="4">
        <f t="shared" si="26"/>
        <v>1560.5590076190165</v>
      </c>
      <c r="I53" s="4">
        <f t="shared" si="26"/>
        <v>971.66232436056089</v>
      </c>
      <c r="J53" s="4">
        <f t="shared" si="26"/>
        <v>1020.2454405785829</v>
      </c>
      <c r="K53" s="4">
        <f t="shared" si="26"/>
        <v>1071.2577126075121</v>
      </c>
      <c r="L53" s="4">
        <f t="shared" si="26"/>
        <v>1124.8205982378895</v>
      </c>
      <c r="M53" s="4">
        <f t="shared" si="26"/>
        <v>1181.0616281497787</v>
      </c>
      <c r="N53" s="4">
        <f t="shared" si="26"/>
        <v>1240.1147095572742</v>
      </c>
      <c r="O53" s="4">
        <f t="shared" si="26"/>
        <v>1302.1204450351361</v>
      </c>
      <c r="P53" s="4">
        <f t="shared" si="26"/>
        <v>1367.2264672868951</v>
      </c>
      <c r="Q53" s="4">
        <f t="shared" si="26"/>
        <v>1435.5877906512324</v>
      </c>
      <c r="R53" s="4">
        <f t="shared" si="26"/>
        <v>1507.3671801837991</v>
      </c>
      <c r="S53" s="4">
        <f t="shared" si="26"/>
        <v>1582.7355391929887</v>
      </c>
      <c r="T53" s="4">
        <f t="shared" si="26"/>
        <v>1661.8723161526359</v>
      </c>
      <c r="U53" s="4">
        <f t="shared" si="26"/>
        <v>1744.9659319602724</v>
      </c>
      <c r="V53" s="4">
        <f t="shared" si="26"/>
        <v>1832.2142285582886</v>
      </c>
      <c r="W53" s="4">
        <f t="shared" si="26"/>
        <v>1923.8249399861961</v>
      </c>
      <c r="X53" s="4">
        <f t="shared" si="26"/>
        <v>2020.0161869855074</v>
      </c>
      <c r="Y53" s="4">
        <f t="shared" si="26"/>
        <v>2121.0169963347798</v>
      </c>
      <c r="Z53" s="4">
        <f t="shared" si="26"/>
        <v>2227.0678461515272</v>
      </c>
      <c r="AA53" s="4">
        <f t="shared" si="26"/>
        <v>2338.421238459101</v>
      </c>
      <c r="AB53" s="4">
        <f t="shared" si="26"/>
        <v>2455.3423003820499</v>
      </c>
      <c r="AC53" s="4">
        <f t="shared" si="26"/>
        <v>2578.1094154011589</v>
      </c>
      <c r="AD53" s="4">
        <f t="shared" si="26"/>
        <v>2707.0148861712223</v>
      </c>
      <c r="AE53" s="4">
        <f t="shared" si="26"/>
        <v>2842.3656304797696</v>
      </c>
      <c r="AF53" s="4">
        <f t="shared" si="26"/>
        <v>2984.4839120037577</v>
      </c>
      <c r="AG53" s="4">
        <f t="shared" si="26"/>
        <v>3133.7081076039467</v>
      </c>
      <c r="AH53" s="4">
        <f t="shared" si="26"/>
        <v>3290.3935129841411</v>
      </c>
      <c r="AI53" s="4">
        <f t="shared" si="26"/>
        <v>3454.9131886333635</v>
      </c>
      <c r="AJ53" s="4">
        <f t="shared" si="26"/>
        <v>3627.6588480650244</v>
      </c>
      <c r="AK53" s="4">
        <f t="shared" si="26"/>
        <v>3809.0417904682836</v>
      </c>
      <c r="AL53" s="4">
        <f t="shared" si="26"/>
        <v>3999.4938799916854</v>
      </c>
      <c r="AM53" s="4">
        <f t="shared" si="26"/>
        <v>4199.4685739912675</v>
      </c>
      <c r="AN53" s="4">
        <f t="shared" si="26"/>
        <v>4409.4420026908338</v>
      </c>
      <c r="AO53" s="4">
        <f t="shared" si="26"/>
        <v>4629.9141028253798</v>
      </c>
      <c r="AP53" s="4">
        <f t="shared" si="26"/>
        <v>4861.4098079666583</v>
      </c>
      <c r="AQ53" s="4">
        <f t="shared" si="26"/>
        <v>5104.4802983649715</v>
      </c>
      <c r="AR53" s="4">
        <f t="shared" si="26"/>
        <v>5359.7043132832332</v>
      </c>
      <c r="AS53" s="4">
        <f t="shared" si="26"/>
        <v>5627.6895289473905</v>
      </c>
      <c r="AT53" s="4">
        <f t="shared" si="26"/>
        <v>5909.074005394752</v>
      </c>
      <c r="AU53" s="4">
        <f t="shared" si="26"/>
        <v>6204.5277056644845</v>
      </c>
      <c r="AV53" s="4">
        <f t="shared" si="26"/>
        <v>6514.7540909477248</v>
      </c>
      <c r="AW53" s="4">
        <f t="shared" si="26"/>
        <v>6840.4917954950943</v>
      </c>
      <c r="AX53" s="4">
        <f t="shared" si="26"/>
        <v>7182.5163852698752</v>
      </c>
      <c r="AY53" s="4">
        <f t="shared" si="26"/>
        <v>7541.6422045333602</v>
      </c>
      <c r="AZ53" s="4">
        <f t="shared" si="26"/>
        <v>7918.7243147600093</v>
      </c>
      <c r="BA53" s="4">
        <f t="shared" si="26"/>
        <v>8314.6605304980476</v>
      </c>
      <c r="BB53" s="4">
        <f t="shared" si="26"/>
        <v>8730.3935570229078</v>
      </c>
      <c r="BC53" s="4">
        <f t="shared" si="26"/>
        <v>9166.9132348740823</v>
      </c>
      <c r="BD53" s="4">
        <f t="shared" si="26"/>
        <v>9625.2588966177718</v>
      </c>
      <c r="BE53" s="4">
        <f t="shared" si="26"/>
        <v>10106.521841448674</v>
      </c>
      <c r="BF53" s="4">
        <f t="shared" si="26"/>
        <v>27325.508428816847</v>
      </c>
    </row>
    <row r="55" spans="2:59" x14ac:dyDescent="0.25">
      <c r="B55" t="s">
        <v>82</v>
      </c>
      <c r="C55" s="4">
        <f>+D65-C65</f>
        <v>1017.1515771434133</v>
      </c>
      <c r="D55" s="4">
        <f t="shared" ref="D55:BF55" si="27">+E65-D65</f>
        <v>665.63848584710286</v>
      </c>
      <c r="E55" s="4">
        <f t="shared" si="27"/>
        <v>145.61532096629162</v>
      </c>
      <c r="F55" s="4">
        <f t="shared" si="27"/>
        <v>103.63865798537518</v>
      </c>
      <c r="G55" s="4">
        <f t="shared" si="27"/>
        <v>940.64343764992009</v>
      </c>
      <c r="H55" s="4">
        <f t="shared" si="27"/>
        <v>1560.5590076190165</v>
      </c>
      <c r="I55" s="4">
        <f t="shared" si="27"/>
        <v>971.66232436056089</v>
      </c>
      <c r="J55" s="4">
        <f t="shared" si="27"/>
        <v>1020.2454405785829</v>
      </c>
      <c r="K55" s="4">
        <f t="shared" si="27"/>
        <v>1071.2577126075121</v>
      </c>
      <c r="L55" s="4">
        <f t="shared" si="27"/>
        <v>1124.8205982378895</v>
      </c>
      <c r="M55" s="4">
        <f t="shared" si="27"/>
        <v>1181.0616281497787</v>
      </c>
      <c r="N55" s="4">
        <f t="shared" si="27"/>
        <v>1240.1147095572742</v>
      </c>
      <c r="O55" s="4">
        <f t="shared" si="27"/>
        <v>1302.1204450351361</v>
      </c>
      <c r="P55" s="4">
        <f t="shared" si="27"/>
        <v>1367.2264672868951</v>
      </c>
      <c r="Q55" s="4">
        <f t="shared" si="27"/>
        <v>1435.5877906512324</v>
      </c>
      <c r="R55" s="4">
        <f t="shared" si="27"/>
        <v>1507.3671801837991</v>
      </c>
      <c r="S55" s="4">
        <f t="shared" si="27"/>
        <v>1582.7355391929887</v>
      </c>
      <c r="T55" s="4">
        <f t="shared" si="27"/>
        <v>1661.8723161526359</v>
      </c>
      <c r="U55" s="4">
        <f t="shared" si="27"/>
        <v>1744.9659319602724</v>
      </c>
      <c r="V55" s="4">
        <f t="shared" si="27"/>
        <v>1832.2142285582886</v>
      </c>
      <c r="W55" s="4">
        <f t="shared" si="27"/>
        <v>1923.8249399861961</v>
      </c>
      <c r="X55" s="4">
        <f t="shared" si="27"/>
        <v>2020.0161869855074</v>
      </c>
      <c r="Y55" s="4">
        <f t="shared" si="27"/>
        <v>2121.0169963347798</v>
      </c>
      <c r="Z55" s="4">
        <f t="shared" si="27"/>
        <v>2227.0678461515272</v>
      </c>
      <c r="AA55" s="4">
        <f t="shared" si="27"/>
        <v>2338.421238459101</v>
      </c>
      <c r="AB55" s="4">
        <f t="shared" si="27"/>
        <v>2455.3423003820499</v>
      </c>
      <c r="AC55" s="4">
        <f t="shared" si="27"/>
        <v>2578.1094154011589</v>
      </c>
      <c r="AD55" s="4">
        <f t="shared" si="27"/>
        <v>2707.0148861712223</v>
      </c>
      <c r="AE55" s="4">
        <f t="shared" si="27"/>
        <v>2842.3656304797696</v>
      </c>
      <c r="AF55" s="4">
        <f t="shared" si="27"/>
        <v>2984.4839120037577</v>
      </c>
      <c r="AG55" s="4">
        <f t="shared" si="27"/>
        <v>3133.7081076039467</v>
      </c>
      <c r="AH55" s="4">
        <f t="shared" si="27"/>
        <v>3290.3935129841411</v>
      </c>
      <c r="AI55" s="4">
        <f t="shared" si="27"/>
        <v>3454.9131886333635</v>
      </c>
      <c r="AJ55" s="4">
        <f t="shared" si="27"/>
        <v>3627.6588480650244</v>
      </c>
      <c r="AK55" s="4">
        <f t="shared" si="27"/>
        <v>3809.0417904682836</v>
      </c>
      <c r="AL55" s="4">
        <f t="shared" si="27"/>
        <v>3999.4938799916854</v>
      </c>
      <c r="AM55" s="4">
        <f t="shared" si="27"/>
        <v>4199.4685739912675</v>
      </c>
      <c r="AN55" s="4">
        <f t="shared" si="27"/>
        <v>4409.4420026908338</v>
      </c>
      <c r="AO55" s="4">
        <f t="shared" si="27"/>
        <v>4629.9141028253798</v>
      </c>
      <c r="AP55" s="4">
        <f t="shared" si="27"/>
        <v>4861.4098079666583</v>
      </c>
      <c r="AQ55" s="4">
        <f t="shared" si="27"/>
        <v>5104.4802983649715</v>
      </c>
      <c r="AR55" s="4">
        <f t="shared" si="27"/>
        <v>5359.7043132832332</v>
      </c>
      <c r="AS55" s="4">
        <f t="shared" si="27"/>
        <v>5627.6895289473905</v>
      </c>
      <c r="AT55" s="4">
        <f t="shared" si="27"/>
        <v>5909.074005394752</v>
      </c>
      <c r="AU55" s="4">
        <f t="shared" si="27"/>
        <v>6204.5277056644845</v>
      </c>
      <c r="AV55" s="4">
        <f t="shared" si="27"/>
        <v>6514.7540909477248</v>
      </c>
      <c r="AW55" s="4">
        <f t="shared" si="27"/>
        <v>6840.4917954950943</v>
      </c>
      <c r="AX55" s="4">
        <f t="shared" si="27"/>
        <v>7182.5163852698752</v>
      </c>
      <c r="AY55" s="4">
        <f t="shared" si="27"/>
        <v>7541.6422045333602</v>
      </c>
      <c r="AZ55" s="4">
        <f t="shared" si="27"/>
        <v>7918.7243147600093</v>
      </c>
      <c r="BA55" s="4">
        <f t="shared" si="27"/>
        <v>8314.6605304980476</v>
      </c>
      <c r="BB55" s="4">
        <f t="shared" si="27"/>
        <v>8730.3935570229078</v>
      </c>
      <c r="BC55" s="4">
        <f t="shared" si="27"/>
        <v>9166.9132348740823</v>
      </c>
      <c r="BD55" s="4">
        <f t="shared" si="27"/>
        <v>9625.2588966177718</v>
      </c>
      <c r="BE55" s="4">
        <f t="shared" si="27"/>
        <v>10106.521841448674</v>
      </c>
      <c r="BF55" s="4"/>
    </row>
    <row r="56" spans="2:59" x14ac:dyDescent="0.25">
      <c r="B56" t="s">
        <v>83</v>
      </c>
      <c r="C56" s="4">
        <f>+C55-C53</f>
        <v>0</v>
      </c>
      <c r="D56" s="4">
        <f t="shared" ref="D56:BE56" si="28">+D55-D53</f>
        <v>0</v>
      </c>
      <c r="E56" s="4">
        <f t="shared" si="28"/>
        <v>0</v>
      </c>
      <c r="F56" s="4">
        <f t="shared" si="28"/>
        <v>0</v>
      </c>
      <c r="G56" s="4">
        <f t="shared" si="28"/>
        <v>0</v>
      </c>
      <c r="H56" s="4">
        <f t="shared" si="28"/>
        <v>0</v>
      </c>
      <c r="I56" s="4">
        <f t="shared" si="28"/>
        <v>0</v>
      </c>
      <c r="J56" s="4">
        <f t="shared" si="28"/>
        <v>0</v>
      </c>
      <c r="K56" s="4">
        <f t="shared" si="28"/>
        <v>0</v>
      </c>
      <c r="L56" s="4">
        <f t="shared" si="28"/>
        <v>0</v>
      </c>
      <c r="M56" s="4">
        <f t="shared" si="28"/>
        <v>0</v>
      </c>
      <c r="N56" s="4">
        <f t="shared" si="28"/>
        <v>0</v>
      </c>
      <c r="O56" s="4">
        <f t="shared" si="28"/>
        <v>0</v>
      </c>
      <c r="P56" s="4">
        <f t="shared" si="28"/>
        <v>0</v>
      </c>
      <c r="Q56" s="4">
        <f t="shared" si="28"/>
        <v>0</v>
      </c>
      <c r="R56" s="4">
        <f t="shared" si="28"/>
        <v>0</v>
      </c>
      <c r="S56" s="4">
        <f t="shared" si="28"/>
        <v>0</v>
      </c>
      <c r="T56" s="4">
        <f t="shared" si="28"/>
        <v>0</v>
      </c>
      <c r="U56" s="4">
        <f t="shared" si="28"/>
        <v>0</v>
      </c>
      <c r="V56" s="4">
        <f t="shared" si="28"/>
        <v>0</v>
      </c>
      <c r="W56" s="4">
        <f t="shared" si="28"/>
        <v>0</v>
      </c>
      <c r="X56" s="4">
        <f t="shared" si="28"/>
        <v>0</v>
      </c>
      <c r="Y56" s="4">
        <f t="shared" si="28"/>
        <v>0</v>
      </c>
      <c r="Z56" s="4">
        <f t="shared" si="28"/>
        <v>0</v>
      </c>
      <c r="AA56" s="4">
        <f t="shared" si="28"/>
        <v>0</v>
      </c>
      <c r="AB56" s="4">
        <f t="shared" si="28"/>
        <v>0</v>
      </c>
      <c r="AC56" s="4">
        <f t="shared" si="28"/>
        <v>0</v>
      </c>
      <c r="AD56" s="4">
        <f t="shared" si="28"/>
        <v>0</v>
      </c>
      <c r="AE56" s="4">
        <f t="shared" si="28"/>
        <v>0</v>
      </c>
      <c r="AF56" s="4">
        <f t="shared" si="28"/>
        <v>0</v>
      </c>
      <c r="AG56" s="4">
        <f t="shared" si="28"/>
        <v>0</v>
      </c>
      <c r="AH56" s="4">
        <f t="shared" si="28"/>
        <v>0</v>
      </c>
      <c r="AI56" s="4">
        <f t="shared" si="28"/>
        <v>0</v>
      </c>
      <c r="AJ56" s="4">
        <f t="shared" si="28"/>
        <v>0</v>
      </c>
      <c r="AK56" s="4">
        <f t="shared" si="28"/>
        <v>0</v>
      </c>
      <c r="AL56" s="4">
        <f t="shared" si="28"/>
        <v>0</v>
      </c>
      <c r="AM56" s="4">
        <f t="shared" si="28"/>
        <v>0</v>
      </c>
      <c r="AN56" s="4">
        <f t="shared" si="28"/>
        <v>0</v>
      </c>
      <c r="AO56" s="4">
        <f t="shared" si="28"/>
        <v>0</v>
      </c>
      <c r="AP56" s="4">
        <f t="shared" si="28"/>
        <v>0</v>
      </c>
      <c r="AQ56" s="4">
        <f t="shared" si="28"/>
        <v>0</v>
      </c>
      <c r="AR56" s="4">
        <f t="shared" si="28"/>
        <v>0</v>
      </c>
      <c r="AS56" s="4">
        <f t="shared" si="28"/>
        <v>0</v>
      </c>
      <c r="AT56" s="4">
        <f t="shared" si="28"/>
        <v>0</v>
      </c>
      <c r="AU56" s="4">
        <f t="shared" si="28"/>
        <v>0</v>
      </c>
      <c r="AV56" s="4">
        <f t="shared" si="28"/>
        <v>0</v>
      </c>
      <c r="AW56" s="4">
        <f t="shared" si="28"/>
        <v>0</v>
      </c>
      <c r="AX56" s="4">
        <f t="shared" si="28"/>
        <v>0</v>
      </c>
      <c r="AY56" s="4">
        <f t="shared" si="28"/>
        <v>0</v>
      </c>
      <c r="AZ56" s="4">
        <f t="shared" si="28"/>
        <v>0</v>
      </c>
      <c r="BA56" s="4">
        <f t="shared" si="28"/>
        <v>0</v>
      </c>
      <c r="BB56" s="4">
        <f t="shared" si="28"/>
        <v>0</v>
      </c>
      <c r="BC56" s="4">
        <f t="shared" si="28"/>
        <v>0</v>
      </c>
      <c r="BD56" s="4">
        <f t="shared" si="28"/>
        <v>0</v>
      </c>
      <c r="BE56" s="4">
        <f t="shared" si="28"/>
        <v>0</v>
      </c>
      <c r="BF56" s="4"/>
    </row>
    <row r="58" spans="2:59" x14ac:dyDescent="0.25">
      <c r="B58" t="s">
        <v>18</v>
      </c>
      <c r="I58" s="2" t="s">
        <v>7</v>
      </c>
      <c r="J58" s="2" t="s">
        <v>8</v>
      </c>
      <c r="K58" s="2" t="s">
        <v>16</v>
      </c>
      <c r="L58" s="2" t="s">
        <v>17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  <c r="V58" s="2" t="s">
        <v>29</v>
      </c>
      <c r="W58" s="2" t="s">
        <v>30</v>
      </c>
      <c r="X58" s="2" t="s">
        <v>31</v>
      </c>
      <c r="Y58" s="2" t="s">
        <v>32</v>
      </c>
      <c r="Z58" s="2" t="s">
        <v>33</v>
      </c>
      <c r="AA58" s="2" t="s">
        <v>34</v>
      </c>
      <c r="AB58" s="2" t="s">
        <v>35</v>
      </c>
      <c r="AC58" s="2" t="s">
        <v>36</v>
      </c>
      <c r="AD58" s="2" t="s">
        <v>37</v>
      </c>
      <c r="AE58" s="2" t="s">
        <v>38</v>
      </c>
      <c r="AF58" s="2" t="s">
        <v>39</v>
      </c>
      <c r="AG58" s="2" t="s">
        <v>40</v>
      </c>
      <c r="AH58" s="2" t="s">
        <v>41</v>
      </c>
      <c r="AI58" s="2" t="s">
        <v>42</v>
      </c>
      <c r="AJ58" s="2" t="s">
        <v>43</v>
      </c>
      <c r="AK58" s="2" t="s">
        <v>44</v>
      </c>
      <c r="AL58" s="2" t="s">
        <v>45</v>
      </c>
      <c r="AM58" s="2" t="s">
        <v>46</v>
      </c>
      <c r="AN58" s="2" t="s">
        <v>47</v>
      </c>
      <c r="AO58" s="2" t="s">
        <v>48</v>
      </c>
      <c r="AP58" s="2" t="s">
        <v>49</v>
      </c>
      <c r="AQ58" s="2" t="s">
        <v>50</v>
      </c>
      <c r="AR58" s="2" t="s">
        <v>51</v>
      </c>
      <c r="AS58" s="2" t="s">
        <v>52</v>
      </c>
      <c r="AT58" s="2" t="s">
        <v>53</v>
      </c>
      <c r="AU58" s="2" t="s">
        <v>54</v>
      </c>
      <c r="AV58" s="2" t="s">
        <v>55</v>
      </c>
      <c r="AW58" s="2" t="s">
        <v>56</v>
      </c>
      <c r="AX58" s="2" t="s">
        <v>57</v>
      </c>
      <c r="AY58" s="2" t="s">
        <v>58</v>
      </c>
      <c r="AZ58" s="2" t="s">
        <v>59</v>
      </c>
      <c r="BA58" s="2" t="s">
        <v>60</v>
      </c>
      <c r="BB58" s="2" t="s">
        <v>61</v>
      </c>
      <c r="BC58" s="2" t="s">
        <v>62</v>
      </c>
      <c r="BD58" s="2" t="s">
        <v>63</v>
      </c>
      <c r="BE58" s="2" t="s">
        <v>64</v>
      </c>
      <c r="BF58" s="2" t="s">
        <v>65</v>
      </c>
    </row>
    <row r="59" spans="2:59" x14ac:dyDescent="0.25">
      <c r="B59" s="4" t="str">
        <f>+B37</f>
        <v>FCFF</v>
      </c>
      <c r="C59" s="4">
        <f t="shared" ref="C59:BF59" si="29">+C37</f>
        <v>479.99999999999955</v>
      </c>
      <c r="D59" s="4">
        <f t="shared" si="29"/>
        <v>1046.1176470588236</v>
      </c>
      <c r="E59" s="4">
        <f t="shared" si="29"/>
        <v>1557.4472727272725</v>
      </c>
      <c r="F59" s="4">
        <f t="shared" si="29"/>
        <v>2040.7139999999999</v>
      </c>
      <c r="G59" s="4">
        <f t="shared" si="29"/>
        <v>2191.9989311999998</v>
      </c>
      <c r="H59" s="4">
        <f t="shared" si="29"/>
        <v>1929.0461299199997</v>
      </c>
      <c r="I59" s="4">
        <f t="shared" si="29"/>
        <v>1617.8177700603253</v>
      </c>
      <c r="J59" s="4">
        <f t="shared" si="29"/>
        <v>1698.7086585633417</v>
      </c>
      <c r="K59" s="4">
        <f t="shared" si="29"/>
        <v>1783.644091491509</v>
      </c>
      <c r="L59" s="4">
        <f t="shared" si="29"/>
        <v>1872.8262960660843</v>
      </c>
      <c r="M59" s="4">
        <f t="shared" si="29"/>
        <v>1966.4676108693884</v>
      </c>
      <c r="N59" s="4">
        <f t="shared" si="29"/>
        <v>2064.7909914128577</v>
      </c>
      <c r="O59" s="4">
        <f t="shared" si="29"/>
        <v>2168.0305409835009</v>
      </c>
      <c r="P59" s="4">
        <f t="shared" si="29"/>
        <v>2276.4320680326759</v>
      </c>
      <c r="Q59" s="4">
        <f t="shared" si="29"/>
        <v>2390.2536714343096</v>
      </c>
      <c r="R59" s="4">
        <f t="shared" si="29"/>
        <v>2509.7663550060252</v>
      </c>
      <c r="S59" s="4">
        <f t="shared" si="29"/>
        <v>2635.2546727563263</v>
      </c>
      <c r="T59" s="4">
        <f t="shared" si="29"/>
        <v>2767.0174063941427</v>
      </c>
      <c r="U59" s="4">
        <f t="shared" si="29"/>
        <v>2905.3682767138498</v>
      </c>
      <c r="V59" s="4">
        <f t="shared" si="29"/>
        <v>3050.636690549542</v>
      </c>
      <c r="W59" s="4">
        <f t="shared" si="29"/>
        <v>3203.1685250770192</v>
      </c>
      <c r="X59" s="4">
        <f t="shared" si="29"/>
        <v>3363.3269513308701</v>
      </c>
      <c r="Y59" s="4">
        <f t="shared" si="29"/>
        <v>3531.4932988974138</v>
      </c>
      <c r="Z59" s="4">
        <f t="shared" si="29"/>
        <v>3708.0679638422839</v>
      </c>
      <c r="AA59" s="4">
        <f t="shared" si="29"/>
        <v>3893.4713620343987</v>
      </c>
      <c r="AB59" s="4">
        <f t="shared" si="29"/>
        <v>4088.1449301361181</v>
      </c>
      <c r="AC59" s="4">
        <f t="shared" si="29"/>
        <v>4292.5521766429247</v>
      </c>
      <c r="AD59" s="4">
        <f t="shared" si="29"/>
        <v>4507.1797854750712</v>
      </c>
      <c r="AE59" s="4">
        <f t="shared" si="29"/>
        <v>4732.5387747488239</v>
      </c>
      <c r="AF59" s="4">
        <f t="shared" si="29"/>
        <v>4969.1657134862653</v>
      </c>
      <c r="AG59" s="4">
        <f t="shared" si="29"/>
        <v>5217.6239991605789</v>
      </c>
      <c r="AH59" s="4">
        <f t="shared" si="29"/>
        <v>5478.5051991186074</v>
      </c>
      <c r="AI59" s="4">
        <f t="shared" si="29"/>
        <v>5752.4304590745378</v>
      </c>
      <c r="AJ59" s="4">
        <f t="shared" si="29"/>
        <v>6040.0519820282643</v>
      </c>
      <c r="AK59" s="4">
        <f t="shared" si="29"/>
        <v>6342.054581129677</v>
      </c>
      <c r="AL59" s="4">
        <f t="shared" si="29"/>
        <v>6659.1573101861604</v>
      </c>
      <c r="AM59" s="4">
        <f t="shared" si="29"/>
        <v>6992.1151756954696</v>
      </c>
      <c r="AN59" s="4">
        <f t="shared" si="29"/>
        <v>7341.7209344802422</v>
      </c>
      <c r="AO59" s="4">
        <f t="shared" si="29"/>
        <v>7708.806981204255</v>
      </c>
      <c r="AP59" s="4">
        <f t="shared" si="29"/>
        <v>8094.2473302644685</v>
      </c>
      <c r="AQ59" s="4">
        <f t="shared" si="29"/>
        <v>8498.9596967776924</v>
      </c>
      <c r="AR59" s="4">
        <f t="shared" si="29"/>
        <v>8923.9076816165762</v>
      </c>
      <c r="AS59" s="4">
        <f t="shared" si="29"/>
        <v>9370.1030656974053</v>
      </c>
      <c r="AT59" s="4">
        <f t="shared" si="29"/>
        <v>9838.6082189822773</v>
      </c>
      <c r="AU59" s="4">
        <f t="shared" si="29"/>
        <v>10330.53862993139</v>
      </c>
      <c r="AV59" s="4">
        <f t="shared" si="29"/>
        <v>10847.06556142796</v>
      </c>
      <c r="AW59" s="4">
        <f t="shared" si="29"/>
        <v>11389.418839499358</v>
      </c>
      <c r="AX59" s="4">
        <f t="shared" si="29"/>
        <v>11958.889781474327</v>
      </c>
      <c r="AY59" s="4">
        <f t="shared" si="29"/>
        <v>12556.834270548045</v>
      </c>
      <c r="AZ59" s="4">
        <f t="shared" si="29"/>
        <v>13184.675984075446</v>
      </c>
      <c r="BA59" s="4">
        <f t="shared" si="29"/>
        <v>13843.909783279218</v>
      </c>
      <c r="BB59" s="4">
        <f t="shared" si="29"/>
        <v>14536.105272443179</v>
      </c>
      <c r="BC59" s="4">
        <f t="shared" si="29"/>
        <v>15262.910536065339</v>
      </c>
      <c r="BD59" s="4">
        <f t="shared" si="29"/>
        <v>16026.056062868605</v>
      </c>
      <c r="BE59" s="4">
        <f t="shared" si="29"/>
        <v>16827.358866012037</v>
      </c>
      <c r="BF59" s="4">
        <f t="shared" si="29"/>
        <v>17668.72680931264</v>
      </c>
      <c r="BG59" s="4"/>
    </row>
    <row r="60" spans="2:59" x14ac:dyDescent="0.25">
      <c r="B60" s="3" t="str">
        <f>+B29</f>
        <v>WACC=rA-D/V*rD*t</v>
      </c>
      <c r="C60" s="3">
        <f t="shared" ref="C60:BF60" si="30">+C29</f>
        <v>0.12</v>
      </c>
      <c r="D60" s="3">
        <f t="shared" si="30"/>
        <v>0.11936999999999999</v>
      </c>
      <c r="E60" s="3">
        <f t="shared" si="30"/>
        <v>0.11864999999999999</v>
      </c>
      <c r="F60" s="3">
        <f t="shared" si="30"/>
        <v>0.11767999999999999</v>
      </c>
      <c r="G60" s="3">
        <f t="shared" si="30"/>
        <v>0.11677</v>
      </c>
      <c r="H60" s="3">
        <f t="shared" si="30"/>
        <v>0.1166</v>
      </c>
      <c r="I60" s="3">
        <f t="shared" si="30"/>
        <v>0.1166</v>
      </c>
      <c r="J60" s="3">
        <f t="shared" si="30"/>
        <v>0.1166</v>
      </c>
      <c r="K60" s="3">
        <f t="shared" si="30"/>
        <v>0.1166</v>
      </c>
      <c r="L60" s="3">
        <f t="shared" si="30"/>
        <v>0.1166</v>
      </c>
      <c r="M60" s="3">
        <f t="shared" si="30"/>
        <v>0.1166</v>
      </c>
      <c r="N60" s="3">
        <f t="shared" si="30"/>
        <v>0.1166</v>
      </c>
      <c r="O60" s="3">
        <f t="shared" si="30"/>
        <v>0.1166</v>
      </c>
      <c r="P60" s="3">
        <f t="shared" si="30"/>
        <v>0.1166</v>
      </c>
      <c r="Q60" s="3">
        <f t="shared" si="30"/>
        <v>0.1166</v>
      </c>
      <c r="R60" s="3">
        <f t="shared" si="30"/>
        <v>0.1166</v>
      </c>
      <c r="S60" s="3">
        <f t="shared" si="30"/>
        <v>0.1166</v>
      </c>
      <c r="T60" s="3">
        <f t="shared" si="30"/>
        <v>0.1166</v>
      </c>
      <c r="U60" s="3">
        <f t="shared" si="30"/>
        <v>0.1166</v>
      </c>
      <c r="V60" s="3">
        <f t="shared" si="30"/>
        <v>0.1166</v>
      </c>
      <c r="W60" s="3">
        <f t="shared" si="30"/>
        <v>0.1166</v>
      </c>
      <c r="X60" s="3">
        <f t="shared" si="30"/>
        <v>0.1166</v>
      </c>
      <c r="Y60" s="3">
        <f t="shared" si="30"/>
        <v>0.1166</v>
      </c>
      <c r="Z60" s="3">
        <f t="shared" si="30"/>
        <v>0.1166</v>
      </c>
      <c r="AA60" s="3">
        <f t="shared" si="30"/>
        <v>0.1166</v>
      </c>
      <c r="AB60" s="3">
        <f t="shared" si="30"/>
        <v>0.1166</v>
      </c>
      <c r="AC60" s="3">
        <f t="shared" si="30"/>
        <v>0.1166</v>
      </c>
      <c r="AD60" s="3">
        <f t="shared" si="30"/>
        <v>0.1166</v>
      </c>
      <c r="AE60" s="3">
        <f t="shared" si="30"/>
        <v>0.1166</v>
      </c>
      <c r="AF60" s="3">
        <f t="shared" si="30"/>
        <v>0.1166</v>
      </c>
      <c r="AG60" s="3">
        <f t="shared" si="30"/>
        <v>0.1166</v>
      </c>
      <c r="AH60" s="3">
        <f t="shared" si="30"/>
        <v>0.1166</v>
      </c>
      <c r="AI60" s="3">
        <f t="shared" si="30"/>
        <v>0.1166</v>
      </c>
      <c r="AJ60" s="3">
        <f t="shared" si="30"/>
        <v>0.1166</v>
      </c>
      <c r="AK60" s="3">
        <f t="shared" si="30"/>
        <v>0.1166</v>
      </c>
      <c r="AL60" s="3">
        <f t="shared" si="30"/>
        <v>0.1166</v>
      </c>
      <c r="AM60" s="3">
        <f t="shared" si="30"/>
        <v>0.1166</v>
      </c>
      <c r="AN60" s="3">
        <f t="shared" si="30"/>
        <v>0.1166</v>
      </c>
      <c r="AO60" s="3">
        <f t="shared" si="30"/>
        <v>0.1166</v>
      </c>
      <c r="AP60" s="3">
        <f t="shared" si="30"/>
        <v>0.1166</v>
      </c>
      <c r="AQ60" s="3">
        <f t="shared" si="30"/>
        <v>0.1166</v>
      </c>
      <c r="AR60" s="3">
        <f t="shared" si="30"/>
        <v>0.1166</v>
      </c>
      <c r="AS60" s="3">
        <f t="shared" si="30"/>
        <v>0.1166</v>
      </c>
      <c r="AT60" s="3">
        <f t="shared" si="30"/>
        <v>0.1166</v>
      </c>
      <c r="AU60" s="3">
        <f t="shared" si="30"/>
        <v>0.1166</v>
      </c>
      <c r="AV60" s="3">
        <f t="shared" si="30"/>
        <v>0.1166</v>
      </c>
      <c r="AW60" s="3">
        <f t="shared" si="30"/>
        <v>0.1166</v>
      </c>
      <c r="AX60" s="3">
        <f t="shared" si="30"/>
        <v>0.1166</v>
      </c>
      <c r="AY60" s="3">
        <f t="shared" si="30"/>
        <v>0.1166</v>
      </c>
      <c r="AZ60" s="3">
        <f t="shared" si="30"/>
        <v>0.1166</v>
      </c>
      <c r="BA60" s="3">
        <f t="shared" si="30"/>
        <v>0.1166</v>
      </c>
      <c r="BB60" s="3">
        <f t="shared" si="30"/>
        <v>0.1166</v>
      </c>
      <c r="BC60" s="3">
        <f t="shared" si="30"/>
        <v>0.1166</v>
      </c>
      <c r="BD60" s="3">
        <f t="shared" si="30"/>
        <v>0.1166</v>
      </c>
      <c r="BE60" s="3">
        <f t="shared" si="30"/>
        <v>0.1166</v>
      </c>
      <c r="BF60" s="3">
        <f t="shared" si="30"/>
        <v>0.1166</v>
      </c>
      <c r="BG60" s="3"/>
    </row>
    <row r="61" spans="2:59" x14ac:dyDescent="0.25">
      <c r="B61" s="12" t="s">
        <v>19</v>
      </c>
      <c r="C61" s="13">
        <f t="shared" ref="C61:G61" si="31">+(C59+D61)/(1+C60)</f>
        <v>18342.230612233852</v>
      </c>
      <c r="D61" s="13">
        <f t="shared" si="31"/>
        <v>20063.298285701916</v>
      </c>
      <c r="E61" s="13">
        <f t="shared" si="31"/>
        <v>21412.136555007328</v>
      </c>
      <c r="F61" s="13">
        <f t="shared" si="31"/>
        <v>22395.239284531672</v>
      </c>
      <c r="G61" s="13">
        <f t="shared" si="31"/>
        <v>22989.997043535357</v>
      </c>
      <c r="H61" s="13">
        <f>+(H59+I61)/(1+H60)</f>
        <v>23482.540067108981</v>
      </c>
      <c r="I61" s="13">
        <f t="shared" ref="I61:T61" si="32">+(I59+J61)/(1+I60)</f>
        <v>24291.558109013888</v>
      </c>
      <c r="J61" s="13">
        <f t="shared" si="32"/>
        <v>25506.136014464581</v>
      </c>
      <c r="K61" s="13">
        <f t="shared" si="32"/>
        <v>26781.442815187809</v>
      </c>
      <c r="L61" s="13">
        <f t="shared" si="32"/>
        <v>28120.514955947201</v>
      </c>
      <c r="M61" s="13">
        <f t="shared" si="32"/>
        <v>29526.540703744562</v>
      </c>
      <c r="N61" s="13">
        <f t="shared" si="32"/>
        <v>31002.867738931793</v>
      </c>
      <c r="O61" s="13">
        <f t="shared" si="32"/>
        <v>32553.011125878384</v>
      </c>
      <c r="P61" s="13">
        <f t="shared" si="32"/>
        <v>34180.661682172307</v>
      </c>
      <c r="Q61" s="13">
        <f t="shared" si="32"/>
        <v>35889.694766280918</v>
      </c>
      <c r="R61" s="13">
        <f t="shared" si="32"/>
        <v>37684.179504594969</v>
      </c>
      <c r="S61" s="13">
        <f t="shared" si="32"/>
        <v>39568.388479824716</v>
      </c>
      <c r="T61" s="13">
        <f t="shared" si="32"/>
        <v>41546.807903815956</v>
      </c>
      <c r="U61" s="13">
        <f>+(U59+V61)/(1+U60)</f>
        <v>43624.148299006752</v>
      </c>
      <c r="V61" s="15">
        <f>+V59/(V60-W23)</f>
        <v>45805.355713957091</v>
      </c>
      <c r="W61" s="15">
        <f t="shared" ref="W61:BF61" si="33">+W59/(W60-X23)</f>
        <v>48095.623499654946</v>
      </c>
      <c r="X61" s="15">
        <f t="shared" si="33"/>
        <v>50500.404674637692</v>
      </c>
      <c r="Y61" s="15">
        <f t="shared" si="33"/>
        <v>53025.424908369583</v>
      </c>
      <c r="Z61" s="15">
        <f t="shared" si="33"/>
        <v>55676.696153788056</v>
      </c>
      <c r="AA61" s="15">
        <f t="shared" si="33"/>
        <v>58460.530961477467</v>
      </c>
      <c r="AB61" s="15">
        <f t="shared" si="33"/>
        <v>61383.557509551327</v>
      </c>
      <c r="AC61" s="15">
        <f t="shared" si="33"/>
        <v>64452.735385028907</v>
      </c>
      <c r="AD61" s="15">
        <f t="shared" si="33"/>
        <v>67675.372154280354</v>
      </c>
      <c r="AE61" s="15">
        <f t="shared" si="33"/>
        <v>71059.140761994364</v>
      </c>
      <c r="AF61" s="15">
        <f t="shared" si="33"/>
        <v>74612.097800094081</v>
      </c>
      <c r="AG61" s="15">
        <f t="shared" si="33"/>
        <v>78342.702690098798</v>
      </c>
      <c r="AH61" s="15">
        <f t="shared" si="33"/>
        <v>82259.837824603717</v>
      </c>
      <c r="AI61" s="15">
        <f t="shared" si="33"/>
        <v>86372.829715833912</v>
      </c>
      <c r="AJ61" s="15">
        <f t="shared" si="33"/>
        <v>90691.471201625594</v>
      </c>
      <c r="AK61" s="15">
        <f t="shared" si="33"/>
        <v>95226.044761706871</v>
      </c>
      <c r="AL61" s="15">
        <f t="shared" si="33"/>
        <v>99987.346999792207</v>
      </c>
      <c r="AM61" s="15">
        <f t="shared" si="33"/>
        <v>104986.71434978183</v>
      </c>
      <c r="AN61" s="15">
        <f t="shared" si="33"/>
        <v>110236.05006727092</v>
      </c>
      <c r="AO61" s="15">
        <f t="shared" si="33"/>
        <v>115747.85257063447</v>
      </c>
      <c r="AP61" s="15">
        <f t="shared" si="33"/>
        <v>121535.24519916621</v>
      </c>
      <c r="AQ61" s="15">
        <f t="shared" si="33"/>
        <v>127612.00745912452</v>
      </c>
      <c r="AR61" s="15">
        <f t="shared" si="33"/>
        <v>133992.60783208074</v>
      </c>
      <c r="AS61" s="15">
        <f t="shared" si="33"/>
        <v>140692.23822368478</v>
      </c>
      <c r="AT61" s="15">
        <f t="shared" si="33"/>
        <v>147726.85013486905</v>
      </c>
      <c r="AU61" s="15">
        <f t="shared" si="33"/>
        <v>155113.19264161249</v>
      </c>
      <c r="AV61" s="15">
        <f t="shared" si="33"/>
        <v>162868.8522736931</v>
      </c>
      <c r="AW61" s="15">
        <f t="shared" si="33"/>
        <v>171012.29488737776</v>
      </c>
      <c r="AX61" s="15">
        <f t="shared" si="33"/>
        <v>179562.90963174668</v>
      </c>
      <c r="AY61" s="15">
        <f t="shared" si="33"/>
        <v>188541.05511333403</v>
      </c>
      <c r="AZ61" s="15">
        <f t="shared" si="33"/>
        <v>197968.1078690007</v>
      </c>
      <c r="BA61" s="15">
        <f t="shared" si="33"/>
        <v>207866.51326245075</v>
      </c>
      <c r="BB61" s="15">
        <f t="shared" si="33"/>
        <v>218259.83892557328</v>
      </c>
      <c r="BC61" s="15">
        <f t="shared" si="33"/>
        <v>229172.83087185197</v>
      </c>
      <c r="BD61" s="15">
        <f t="shared" si="33"/>
        <v>240631.47241544456</v>
      </c>
      <c r="BE61" s="15">
        <f t="shared" si="33"/>
        <v>252663.04603621681</v>
      </c>
      <c r="BF61" s="15">
        <f t="shared" si="33"/>
        <v>265296.19833802764</v>
      </c>
      <c r="BG61" s="15"/>
    </row>
    <row r="63" spans="2:59" x14ac:dyDescent="0.25">
      <c r="B63" s="4" t="str">
        <f>+B20</f>
        <v>IC boy</v>
      </c>
      <c r="C63" s="4">
        <f t="shared" ref="C63:BF63" si="34">+C20</f>
        <v>15000</v>
      </c>
      <c r="D63" s="4">
        <f t="shared" si="34"/>
        <v>16920</v>
      </c>
      <c r="E63" s="4">
        <f t="shared" si="34"/>
        <v>18609.882352941175</v>
      </c>
      <c r="F63" s="4">
        <f t="shared" si="34"/>
        <v>20075.7150802139</v>
      </c>
      <c r="G63" s="4">
        <f t="shared" si="34"/>
        <v>21300.143480213901</v>
      </c>
      <c r="H63" s="4">
        <f t="shared" si="34"/>
        <v>22569.1954930139</v>
      </c>
      <c r="I63" s="4">
        <f t="shared" si="34"/>
        <v>24291.558109013899</v>
      </c>
      <c r="J63" s="4">
        <f t="shared" si="34"/>
        <v>25506.136014464595</v>
      </c>
      <c r="K63" s="4">
        <f t="shared" si="34"/>
        <v>26781.442815187824</v>
      </c>
      <c r="L63" s="4">
        <f t="shared" si="34"/>
        <v>28120.514955947216</v>
      </c>
      <c r="M63" s="4">
        <f t="shared" si="34"/>
        <v>29526.540703744577</v>
      </c>
      <c r="N63" s="4">
        <f t="shared" si="34"/>
        <v>31002.867738931804</v>
      </c>
      <c r="O63" s="4">
        <f t="shared" si="34"/>
        <v>32553.011125878395</v>
      </c>
      <c r="P63" s="4">
        <f t="shared" si="34"/>
        <v>34180.661682172315</v>
      </c>
      <c r="Q63" s="4">
        <f t="shared" si="34"/>
        <v>35889.694766280933</v>
      </c>
      <c r="R63" s="4">
        <f t="shared" si="34"/>
        <v>37684.179504594977</v>
      </c>
      <c r="S63" s="4">
        <f t="shared" si="34"/>
        <v>39568.388479824724</v>
      </c>
      <c r="T63" s="4">
        <f t="shared" si="34"/>
        <v>41546.807903815963</v>
      </c>
      <c r="U63" s="4">
        <f t="shared" si="34"/>
        <v>43624.14829900676</v>
      </c>
      <c r="V63" s="4">
        <f t="shared" si="34"/>
        <v>45805.355713957098</v>
      </c>
      <c r="W63" s="4">
        <f t="shared" si="34"/>
        <v>48095.623499654954</v>
      </c>
      <c r="X63" s="4">
        <f t="shared" si="34"/>
        <v>50500.404674637699</v>
      </c>
      <c r="Y63" s="4">
        <f t="shared" si="34"/>
        <v>53025.424908369583</v>
      </c>
      <c r="Z63" s="4">
        <f t="shared" si="34"/>
        <v>55676.696153788063</v>
      </c>
      <c r="AA63" s="4">
        <f t="shared" si="34"/>
        <v>58460.530961477467</v>
      </c>
      <c r="AB63" s="4">
        <f t="shared" si="34"/>
        <v>61383.557509551341</v>
      </c>
      <c r="AC63" s="4">
        <f t="shared" si="34"/>
        <v>64452.735385028907</v>
      </c>
      <c r="AD63" s="4">
        <f t="shared" si="34"/>
        <v>67675.372154280354</v>
      </c>
      <c r="AE63" s="4">
        <f t="shared" si="34"/>
        <v>71059.140761994378</v>
      </c>
      <c r="AF63" s="4">
        <f t="shared" si="34"/>
        <v>74612.097800094096</v>
      </c>
      <c r="AG63" s="4">
        <f t="shared" si="34"/>
        <v>78342.702690098798</v>
      </c>
      <c r="AH63" s="4">
        <f t="shared" si="34"/>
        <v>82259.837824603732</v>
      </c>
      <c r="AI63" s="4">
        <f t="shared" si="34"/>
        <v>86372.829715833912</v>
      </c>
      <c r="AJ63" s="4">
        <f t="shared" si="34"/>
        <v>90691.471201625609</v>
      </c>
      <c r="AK63" s="4">
        <f t="shared" si="34"/>
        <v>95226.044761706886</v>
      </c>
      <c r="AL63" s="4">
        <f t="shared" si="34"/>
        <v>99987.346999792237</v>
      </c>
      <c r="AM63" s="4">
        <f t="shared" si="34"/>
        <v>104986.71434978185</v>
      </c>
      <c r="AN63" s="4">
        <f t="shared" si="34"/>
        <v>110236.05006727093</v>
      </c>
      <c r="AO63" s="4">
        <f t="shared" si="34"/>
        <v>115747.85257063448</v>
      </c>
      <c r="AP63" s="4">
        <f t="shared" si="34"/>
        <v>121535.24519916621</v>
      </c>
      <c r="AQ63" s="4">
        <f t="shared" si="34"/>
        <v>127612.00745912452</v>
      </c>
      <c r="AR63" s="4">
        <f t="shared" si="34"/>
        <v>133992.60783208074</v>
      </c>
      <c r="AS63" s="4">
        <f t="shared" si="34"/>
        <v>140692.23822368478</v>
      </c>
      <c r="AT63" s="4">
        <f t="shared" si="34"/>
        <v>147726.85013486902</v>
      </c>
      <c r="AU63" s="4">
        <f t="shared" si="34"/>
        <v>155113.19264161246</v>
      </c>
      <c r="AV63" s="4">
        <f t="shared" si="34"/>
        <v>162868.85227369308</v>
      </c>
      <c r="AW63" s="4">
        <f t="shared" si="34"/>
        <v>171012.29488737773</v>
      </c>
      <c r="AX63" s="4">
        <f t="shared" si="34"/>
        <v>179562.90963174662</v>
      </c>
      <c r="AY63" s="4">
        <f t="shared" si="34"/>
        <v>188541.05511333395</v>
      </c>
      <c r="AZ63" s="4">
        <f t="shared" si="34"/>
        <v>197968.10786900064</v>
      </c>
      <c r="BA63" s="4">
        <f t="shared" si="34"/>
        <v>207866.51326245067</v>
      </c>
      <c r="BB63" s="4">
        <f t="shared" si="34"/>
        <v>218259.83892557322</v>
      </c>
      <c r="BC63" s="4">
        <f t="shared" si="34"/>
        <v>229172.83087185188</v>
      </c>
      <c r="BD63" s="4">
        <f t="shared" si="34"/>
        <v>240631.47241544447</v>
      </c>
      <c r="BE63" s="4">
        <f t="shared" si="34"/>
        <v>252663.04603621669</v>
      </c>
      <c r="BF63" s="4">
        <f t="shared" si="34"/>
        <v>265296.19833802752</v>
      </c>
      <c r="BG63" s="4"/>
    </row>
    <row r="64" spans="2:59" x14ac:dyDescent="0.25">
      <c r="B64" t="s">
        <v>66</v>
      </c>
      <c r="C64" s="4">
        <f>+C61*C24</f>
        <v>0</v>
      </c>
      <c r="D64" s="4">
        <f t="shared" ref="D64:BF64" si="35">+D61*D24</f>
        <v>902.84842285658624</v>
      </c>
      <c r="E64" s="4">
        <f t="shared" si="35"/>
        <v>1927.0922899506595</v>
      </c>
      <c r="F64" s="4">
        <f t="shared" si="35"/>
        <v>3247.3096962570921</v>
      </c>
      <c r="G64" s="4">
        <f t="shared" si="35"/>
        <v>4368.0994382717181</v>
      </c>
      <c r="H64" s="4">
        <f t="shared" si="35"/>
        <v>4696.508013421796</v>
      </c>
      <c r="I64" s="4">
        <f t="shared" si="35"/>
        <v>4858.3116218027781</v>
      </c>
      <c r="J64" s="4">
        <f t="shared" si="35"/>
        <v>5101.2272028929165</v>
      </c>
      <c r="K64" s="4">
        <f t="shared" si="35"/>
        <v>5356.2885630375622</v>
      </c>
      <c r="L64" s="4">
        <f t="shared" si="35"/>
        <v>5624.1029911894402</v>
      </c>
      <c r="M64" s="4">
        <f t="shared" si="35"/>
        <v>5905.3081407489126</v>
      </c>
      <c r="N64" s="4">
        <f t="shared" si="35"/>
        <v>6200.5735477863591</v>
      </c>
      <c r="O64" s="4">
        <f t="shared" si="35"/>
        <v>6510.6022251756767</v>
      </c>
      <c r="P64" s="4">
        <f t="shared" si="35"/>
        <v>6836.1323364344616</v>
      </c>
      <c r="Q64" s="4">
        <f t="shared" si="35"/>
        <v>7177.9389532561836</v>
      </c>
      <c r="R64" s="4">
        <f t="shared" si="35"/>
        <v>7536.8359009189944</v>
      </c>
      <c r="S64" s="4">
        <f t="shared" si="35"/>
        <v>7913.6776959649433</v>
      </c>
      <c r="T64" s="4">
        <f t="shared" si="35"/>
        <v>8309.3615807631923</v>
      </c>
      <c r="U64" s="4">
        <f t="shared" si="35"/>
        <v>8724.8296598013512</v>
      </c>
      <c r="V64" s="4">
        <f t="shared" si="35"/>
        <v>9161.0711427914193</v>
      </c>
      <c r="W64" s="4">
        <f t="shared" si="35"/>
        <v>9619.1246999309897</v>
      </c>
      <c r="X64" s="4">
        <f t="shared" si="35"/>
        <v>10100.080934927539</v>
      </c>
      <c r="Y64" s="4">
        <f t="shared" si="35"/>
        <v>10605.084981673917</v>
      </c>
      <c r="Z64" s="4">
        <f t="shared" si="35"/>
        <v>11135.339230757612</v>
      </c>
      <c r="AA64" s="4">
        <f t="shared" si="35"/>
        <v>11692.106192295494</v>
      </c>
      <c r="AB64" s="4">
        <f t="shared" si="35"/>
        <v>12276.711501910266</v>
      </c>
      <c r="AC64" s="4">
        <f t="shared" si="35"/>
        <v>12890.547077005782</v>
      </c>
      <c r="AD64" s="4">
        <f t="shared" si="35"/>
        <v>13535.074430856072</v>
      </c>
      <c r="AE64" s="4">
        <f t="shared" si="35"/>
        <v>14211.828152398873</v>
      </c>
      <c r="AF64" s="4">
        <f t="shared" si="35"/>
        <v>14922.419560018818</v>
      </c>
      <c r="AG64" s="4">
        <f t="shared" si="35"/>
        <v>15668.540538019761</v>
      </c>
      <c r="AH64" s="4">
        <f t="shared" si="35"/>
        <v>16451.967564920746</v>
      </c>
      <c r="AI64" s="4">
        <f t="shared" si="35"/>
        <v>17274.565943166785</v>
      </c>
      <c r="AJ64" s="4">
        <f t="shared" si="35"/>
        <v>18138.294240325118</v>
      </c>
      <c r="AK64" s="4">
        <f t="shared" si="35"/>
        <v>19045.208952341374</v>
      </c>
      <c r="AL64" s="4">
        <f t="shared" si="35"/>
        <v>19997.469399958441</v>
      </c>
      <c r="AM64" s="4">
        <f t="shared" si="35"/>
        <v>20997.342869956366</v>
      </c>
      <c r="AN64" s="4">
        <f t="shared" si="35"/>
        <v>22047.210013454183</v>
      </c>
      <c r="AO64" s="4">
        <f t="shared" si="35"/>
        <v>23149.570514126895</v>
      </c>
      <c r="AP64" s="4">
        <f t="shared" si="35"/>
        <v>24307.049039833244</v>
      </c>
      <c r="AQ64" s="4">
        <f t="shared" si="35"/>
        <v>25522.401491824905</v>
      </c>
      <c r="AR64" s="4">
        <f t="shared" si="35"/>
        <v>26798.521566416151</v>
      </c>
      <c r="AS64" s="4">
        <f t="shared" si="35"/>
        <v>28138.447644736956</v>
      </c>
      <c r="AT64" s="4">
        <f t="shared" si="35"/>
        <v>29545.370026973811</v>
      </c>
      <c r="AU64" s="4">
        <f t="shared" si="35"/>
        <v>31022.638528322499</v>
      </c>
      <c r="AV64" s="4">
        <f t="shared" si="35"/>
        <v>32573.770454738624</v>
      </c>
      <c r="AW64" s="4">
        <f t="shared" si="35"/>
        <v>34202.458977475551</v>
      </c>
      <c r="AX64" s="4">
        <f t="shared" si="35"/>
        <v>35912.581926349339</v>
      </c>
      <c r="AY64" s="4">
        <f t="shared" si="35"/>
        <v>37708.211022666808</v>
      </c>
      <c r="AZ64" s="4">
        <f t="shared" si="35"/>
        <v>39593.621573800141</v>
      </c>
      <c r="BA64" s="4">
        <f t="shared" si="35"/>
        <v>41573.302652490151</v>
      </c>
      <c r="BB64" s="4">
        <f t="shared" si="35"/>
        <v>43651.967785114655</v>
      </c>
      <c r="BC64" s="4">
        <f t="shared" si="35"/>
        <v>45834.566174370397</v>
      </c>
      <c r="BD64" s="4">
        <f t="shared" si="35"/>
        <v>48126.294483088917</v>
      </c>
      <c r="BE64" s="4">
        <f t="shared" si="35"/>
        <v>50532.609207243368</v>
      </c>
      <c r="BF64" s="4">
        <f t="shared" si="35"/>
        <v>53059.239667605529</v>
      </c>
      <c r="BG64" s="4"/>
    </row>
    <row r="65" spans="2:59" x14ac:dyDescent="0.25">
      <c r="B65" t="s">
        <v>67</v>
      </c>
      <c r="C65" s="4">
        <f>+C63-C64</f>
        <v>15000</v>
      </c>
      <c r="D65" s="4">
        <f t="shared" ref="D65:BF65" si="36">+D63-D64</f>
        <v>16017.151577143413</v>
      </c>
      <c r="E65" s="4">
        <f t="shared" si="36"/>
        <v>16682.790062990516</v>
      </c>
      <c r="F65" s="4">
        <f t="shared" si="36"/>
        <v>16828.405383956808</v>
      </c>
      <c r="G65" s="4">
        <f t="shared" si="36"/>
        <v>16932.044041942183</v>
      </c>
      <c r="H65" s="4">
        <f t="shared" si="36"/>
        <v>17872.687479592103</v>
      </c>
      <c r="I65" s="4">
        <f t="shared" si="36"/>
        <v>19433.24648721112</v>
      </c>
      <c r="J65" s="4">
        <f t="shared" si="36"/>
        <v>20404.90881157168</v>
      </c>
      <c r="K65" s="4">
        <f t="shared" si="36"/>
        <v>21425.154252150263</v>
      </c>
      <c r="L65" s="4">
        <f t="shared" si="36"/>
        <v>22496.411964757775</v>
      </c>
      <c r="M65" s="4">
        <f t="shared" si="36"/>
        <v>23621.232562995665</v>
      </c>
      <c r="N65" s="4">
        <f t="shared" si="36"/>
        <v>24802.294191145444</v>
      </c>
      <c r="O65" s="4">
        <f t="shared" si="36"/>
        <v>26042.408900702718</v>
      </c>
      <c r="P65" s="4">
        <f t="shared" si="36"/>
        <v>27344.529345737854</v>
      </c>
      <c r="Q65" s="4">
        <f t="shared" si="36"/>
        <v>28711.755813024749</v>
      </c>
      <c r="R65" s="4">
        <f t="shared" si="36"/>
        <v>30147.343603675981</v>
      </c>
      <c r="S65" s="4">
        <f t="shared" si="36"/>
        <v>31654.71078385978</v>
      </c>
      <c r="T65" s="4">
        <f t="shared" si="36"/>
        <v>33237.446323052769</v>
      </c>
      <c r="U65" s="4">
        <f t="shared" si="36"/>
        <v>34899.318639205405</v>
      </c>
      <c r="V65" s="4">
        <f t="shared" si="36"/>
        <v>36644.284571165677</v>
      </c>
      <c r="W65" s="4">
        <f t="shared" si="36"/>
        <v>38476.498799723966</v>
      </c>
      <c r="X65" s="4">
        <f t="shared" si="36"/>
        <v>40400.323739710162</v>
      </c>
      <c r="Y65" s="4">
        <f t="shared" si="36"/>
        <v>42420.339926695669</v>
      </c>
      <c r="Z65" s="4">
        <f t="shared" si="36"/>
        <v>44541.356923030449</v>
      </c>
      <c r="AA65" s="4">
        <f t="shared" si="36"/>
        <v>46768.424769181976</v>
      </c>
      <c r="AB65" s="4">
        <f t="shared" si="36"/>
        <v>49106.846007641077</v>
      </c>
      <c r="AC65" s="4">
        <f t="shared" si="36"/>
        <v>51562.188308023127</v>
      </c>
      <c r="AD65" s="4">
        <f t="shared" si="36"/>
        <v>54140.297723424286</v>
      </c>
      <c r="AE65" s="4">
        <f t="shared" si="36"/>
        <v>56847.312609595509</v>
      </c>
      <c r="AF65" s="4">
        <f t="shared" si="36"/>
        <v>59689.678240075278</v>
      </c>
      <c r="AG65" s="4">
        <f t="shared" si="36"/>
        <v>62674.162152079036</v>
      </c>
      <c r="AH65" s="4">
        <f t="shared" si="36"/>
        <v>65807.870259682983</v>
      </c>
      <c r="AI65" s="4">
        <f t="shared" si="36"/>
        <v>69098.263772667124</v>
      </c>
      <c r="AJ65" s="4">
        <f t="shared" si="36"/>
        <v>72553.176961300487</v>
      </c>
      <c r="AK65" s="4">
        <f t="shared" si="36"/>
        <v>76180.835809365512</v>
      </c>
      <c r="AL65" s="4">
        <f t="shared" si="36"/>
        <v>79989.877599833795</v>
      </c>
      <c r="AM65" s="4">
        <f t="shared" si="36"/>
        <v>83989.37147982548</v>
      </c>
      <c r="AN65" s="4">
        <f t="shared" si="36"/>
        <v>88188.840053816748</v>
      </c>
      <c r="AO65" s="4">
        <f t="shared" si="36"/>
        <v>92598.282056507582</v>
      </c>
      <c r="AP65" s="4">
        <f t="shared" si="36"/>
        <v>97228.196159332962</v>
      </c>
      <c r="AQ65" s="4">
        <f t="shared" si="36"/>
        <v>102089.60596729962</v>
      </c>
      <c r="AR65" s="4">
        <f t="shared" si="36"/>
        <v>107194.08626566459</v>
      </c>
      <c r="AS65" s="4">
        <f t="shared" si="36"/>
        <v>112553.79057894782</v>
      </c>
      <c r="AT65" s="4">
        <f t="shared" si="36"/>
        <v>118181.48010789522</v>
      </c>
      <c r="AU65" s="4">
        <f t="shared" si="36"/>
        <v>124090.55411328997</v>
      </c>
      <c r="AV65" s="4">
        <f t="shared" si="36"/>
        <v>130295.08181895445</v>
      </c>
      <c r="AW65" s="4">
        <f t="shared" si="36"/>
        <v>136809.83590990218</v>
      </c>
      <c r="AX65" s="4">
        <f t="shared" si="36"/>
        <v>143650.32770539727</v>
      </c>
      <c r="AY65" s="4">
        <f t="shared" si="36"/>
        <v>150832.84409066715</v>
      </c>
      <c r="AZ65" s="4">
        <f t="shared" si="36"/>
        <v>158374.48629520051</v>
      </c>
      <c r="BA65" s="4">
        <f t="shared" si="36"/>
        <v>166293.21060996052</v>
      </c>
      <c r="BB65" s="4">
        <f t="shared" si="36"/>
        <v>174607.87114045856</v>
      </c>
      <c r="BC65" s="4">
        <f t="shared" si="36"/>
        <v>183338.26469748147</v>
      </c>
      <c r="BD65" s="4">
        <f t="shared" si="36"/>
        <v>192505.17793235555</v>
      </c>
      <c r="BE65" s="4">
        <f t="shared" si="36"/>
        <v>202130.43682897332</v>
      </c>
      <c r="BF65" s="4">
        <f t="shared" si="36"/>
        <v>212236.958670422</v>
      </c>
      <c r="BG65" s="4"/>
    </row>
    <row r="68" spans="2:59" x14ac:dyDescent="0.25">
      <c r="B68" t="s">
        <v>86</v>
      </c>
    </row>
    <row r="69" spans="2:59" x14ac:dyDescent="0.25">
      <c r="B69" t="s">
        <v>87</v>
      </c>
      <c r="C69" s="4">
        <f t="shared" ref="C69:V69" si="37">+C37+C39</f>
        <v>479.99999999999955</v>
      </c>
      <c r="D69" s="4">
        <f t="shared" si="37"/>
        <v>1058.7575249788158</v>
      </c>
      <c r="E69" s="4">
        <f t="shared" si="37"/>
        <v>1586.3536570765325</v>
      </c>
      <c r="F69" s="4">
        <f t="shared" si="37"/>
        <v>2092.6709551401136</v>
      </c>
      <c r="G69" s="4">
        <f t="shared" si="37"/>
        <v>2266.2566216506189</v>
      </c>
      <c r="H69" s="4">
        <f t="shared" si="37"/>
        <v>2008.8867661481702</v>
      </c>
      <c r="I69" s="4">
        <f t="shared" si="37"/>
        <v>1700.4090676309725</v>
      </c>
      <c r="J69" s="4">
        <f t="shared" si="37"/>
        <v>1785.4295210125213</v>
      </c>
      <c r="K69" s="4">
        <f t="shared" si="37"/>
        <v>1874.7009970631475</v>
      </c>
      <c r="L69" s="4">
        <f t="shared" si="37"/>
        <v>1968.4360469163048</v>
      </c>
      <c r="M69" s="4">
        <f t="shared" si="37"/>
        <v>2066.85784926212</v>
      </c>
      <c r="N69" s="4">
        <f t="shared" si="37"/>
        <v>2170.2007417252257</v>
      </c>
      <c r="O69" s="4">
        <f t="shared" si="37"/>
        <v>2278.7107788114872</v>
      </c>
      <c r="P69" s="4">
        <f t="shared" si="37"/>
        <v>2392.6463177520618</v>
      </c>
      <c r="Q69" s="4">
        <f t="shared" si="37"/>
        <v>2512.2786336396648</v>
      </c>
      <c r="R69" s="4">
        <f t="shared" si="37"/>
        <v>2637.8925653216479</v>
      </c>
      <c r="S69" s="4">
        <f t="shared" si="37"/>
        <v>2769.7871935877301</v>
      </c>
      <c r="T69" s="4">
        <f t="shared" si="37"/>
        <v>2908.2765532671169</v>
      </c>
      <c r="U69" s="4">
        <f t="shared" si="37"/>
        <v>3053.6903809304727</v>
      </c>
      <c r="V69" s="4">
        <f t="shared" si="37"/>
        <v>3206.3748999769959</v>
      </c>
      <c r="W69" s="4">
        <f>+W37+W39</f>
        <v>3366.6936449758459</v>
      </c>
    </row>
    <row r="70" spans="2:59" x14ac:dyDescent="0.25">
      <c r="B70" t="str">
        <f>+B26</f>
        <v>rA</v>
      </c>
      <c r="C70" s="3">
        <f>+C26</f>
        <v>0.12</v>
      </c>
      <c r="D70" s="3">
        <f t="shared" ref="D70:W70" si="38">+D26</f>
        <v>0.12</v>
      </c>
      <c r="E70" s="3">
        <f t="shared" si="38"/>
        <v>0.12</v>
      </c>
      <c r="F70" s="3">
        <f t="shared" si="38"/>
        <v>0.12</v>
      </c>
      <c r="G70" s="3">
        <f t="shared" si="38"/>
        <v>0.12</v>
      </c>
      <c r="H70" s="3">
        <f t="shared" si="38"/>
        <v>0.12</v>
      </c>
      <c r="I70" s="3">
        <f t="shared" si="38"/>
        <v>0.12</v>
      </c>
      <c r="J70" s="3">
        <f t="shared" si="38"/>
        <v>0.12</v>
      </c>
      <c r="K70" s="3">
        <f t="shared" si="38"/>
        <v>0.12</v>
      </c>
      <c r="L70" s="3">
        <f t="shared" si="38"/>
        <v>0.12</v>
      </c>
      <c r="M70" s="3">
        <f t="shared" si="38"/>
        <v>0.12</v>
      </c>
      <c r="N70" s="3">
        <f t="shared" si="38"/>
        <v>0.12</v>
      </c>
      <c r="O70" s="3">
        <f t="shared" si="38"/>
        <v>0.12</v>
      </c>
      <c r="P70" s="3">
        <f t="shared" si="38"/>
        <v>0.12</v>
      </c>
      <c r="Q70" s="3">
        <f t="shared" si="38"/>
        <v>0.12</v>
      </c>
      <c r="R70" s="3">
        <f t="shared" si="38"/>
        <v>0.12</v>
      </c>
      <c r="S70" s="3">
        <f t="shared" si="38"/>
        <v>0.12</v>
      </c>
      <c r="T70" s="3">
        <f t="shared" si="38"/>
        <v>0.12</v>
      </c>
      <c r="U70" s="3">
        <f t="shared" si="38"/>
        <v>0.12</v>
      </c>
      <c r="V70" s="3">
        <f t="shared" si="38"/>
        <v>0.12</v>
      </c>
      <c r="W70" s="3">
        <f t="shared" si="38"/>
        <v>0.12</v>
      </c>
    </row>
    <row r="71" spans="2:59" s="12" customFormat="1" x14ac:dyDescent="0.25">
      <c r="B71" s="12" t="s">
        <v>19</v>
      </c>
      <c r="C71" s="13">
        <f t="shared" ref="C71:U71" si="39">+(C69+D71)/(1+C70)</f>
        <v>18342.230612233834</v>
      </c>
      <c r="D71" s="13">
        <f t="shared" si="39"/>
        <v>20063.298285701898</v>
      </c>
      <c r="E71" s="13">
        <f t="shared" si="39"/>
        <v>21412.13655500731</v>
      </c>
      <c r="F71" s="13">
        <f t="shared" si="39"/>
        <v>22395.239284531657</v>
      </c>
      <c r="G71" s="13">
        <f t="shared" si="39"/>
        <v>22989.997043535343</v>
      </c>
      <c r="H71" s="13">
        <f t="shared" si="39"/>
        <v>23482.540067108966</v>
      </c>
      <c r="I71" s="13">
        <f t="shared" si="39"/>
        <v>24291.558109013873</v>
      </c>
      <c r="J71" s="13">
        <f t="shared" si="39"/>
        <v>25506.13601446457</v>
      </c>
      <c r="K71" s="13">
        <f t="shared" si="39"/>
        <v>26781.442815187802</v>
      </c>
      <c r="L71" s="13">
        <f t="shared" si="39"/>
        <v>28120.514955947194</v>
      </c>
      <c r="M71" s="13">
        <f t="shared" si="39"/>
        <v>29526.540703744555</v>
      </c>
      <c r="N71" s="13">
        <f t="shared" si="39"/>
        <v>31002.867738931785</v>
      </c>
      <c r="O71" s="13">
        <f t="shared" si="39"/>
        <v>32553.01112587838</v>
      </c>
      <c r="P71" s="13">
        <f t="shared" si="39"/>
        <v>34180.6616821723</v>
      </c>
      <c r="Q71" s="13">
        <f t="shared" si="39"/>
        <v>35889.694766280918</v>
      </c>
      <c r="R71" s="13">
        <f t="shared" si="39"/>
        <v>37684.179504594962</v>
      </c>
      <c r="S71" s="13">
        <f t="shared" si="39"/>
        <v>39568.388479824709</v>
      </c>
      <c r="T71" s="13">
        <f t="shared" si="39"/>
        <v>41546.807903815949</v>
      </c>
      <c r="U71" s="13">
        <f t="shared" si="39"/>
        <v>43624.148299006745</v>
      </c>
      <c r="V71" s="13">
        <f>+(V69+W71)/(1+V70)</f>
        <v>45805.355713957084</v>
      </c>
      <c r="W71" s="13">
        <f>+W69/(W70-X23)</f>
        <v>48095.623499654946</v>
      </c>
    </row>
    <row r="74" spans="2:59" x14ac:dyDescent="0.25">
      <c r="B74" t="s">
        <v>88</v>
      </c>
    </row>
    <row r="75" spans="2:59" x14ac:dyDescent="0.25">
      <c r="B75" t="str">
        <f>+B41</f>
        <v>FCFE</v>
      </c>
      <c r="C75" s="4">
        <f t="shared" ref="C75:T75" si="40">+C41</f>
        <v>1382.8484228565858</v>
      </c>
      <c r="D75" s="4">
        <f t="shared" si="40"/>
        <v>2019.8020024729281</v>
      </c>
      <c r="E75" s="4">
        <f t="shared" si="40"/>
        <v>2762.0391416366656</v>
      </c>
      <c r="F75" s="4">
        <f t="shared" si="40"/>
        <v>2953.6759214541717</v>
      </c>
      <c r="G75" s="4">
        <f t="shared" si="40"/>
        <v>2223.376744547601</v>
      </c>
      <c r="H75" s="4">
        <f t="shared" si="40"/>
        <v>1771.4871933882996</v>
      </c>
      <c r="I75" s="4">
        <f t="shared" si="40"/>
        <v>1530.3681608678746</v>
      </c>
      <c r="J75" s="4">
        <f t="shared" si="40"/>
        <v>1606.886568911269</v>
      </c>
      <c r="K75" s="4">
        <f t="shared" si="40"/>
        <v>1687.2308973568327</v>
      </c>
      <c r="L75" s="4">
        <f t="shared" si="40"/>
        <v>1771.5924422246746</v>
      </c>
      <c r="M75" s="4">
        <f t="shared" si="40"/>
        <v>1860.172064335909</v>
      </c>
      <c r="N75" s="4">
        <f t="shared" si="40"/>
        <v>1953.1806675527027</v>
      </c>
      <c r="O75" s="4">
        <f t="shared" si="40"/>
        <v>2050.8397009303399</v>
      </c>
      <c r="P75" s="4">
        <f t="shared" si="40"/>
        <v>2153.3816859768544</v>
      </c>
      <c r="Q75" s="4">
        <f t="shared" si="40"/>
        <v>2261.0507702757</v>
      </c>
      <c r="R75" s="4">
        <f t="shared" si="40"/>
        <v>2374.1033087894821</v>
      </c>
      <c r="S75" s="4">
        <f t="shared" si="40"/>
        <v>2492.8084742289589</v>
      </c>
      <c r="T75" s="4">
        <f t="shared" si="40"/>
        <v>2617.4488979404045</v>
      </c>
    </row>
    <row r="76" spans="2:59" x14ac:dyDescent="0.25">
      <c r="B76" t="str">
        <f>+B28</f>
        <v>rE=(rA-D/V*rD)/(1-D/V)</v>
      </c>
      <c r="C76" s="3">
        <f t="shared" ref="C76:T76" si="41">+C28</f>
        <v>0.12</v>
      </c>
      <c r="D76" s="3">
        <f t="shared" si="41"/>
        <v>0.12235602094240838</v>
      </c>
      <c r="E76" s="3">
        <f t="shared" si="41"/>
        <v>0.12445054945054944</v>
      </c>
      <c r="F76" s="3">
        <f t="shared" si="41"/>
        <v>0.12678362573099414</v>
      </c>
      <c r="G76" s="3">
        <f t="shared" si="41"/>
        <v>0.12820987654320987</v>
      </c>
      <c r="H76" s="3">
        <f t="shared" si="41"/>
        <v>0.12874999999999998</v>
      </c>
      <c r="I76" s="3">
        <f t="shared" si="41"/>
        <v>0.12874999999999998</v>
      </c>
      <c r="J76" s="3">
        <f t="shared" si="41"/>
        <v>0.12874999999999998</v>
      </c>
      <c r="K76" s="3">
        <f t="shared" si="41"/>
        <v>0.12874999999999998</v>
      </c>
      <c r="L76" s="3">
        <f t="shared" si="41"/>
        <v>0.12874999999999998</v>
      </c>
      <c r="M76" s="3">
        <f t="shared" si="41"/>
        <v>0.12874999999999998</v>
      </c>
      <c r="N76" s="3">
        <f t="shared" si="41"/>
        <v>0.12874999999999998</v>
      </c>
      <c r="O76" s="3">
        <f t="shared" si="41"/>
        <v>0.12874999999999998</v>
      </c>
      <c r="P76" s="3">
        <f t="shared" si="41"/>
        <v>0.12874999999999998</v>
      </c>
      <c r="Q76" s="3">
        <f t="shared" si="41"/>
        <v>0.12874999999999998</v>
      </c>
      <c r="R76" s="3">
        <f t="shared" si="41"/>
        <v>0.12874999999999998</v>
      </c>
      <c r="S76" s="3">
        <f t="shared" si="41"/>
        <v>0.12874999999999998</v>
      </c>
      <c r="T76" s="3">
        <f t="shared" si="41"/>
        <v>0.12874999999999998</v>
      </c>
    </row>
    <row r="77" spans="2:59" x14ac:dyDescent="0.25">
      <c r="B77" t="s">
        <v>89</v>
      </c>
      <c r="C77" s="4">
        <f t="shared" ref="C77:R77" si="42">+(C75+D77)/(1+C76)</f>
        <v>18342.230612233856</v>
      </c>
      <c r="D77" s="4">
        <f t="shared" si="42"/>
        <v>19160.449862845333</v>
      </c>
      <c r="E77" s="4">
        <f t="shared" si="42"/>
        <v>19485.044265056677</v>
      </c>
      <c r="F77" s="4">
        <f t="shared" si="42"/>
        <v>19147.92958827459</v>
      </c>
      <c r="G77" s="4">
        <f t="shared" si="42"/>
        <v>18621.897605263654</v>
      </c>
      <c r="H77" s="4">
        <f t="shared" si="42"/>
        <v>18786.032053687202</v>
      </c>
      <c r="I77" s="4">
        <f t="shared" si="42"/>
        <v>19433.246487211127</v>
      </c>
      <c r="J77" s="4">
        <f t="shared" si="42"/>
        <v>20404.908811571684</v>
      </c>
      <c r="K77" s="4">
        <f t="shared" si="42"/>
        <v>21425.154252150271</v>
      </c>
      <c r="L77" s="4">
        <f t="shared" si="42"/>
        <v>22496.411964757783</v>
      </c>
      <c r="M77" s="4">
        <f t="shared" si="42"/>
        <v>23621.232562995669</v>
      </c>
      <c r="N77" s="4">
        <f t="shared" si="42"/>
        <v>24802.294191145451</v>
      </c>
      <c r="O77" s="4">
        <f t="shared" si="42"/>
        <v>26042.408900702721</v>
      </c>
      <c r="P77" s="4">
        <f t="shared" si="42"/>
        <v>27344.529345737854</v>
      </c>
      <c r="Q77" s="4">
        <f t="shared" si="42"/>
        <v>28711.755813024745</v>
      </c>
      <c r="R77" s="4">
        <f t="shared" si="42"/>
        <v>30147.343603675981</v>
      </c>
      <c r="S77" s="4">
        <f>+(S75+T77)/(1+S76)</f>
        <v>31654.71078385978</v>
      </c>
      <c r="T77" s="4">
        <f>+T75/(T76-U23)</f>
        <v>33237.446323052769</v>
      </c>
    </row>
    <row r="78" spans="2:59" x14ac:dyDescent="0.25">
      <c r="B78" t="str">
        <f>+B64</f>
        <v>D boy</v>
      </c>
      <c r="C78" s="4">
        <f>+C64</f>
        <v>0</v>
      </c>
      <c r="D78" s="4">
        <f t="shared" ref="D78:T78" si="43">+D64</f>
        <v>902.84842285658624</v>
      </c>
      <c r="E78" s="4">
        <f t="shared" si="43"/>
        <v>1927.0922899506595</v>
      </c>
      <c r="F78" s="4">
        <f t="shared" si="43"/>
        <v>3247.3096962570921</v>
      </c>
      <c r="G78" s="4">
        <f t="shared" si="43"/>
        <v>4368.0994382717181</v>
      </c>
      <c r="H78" s="4">
        <f t="shared" si="43"/>
        <v>4696.508013421796</v>
      </c>
      <c r="I78" s="4">
        <f t="shared" si="43"/>
        <v>4858.3116218027781</v>
      </c>
      <c r="J78" s="4">
        <f t="shared" si="43"/>
        <v>5101.2272028929165</v>
      </c>
      <c r="K78" s="4">
        <f t="shared" si="43"/>
        <v>5356.2885630375622</v>
      </c>
      <c r="L78" s="4">
        <f t="shared" si="43"/>
        <v>5624.1029911894402</v>
      </c>
      <c r="M78" s="4">
        <f t="shared" si="43"/>
        <v>5905.3081407489126</v>
      </c>
      <c r="N78" s="4">
        <f t="shared" si="43"/>
        <v>6200.5735477863591</v>
      </c>
      <c r="O78" s="4">
        <f t="shared" si="43"/>
        <v>6510.6022251756767</v>
      </c>
      <c r="P78" s="4">
        <f t="shared" si="43"/>
        <v>6836.1323364344616</v>
      </c>
      <c r="Q78" s="4">
        <f t="shared" si="43"/>
        <v>7177.9389532561836</v>
      </c>
      <c r="R78" s="4">
        <f t="shared" si="43"/>
        <v>7536.8359009189944</v>
      </c>
      <c r="S78" s="4">
        <f t="shared" si="43"/>
        <v>7913.6776959649433</v>
      </c>
      <c r="T78" s="4">
        <f t="shared" si="43"/>
        <v>8309.3615807631923</v>
      </c>
    </row>
    <row r="79" spans="2:59" x14ac:dyDescent="0.25">
      <c r="B79" s="12" t="s">
        <v>19</v>
      </c>
      <c r="C79" s="13">
        <f>+C77+C78</f>
        <v>18342.230612233856</v>
      </c>
      <c r="D79" s="13">
        <f t="shared" ref="D79:T79" si="44">+D77+D78</f>
        <v>20063.29828570192</v>
      </c>
      <c r="E79" s="13">
        <f t="shared" si="44"/>
        <v>21412.136555007335</v>
      </c>
      <c r="F79" s="13">
        <f t="shared" si="44"/>
        <v>22395.239284531683</v>
      </c>
      <c r="G79" s="13">
        <f t="shared" si="44"/>
        <v>22989.997043535372</v>
      </c>
      <c r="H79" s="13">
        <f t="shared" si="44"/>
        <v>23482.540067108999</v>
      </c>
      <c r="I79" s="13">
        <f t="shared" si="44"/>
        <v>24291.558109013906</v>
      </c>
      <c r="J79" s="13">
        <f t="shared" si="44"/>
        <v>25506.136014464602</v>
      </c>
      <c r="K79" s="13">
        <f t="shared" si="44"/>
        <v>26781.442815187831</v>
      </c>
      <c r="L79" s="13">
        <f t="shared" si="44"/>
        <v>28120.514955947223</v>
      </c>
      <c r="M79" s="13">
        <f t="shared" si="44"/>
        <v>29526.54070374458</v>
      </c>
      <c r="N79" s="13">
        <f t="shared" si="44"/>
        <v>31002.867738931811</v>
      </c>
      <c r="O79" s="13">
        <f t="shared" si="44"/>
        <v>32553.011125878398</v>
      </c>
      <c r="P79" s="13">
        <f t="shared" si="44"/>
        <v>34180.661682172315</v>
      </c>
      <c r="Q79" s="13">
        <f t="shared" si="44"/>
        <v>35889.694766280925</v>
      </c>
      <c r="R79" s="13">
        <f t="shared" si="44"/>
        <v>37684.179504594977</v>
      </c>
      <c r="S79" s="13">
        <f t="shared" si="44"/>
        <v>39568.388479824724</v>
      </c>
      <c r="T79" s="13">
        <f t="shared" si="44"/>
        <v>41546.807903815963</v>
      </c>
    </row>
    <row r="82" spans="2:21" x14ac:dyDescent="0.25">
      <c r="B82" t="s">
        <v>90</v>
      </c>
    </row>
    <row r="83" spans="2:21" x14ac:dyDescent="0.25">
      <c r="B83" s="4" t="str">
        <f>+B35</f>
        <v>Noplat</v>
      </c>
      <c r="C83" s="4">
        <f t="shared" ref="C83:T83" si="45">+C35</f>
        <v>2400</v>
      </c>
      <c r="D83" s="4">
        <f t="shared" si="45"/>
        <v>2736</v>
      </c>
      <c r="E83" s="4">
        <f t="shared" si="45"/>
        <v>3023.2799999999997</v>
      </c>
      <c r="F83" s="4">
        <f t="shared" si="45"/>
        <v>3265.1423999999997</v>
      </c>
      <c r="G83" s="4">
        <f t="shared" si="45"/>
        <v>3461.0509439999996</v>
      </c>
      <c r="H83" s="4">
        <f t="shared" si="45"/>
        <v>3651.4087459199995</v>
      </c>
      <c r="I83" s="4">
        <f t="shared" si="45"/>
        <v>2832.3956755110203</v>
      </c>
      <c r="J83" s="4">
        <f t="shared" si="45"/>
        <v>2974.0154592865715</v>
      </c>
      <c r="K83" s="4">
        <f t="shared" si="45"/>
        <v>3122.7162322509002</v>
      </c>
      <c r="L83" s="4">
        <f t="shared" si="45"/>
        <v>3278.852043863445</v>
      </c>
      <c r="M83" s="4">
        <f t="shared" si="45"/>
        <v>3442.7946460566172</v>
      </c>
      <c r="N83" s="4">
        <f t="shared" si="45"/>
        <v>3614.9343783594481</v>
      </c>
      <c r="O83" s="4">
        <f t="shared" si="45"/>
        <v>3795.6810972774206</v>
      </c>
      <c r="P83" s="4">
        <f t="shared" si="45"/>
        <v>3985.4651521412916</v>
      </c>
      <c r="Q83" s="4">
        <f t="shared" si="45"/>
        <v>4184.7384097483564</v>
      </c>
      <c r="R83" s="4">
        <f t="shared" si="45"/>
        <v>4393.975330235774</v>
      </c>
      <c r="S83" s="4">
        <f t="shared" si="45"/>
        <v>4613.6740967475625</v>
      </c>
      <c r="T83" s="4">
        <f t="shared" si="45"/>
        <v>4844.3578015849407</v>
      </c>
    </row>
    <row r="84" spans="2:21" x14ac:dyDescent="0.25">
      <c r="B84" s="4" t="str">
        <f>+B63</f>
        <v>IC boy</v>
      </c>
      <c r="C84" s="4">
        <f t="shared" ref="C84:T84" si="46">+C63</f>
        <v>15000</v>
      </c>
      <c r="D84" s="4">
        <f t="shared" si="46"/>
        <v>16920</v>
      </c>
      <c r="E84" s="4">
        <f t="shared" si="46"/>
        <v>18609.882352941175</v>
      </c>
      <c r="F84" s="4">
        <f t="shared" si="46"/>
        <v>20075.7150802139</v>
      </c>
      <c r="G84" s="4">
        <f t="shared" si="46"/>
        <v>21300.143480213901</v>
      </c>
      <c r="H84" s="4">
        <f t="shared" si="46"/>
        <v>22569.1954930139</v>
      </c>
      <c r="I84" s="4">
        <f t="shared" si="46"/>
        <v>24291.558109013899</v>
      </c>
      <c r="J84" s="4">
        <f t="shared" si="46"/>
        <v>25506.136014464595</v>
      </c>
      <c r="K84" s="4">
        <f t="shared" si="46"/>
        <v>26781.442815187824</v>
      </c>
      <c r="L84" s="4">
        <f t="shared" si="46"/>
        <v>28120.514955947216</v>
      </c>
      <c r="M84" s="4">
        <f t="shared" si="46"/>
        <v>29526.540703744577</v>
      </c>
      <c r="N84" s="4">
        <f t="shared" si="46"/>
        <v>31002.867738931804</v>
      </c>
      <c r="O84" s="4">
        <f t="shared" si="46"/>
        <v>32553.011125878395</v>
      </c>
      <c r="P84" s="4">
        <f t="shared" si="46"/>
        <v>34180.661682172315</v>
      </c>
      <c r="Q84" s="4">
        <f t="shared" si="46"/>
        <v>35889.694766280933</v>
      </c>
      <c r="R84" s="4">
        <f t="shared" si="46"/>
        <v>37684.179504594977</v>
      </c>
      <c r="S84" s="4">
        <f t="shared" si="46"/>
        <v>39568.388479824724</v>
      </c>
      <c r="T84" s="4">
        <f t="shared" si="46"/>
        <v>41546.807903815963</v>
      </c>
    </row>
    <row r="85" spans="2:21" x14ac:dyDescent="0.25">
      <c r="B85" s="3" t="str">
        <f>+B29</f>
        <v>WACC=rA-D/V*rD*t</v>
      </c>
      <c r="C85" s="3">
        <f t="shared" ref="C85:T85" si="47">+C29</f>
        <v>0.12</v>
      </c>
      <c r="D85" s="3">
        <f t="shared" si="47"/>
        <v>0.11936999999999999</v>
      </c>
      <c r="E85" s="3">
        <f t="shared" si="47"/>
        <v>0.11864999999999999</v>
      </c>
      <c r="F85" s="3">
        <f t="shared" si="47"/>
        <v>0.11767999999999999</v>
      </c>
      <c r="G85" s="3">
        <f t="shared" si="47"/>
        <v>0.11677</v>
      </c>
      <c r="H85" s="3">
        <f t="shared" si="47"/>
        <v>0.1166</v>
      </c>
      <c r="I85" s="3">
        <f t="shared" si="47"/>
        <v>0.1166</v>
      </c>
      <c r="J85" s="3">
        <f t="shared" si="47"/>
        <v>0.1166</v>
      </c>
      <c r="K85" s="3">
        <f t="shared" si="47"/>
        <v>0.1166</v>
      </c>
      <c r="L85" s="3">
        <f t="shared" si="47"/>
        <v>0.1166</v>
      </c>
      <c r="M85" s="3">
        <f t="shared" si="47"/>
        <v>0.1166</v>
      </c>
      <c r="N85" s="3">
        <f t="shared" si="47"/>
        <v>0.1166</v>
      </c>
      <c r="O85" s="3">
        <f t="shared" si="47"/>
        <v>0.1166</v>
      </c>
      <c r="P85" s="3">
        <f t="shared" si="47"/>
        <v>0.1166</v>
      </c>
      <c r="Q85" s="3">
        <f t="shared" si="47"/>
        <v>0.1166</v>
      </c>
      <c r="R85" s="3">
        <f t="shared" si="47"/>
        <v>0.1166</v>
      </c>
      <c r="S85" s="3">
        <f t="shared" si="47"/>
        <v>0.1166</v>
      </c>
      <c r="T85" s="3">
        <f t="shared" si="47"/>
        <v>0.1166</v>
      </c>
    </row>
    <row r="86" spans="2:21" x14ac:dyDescent="0.25">
      <c r="B86" t="s">
        <v>91</v>
      </c>
      <c r="C86" s="4">
        <f>+C84*C85</f>
        <v>1800</v>
      </c>
      <c r="D86" s="4">
        <f>+D84*D85</f>
        <v>2019.7403999999999</v>
      </c>
      <c r="E86" s="4">
        <f t="shared" ref="E86:T86" si="48">+E84*E85</f>
        <v>2208.0625411764704</v>
      </c>
      <c r="F86" s="4">
        <f t="shared" si="48"/>
        <v>2362.5101506395717</v>
      </c>
      <c r="G86" s="4">
        <f t="shared" si="48"/>
        <v>2487.2177541845772</v>
      </c>
      <c r="H86" s="4">
        <f t="shared" si="48"/>
        <v>2631.5681944854205</v>
      </c>
      <c r="I86" s="4">
        <f t="shared" si="48"/>
        <v>2832.3956755110203</v>
      </c>
      <c r="J86" s="4">
        <f t="shared" si="48"/>
        <v>2974.0154592865715</v>
      </c>
      <c r="K86" s="4">
        <f t="shared" si="48"/>
        <v>3122.7162322509002</v>
      </c>
      <c r="L86" s="4">
        <f t="shared" si="48"/>
        <v>3278.852043863445</v>
      </c>
      <c r="M86" s="4">
        <f t="shared" si="48"/>
        <v>3442.7946460566177</v>
      </c>
      <c r="N86" s="4">
        <f t="shared" si="48"/>
        <v>3614.9343783594481</v>
      </c>
      <c r="O86" s="4">
        <f t="shared" si="48"/>
        <v>3795.6810972774206</v>
      </c>
      <c r="P86" s="4">
        <f t="shared" si="48"/>
        <v>3985.4651521412916</v>
      </c>
      <c r="Q86" s="4">
        <f t="shared" si="48"/>
        <v>4184.7384097483564</v>
      </c>
      <c r="R86" s="4">
        <f t="shared" si="48"/>
        <v>4393.975330235774</v>
      </c>
      <c r="S86" s="4">
        <f t="shared" si="48"/>
        <v>4613.6740967475625</v>
      </c>
      <c r="T86" s="4">
        <f t="shared" si="48"/>
        <v>4844.3578015849407</v>
      </c>
    </row>
    <row r="87" spans="2:21" x14ac:dyDescent="0.25">
      <c r="B87" t="s">
        <v>90</v>
      </c>
      <c r="C87" s="4">
        <f>+C83-C86</f>
        <v>600</v>
      </c>
      <c r="D87" s="4">
        <f>+D83-D86</f>
        <v>716.25960000000009</v>
      </c>
      <c r="E87" s="4">
        <f t="shared" ref="E87:T87" si="49">+E83-E86</f>
        <v>815.21745882352934</v>
      </c>
      <c r="F87" s="4">
        <f t="shared" si="49"/>
        <v>902.63224936042798</v>
      </c>
      <c r="G87" s="4">
        <f t="shared" si="49"/>
        <v>973.83318981542243</v>
      </c>
      <c r="H87" s="4">
        <f t="shared" si="49"/>
        <v>1019.8405514345791</v>
      </c>
      <c r="I87" s="23">
        <f t="shared" si="49"/>
        <v>0</v>
      </c>
      <c r="J87" s="23">
        <f t="shared" si="49"/>
        <v>0</v>
      </c>
      <c r="K87" s="23">
        <f t="shared" si="49"/>
        <v>0</v>
      </c>
      <c r="L87" s="23">
        <f t="shared" si="49"/>
        <v>0</v>
      </c>
      <c r="M87" s="23">
        <f t="shared" si="49"/>
        <v>0</v>
      </c>
      <c r="N87" s="23">
        <f t="shared" si="49"/>
        <v>0</v>
      </c>
      <c r="O87" s="23">
        <f t="shared" si="49"/>
        <v>0</v>
      </c>
      <c r="P87" s="23">
        <f t="shared" si="49"/>
        <v>0</v>
      </c>
      <c r="Q87" s="23">
        <f t="shared" si="49"/>
        <v>0</v>
      </c>
      <c r="R87" s="23">
        <f t="shared" si="49"/>
        <v>0</v>
      </c>
      <c r="S87" s="23">
        <f t="shared" si="49"/>
        <v>0</v>
      </c>
      <c r="T87" s="23">
        <f t="shared" si="49"/>
        <v>0</v>
      </c>
      <c r="U87" s="4"/>
    </row>
    <row r="88" spans="2:21" x14ac:dyDescent="0.25">
      <c r="B88" t="s">
        <v>92</v>
      </c>
      <c r="C88" s="4">
        <f t="shared" ref="C88:R88" si="50">+(C87+D88)/(1+C85)</f>
        <v>3342.2306122338564</v>
      </c>
      <c r="D88" s="4">
        <f t="shared" si="50"/>
        <v>3143.2982857019197</v>
      </c>
      <c r="E88" s="4">
        <f t="shared" si="50"/>
        <v>2802.2542020661581</v>
      </c>
      <c r="F88" s="4">
        <f t="shared" si="50"/>
        <v>2319.5242043177782</v>
      </c>
      <c r="G88" s="4">
        <f t="shared" si="50"/>
        <v>1689.8535633214663</v>
      </c>
      <c r="H88" s="4">
        <f t="shared" si="50"/>
        <v>913.34457409509139</v>
      </c>
      <c r="I88" s="4">
        <f t="shared" si="50"/>
        <v>0</v>
      </c>
      <c r="J88" s="4">
        <f t="shared" si="50"/>
        <v>0</v>
      </c>
      <c r="K88" s="4">
        <f t="shared" si="50"/>
        <v>0</v>
      </c>
      <c r="L88" s="4">
        <f t="shared" si="50"/>
        <v>0</v>
      </c>
      <c r="M88" s="4">
        <f t="shared" si="50"/>
        <v>0</v>
      </c>
      <c r="N88" s="4">
        <f t="shared" si="50"/>
        <v>0</v>
      </c>
      <c r="O88" s="4">
        <f t="shared" si="50"/>
        <v>0</v>
      </c>
      <c r="P88" s="4">
        <f t="shared" si="50"/>
        <v>0</v>
      </c>
      <c r="Q88" s="4">
        <f t="shared" si="50"/>
        <v>0</v>
      </c>
      <c r="R88" s="4">
        <f t="shared" si="50"/>
        <v>0</v>
      </c>
      <c r="S88" s="4">
        <f>+(S87+T88)/(1+S85)</f>
        <v>0</v>
      </c>
      <c r="T88" s="14">
        <f>+T79-T84</f>
        <v>0</v>
      </c>
      <c r="U88" s="4">
        <f>+T87/T85+U36*(V22-V29)/V29/(V29-W23)</f>
        <v>0</v>
      </c>
    </row>
    <row r="89" spans="2:21" x14ac:dyDescent="0.25">
      <c r="B89" s="12" t="s">
        <v>19</v>
      </c>
      <c r="C89" s="13">
        <f>+C88+C84</f>
        <v>18342.230612233856</v>
      </c>
      <c r="D89" s="13">
        <f t="shared" ref="D89:T89" si="51">+D88+D84</f>
        <v>20063.29828570192</v>
      </c>
      <c r="E89" s="13">
        <f t="shared" si="51"/>
        <v>21412.136555007331</v>
      </c>
      <c r="F89" s="13">
        <f t="shared" si="51"/>
        <v>22395.239284531679</v>
      </c>
      <c r="G89" s="13">
        <f t="shared" si="51"/>
        <v>22989.997043535368</v>
      </c>
      <c r="H89" s="13">
        <f t="shared" si="51"/>
        <v>23482.540067108992</v>
      </c>
      <c r="I89" s="13">
        <f t="shared" si="51"/>
        <v>24291.558109013899</v>
      </c>
      <c r="J89" s="13">
        <f t="shared" si="51"/>
        <v>25506.136014464595</v>
      </c>
      <c r="K89" s="13">
        <f t="shared" si="51"/>
        <v>26781.442815187824</v>
      </c>
      <c r="L89" s="13">
        <f t="shared" si="51"/>
        <v>28120.514955947216</v>
      </c>
      <c r="M89" s="13">
        <f t="shared" si="51"/>
        <v>29526.540703744577</v>
      </c>
      <c r="N89" s="13">
        <f t="shared" si="51"/>
        <v>31002.867738931804</v>
      </c>
      <c r="O89" s="13">
        <f t="shared" si="51"/>
        <v>32553.011125878395</v>
      </c>
      <c r="P89" s="13">
        <f t="shared" si="51"/>
        <v>34180.661682172315</v>
      </c>
      <c r="Q89" s="13">
        <f t="shared" si="51"/>
        <v>35889.694766280933</v>
      </c>
      <c r="R89" s="13">
        <f t="shared" si="51"/>
        <v>37684.179504594977</v>
      </c>
      <c r="S89" s="13">
        <f t="shared" si="51"/>
        <v>39568.388479824724</v>
      </c>
      <c r="T89" s="13">
        <f t="shared" si="51"/>
        <v>41546.807903815963</v>
      </c>
    </row>
    <row r="92" spans="2:21" x14ac:dyDescent="0.25">
      <c r="B92" t="s">
        <v>93</v>
      </c>
    </row>
    <row r="93" spans="2:21" x14ac:dyDescent="0.25">
      <c r="B93" t="str">
        <f>+B51</f>
        <v>PAT</v>
      </c>
      <c r="C93" s="4">
        <f t="shared" ref="C93:R93" si="52">+C51</f>
        <v>2400</v>
      </c>
      <c r="D93" s="4">
        <f t="shared" si="52"/>
        <v>2685.4404883200309</v>
      </c>
      <c r="E93" s="4">
        <f t="shared" si="52"/>
        <v>2907.6544626029599</v>
      </c>
      <c r="F93" s="4">
        <f t="shared" si="52"/>
        <v>3057.3145794395455</v>
      </c>
      <c r="G93" s="4">
        <f t="shared" si="52"/>
        <v>3164.0201821975224</v>
      </c>
      <c r="H93" s="4">
        <f t="shared" si="52"/>
        <v>3332.0462010073179</v>
      </c>
      <c r="I93" s="4">
        <f t="shared" si="52"/>
        <v>2502.0304852284312</v>
      </c>
      <c r="J93" s="4">
        <f t="shared" si="52"/>
        <v>2627.1320094898533</v>
      </c>
      <c r="K93" s="4">
        <f t="shared" si="52"/>
        <v>2758.4886099643459</v>
      </c>
      <c r="L93" s="4">
        <f t="shared" si="52"/>
        <v>2896.413040462563</v>
      </c>
      <c r="M93" s="4">
        <f t="shared" si="52"/>
        <v>3041.2336924856909</v>
      </c>
      <c r="N93" s="4">
        <f t="shared" si="52"/>
        <v>3193.2953771099756</v>
      </c>
      <c r="O93" s="4">
        <f t="shared" si="52"/>
        <v>3352.9601459654746</v>
      </c>
      <c r="P93" s="4">
        <f t="shared" si="52"/>
        <v>3520.6081532637472</v>
      </c>
      <c r="Q93" s="4">
        <f t="shared" si="52"/>
        <v>3696.638560926936</v>
      </c>
      <c r="R93" s="4">
        <f t="shared" si="52"/>
        <v>3881.470488973282</v>
      </c>
    </row>
    <row r="94" spans="2:21" x14ac:dyDescent="0.25">
      <c r="B94" t="str">
        <f>+B65</f>
        <v>BV E boy</v>
      </c>
      <c r="C94" s="4">
        <f t="shared" ref="C94:R94" si="53">+C65</f>
        <v>15000</v>
      </c>
      <c r="D94" s="4">
        <f t="shared" si="53"/>
        <v>16017.151577143413</v>
      </c>
      <c r="E94" s="4">
        <f t="shared" si="53"/>
        <v>16682.790062990516</v>
      </c>
      <c r="F94" s="4">
        <f t="shared" si="53"/>
        <v>16828.405383956808</v>
      </c>
      <c r="G94" s="4">
        <f t="shared" si="53"/>
        <v>16932.044041942183</v>
      </c>
      <c r="H94" s="4">
        <f t="shared" si="53"/>
        <v>17872.687479592103</v>
      </c>
      <c r="I94" s="4">
        <f t="shared" si="53"/>
        <v>19433.24648721112</v>
      </c>
      <c r="J94" s="4">
        <f t="shared" si="53"/>
        <v>20404.90881157168</v>
      </c>
      <c r="K94" s="4">
        <f t="shared" si="53"/>
        <v>21425.154252150263</v>
      </c>
      <c r="L94" s="4">
        <f t="shared" si="53"/>
        <v>22496.411964757775</v>
      </c>
      <c r="M94" s="4">
        <f t="shared" si="53"/>
        <v>23621.232562995665</v>
      </c>
      <c r="N94" s="4">
        <f t="shared" si="53"/>
        <v>24802.294191145444</v>
      </c>
      <c r="O94" s="4">
        <f t="shared" si="53"/>
        <v>26042.408900702718</v>
      </c>
      <c r="P94" s="4">
        <f t="shared" si="53"/>
        <v>27344.529345737854</v>
      </c>
      <c r="Q94" s="4">
        <f t="shared" si="53"/>
        <v>28711.755813024749</v>
      </c>
      <c r="R94" s="4">
        <f t="shared" si="53"/>
        <v>30147.343603675981</v>
      </c>
    </row>
    <row r="95" spans="2:21" x14ac:dyDescent="0.25">
      <c r="B95" s="3" t="str">
        <f>+B28</f>
        <v>rE=(rA-D/V*rD)/(1-D/V)</v>
      </c>
      <c r="C95" s="3">
        <f t="shared" ref="C95:R95" si="54">+C28</f>
        <v>0.12</v>
      </c>
      <c r="D95" s="3">
        <f t="shared" si="54"/>
        <v>0.12235602094240838</v>
      </c>
      <c r="E95" s="3">
        <f t="shared" si="54"/>
        <v>0.12445054945054944</v>
      </c>
      <c r="F95" s="3">
        <f t="shared" si="54"/>
        <v>0.12678362573099414</v>
      </c>
      <c r="G95" s="3">
        <f t="shared" si="54"/>
        <v>0.12820987654320987</v>
      </c>
      <c r="H95" s="3">
        <f t="shared" si="54"/>
        <v>0.12874999999999998</v>
      </c>
      <c r="I95" s="3">
        <f t="shared" si="54"/>
        <v>0.12874999999999998</v>
      </c>
      <c r="J95" s="3">
        <f t="shared" si="54"/>
        <v>0.12874999999999998</v>
      </c>
      <c r="K95" s="3">
        <f t="shared" si="54"/>
        <v>0.12874999999999998</v>
      </c>
      <c r="L95" s="3">
        <f t="shared" si="54"/>
        <v>0.12874999999999998</v>
      </c>
      <c r="M95" s="3">
        <f t="shared" si="54"/>
        <v>0.12874999999999998</v>
      </c>
      <c r="N95" s="3">
        <f t="shared" si="54"/>
        <v>0.12874999999999998</v>
      </c>
      <c r="O95" s="3">
        <f t="shared" si="54"/>
        <v>0.12874999999999998</v>
      </c>
      <c r="P95" s="3">
        <f t="shared" si="54"/>
        <v>0.12874999999999998</v>
      </c>
      <c r="Q95" s="3">
        <f t="shared" si="54"/>
        <v>0.12874999999999998</v>
      </c>
      <c r="R95" s="3">
        <f t="shared" si="54"/>
        <v>0.12874999999999998</v>
      </c>
    </row>
    <row r="96" spans="2:21" x14ac:dyDescent="0.25">
      <c r="B96" t="s">
        <v>94</v>
      </c>
      <c r="C96" s="4">
        <f>+C94*C95</f>
        <v>1800</v>
      </c>
      <c r="D96" s="4">
        <f t="shared" ref="D96:R96" si="55">+D94*D95</f>
        <v>1959.7949338106889</v>
      </c>
      <c r="E96" s="4">
        <f t="shared" si="55"/>
        <v>2076.1823897073359</v>
      </c>
      <c r="F96" s="4">
        <f t="shared" si="55"/>
        <v>2133.5662498490265</v>
      </c>
      <c r="G96" s="4">
        <f t="shared" si="55"/>
        <v>2170.8552762415993</v>
      </c>
      <c r="H96" s="4">
        <f t="shared" si="55"/>
        <v>2301.1085129974826</v>
      </c>
      <c r="I96" s="4">
        <f t="shared" si="55"/>
        <v>2502.0304852284312</v>
      </c>
      <c r="J96" s="4">
        <f t="shared" si="55"/>
        <v>2627.1320094898533</v>
      </c>
      <c r="K96" s="4">
        <f t="shared" si="55"/>
        <v>2758.4886099643459</v>
      </c>
      <c r="L96" s="4">
        <f t="shared" si="55"/>
        <v>2896.413040462563</v>
      </c>
      <c r="M96" s="4">
        <f t="shared" si="55"/>
        <v>3041.2336924856913</v>
      </c>
      <c r="N96" s="4">
        <f t="shared" si="55"/>
        <v>3193.2953771099751</v>
      </c>
      <c r="O96" s="4">
        <f t="shared" si="55"/>
        <v>3352.9601459654741</v>
      </c>
      <c r="P96" s="4">
        <f t="shared" si="55"/>
        <v>3520.6081532637481</v>
      </c>
      <c r="Q96" s="4">
        <f t="shared" si="55"/>
        <v>3696.6385609269355</v>
      </c>
      <c r="R96" s="4">
        <f t="shared" si="55"/>
        <v>3881.470488973282</v>
      </c>
    </row>
    <row r="97" spans="2:19" x14ac:dyDescent="0.25">
      <c r="B97" t="s">
        <v>95</v>
      </c>
      <c r="C97" s="4">
        <f>+C93-C96</f>
        <v>600</v>
      </c>
      <c r="D97" s="4">
        <f t="shared" ref="D97:R97" si="56">+D93-D96</f>
        <v>725.64555450934199</v>
      </c>
      <c r="E97" s="4">
        <f t="shared" si="56"/>
        <v>831.47207289562402</v>
      </c>
      <c r="F97" s="4">
        <f t="shared" si="56"/>
        <v>923.74832959051901</v>
      </c>
      <c r="G97" s="4">
        <f t="shared" si="56"/>
        <v>993.16490595592313</v>
      </c>
      <c r="H97" s="4">
        <f t="shared" si="56"/>
        <v>1030.9376880098353</v>
      </c>
      <c r="I97" s="23">
        <f t="shared" si="56"/>
        <v>0</v>
      </c>
      <c r="J97" s="23">
        <f t="shared" si="56"/>
        <v>0</v>
      </c>
      <c r="K97" s="23">
        <f t="shared" si="56"/>
        <v>0</v>
      </c>
      <c r="L97" s="23">
        <f t="shared" si="56"/>
        <v>0</v>
      </c>
      <c r="M97" s="23">
        <f t="shared" si="56"/>
        <v>0</v>
      </c>
      <c r="N97" s="23">
        <f t="shared" si="56"/>
        <v>0</v>
      </c>
      <c r="O97" s="23">
        <f t="shared" si="56"/>
        <v>0</v>
      </c>
      <c r="P97" s="23">
        <f t="shared" si="56"/>
        <v>0</v>
      </c>
      <c r="Q97" s="23">
        <f t="shared" si="56"/>
        <v>0</v>
      </c>
      <c r="R97" s="23">
        <f t="shared" si="56"/>
        <v>0</v>
      </c>
    </row>
    <row r="98" spans="2:19" x14ac:dyDescent="0.25">
      <c r="B98" t="s">
        <v>96</v>
      </c>
      <c r="C98" s="4">
        <f t="shared" ref="C98:P98" si="57">+(C97+D98)/(1+C95)</f>
        <v>3342.2306122338559</v>
      </c>
      <c r="D98" s="4">
        <f t="shared" si="57"/>
        <v>3143.2982857019192</v>
      </c>
      <c r="E98" s="4">
        <f t="shared" si="57"/>
        <v>2802.2542020661581</v>
      </c>
      <c r="F98" s="4">
        <f t="shared" si="57"/>
        <v>2319.5242043177786</v>
      </c>
      <c r="G98" s="4">
        <f t="shared" si="57"/>
        <v>1689.8535633214669</v>
      </c>
      <c r="H98" s="4">
        <f t="shared" si="57"/>
        <v>913.34457409509218</v>
      </c>
      <c r="I98" s="4">
        <f t="shared" si="57"/>
        <v>0</v>
      </c>
      <c r="J98" s="4">
        <f t="shared" si="57"/>
        <v>0</v>
      </c>
      <c r="K98" s="4">
        <f t="shared" si="57"/>
        <v>0</v>
      </c>
      <c r="L98" s="4">
        <f t="shared" si="57"/>
        <v>0</v>
      </c>
      <c r="M98" s="4">
        <f t="shared" si="57"/>
        <v>0</v>
      </c>
      <c r="N98" s="4">
        <f t="shared" si="57"/>
        <v>0</v>
      </c>
      <c r="O98" s="4">
        <f t="shared" si="57"/>
        <v>0</v>
      </c>
      <c r="P98" s="4">
        <f t="shared" si="57"/>
        <v>0</v>
      </c>
      <c r="Q98" s="4">
        <f>+(Q97+R98)/(1+Q95)</f>
        <v>0</v>
      </c>
      <c r="R98" s="14">
        <f>+R77-R94</f>
        <v>0</v>
      </c>
      <c r="S98" t="s">
        <v>97</v>
      </c>
    </row>
    <row r="99" spans="2:19" x14ac:dyDescent="0.25">
      <c r="B99" t="s">
        <v>89</v>
      </c>
      <c r="C99" s="4">
        <f>+C98+C94</f>
        <v>18342.230612233856</v>
      </c>
      <c r="D99" s="4">
        <f t="shared" ref="D99:R99" si="58">+D98+D94</f>
        <v>19160.449862845333</v>
      </c>
      <c r="E99" s="4">
        <f t="shared" si="58"/>
        <v>19485.044265056673</v>
      </c>
      <c r="F99" s="4">
        <f t="shared" si="58"/>
        <v>19147.929588274586</v>
      </c>
      <c r="G99" s="4">
        <f t="shared" si="58"/>
        <v>18621.89760526365</v>
      </c>
      <c r="H99" s="4">
        <f t="shared" si="58"/>
        <v>18786.032053687195</v>
      </c>
      <c r="I99" s="4">
        <f t="shared" si="58"/>
        <v>19433.24648721112</v>
      </c>
      <c r="J99" s="4">
        <f t="shared" si="58"/>
        <v>20404.90881157168</v>
      </c>
      <c r="K99" s="4">
        <f t="shared" si="58"/>
        <v>21425.154252150263</v>
      </c>
      <c r="L99" s="4">
        <f t="shared" si="58"/>
        <v>22496.411964757775</v>
      </c>
      <c r="M99" s="4">
        <f t="shared" si="58"/>
        <v>23621.232562995665</v>
      </c>
      <c r="N99" s="4">
        <f t="shared" si="58"/>
        <v>24802.294191145444</v>
      </c>
      <c r="O99" s="4">
        <f t="shared" si="58"/>
        <v>26042.408900702718</v>
      </c>
      <c r="P99" s="4">
        <f t="shared" si="58"/>
        <v>27344.529345737854</v>
      </c>
      <c r="Q99" s="4">
        <f t="shared" si="58"/>
        <v>28711.755813024749</v>
      </c>
      <c r="R99" s="4">
        <f t="shared" si="58"/>
        <v>30147.343603675981</v>
      </c>
    </row>
    <row r="100" spans="2:19" x14ac:dyDescent="0.25">
      <c r="B100" s="4" t="str">
        <f>+B78</f>
        <v>D boy</v>
      </c>
      <c r="C100" s="4">
        <f>+C78</f>
        <v>0</v>
      </c>
      <c r="D100" s="4">
        <f t="shared" ref="D100:R100" si="59">+D78</f>
        <v>902.84842285658624</v>
      </c>
      <c r="E100" s="4">
        <f t="shared" si="59"/>
        <v>1927.0922899506595</v>
      </c>
      <c r="F100" s="4">
        <f t="shared" si="59"/>
        <v>3247.3096962570921</v>
      </c>
      <c r="G100" s="4">
        <f t="shared" si="59"/>
        <v>4368.0994382717181</v>
      </c>
      <c r="H100" s="4">
        <f t="shared" si="59"/>
        <v>4696.508013421796</v>
      </c>
      <c r="I100" s="4">
        <f t="shared" si="59"/>
        <v>4858.3116218027781</v>
      </c>
      <c r="J100" s="4">
        <f t="shared" si="59"/>
        <v>5101.2272028929165</v>
      </c>
      <c r="K100" s="4">
        <f t="shared" si="59"/>
        <v>5356.2885630375622</v>
      </c>
      <c r="L100" s="4">
        <f t="shared" si="59"/>
        <v>5624.1029911894402</v>
      </c>
      <c r="M100" s="4">
        <f t="shared" si="59"/>
        <v>5905.3081407489126</v>
      </c>
      <c r="N100" s="4">
        <f t="shared" si="59"/>
        <v>6200.5735477863591</v>
      </c>
      <c r="O100" s="4">
        <f t="shared" si="59"/>
        <v>6510.6022251756767</v>
      </c>
      <c r="P100" s="4">
        <f t="shared" si="59"/>
        <v>6836.1323364344616</v>
      </c>
      <c r="Q100" s="4">
        <f t="shared" si="59"/>
        <v>7177.9389532561836</v>
      </c>
      <c r="R100" s="4">
        <f t="shared" si="59"/>
        <v>7536.8359009189944</v>
      </c>
    </row>
    <row r="101" spans="2:19" x14ac:dyDescent="0.25">
      <c r="B101" s="12" t="s">
        <v>19</v>
      </c>
      <c r="C101" s="13">
        <f>+C99+C100</f>
        <v>18342.230612233856</v>
      </c>
      <c r="D101" s="13">
        <f t="shared" ref="D101:R101" si="60">+D99+D100</f>
        <v>20063.29828570192</v>
      </c>
      <c r="E101" s="13">
        <f t="shared" si="60"/>
        <v>21412.136555007331</v>
      </c>
      <c r="F101" s="13">
        <f t="shared" si="60"/>
        <v>22395.239284531679</v>
      </c>
      <c r="G101" s="13">
        <f t="shared" si="60"/>
        <v>22989.997043535368</v>
      </c>
      <c r="H101" s="13">
        <f t="shared" si="60"/>
        <v>23482.540067108992</v>
      </c>
      <c r="I101" s="13">
        <f t="shared" si="60"/>
        <v>24291.558109013899</v>
      </c>
      <c r="J101" s="13">
        <f t="shared" si="60"/>
        <v>25506.136014464595</v>
      </c>
      <c r="K101" s="13">
        <f t="shared" si="60"/>
        <v>26781.442815187824</v>
      </c>
      <c r="L101" s="13">
        <f t="shared" si="60"/>
        <v>28120.514955947216</v>
      </c>
      <c r="M101" s="13">
        <f t="shared" si="60"/>
        <v>29526.540703744577</v>
      </c>
      <c r="N101" s="13">
        <f t="shared" si="60"/>
        <v>31002.867738931804</v>
      </c>
      <c r="O101" s="13">
        <f t="shared" si="60"/>
        <v>32553.011125878395</v>
      </c>
      <c r="P101" s="13">
        <f t="shared" si="60"/>
        <v>34180.661682172315</v>
      </c>
      <c r="Q101" s="13">
        <f t="shared" si="60"/>
        <v>35889.694766280933</v>
      </c>
      <c r="R101" s="13">
        <f t="shared" si="60"/>
        <v>37684.179504594977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3276-0125-4EEA-99A3-72A152F99103}">
  <dimension ref="B18:BG101"/>
  <sheetViews>
    <sheetView tabSelected="1" topLeftCell="A18" zoomScale="200" zoomScaleNormal="200" workbookViewId="0">
      <selection activeCell="K21" sqref="K21"/>
    </sheetView>
  </sheetViews>
  <sheetFormatPr defaultRowHeight="15.75" x14ac:dyDescent="0.25"/>
  <cols>
    <col min="2" max="2" width="24.875" bestFit="1" customWidth="1"/>
    <col min="3" max="8" width="8.875" bestFit="1" customWidth="1"/>
    <col min="9" max="9" width="12.375" bestFit="1" customWidth="1"/>
    <col min="10" max="33" width="8.875" bestFit="1" customWidth="1"/>
    <col min="34" max="57" width="9.875" bestFit="1" customWidth="1"/>
    <col min="58" max="58" width="10.5" bestFit="1" customWidth="1"/>
    <col min="59" max="59" width="9.875" bestFit="1" customWidth="1"/>
  </cols>
  <sheetData>
    <row r="18" spans="2:59" x14ac:dyDescent="0.25">
      <c r="I18" t="s">
        <v>13</v>
      </c>
    </row>
    <row r="19" spans="2:59" x14ac:dyDescent="0.25">
      <c r="C19" s="1">
        <v>2025</v>
      </c>
      <c r="D19" s="2">
        <f>+C19+1</f>
        <v>2026</v>
      </c>
      <c r="E19" s="2">
        <f t="shared" ref="E19:H19" si="0">+D19+1</f>
        <v>2027</v>
      </c>
      <c r="F19" s="2">
        <f t="shared" si="0"/>
        <v>2028</v>
      </c>
      <c r="G19" s="2">
        <f t="shared" si="0"/>
        <v>2029</v>
      </c>
      <c r="H19" s="2">
        <f t="shared" si="0"/>
        <v>2030</v>
      </c>
      <c r="I19" s="2" t="s">
        <v>7</v>
      </c>
      <c r="J19" s="2" t="s">
        <v>8</v>
      </c>
      <c r="K19" s="2" t="s">
        <v>16</v>
      </c>
      <c r="L19" s="2" t="s">
        <v>17</v>
      </c>
      <c r="M19" s="2" t="s">
        <v>20</v>
      </c>
      <c r="N19" s="2" t="s">
        <v>21</v>
      </c>
      <c r="O19" s="2" t="s">
        <v>22</v>
      </c>
      <c r="P19" s="2" t="s">
        <v>23</v>
      </c>
      <c r="Q19" s="2" t="s">
        <v>24</v>
      </c>
      <c r="R19" s="2" t="s">
        <v>25</v>
      </c>
      <c r="S19" s="2" t="s">
        <v>26</v>
      </c>
      <c r="T19" s="2" t="s">
        <v>27</v>
      </c>
      <c r="U19" s="2" t="s">
        <v>28</v>
      </c>
      <c r="V19" s="2" t="s">
        <v>29</v>
      </c>
      <c r="W19" s="2" t="s">
        <v>30</v>
      </c>
      <c r="X19" s="2" t="s">
        <v>31</v>
      </c>
      <c r="Y19" s="2" t="s">
        <v>32</v>
      </c>
      <c r="Z19" s="2" t="s">
        <v>33</v>
      </c>
      <c r="AA19" s="2" t="s">
        <v>34</v>
      </c>
      <c r="AB19" s="2" t="s">
        <v>35</v>
      </c>
      <c r="AC19" s="2" t="s">
        <v>36</v>
      </c>
      <c r="AD19" s="2" t="s">
        <v>37</v>
      </c>
      <c r="AE19" s="2" t="s">
        <v>38</v>
      </c>
      <c r="AF19" s="2" t="s">
        <v>39</v>
      </c>
      <c r="AG19" s="2" t="s">
        <v>40</v>
      </c>
      <c r="AH19" s="2" t="s">
        <v>41</v>
      </c>
      <c r="AI19" s="2" t="s">
        <v>42</v>
      </c>
      <c r="AJ19" s="2" t="s">
        <v>43</v>
      </c>
      <c r="AK19" s="2" t="s">
        <v>44</v>
      </c>
      <c r="AL19" s="2" t="s">
        <v>45</v>
      </c>
      <c r="AM19" s="2" t="s">
        <v>46</v>
      </c>
      <c r="AN19" s="2" t="s">
        <v>47</v>
      </c>
      <c r="AO19" s="2" t="s">
        <v>48</v>
      </c>
      <c r="AP19" s="2" t="s">
        <v>49</v>
      </c>
      <c r="AQ19" s="2" t="s">
        <v>50</v>
      </c>
      <c r="AR19" s="2" t="s">
        <v>51</v>
      </c>
      <c r="AS19" s="2" t="s">
        <v>52</v>
      </c>
      <c r="AT19" s="2" t="s">
        <v>53</v>
      </c>
      <c r="AU19" s="2" t="s">
        <v>54</v>
      </c>
      <c r="AV19" s="2" t="s">
        <v>55</v>
      </c>
      <c r="AW19" s="2" t="s">
        <v>56</v>
      </c>
      <c r="AX19" s="2" t="s">
        <v>57</v>
      </c>
      <c r="AY19" s="2" t="s">
        <v>58</v>
      </c>
      <c r="AZ19" s="2" t="s">
        <v>59</v>
      </c>
      <c r="BA19" s="2" t="s">
        <v>60</v>
      </c>
      <c r="BB19" s="2" t="s">
        <v>61</v>
      </c>
      <c r="BC19" s="2" t="s">
        <v>62</v>
      </c>
      <c r="BD19" s="2" t="s">
        <v>63</v>
      </c>
      <c r="BE19" s="2" t="s">
        <v>64</v>
      </c>
      <c r="BF19" s="2" t="s">
        <v>65</v>
      </c>
    </row>
    <row r="20" spans="2:59" x14ac:dyDescent="0.25">
      <c r="B20" t="s">
        <v>1</v>
      </c>
      <c r="C20" s="7">
        <v>15000</v>
      </c>
      <c r="D20" s="4">
        <f>+C20+C36</f>
        <v>16920</v>
      </c>
      <c r="E20" s="4">
        <f>+D20+D36</f>
        <v>18609.882352941175</v>
      </c>
      <c r="F20" s="4">
        <f>+E20+E36</f>
        <v>20075.7150802139</v>
      </c>
      <c r="G20" s="4">
        <f>+F20+F36</f>
        <v>21300.143480213901</v>
      </c>
      <c r="H20" s="4">
        <f>+G20+G36</f>
        <v>22569.1954930139</v>
      </c>
      <c r="I20" s="4">
        <f>+H20+H36</f>
        <v>24291.558109013899</v>
      </c>
      <c r="J20" s="4">
        <f>+I20+I36</f>
        <v>25943.460436177535</v>
      </c>
      <c r="K20" s="4">
        <f>+J20+J36</f>
        <v>27677.957879699352</v>
      </c>
      <c r="L20" s="4">
        <f t="shared" ref="L20:BG20" si="1">+K20+K36</f>
        <v>29499.180195397261</v>
      </c>
      <c r="M20" s="4">
        <f t="shared" si="1"/>
        <v>31411.463626880064</v>
      </c>
      <c r="N20" s="4">
        <f t="shared" si="1"/>
        <v>33419.361229937007</v>
      </c>
      <c r="O20" s="4">
        <f t="shared" si="1"/>
        <v>35527.653713146799</v>
      </c>
      <c r="P20" s="4">
        <f t="shared" si="1"/>
        <v>37741.360820517082</v>
      </c>
      <c r="Q20" s="4">
        <f t="shared" si="1"/>
        <v>40065.753283255879</v>
      </c>
      <c r="R20" s="4">
        <f t="shared" si="1"/>
        <v>42506.365369131614</v>
      </c>
      <c r="S20" s="4">
        <f t="shared" si="1"/>
        <v>45069.008059301137</v>
      </c>
      <c r="T20" s="4">
        <f t="shared" si="1"/>
        <v>47759.782883979133</v>
      </c>
      <c r="U20" s="4">
        <f t="shared" si="1"/>
        <v>50585.096449891033</v>
      </c>
      <c r="V20" s="4">
        <f t="shared" si="1"/>
        <v>53551.675694098521</v>
      </c>
      <c r="W20" s="4">
        <f t="shared" si="1"/>
        <v>56666.583900516387</v>
      </c>
      <c r="X20" s="4">
        <f t="shared" si="1"/>
        <v>59937.237517255147</v>
      </c>
      <c r="Y20" s="4">
        <f t="shared" si="1"/>
        <v>63371.423814830843</v>
      </c>
      <c r="Z20" s="4">
        <f t="shared" si="1"/>
        <v>66977.319427285329</v>
      </c>
      <c r="AA20" s="4">
        <f t="shared" si="1"/>
        <v>70763.509820362538</v>
      </c>
      <c r="AB20" s="4">
        <f t="shared" si="1"/>
        <v>74739.009733093611</v>
      </c>
      <c r="AC20" s="4">
        <f t="shared" si="1"/>
        <v>78913.284641461229</v>
      </c>
      <c r="AD20" s="4">
        <f t="shared" si="1"/>
        <v>83296.273295247229</v>
      </c>
      <c r="AE20" s="4">
        <f t="shared" si="1"/>
        <v>87898.41138172253</v>
      </c>
      <c r="AF20" s="4">
        <f t="shared" si="1"/>
        <v>92730.656372521596</v>
      </c>
      <c r="AG20" s="4">
        <f t="shared" si="1"/>
        <v>97804.513612860625</v>
      </c>
      <c r="AH20" s="4">
        <f t="shared" si="1"/>
        <v>103132.0637152166</v>
      </c>
      <c r="AI20" s="4">
        <f t="shared" si="1"/>
        <v>108725.99132269037</v>
      </c>
      <c r="AJ20" s="4">
        <f t="shared" si="1"/>
        <v>114599.61531053783</v>
      </c>
      <c r="AK20" s="4">
        <f t="shared" si="1"/>
        <v>120766.92049777767</v>
      </c>
      <c r="AL20" s="4">
        <f t="shared" si="1"/>
        <v>127242.5909443795</v>
      </c>
      <c r="AM20" s="4">
        <f t="shared" si="1"/>
        <v>134042.0449133114</v>
      </c>
      <c r="AN20" s="4">
        <f t="shared" si="1"/>
        <v>141181.47158068992</v>
      </c>
      <c r="AO20" s="4">
        <f t="shared" si="1"/>
        <v>148677.86958143735</v>
      </c>
      <c r="AP20" s="4">
        <f t="shared" si="1"/>
        <v>156549.08748222215</v>
      </c>
      <c r="AQ20" s="4">
        <f t="shared" si="1"/>
        <v>164813.86627804622</v>
      </c>
      <c r="AR20" s="4">
        <f t="shared" si="1"/>
        <v>173491.88401366147</v>
      </c>
      <c r="AS20" s="4">
        <f t="shared" si="1"/>
        <v>182603.80263605749</v>
      </c>
      <c r="AT20" s="4">
        <f t="shared" si="1"/>
        <v>192171.31718957331</v>
      </c>
      <c r="AU20" s="4">
        <f t="shared" si="1"/>
        <v>202217.20747076493</v>
      </c>
      <c r="AV20" s="4">
        <f t="shared" si="1"/>
        <v>212765.3922660161</v>
      </c>
      <c r="AW20" s="4">
        <f t="shared" si="1"/>
        <v>223840.98630102986</v>
      </c>
      <c r="AX20" s="4">
        <f t="shared" si="1"/>
        <v>235470.36003779428</v>
      </c>
      <c r="AY20" s="4">
        <f t="shared" si="1"/>
        <v>247681.20246139693</v>
      </c>
      <c r="AZ20" s="4">
        <f t="shared" si="1"/>
        <v>260502.5870061797</v>
      </c>
      <c r="BA20" s="4">
        <f t="shared" si="1"/>
        <v>273965.04077820166</v>
      </c>
      <c r="BB20" s="4">
        <f t="shared" si="1"/>
        <v>288100.61723882466</v>
      </c>
      <c r="BC20" s="4">
        <f t="shared" si="1"/>
        <v>302942.97252247884</v>
      </c>
      <c r="BD20" s="4">
        <f t="shared" si="1"/>
        <v>318527.4455703157</v>
      </c>
      <c r="BE20" s="4">
        <f t="shared" si="1"/>
        <v>334891.14227054443</v>
      </c>
      <c r="BF20" s="4">
        <f t="shared" si="1"/>
        <v>352073.02380578459</v>
      </c>
      <c r="BG20" s="4">
        <f t="shared" si="1"/>
        <v>370113.99941778678</v>
      </c>
    </row>
    <row r="21" spans="2:59" x14ac:dyDescent="0.25">
      <c r="B21" t="s">
        <v>2</v>
      </c>
      <c r="C21" s="8">
        <v>0.16</v>
      </c>
      <c r="D21" s="3">
        <f>+D35/D20</f>
        <v>0.16170212765957448</v>
      </c>
      <c r="E21" s="3">
        <f t="shared" ref="E21:BG21" si="2">+E35/E20</f>
        <v>0.16245562130177515</v>
      </c>
      <c r="F21" s="3">
        <f t="shared" si="2"/>
        <v>0.1626413996688984</v>
      </c>
      <c r="G21" s="3">
        <f t="shared" si="2"/>
        <v>0.16248956009216717</v>
      </c>
      <c r="H21" s="25">
        <f t="shared" si="2"/>
        <v>0.16178727979250576</v>
      </c>
      <c r="I21" s="3">
        <f t="shared" si="2"/>
        <v>0.15858333210483297</v>
      </c>
      <c r="J21" s="3">
        <f t="shared" si="2"/>
        <v>0.15591012032660206</v>
      </c>
      <c r="K21" s="3">
        <f t="shared" si="2"/>
        <v>0.15344666895828285</v>
      </c>
      <c r="L21" s="3">
        <f t="shared" si="2"/>
        <v>0.1511718269009287</v>
      </c>
      <c r="M21" s="3">
        <f t="shared" si="2"/>
        <v>0.14906714522916592</v>
      </c>
      <c r="N21" s="3">
        <f t="shared" si="2"/>
        <v>0.14711645854083549</v>
      </c>
      <c r="O21" s="3">
        <f t="shared" si="2"/>
        <v>0.14530554187644518</v>
      </c>
      <c r="P21" s="3">
        <f t="shared" si="2"/>
        <v>0.14362182775773599</v>
      </c>
      <c r="Q21" s="3">
        <f t="shared" si="2"/>
        <v>0.14205417140230794</v>
      </c>
      <c r="R21" s="3">
        <f t="shared" si="2"/>
        <v>0.14059265480777128</v>
      </c>
      <c r="S21" s="3">
        <f t="shared" si="2"/>
        <v>0.13922842239821845</v>
      </c>
      <c r="T21" s="3">
        <f t="shared" si="2"/>
        <v>0.13795354245458014</v>
      </c>
      <c r="U21" s="3">
        <f t="shared" si="2"/>
        <v>0.13676088972855513</v>
      </c>
      <c r="V21" s="3">
        <f t="shared" si="2"/>
        <v>0.13564404555443196</v>
      </c>
      <c r="W21" s="3">
        <f t="shared" si="2"/>
        <v>0.13459721248813952</v>
      </c>
      <c r="X21" s="3">
        <f t="shared" si="2"/>
        <v>0.1336151410655351</v>
      </c>
      <c r="Y21" s="3">
        <f t="shared" si="2"/>
        <v>0.1326930667174927</v>
      </c>
      <c r="Z21" s="3">
        <f t="shared" si="2"/>
        <v>0.13182665523426598</v>
      </c>
      <c r="AA21" s="3">
        <f t="shared" si="2"/>
        <v>0.13101195545590527</v>
      </c>
      <c r="AB21" s="3">
        <f t="shared" si="2"/>
        <v>0.13024535809447588</v>
      </c>
      <c r="AC21" s="3">
        <f t="shared" si="2"/>
        <v>0.12952355977916996</v>
      </c>
      <c r="AD21" s="3">
        <f t="shared" si="2"/>
        <v>0.12884353156616879</v>
      </c>
      <c r="AE21" s="3">
        <f t="shared" si="2"/>
        <v>0.12820249127831959</v>
      </c>
      <c r="AF21" s="3">
        <f t="shared" si="2"/>
        <v>0.12759787914082732</v>
      </c>
      <c r="AG21" s="3">
        <f t="shared" si="2"/>
        <v>0.12702733626253093</v>
      </c>
      <c r="AH21" s="3">
        <f t="shared" si="2"/>
        <v>0.12648868558134077</v>
      </c>
      <c r="AI21" s="3">
        <f t="shared" si="2"/>
        <v>0.1259799149497545</v>
      </c>
      <c r="AJ21" s="3">
        <f t="shared" si="2"/>
        <v>0.12549916208419246</v>
      </c>
      <c r="AK21" s="3">
        <f t="shared" si="2"/>
        <v>0.1250447011419269</v>
      </c>
      <c r="AL21" s="3">
        <f t="shared" si="2"/>
        <v>0.12461493072300275</v>
      </c>
      <c r="AM21" s="3">
        <f t="shared" si="2"/>
        <v>0.12420836312288536</v>
      </c>
      <c r="AN21" s="3">
        <f t="shared" si="2"/>
        <v>0.12382361468552698</v>
      </c>
      <c r="AO21" s="3">
        <f t="shared" si="2"/>
        <v>0.12345939712686002</v>
      </c>
      <c r="AP21" s="3">
        <f t="shared" si="2"/>
        <v>0.12311450971600454</v>
      </c>
      <c r="AQ21" s="3">
        <f t="shared" si="2"/>
        <v>0.12278783221621703</v>
      </c>
      <c r="AR21" s="3">
        <f t="shared" si="2"/>
        <v>0.12247831850021454</v>
      </c>
      <c r="AS21" s="3">
        <f t="shared" si="2"/>
        <v>0.12218499076531937</v>
      </c>
      <c r="AT21" s="3">
        <f t="shared" si="2"/>
        <v>0.12190693428316636</v>
      </c>
      <c r="AU21" s="3">
        <f t="shared" si="2"/>
        <v>0.12164329262672674</v>
      </c>
      <c r="AV21" s="3">
        <f t="shared" si="2"/>
        <v>0.12139326332432625</v>
      </c>
      <c r="AW21" s="3">
        <f t="shared" si="2"/>
        <v>0.12115609389632988</v>
      </c>
      <c r="AX21" s="3">
        <f t="shared" si="2"/>
        <v>0.12093107823537065</v>
      </c>
      <c r="AY21" s="3">
        <f t="shared" si="2"/>
        <v>0.12071755329552525</v>
      </c>
      <c r="AZ21" s="3">
        <f t="shared" si="2"/>
        <v>0.12051489605978612</v>
      </c>
      <c r="BA21" s="3">
        <f t="shared" si="2"/>
        <v>0.12032252075862565</v>
      </c>
      <c r="BB21" s="3">
        <f t="shared" si="2"/>
        <v>0.12013987631546506</v>
      </c>
      <c r="BC21" s="3">
        <f t="shared" si="2"/>
        <v>0.11996644399750488</v>
      </c>
      <c r="BD21" s="3">
        <f t="shared" si="2"/>
        <v>0.11980173525269881</v>
      </c>
      <c r="BE21" s="3">
        <f t="shared" si="2"/>
        <v>0.11964528971569723</v>
      </c>
      <c r="BF21" s="3">
        <f t="shared" si="2"/>
        <v>0.11949667336738974</v>
      </c>
      <c r="BG21" s="3"/>
    </row>
    <row r="22" spans="2:59" x14ac:dyDescent="0.25">
      <c r="B22" t="s">
        <v>3</v>
      </c>
      <c r="C22" s="3">
        <f>+C21</f>
        <v>0.16</v>
      </c>
      <c r="D22" s="8">
        <v>0.17499999999999999</v>
      </c>
      <c r="E22" s="8">
        <v>0.17</v>
      </c>
      <c r="F22" s="8">
        <v>0.16500000000000001</v>
      </c>
      <c r="G22" s="8">
        <v>0.16</v>
      </c>
      <c r="H22" s="8">
        <v>0.15</v>
      </c>
      <c r="I22" s="26">
        <f>+I29</f>
        <v>0.1166</v>
      </c>
      <c r="J22" s="10">
        <f>+I22</f>
        <v>0.1166</v>
      </c>
      <c r="K22" s="10">
        <f>+J22</f>
        <v>0.1166</v>
      </c>
      <c r="L22" s="10">
        <f t="shared" ref="L22:BG22" si="3">+K22</f>
        <v>0.1166</v>
      </c>
      <c r="M22" s="10">
        <f t="shared" si="3"/>
        <v>0.1166</v>
      </c>
      <c r="N22" s="10">
        <f t="shared" si="3"/>
        <v>0.1166</v>
      </c>
      <c r="O22" s="10">
        <f t="shared" si="3"/>
        <v>0.1166</v>
      </c>
      <c r="P22" s="10">
        <f t="shared" si="3"/>
        <v>0.1166</v>
      </c>
      <c r="Q22" s="10">
        <f t="shared" si="3"/>
        <v>0.1166</v>
      </c>
      <c r="R22" s="10">
        <f t="shared" si="3"/>
        <v>0.1166</v>
      </c>
      <c r="S22" s="10">
        <f t="shared" si="3"/>
        <v>0.1166</v>
      </c>
      <c r="T22" s="10">
        <f t="shared" si="3"/>
        <v>0.1166</v>
      </c>
      <c r="U22" s="10">
        <f t="shared" si="3"/>
        <v>0.1166</v>
      </c>
      <c r="V22" s="10">
        <f t="shared" si="3"/>
        <v>0.1166</v>
      </c>
      <c r="W22" s="10">
        <f t="shared" si="3"/>
        <v>0.1166</v>
      </c>
      <c r="X22" s="10">
        <f t="shared" si="3"/>
        <v>0.1166</v>
      </c>
      <c r="Y22" s="10">
        <f t="shared" si="3"/>
        <v>0.1166</v>
      </c>
      <c r="Z22" s="10">
        <f t="shared" si="3"/>
        <v>0.1166</v>
      </c>
      <c r="AA22" s="10">
        <f t="shared" si="3"/>
        <v>0.1166</v>
      </c>
      <c r="AB22" s="10">
        <f t="shared" si="3"/>
        <v>0.1166</v>
      </c>
      <c r="AC22" s="10">
        <f t="shared" si="3"/>
        <v>0.1166</v>
      </c>
      <c r="AD22" s="10">
        <f t="shared" si="3"/>
        <v>0.1166</v>
      </c>
      <c r="AE22" s="10">
        <f t="shared" si="3"/>
        <v>0.1166</v>
      </c>
      <c r="AF22" s="10">
        <f t="shared" si="3"/>
        <v>0.1166</v>
      </c>
      <c r="AG22" s="10">
        <f t="shared" si="3"/>
        <v>0.1166</v>
      </c>
      <c r="AH22" s="10">
        <f t="shared" si="3"/>
        <v>0.1166</v>
      </c>
      <c r="AI22" s="10">
        <f t="shared" si="3"/>
        <v>0.1166</v>
      </c>
      <c r="AJ22" s="10">
        <f t="shared" si="3"/>
        <v>0.1166</v>
      </c>
      <c r="AK22" s="10">
        <f t="shared" si="3"/>
        <v>0.1166</v>
      </c>
      <c r="AL22" s="10">
        <f t="shared" si="3"/>
        <v>0.1166</v>
      </c>
      <c r="AM22" s="10">
        <f t="shared" si="3"/>
        <v>0.1166</v>
      </c>
      <c r="AN22" s="10">
        <f t="shared" si="3"/>
        <v>0.1166</v>
      </c>
      <c r="AO22" s="10">
        <f t="shared" si="3"/>
        <v>0.1166</v>
      </c>
      <c r="AP22" s="10">
        <f t="shared" si="3"/>
        <v>0.1166</v>
      </c>
      <c r="AQ22" s="10">
        <f t="shared" si="3"/>
        <v>0.1166</v>
      </c>
      <c r="AR22" s="10">
        <f t="shared" si="3"/>
        <v>0.1166</v>
      </c>
      <c r="AS22" s="10">
        <f t="shared" si="3"/>
        <v>0.1166</v>
      </c>
      <c r="AT22" s="10">
        <f t="shared" si="3"/>
        <v>0.1166</v>
      </c>
      <c r="AU22" s="10">
        <f t="shared" si="3"/>
        <v>0.1166</v>
      </c>
      <c r="AV22" s="10">
        <f t="shared" si="3"/>
        <v>0.1166</v>
      </c>
      <c r="AW22" s="10">
        <f t="shared" si="3"/>
        <v>0.1166</v>
      </c>
      <c r="AX22" s="10">
        <f t="shared" si="3"/>
        <v>0.1166</v>
      </c>
      <c r="AY22" s="10">
        <f t="shared" si="3"/>
        <v>0.1166</v>
      </c>
      <c r="AZ22" s="10">
        <f t="shared" si="3"/>
        <v>0.1166</v>
      </c>
      <c r="BA22" s="10">
        <f t="shared" si="3"/>
        <v>0.1166</v>
      </c>
      <c r="BB22" s="10">
        <f t="shared" si="3"/>
        <v>0.1166</v>
      </c>
      <c r="BC22" s="10">
        <f t="shared" si="3"/>
        <v>0.1166</v>
      </c>
      <c r="BD22" s="10">
        <f t="shared" si="3"/>
        <v>0.1166</v>
      </c>
      <c r="BE22" s="10">
        <f t="shared" si="3"/>
        <v>0.1166</v>
      </c>
      <c r="BF22" s="10">
        <f t="shared" si="3"/>
        <v>0.1166</v>
      </c>
      <c r="BG22" s="10">
        <f t="shared" si="3"/>
        <v>0.1166</v>
      </c>
    </row>
    <row r="23" spans="2:59" x14ac:dyDescent="0.25">
      <c r="B23" t="s">
        <v>5</v>
      </c>
      <c r="C23" s="3"/>
      <c r="D23" s="8">
        <v>0.14000000000000001</v>
      </c>
      <c r="E23" s="8">
        <v>0.105</v>
      </c>
      <c r="F23" s="8">
        <v>0.08</v>
      </c>
      <c r="G23" s="8">
        <v>0.06</v>
      </c>
      <c r="H23" s="8">
        <v>5.5E-2</v>
      </c>
      <c r="I23" s="8">
        <v>5.5E-2</v>
      </c>
      <c r="J23" s="8">
        <v>0.05</v>
      </c>
      <c r="K23" s="8">
        <v>0.05</v>
      </c>
      <c r="L23" s="8">
        <v>0.05</v>
      </c>
      <c r="M23" s="8">
        <v>0.05</v>
      </c>
      <c r="N23" s="8">
        <v>0.05</v>
      </c>
      <c r="O23" s="8">
        <v>0.05</v>
      </c>
      <c r="P23" s="8">
        <v>0.05</v>
      </c>
      <c r="Q23" s="8">
        <v>0.05</v>
      </c>
      <c r="R23" s="8">
        <v>0.05</v>
      </c>
      <c r="S23" s="8">
        <v>0.05</v>
      </c>
      <c r="T23" s="8">
        <v>0.05</v>
      </c>
      <c r="U23" s="8">
        <v>0.05</v>
      </c>
      <c r="V23" s="8">
        <v>0.05</v>
      </c>
      <c r="W23" s="8">
        <v>0.05</v>
      </c>
      <c r="X23" s="8">
        <v>0.05</v>
      </c>
      <c r="Y23" s="8">
        <v>0.05</v>
      </c>
      <c r="Z23" s="8">
        <v>0.05</v>
      </c>
      <c r="AA23" s="8">
        <v>0.05</v>
      </c>
      <c r="AB23" s="8">
        <v>0.05</v>
      </c>
      <c r="AC23" s="8">
        <v>0.05</v>
      </c>
      <c r="AD23" s="8">
        <v>0.05</v>
      </c>
      <c r="AE23" s="8">
        <v>0.05</v>
      </c>
      <c r="AF23" s="8">
        <v>0.05</v>
      </c>
      <c r="AG23" s="8">
        <v>0.05</v>
      </c>
      <c r="AH23" s="8">
        <v>0.05</v>
      </c>
      <c r="AI23" s="8">
        <v>0.05</v>
      </c>
      <c r="AJ23" s="8">
        <v>0.05</v>
      </c>
      <c r="AK23" s="8">
        <v>0.05</v>
      </c>
      <c r="AL23" s="8">
        <v>0.05</v>
      </c>
      <c r="AM23" s="8">
        <v>0.05</v>
      </c>
      <c r="AN23" s="8">
        <v>0.05</v>
      </c>
      <c r="AO23" s="8">
        <v>0.05</v>
      </c>
      <c r="AP23" s="8">
        <v>0.05</v>
      </c>
      <c r="AQ23" s="8">
        <v>0.05</v>
      </c>
      <c r="AR23" s="8">
        <v>0.05</v>
      </c>
      <c r="AS23" s="8">
        <v>0.05</v>
      </c>
      <c r="AT23" s="8">
        <v>0.05</v>
      </c>
      <c r="AU23" s="8">
        <v>0.05</v>
      </c>
      <c r="AV23" s="8">
        <v>0.05</v>
      </c>
      <c r="AW23" s="8">
        <v>0.05</v>
      </c>
      <c r="AX23" s="8">
        <v>0.05</v>
      </c>
      <c r="AY23" s="8">
        <v>0.05</v>
      </c>
      <c r="AZ23" s="8">
        <v>0.05</v>
      </c>
      <c r="BA23" s="8">
        <v>0.05</v>
      </c>
      <c r="BB23" s="8">
        <v>0.05</v>
      </c>
      <c r="BC23" s="8">
        <v>0.05</v>
      </c>
      <c r="BD23" s="8">
        <v>0.05</v>
      </c>
      <c r="BE23" s="8">
        <v>0.05</v>
      </c>
      <c r="BF23" s="8">
        <v>0.05</v>
      </c>
      <c r="BG23" s="8">
        <v>0.05</v>
      </c>
    </row>
    <row r="24" spans="2:59" x14ac:dyDescent="0.25">
      <c r="B24" t="s">
        <v>6</v>
      </c>
      <c r="C24" s="8">
        <v>0</v>
      </c>
      <c r="D24" s="8">
        <v>4.4999999999999998E-2</v>
      </c>
      <c r="E24" s="8">
        <v>0.09</v>
      </c>
      <c r="F24" s="8">
        <v>0.14499999999999999</v>
      </c>
      <c r="G24" s="8">
        <v>0.19</v>
      </c>
      <c r="H24" s="8">
        <v>0.2</v>
      </c>
      <c r="I24" s="8">
        <v>0.2</v>
      </c>
      <c r="J24" s="8">
        <v>0.2</v>
      </c>
      <c r="K24" s="8">
        <v>0.2</v>
      </c>
      <c r="L24" s="8">
        <v>0.2</v>
      </c>
      <c r="M24" s="8">
        <v>0.2</v>
      </c>
      <c r="N24" s="8">
        <v>0.2</v>
      </c>
      <c r="O24" s="8">
        <v>0.2</v>
      </c>
      <c r="P24" s="8">
        <v>0.2</v>
      </c>
      <c r="Q24" s="8">
        <v>0.2</v>
      </c>
      <c r="R24" s="8">
        <v>0.2</v>
      </c>
      <c r="S24" s="8">
        <v>0.2</v>
      </c>
      <c r="T24" s="8">
        <v>0.2</v>
      </c>
      <c r="U24" s="8">
        <v>0.2</v>
      </c>
      <c r="V24" s="8">
        <v>0.2</v>
      </c>
      <c r="W24" s="8">
        <v>0.2</v>
      </c>
      <c r="X24" s="8">
        <v>0.2</v>
      </c>
      <c r="Y24" s="8">
        <v>0.2</v>
      </c>
      <c r="Z24" s="8">
        <v>0.2</v>
      </c>
      <c r="AA24" s="8">
        <v>0.2</v>
      </c>
      <c r="AB24" s="8">
        <v>0.2</v>
      </c>
      <c r="AC24" s="8">
        <v>0.2</v>
      </c>
      <c r="AD24" s="8">
        <v>0.2</v>
      </c>
      <c r="AE24" s="8">
        <v>0.2</v>
      </c>
      <c r="AF24" s="8">
        <v>0.2</v>
      </c>
      <c r="AG24" s="8">
        <v>0.2</v>
      </c>
      <c r="AH24" s="8">
        <v>0.2</v>
      </c>
      <c r="AI24" s="8">
        <v>0.2</v>
      </c>
      <c r="AJ24" s="8">
        <v>0.2</v>
      </c>
      <c r="AK24" s="8">
        <v>0.2</v>
      </c>
      <c r="AL24" s="8">
        <v>0.2</v>
      </c>
      <c r="AM24" s="8">
        <v>0.2</v>
      </c>
      <c r="AN24" s="8">
        <v>0.2</v>
      </c>
      <c r="AO24" s="8">
        <v>0.2</v>
      </c>
      <c r="AP24" s="8">
        <v>0.2</v>
      </c>
      <c r="AQ24" s="8">
        <v>0.2</v>
      </c>
      <c r="AR24" s="8">
        <v>0.2</v>
      </c>
      <c r="AS24" s="8">
        <v>0.2</v>
      </c>
      <c r="AT24" s="8">
        <v>0.2</v>
      </c>
      <c r="AU24" s="8">
        <v>0.2</v>
      </c>
      <c r="AV24" s="8">
        <v>0.2</v>
      </c>
      <c r="AW24" s="8">
        <v>0.2</v>
      </c>
      <c r="AX24" s="8">
        <v>0.2</v>
      </c>
      <c r="AY24" s="8">
        <v>0.2</v>
      </c>
      <c r="AZ24" s="8">
        <v>0.2</v>
      </c>
      <c r="BA24" s="8">
        <v>0.2</v>
      </c>
      <c r="BB24" s="8">
        <v>0.2</v>
      </c>
      <c r="BC24" s="8">
        <v>0.2</v>
      </c>
      <c r="BD24" s="8">
        <v>0.2</v>
      </c>
      <c r="BE24" s="8">
        <v>0.2</v>
      </c>
      <c r="BF24" s="8">
        <v>0.2</v>
      </c>
    </row>
    <row r="25" spans="2:59" x14ac:dyDescent="0.25">
      <c r="B25" t="s">
        <v>0</v>
      </c>
      <c r="C25" s="5"/>
      <c r="D25" s="6">
        <v>7.0000000000000007E-2</v>
      </c>
      <c r="E25" s="6">
        <v>7.4999999999999997E-2</v>
      </c>
      <c r="F25" s="6">
        <v>0.08</v>
      </c>
      <c r="G25" s="6">
        <v>8.5000000000000006E-2</v>
      </c>
      <c r="H25" s="6">
        <v>8.5000000000000006E-2</v>
      </c>
      <c r="I25" s="6">
        <v>8.5000000000000006E-2</v>
      </c>
      <c r="J25" s="6">
        <v>8.5000000000000006E-2</v>
      </c>
      <c r="K25" s="6">
        <v>8.5000000000000006E-2</v>
      </c>
      <c r="L25" s="6">
        <v>8.5000000000000006E-2</v>
      </c>
      <c r="M25" s="6">
        <v>8.5000000000000006E-2</v>
      </c>
      <c r="N25" s="6">
        <v>8.5000000000000006E-2</v>
      </c>
      <c r="O25" s="6">
        <v>8.5000000000000006E-2</v>
      </c>
      <c r="P25" s="6">
        <v>8.5000000000000006E-2</v>
      </c>
      <c r="Q25" s="6">
        <v>8.5000000000000006E-2</v>
      </c>
      <c r="R25" s="6">
        <v>8.5000000000000006E-2</v>
      </c>
      <c r="S25" s="6">
        <v>8.5000000000000006E-2</v>
      </c>
      <c r="T25" s="6">
        <v>8.5000000000000006E-2</v>
      </c>
      <c r="U25" s="6">
        <v>8.5000000000000006E-2</v>
      </c>
      <c r="V25" s="6">
        <v>8.5000000000000006E-2</v>
      </c>
      <c r="W25" s="6">
        <v>8.5000000000000006E-2</v>
      </c>
      <c r="X25" s="6">
        <v>8.5000000000000006E-2</v>
      </c>
      <c r="Y25" s="6">
        <v>8.5000000000000006E-2</v>
      </c>
      <c r="Z25" s="6">
        <v>8.5000000000000006E-2</v>
      </c>
      <c r="AA25" s="6">
        <v>8.5000000000000006E-2</v>
      </c>
      <c r="AB25" s="6">
        <v>8.5000000000000006E-2</v>
      </c>
      <c r="AC25" s="6">
        <v>8.5000000000000006E-2</v>
      </c>
      <c r="AD25" s="6">
        <v>8.5000000000000006E-2</v>
      </c>
      <c r="AE25" s="6">
        <v>8.5000000000000006E-2</v>
      </c>
      <c r="AF25" s="6">
        <v>8.5000000000000006E-2</v>
      </c>
      <c r="AG25" s="6">
        <v>8.5000000000000006E-2</v>
      </c>
      <c r="AH25" s="6">
        <v>8.5000000000000006E-2</v>
      </c>
      <c r="AI25" s="6">
        <v>8.5000000000000006E-2</v>
      </c>
      <c r="AJ25" s="6">
        <v>8.5000000000000006E-2</v>
      </c>
      <c r="AK25" s="6">
        <v>8.5000000000000006E-2</v>
      </c>
      <c r="AL25" s="6">
        <v>8.5000000000000006E-2</v>
      </c>
      <c r="AM25" s="6">
        <v>8.5000000000000006E-2</v>
      </c>
      <c r="AN25" s="6">
        <v>8.5000000000000006E-2</v>
      </c>
      <c r="AO25" s="6">
        <v>8.5000000000000006E-2</v>
      </c>
      <c r="AP25" s="6">
        <v>8.5000000000000006E-2</v>
      </c>
      <c r="AQ25" s="6">
        <v>8.5000000000000006E-2</v>
      </c>
      <c r="AR25" s="6">
        <v>8.5000000000000006E-2</v>
      </c>
      <c r="AS25" s="6">
        <v>8.5000000000000006E-2</v>
      </c>
      <c r="AT25" s="6">
        <v>8.5000000000000006E-2</v>
      </c>
      <c r="AU25" s="6">
        <v>8.5000000000000006E-2</v>
      </c>
      <c r="AV25" s="6">
        <v>8.5000000000000006E-2</v>
      </c>
      <c r="AW25" s="6">
        <v>8.5000000000000006E-2</v>
      </c>
      <c r="AX25" s="6">
        <v>8.5000000000000006E-2</v>
      </c>
      <c r="AY25" s="6">
        <v>8.5000000000000006E-2</v>
      </c>
      <c r="AZ25" s="6">
        <v>8.5000000000000006E-2</v>
      </c>
      <c r="BA25" s="6">
        <v>8.5000000000000006E-2</v>
      </c>
      <c r="BB25" s="6">
        <v>8.5000000000000006E-2</v>
      </c>
      <c r="BC25" s="6">
        <v>8.5000000000000006E-2</v>
      </c>
      <c r="BD25" s="6">
        <v>8.5000000000000006E-2</v>
      </c>
      <c r="BE25" s="6">
        <v>8.5000000000000006E-2</v>
      </c>
      <c r="BF25" s="6">
        <v>8.5000000000000006E-2</v>
      </c>
    </row>
    <row r="26" spans="2:59" x14ac:dyDescent="0.25">
      <c r="B26" t="s">
        <v>4</v>
      </c>
      <c r="C26" s="6">
        <v>0.12</v>
      </c>
      <c r="D26" s="6">
        <v>0.12</v>
      </c>
      <c r="E26" s="6">
        <v>0.12</v>
      </c>
      <c r="F26" s="6">
        <v>0.12</v>
      </c>
      <c r="G26" s="6">
        <v>0.12</v>
      </c>
      <c r="H26" s="6">
        <v>0.12</v>
      </c>
      <c r="I26" s="6">
        <v>0.12</v>
      </c>
      <c r="J26" s="6">
        <v>0.12</v>
      </c>
      <c r="K26" s="6">
        <v>0.12</v>
      </c>
      <c r="L26" s="6">
        <v>0.12</v>
      </c>
      <c r="M26" s="6">
        <v>0.12</v>
      </c>
      <c r="N26" s="6">
        <v>0.12</v>
      </c>
      <c r="O26" s="6">
        <v>0.12</v>
      </c>
      <c r="P26" s="6">
        <v>0.12</v>
      </c>
      <c r="Q26" s="6">
        <v>0.12</v>
      </c>
      <c r="R26" s="6">
        <v>0.12</v>
      </c>
      <c r="S26" s="6">
        <v>0.12</v>
      </c>
      <c r="T26" s="6">
        <v>0.12</v>
      </c>
      <c r="U26" s="6">
        <v>0.12</v>
      </c>
      <c r="V26" s="6">
        <v>0.12</v>
      </c>
      <c r="W26" s="6">
        <v>0.12</v>
      </c>
      <c r="X26" s="6">
        <v>0.12</v>
      </c>
      <c r="Y26" s="6">
        <v>0.12</v>
      </c>
      <c r="Z26" s="6">
        <v>0.12</v>
      </c>
      <c r="AA26" s="6">
        <v>0.12</v>
      </c>
      <c r="AB26" s="6">
        <v>0.12</v>
      </c>
      <c r="AC26" s="6">
        <v>0.12</v>
      </c>
      <c r="AD26" s="6">
        <v>0.12</v>
      </c>
      <c r="AE26" s="6">
        <v>0.12</v>
      </c>
      <c r="AF26" s="6">
        <v>0.12</v>
      </c>
      <c r="AG26" s="6">
        <v>0.12</v>
      </c>
      <c r="AH26" s="6">
        <v>0.12</v>
      </c>
      <c r="AI26" s="6">
        <v>0.12</v>
      </c>
      <c r="AJ26" s="6">
        <v>0.12</v>
      </c>
      <c r="AK26" s="6">
        <v>0.12</v>
      </c>
      <c r="AL26" s="6">
        <v>0.12</v>
      </c>
      <c r="AM26" s="6">
        <v>0.12</v>
      </c>
      <c r="AN26" s="6">
        <v>0.12</v>
      </c>
      <c r="AO26" s="6">
        <v>0.12</v>
      </c>
      <c r="AP26" s="6">
        <v>0.12</v>
      </c>
      <c r="AQ26" s="6">
        <v>0.12</v>
      </c>
      <c r="AR26" s="6">
        <v>0.12</v>
      </c>
      <c r="AS26" s="6">
        <v>0.12</v>
      </c>
      <c r="AT26" s="6">
        <v>0.12</v>
      </c>
      <c r="AU26" s="6">
        <v>0.12</v>
      </c>
      <c r="AV26" s="6">
        <v>0.12</v>
      </c>
      <c r="AW26" s="6">
        <v>0.12</v>
      </c>
      <c r="AX26" s="6">
        <v>0.12</v>
      </c>
      <c r="AY26" s="6">
        <v>0.12</v>
      </c>
      <c r="AZ26" s="6">
        <v>0.12</v>
      </c>
      <c r="BA26" s="6">
        <v>0.12</v>
      </c>
      <c r="BB26" s="6">
        <v>0.12</v>
      </c>
      <c r="BC26" s="6">
        <v>0.12</v>
      </c>
      <c r="BD26" s="6">
        <v>0.12</v>
      </c>
      <c r="BE26" s="6">
        <v>0.12</v>
      </c>
      <c r="BF26" s="6">
        <v>0.12</v>
      </c>
    </row>
    <row r="27" spans="2:59" x14ac:dyDescent="0.25">
      <c r="B27" t="s">
        <v>72</v>
      </c>
      <c r="C27" s="6">
        <v>0.2</v>
      </c>
      <c r="D27" s="6">
        <v>0.2</v>
      </c>
      <c r="E27" s="6">
        <v>0.2</v>
      </c>
      <c r="F27" s="6">
        <v>0.2</v>
      </c>
      <c r="G27" s="6">
        <v>0.2</v>
      </c>
      <c r="H27" s="6">
        <v>0.2</v>
      </c>
      <c r="I27" s="6">
        <v>0.2</v>
      </c>
      <c r="J27" s="6">
        <v>0.2</v>
      </c>
      <c r="K27" s="6">
        <v>0.2</v>
      </c>
      <c r="L27" s="6">
        <v>0.2</v>
      </c>
      <c r="M27" s="6">
        <v>0.2</v>
      </c>
      <c r="N27" s="6">
        <v>0.2</v>
      </c>
      <c r="O27" s="6">
        <v>0.2</v>
      </c>
      <c r="P27" s="6">
        <v>0.2</v>
      </c>
      <c r="Q27" s="6">
        <v>0.2</v>
      </c>
      <c r="R27" s="6">
        <v>0.2</v>
      </c>
      <c r="S27" s="6">
        <v>0.2</v>
      </c>
      <c r="T27" s="6">
        <v>0.2</v>
      </c>
      <c r="U27" s="6">
        <v>0.2</v>
      </c>
      <c r="V27" s="6">
        <v>0.2</v>
      </c>
      <c r="W27" s="6">
        <v>0.2</v>
      </c>
      <c r="X27" s="6">
        <v>0.2</v>
      </c>
      <c r="Y27" s="6">
        <v>0.2</v>
      </c>
      <c r="Z27" s="6">
        <v>0.2</v>
      </c>
      <c r="AA27" s="6">
        <v>0.2</v>
      </c>
      <c r="AB27" s="6">
        <v>0.2</v>
      </c>
      <c r="AC27" s="6">
        <v>0.2</v>
      </c>
      <c r="AD27" s="6">
        <v>0.2</v>
      </c>
      <c r="AE27" s="6">
        <v>0.2</v>
      </c>
      <c r="AF27" s="6">
        <v>0.2</v>
      </c>
      <c r="AG27" s="6">
        <v>0.2</v>
      </c>
      <c r="AH27" s="6">
        <v>0.2</v>
      </c>
      <c r="AI27" s="6">
        <v>0.2</v>
      </c>
      <c r="AJ27" s="6">
        <v>0.2</v>
      </c>
      <c r="AK27" s="6">
        <v>0.2</v>
      </c>
      <c r="AL27" s="6">
        <v>0.2</v>
      </c>
      <c r="AM27" s="6">
        <v>0.2</v>
      </c>
      <c r="AN27" s="6">
        <v>0.2</v>
      </c>
      <c r="AO27" s="6">
        <v>0.2</v>
      </c>
      <c r="AP27" s="6">
        <v>0.2</v>
      </c>
      <c r="AQ27" s="6">
        <v>0.2</v>
      </c>
      <c r="AR27" s="6">
        <v>0.2</v>
      </c>
      <c r="AS27" s="6">
        <v>0.2</v>
      </c>
      <c r="AT27" s="6">
        <v>0.2</v>
      </c>
      <c r="AU27" s="6">
        <v>0.2</v>
      </c>
      <c r="AV27" s="6">
        <v>0.2</v>
      </c>
      <c r="AW27" s="6">
        <v>0.2</v>
      </c>
      <c r="AX27" s="6">
        <v>0.2</v>
      </c>
      <c r="AY27" s="6">
        <v>0.2</v>
      </c>
      <c r="AZ27" s="6">
        <v>0.2</v>
      </c>
      <c r="BA27" s="6">
        <v>0.2</v>
      </c>
      <c r="BB27" s="6">
        <v>0.2</v>
      </c>
      <c r="BC27" s="6">
        <v>0.2</v>
      </c>
      <c r="BD27" s="6">
        <v>0.2</v>
      </c>
      <c r="BE27" s="6">
        <v>0.2</v>
      </c>
      <c r="BF27" s="6">
        <v>0.2</v>
      </c>
    </row>
    <row r="28" spans="2:59" x14ac:dyDescent="0.25">
      <c r="B28" t="s">
        <v>15</v>
      </c>
      <c r="C28" s="9">
        <f>+(C26-C24*C25)/(1-C24)</f>
        <v>0.12</v>
      </c>
      <c r="D28" s="9">
        <f t="shared" ref="D28:BF28" si="4">+(D26-D24*D25)/(1-D24)</f>
        <v>0.12235602094240838</v>
      </c>
      <c r="E28" s="9">
        <f t="shared" si="4"/>
        <v>0.12445054945054944</v>
      </c>
      <c r="F28" s="9">
        <f t="shared" si="4"/>
        <v>0.12678362573099414</v>
      </c>
      <c r="G28" s="9">
        <f t="shared" si="4"/>
        <v>0.12820987654320987</v>
      </c>
      <c r="H28" s="9">
        <f t="shared" si="4"/>
        <v>0.12874999999999998</v>
      </c>
      <c r="I28" s="9">
        <f t="shared" si="4"/>
        <v>0.12874999999999998</v>
      </c>
      <c r="J28" s="9">
        <f t="shared" si="4"/>
        <v>0.12874999999999998</v>
      </c>
      <c r="K28" s="9">
        <f t="shared" si="4"/>
        <v>0.12874999999999998</v>
      </c>
      <c r="L28" s="9">
        <f t="shared" si="4"/>
        <v>0.12874999999999998</v>
      </c>
      <c r="M28" s="9">
        <f t="shared" si="4"/>
        <v>0.12874999999999998</v>
      </c>
      <c r="N28" s="9">
        <f t="shared" si="4"/>
        <v>0.12874999999999998</v>
      </c>
      <c r="O28" s="9">
        <f t="shared" si="4"/>
        <v>0.12874999999999998</v>
      </c>
      <c r="P28" s="9">
        <f t="shared" si="4"/>
        <v>0.12874999999999998</v>
      </c>
      <c r="Q28" s="9">
        <f t="shared" si="4"/>
        <v>0.12874999999999998</v>
      </c>
      <c r="R28" s="9">
        <f t="shared" si="4"/>
        <v>0.12874999999999998</v>
      </c>
      <c r="S28" s="9">
        <f t="shared" si="4"/>
        <v>0.12874999999999998</v>
      </c>
      <c r="T28" s="9">
        <f t="shared" si="4"/>
        <v>0.12874999999999998</v>
      </c>
      <c r="U28" s="9">
        <f t="shared" si="4"/>
        <v>0.12874999999999998</v>
      </c>
      <c r="V28" s="9">
        <f t="shared" si="4"/>
        <v>0.12874999999999998</v>
      </c>
      <c r="W28" s="9">
        <f t="shared" si="4"/>
        <v>0.12874999999999998</v>
      </c>
      <c r="X28" s="9">
        <f t="shared" si="4"/>
        <v>0.12874999999999998</v>
      </c>
      <c r="Y28" s="9">
        <f t="shared" si="4"/>
        <v>0.12874999999999998</v>
      </c>
      <c r="Z28" s="9">
        <f t="shared" si="4"/>
        <v>0.12874999999999998</v>
      </c>
      <c r="AA28" s="9">
        <f t="shared" si="4"/>
        <v>0.12874999999999998</v>
      </c>
      <c r="AB28" s="9">
        <f t="shared" si="4"/>
        <v>0.12874999999999998</v>
      </c>
      <c r="AC28" s="9">
        <f t="shared" si="4"/>
        <v>0.12874999999999998</v>
      </c>
      <c r="AD28" s="9">
        <f t="shared" si="4"/>
        <v>0.12874999999999998</v>
      </c>
      <c r="AE28" s="9">
        <f t="shared" si="4"/>
        <v>0.12874999999999998</v>
      </c>
      <c r="AF28" s="9">
        <f t="shared" si="4"/>
        <v>0.12874999999999998</v>
      </c>
      <c r="AG28" s="9">
        <f t="shared" si="4"/>
        <v>0.12874999999999998</v>
      </c>
      <c r="AH28" s="9">
        <f t="shared" si="4"/>
        <v>0.12874999999999998</v>
      </c>
      <c r="AI28" s="9">
        <f t="shared" si="4"/>
        <v>0.12874999999999998</v>
      </c>
      <c r="AJ28" s="9">
        <f t="shared" si="4"/>
        <v>0.12874999999999998</v>
      </c>
      <c r="AK28" s="9">
        <f t="shared" si="4"/>
        <v>0.12874999999999998</v>
      </c>
      <c r="AL28" s="9">
        <f t="shared" si="4"/>
        <v>0.12874999999999998</v>
      </c>
      <c r="AM28" s="9">
        <f t="shared" si="4"/>
        <v>0.12874999999999998</v>
      </c>
      <c r="AN28" s="9">
        <f t="shared" si="4"/>
        <v>0.12874999999999998</v>
      </c>
      <c r="AO28" s="9">
        <f t="shared" si="4"/>
        <v>0.12874999999999998</v>
      </c>
      <c r="AP28" s="9">
        <f t="shared" si="4"/>
        <v>0.12874999999999998</v>
      </c>
      <c r="AQ28" s="9">
        <f t="shared" si="4"/>
        <v>0.12874999999999998</v>
      </c>
      <c r="AR28" s="9">
        <f t="shared" si="4"/>
        <v>0.12874999999999998</v>
      </c>
      <c r="AS28" s="9">
        <f t="shared" si="4"/>
        <v>0.12874999999999998</v>
      </c>
      <c r="AT28" s="9">
        <f t="shared" si="4"/>
        <v>0.12874999999999998</v>
      </c>
      <c r="AU28" s="9">
        <f t="shared" si="4"/>
        <v>0.12874999999999998</v>
      </c>
      <c r="AV28" s="9">
        <f t="shared" si="4"/>
        <v>0.12874999999999998</v>
      </c>
      <c r="AW28" s="9">
        <f t="shared" si="4"/>
        <v>0.12874999999999998</v>
      </c>
      <c r="AX28" s="9">
        <f t="shared" si="4"/>
        <v>0.12874999999999998</v>
      </c>
      <c r="AY28" s="9">
        <f t="shared" si="4"/>
        <v>0.12874999999999998</v>
      </c>
      <c r="AZ28" s="9">
        <f t="shared" si="4"/>
        <v>0.12874999999999998</v>
      </c>
      <c r="BA28" s="9">
        <f t="shared" si="4"/>
        <v>0.12874999999999998</v>
      </c>
      <c r="BB28" s="9">
        <f t="shared" si="4"/>
        <v>0.12874999999999998</v>
      </c>
      <c r="BC28" s="9">
        <f t="shared" si="4"/>
        <v>0.12874999999999998</v>
      </c>
      <c r="BD28" s="9">
        <f t="shared" si="4"/>
        <v>0.12874999999999998</v>
      </c>
      <c r="BE28" s="9">
        <f t="shared" si="4"/>
        <v>0.12874999999999998</v>
      </c>
      <c r="BF28" s="9">
        <f t="shared" si="4"/>
        <v>0.12874999999999998</v>
      </c>
    </row>
    <row r="29" spans="2:59" x14ac:dyDescent="0.25">
      <c r="B29" t="s">
        <v>14</v>
      </c>
      <c r="C29" s="9">
        <f>+C26-C24*C25*C31</f>
        <v>0.12</v>
      </c>
      <c r="D29" s="9">
        <f t="shared" ref="D29:BF29" si="5">+D26-D24*D25*D31</f>
        <v>0.11936999999999999</v>
      </c>
      <c r="E29" s="9">
        <f t="shared" si="5"/>
        <v>0.11864999999999999</v>
      </c>
      <c r="F29" s="9">
        <f t="shared" si="5"/>
        <v>0.11767999999999999</v>
      </c>
      <c r="G29" s="9">
        <f t="shared" si="5"/>
        <v>0.11677</v>
      </c>
      <c r="H29" s="9">
        <f t="shared" si="5"/>
        <v>0.1166</v>
      </c>
      <c r="I29" s="9">
        <f t="shared" si="5"/>
        <v>0.1166</v>
      </c>
      <c r="J29" s="9">
        <f t="shared" si="5"/>
        <v>0.1166</v>
      </c>
      <c r="K29" s="9">
        <f t="shared" si="5"/>
        <v>0.1166</v>
      </c>
      <c r="L29" s="9">
        <f t="shared" si="5"/>
        <v>0.1166</v>
      </c>
      <c r="M29" s="9">
        <f t="shared" si="5"/>
        <v>0.1166</v>
      </c>
      <c r="N29" s="9">
        <f t="shared" si="5"/>
        <v>0.1166</v>
      </c>
      <c r="O29" s="9">
        <f t="shared" si="5"/>
        <v>0.1166</v>
      </c>
      <c r="P29" s="9">
        <f t="shared" si="5"/>
        <v>0.1166</v>
      </c>
      <c r="Q29" s="9">
        <f t="shared" si="5"/>
        <v>0.1166</v>
      </c>
      <c r="R29" s="9">
        <f t="shared" si="5"/>
        <v>0.1166</v>
      </c>
      <c r="S29" s="9">
        <f t="shared" si="5"/>
        <v>0.1166</v>
      </c>
      <c r="T29" s="9">
        <f t="shared" si="5"/>
        <v>0.1166</v>
      </c>
      <c r="U29" s="9">
        <f t="shared" si="5"/>
        <v>0.1166</v>
      </c>
      <c r="V29" s="9">
        <f t="shared" si="5"/>
        <v>0.1166</v>
      </c>
      <c r="W29" s="9">
        <f t="shared" si="5"/>
        <v>0.1166</v>
      </c>
      <c r="X29" s="9">
        <f t="shared" si="5"/>
        <v>0.1166</v>
      </c>
      <c r="Y29" s="9">
        <f t="shared" si="5"/>
        <v>0.1166</v>
      </c>
      <c r="Z29" s="9">
        <f t="shared" si="5"/>
        <v>0.1166</v>
      </c>
      <c r="AA29" s="9">
        <f t="shared" si="5"/>
        <v>0.1166</v>
      </c>
      <c r="AB29" s="9">
        <f t="shared" si="5"/>
        <v>0.1166</v>
      </c>
      <c r="AC29" s="9">
        <f t="shared" si="5"/>
        <v>0.1166</v>
      </c>
      <c r="AD29" s="9">
        <f t="shared" si="5"/>
        <v>0.1166</v>
      </c>
      <c r="AE29" s="9">
        <f t="shared" si="5"/>
        <v>0.1166</v>
      </c>
      <c r="AF29" s="9">
        <f t="shared" si="5"/>
        <v>0.1166</v>
      </c>
      <c r="AG29" s="9">
        <f t="shared" si="5"/>
        <v>0.1166</v>
      </c>
      <c r="AH29" s="9">
        <f t="shared" si="5"/>
        <v>0.1166</v>
      </c>
      <c r="AI29" s="9">
        <f t="shared" si="5"/>
        <v>0.1166</v>
      </c>
      <c r="AJ29" s="9">
        <f t="shared" si="5"/>
        <v>0.1166</v>
      </c>
      <c r="AK29" s="9">
        <f t="shared" si="5"/>
        <v>0.1166</v>
      </c>
      <c r="AL29" s="9">
        <f t="shared" si="5"/>
        <v>0.1166</v>
      </c>
      <c r="AM29" s="9">
        <f t="shared" si="5"/>
        <v>0.1166</v>
      </c>
      <c r="AN29" s="9">
        <f t="shared" si="5"/>
        <v>0.1166</v>
      </c>
      <c r="AO29" s="9">
        <f t="shared" si="5"/>
        <v>0.1166</v>
      </c>
      <c r="AP29" s="9">
        <f t="shared" si="5"/>
        <v>0.1166</v>
      </c>
      <c r="AQ29" s="9">
        <f t="shared" si="5"/>
        <v>0.1166</v>
      </c>
      <c r="AR29" s="9">
        <f t="shared" si="5"/>
        <v>0.1166</v>
      </c>
      <c r="AS29" s="9">
        <f t="shared" si="5"/>
        <v>0.1166</v>
      </c>
      <c r="AT29" s="9">
        <f t="shared" si="5"/>
        <v>0.1166</v>
      </c>
      <c r="AU29" s="9">
        <f t="shared" si="5"/>
        <v>0.1166</v>
      </c>
      <c r="AV29" s="9">
        <f t="shared" si="5"/>
        <v>0.1166</v>
      </c>
      <c r="AW29" s="9">
        <f t="shared" si="5"/>
        <v>0.1166</v>
      </c>
      <c r="AX29" s="9">
        <f t="shared" si="5"/>
        <v>0.1166</v>
      </c>
      <c r="AY29" s="9">
        <f t="shared" si="5"/>
        <v>0.1166</v>
      </c>
      <c r="AZ29" s="9">
        <f t="shared" si="5"/>
        <v>0.1166</v>
      </c>
      <c r="BA29" s="9">
        <f t="shared" si="5"/>
        <v>0.1166</v>
      </c>
      <c r="BB29" s="9">
        <f t="shared" si="5"/>
        <v>0.1166</v>
      </c>
      <c r="BC29" s="9">
        <f t="shared" si="5"/>
        <v>0.1166</v>
      </c>
      <c r="BD29" s="9">
        <f t="shared" si="5"/>
        <v>0.1166</v>
      </c>
      <c r="BE29" s="9">
        <f t="shared" si="5"/>
        <v>0.1166</v>
      </c>
      <c r="BF29" s="9">
        <f t="shared" si="5"/>
        <v>0.1166</v>
      </c>
    </row>
    <row r="30" spans="2:59" x14ac:dyDescent="0.25">
      <c r="B30" t="s">
        <v>12</v>
      </c>
      <c r="C30" s="9">
        <f>+D23/D22</f>
        <v>0.80000000000000016</v>
      </c>
      <c r="D30" s="9">
        <f t="shared" ref="D30:J30" si="6">+E23/E22</f>
        <v>0.61764705882352933</v>
      </c>
      <c r="E30" s="9">
        <f t="shared" si="6"/>
        <v>0.48484848484848486</v>
      </c>
      <c r="F30" s="9">
        <f t="shared" si="6"/>
        <v>0.375</v>
      </c>
      <c r="G30" s="9">
        <f t="shared" si="6"/>
        <v>0.3666666666666667</v>
      </c>
      <c r="H30" s="9">
        <f t="shared" si="6"/>
        <v>0.47169811320754718</v>
      </c>
      <c r="I30" s="9">
        <f t="shared" si="6"/>
        <v>0.42881646655231564</v>
      </c>
      <c r="J30" s="9">
        <f t="shared" si="6"/>
        <v>0.42881646655231564</v>
      </c>
      <c r="K30" s="9">
        <f>+L23/L22</f>
        <v>0.42881646655231564</v>
      </c>
      <c r="L30" s="9">
        <f t="shared" ref="L30:BF30" si="7">+M23/M22</f>
        <v>0.42881646655231564</v>
      </c>
      <c r="M30" s="9">
        <f t="shared" si="7"/>
        <v>0.42881646655231564</v>
      </c>
      <c r="N30" s="9">
        <f t="shared" si="7"/>
        <v>0.42881646655231564</v>
      </c>
      <c r="O30" s="9">
        <f t="shared" si="7"/>
        <v>0.42881646655231564</v>
      </c>
      <c r="P30" s="9">
        <f t="shared" si="7"/>
        <v>0.42881646655231564</v>
      </c>
      <c r="Q30" s="9">
        <f t="shared" si="7"/>
        <v>0.42881646655231564</v>
      </c>
      <c r="R30" s="9">
        <f t="shared" si="7"/>
        <v>0.42881646655231564</v>
      </c>
      <c r="S30" s="9">
        <f t="shared" si="7"/>
        <v>0.42881646655231564</v>
      </c>
      <c r="T30" s="9">
        <f t="shared" si="7"/>
        <v>0.42881646655231564</v>
      </c>
      <c r="U30" s="9">
        <f t="shared" si="7"/>
        <v>0.42881646655231564</v>
      </c>
      <c r="V30" s="9">
        <f t="shared" si="7"/>
        <v>0.42881646655231564</v>
      </c>
      <c r="W30" s="9">
        <f t="shared" si="7"/>
        <v>0.42881646655231564</v>
      </c>
      <c r="X30" s="9">
        <f t="shared" si="7"/>
        <v>0.42881646655231564</v>
      </c>
      <c r="Y30" s="9">
        <f t="shared" si="7"/>
        <v>0.42881646655231564</v>
      </c>
      <c r="Z30" s="9">
        <f t="shared" si="7"/>
        <v>0.42881646655231564</v>
      </c>
      <c r="AA30" s="9">
        <f t="shared" si="7"/>
        <v>0.42881646655231564</v>
      </c>
      <c r="AB30" s="9">
        <f t="shared" si="7"/>
        <v>0.42881646655231564</v>
      </c>
      <c r="AC30" s="9">
        <f t="shared" si="7"/>
        <v>0.42881646655231564</v>
      </c>
      <c r="AD30" s="9">
        <f t="shared" si="7"/>
        <v>0.42881646655231564</v>
      </c>
      <c r="AE30" s="9">
        <f t="shared" si="7"/>
        <v>0.42881646655231564</v>
      </c>
      <c r="AF30" s="9">
        <f t="shared" si="7"/>
        <v>0.42881646655231564</v>
      </c>
      <c r="AG30" s="9">
        <f t="shared" si="7"/>
        <v>0.42881646655231564</v>
      </c>
      <c r="AH30" s="9">
        <f t="shared" si="7"/>
        <v>0.42881646655231564</v>
      </c>
      <c r="AI30" s="9">
        <f t="shared" si="7"/>
        <v>0.42881646655231564</v>
      </c>
      <c r="AJ30" s="9">
        <f t="shared" si="7"/>
        <v>0.42881646655231564</v>
      </c>
      <c r="AK30" s="9">
        <f t="shared" si="7"/>
        <v>0.42881646655231564</v>
      </c>
      <c r="AL30" s="9">
        <f t="shared" si="7"/>
        <v>0.42881646655231564</v>
      </c>
      <c r="AM30" s="9">
        <f t="shared" si="7"/>
        <v>0.42881646655231564</v>
      </c>
      <c r="AN30" s="9">
        <f t="shared" si="7"/>
        <v>0.42881646655231564</v>
      </c>
      <c r="AO30" s="9">
        <f t="shared" si="7"/>
        <v>0.42881646655231564</v>
      </c>
      <c r="AP30" s="9">
        <f t="shared" si="7"/>
        <v>0.42881646655231564</v>
      </c>
      <c r="AQ30" s="9">
        <f t="shared" si="7"/>
        <v>0.42881646655231564</v>
      </c>
      <c r="AR30" s="9">
        <f t="shared" si="7"/>
        <v>0.42881646655231564</v>
      </c>
      <c r="AS30" s="9">
        <f t="shared" si="7"/>
        <v>0.42881646655231564</v>
      </c>
      <c r="AT30" s="9">
        <f t="shared" si="7"/>
        <v>0.42881646655231564</v>
      </c>
      <c r="AU30" s="9">
        <f t="shared" si="7"/>
        <v>0.42881646655231564</v>
      </c>
      <c r="AV30" s="9">
        <f t="shared" si="7"/>
        <v>0.42881646655231564</v>
      </c>
      <c r="AW30" s="9">
        <f t="shared" si="7"/>
        <v>0.42881646655231564</v>
      </c>
      <c r="AX30" s="9">
        <f t="shared" si="7"/>
        <v>0.42881646655231564</v>
      </c>
      <c r="AY30" s="9">
        <f t="shared" si="7"/>
        <v>0.42881646655231564</v>
      </c>
      <c r="AZ30" s="9">
        <f t="shared" si="7"/>
        <v>0.42881646655231564</v>
      </c>
      <c r="BA30" s="9">
        <f t="shared" si="7"/>
        <v>0.42881646655231564</v>
      </c>
      <c r="BB30" s="9">
        <f t="shared" si="7"/>
        <v>0.42881646655231564</v>
      </c>
      <c r="BC30" s="9">
        <f t="shared" si="7"/>
        <v>0.42881646655231564</v>
      </c>
      <c r="BD30" s="9">
        <f t="shared" si="7"/>
        <v>0.42881646655231564</v>
      </c>
      <c r="BE30" s="9">
        <f t="shared" si="7"/>
        <v>0.42881646655231564</v>
      </c>
      <c r="BF30" s="9">
        <f t="shared" si="7"/>
        <v>0.42881646655231564</v>
      </c>
    </row>
    <row r="31" spans="2:59" x14ac:dyDescent="0.25">
      <c r="B31" t="s">
        <v>75</v>
      </c>
      <c r="C31" s="16">
        <f>+C27</f>
        <v>0.2</v>
      </c>
      <c r="D31" s="16">
        <f t="shared" ref="D31:BF31" si="8">+D27</f>
        <v>0.2</v>
      </c>
      <c r="E31" s="16">
        <f t="shared" si="8"/>
        <v>0.2</v>
      </c>
      <c r="F31" s="16">
        <f t="shared" si="8"/>
        <v>0.2</v>
      </c>
      <c r="G31" s="16">
        <f t="shared" si="8"/>
        <v>0.2</v>
      </c>
      <c r="H31" s="16">
        <f t="shared" si="8"/>
        <v>0.2</v>
      </c>
      <c r="I31" s="16">
        <f t="shared" si="8"/>
        <v>0.2</v>
      </c>
      <c r="J31" s="16">
        <f t="shared" si="8"/>
        <v>0.2</v>
      </c>
      <c r="K31" s="16">
        <f t="shared" si="8"/>
        <v>0.2</v>
      </c>
      <c r="L31" s="16">
        <f t="shared" si="8"/>
        <v>0.2</v>
      </c>
      <c r="M31" s="16">
        <f t="shared" si="8"/>
        <v>0.2</v>
      </c>
      <c r="N31" s="16">
        <f t="shared" si="8"/>
        <v>0.2</v>
      </c>
      <c r="O31" s="16">
        <f t="shared" si="8"/>
        <v>0.2</v>
      </c>
      <c r="P31" s="16">
        <f t="shared" si="8"/>
        <v>0.2</v>
      </c>
      <c r="Q31" s="16">
        <f t="shared" si="8"/>
        <v>0.2</v>
      </c>
      <c r="R31" s="16">
        <f t="shared" si="8"/>
        <v>0.2</v>
      </c>
      <c r="S31" s="16">
        <f t="shared" si="8"/>
        <v>0.2</v>
      </c>
      <c r="T31" s="16">
        <f t="shared" si="8"/>
        <v>0.2</v>
      </c>
      <c r="U31" s="16">
        <f t="shared" si="8"/>
        <v>0.2</v>
      </c>
      <c r="V31" s="16">
        <f t="shared" si="8"/>
        <v>0.2</v>
      </c>
      <c r="W31" s="16">
        <f t="shared" si="8"/>
        <v>0.2</v>
      </c>
      <c r="X31" s="16">
        <f t="shared" si="8"/>
        <v>0.2</v>
      </c>
      <c r="Y31" s="16">
        <f t="shared" si="8"/>
        <v>0.2</v>
      </c>
      <c r="Z31" s="16">
        <f t="shared" si="8"/>
        <v>0.2</v>
      </c>
      <c r="AA31" s="16">
        <f t="shared" si="8"/>
        <v>0.2</v>
      </c>
      <c r="AB31" s="16">
        <f t="shared" si="8"/>
        <v>0.2</v>
      </c>
      <c r="AC31" s="16">
        <f t="shared" si="8"/>
        <v>0.2</v>
      </c>
      <c r="AD31" s="16">
        <f t="shared" si="8"/>
        <v>0.2</v>
      </c>
      <c r="AE31" s="16">
        <f t="shared" si="8"/>
        <v>0.2</v>
      </c>
      <c r="AF31" s="16">
        <f t="shared" si="8"/>
        <v>0.2</v>
      </c>
      <c r="AG31" s="16">
        <f t="shared" si="8"/>
        <v>0.2</v>
      </c>
      <c r="AH31" s="16">
        <f t="shared" si="8"/>
        <v>0.2</v>
      </c>
      <c r="AI31" s="16">
        <f t="shared" si="8"/>
        <v>0.2</v>
      </c>
      <c r="AJ31" s="16">
        <f t="shared" si="8"/>
        <v>0.2</v>
      </c>
      <c r="AK31" s="16">
        <f t="shared" si="8"/>
        <v>0.2</v>
      </c>
      <c r="AL31" s="16">
        <f t="shared" si="8"/>
        <v>0.2</v>
      </c>
      <c r="AM31" s="16">
        <f t="shared" si="8"/>
        <v>0.2</v>
      </c>
      <c r="AN31" s="16">
        <f t="shared" si="8"/>
        <v>0.2</v>
      </c>
      <c r="AO31" s="16">
        <f t="shared" si="8"/>
        <v>0.2</v>
      </c>
      <c r="AP31" s="16">
        <f t="shared" si="8"/>
        <v>0.2</v>
      </c>
      <c r="AQ31" s="16">
        <f t="shared" si="8"/>
        <v>0.2</v>
      </c>
      <c r="AR31" s="16">
        <f t="shared" si="8"/>
        <v>0.2</v>
      </c>
      <c r="AS31" s="16">
        <f t="shared" si="8"/>
        <v>0.2</v>
      </c>
      <c r="AT31" s="16">
        <f t="shared" si="8"/>
        <v>0.2</v>
      </c>
      <c r="AU31" s="16">
        <f t="shared" si="8"/>
        <v>0.2</v>
      </c>
      <c r="AV31" s="16">
        <f t="shared" si="8"/>
        <v>0.2</v>
      </c>
      <c r="AW31" s="16">
        <f t="shared" si="8"/>
        <v>0.2</v>
      </c>
      <c r="AX31" s="16">
        <f t="shared" si="8"/>
        <v>0.2</v>
      </c>
      <c r="AY31" s="16">
        <f t="shared" si="8"/>
        <v>0.2</v>
      </c>
      <c r="AZ31" s="16">
        <f t="shared" si="8"/>
        <v>0.2</v>
      </c>
      <c r="BA31" s="16">
        <f t="shared" si="8"/>
        <v>0.2</v>
      </c>
      <c r="BB31" s="16">
        <f t="shared" si="8"/>
        <v>0.2</v>
      </c>
      <c r="BC31" s="16">
        <f t="shared" si="8"/>
        <v>0.2</v>
      </c>
      <c r="BD31" s="16">
        <f t="shared" si="8"/>
        <v>0.2</v>
      </c>
      <c r="BE31" s="16">
        <f t="shared" si="8"/>
        <v>0.2</v>
      </c>
      <c r="BF31" s="16">
        <f t="shared" si="8"/>
        <v>0.2</v>
      </c>
    </row>
    <row r="32" spans="2:59" x14ac:dyDescent="0.25">
      <c r="B32" t="s">
        <v>79</v>
      </c>
      <c r="C32" s="17">
        <f>+C50/C49</f>
        <v>0.2</v>
      </c>
      <c r="D32" s="17">
        <f t="shared" ref="D32:BF32" si="9">+D50/D49</f>
        <v>0.20000000000000004</v>
      </c>
      <c r="E32" s="17">
        <f t="shared" si="9"/>
        <v>0.2</v>
      </c>
      <c r="F32" s="17">
        <f t="shared" si="9"/>
        <v>0.2</v>
      </c>
      <c r="G32" s="17">
        <f t="shared" si="9"/>
        <v>0.2</v>
      </c>
      <c r="H32" s="17">
        <f t="shared" si="9"/>
        <v>0.2</v>
      </c>
      <c r="I32" s="17">
        <f t="shared" si="9"/>
        <v>0.2</v>
      </c>
      <c r="J32" s="17">
        <f t="shared" si="9"/>
        <v>0.2</v>
      </c>
      <c r="K32" s="17">
        <f t="shared" si="9"/>
        <v>0.2</v>
      </c>
      <c r="L32" s="17">
        <f t="shared" si="9"/>
        <v>0.2</v>
      </c>
      <c r="M32" s="17">
        <f t="shared" si="9"/>
        <v>0.19999999999999998</v>
      </c>
      <c r="N32" s="17">
        <f t="shared" si="9"/>
        <v>0.19999999999999998</v>
      </c>
      <c r="O32" s="17">
        <f t="shared" si="9"/>
        <v>0.19999999999999998</v>
      </c>
      <c r="P32" s="17">
        <f t="shared" si="9"/>
        <v>0.19999999999999998</v>
      </c>
      <c r="Q32" s="17">
        <f t="shared" si="9"/>
        <v>0.20000000000000004</v>
      </c>
      <c r="R32" s="17">
        <f t="shared" si="9"/>
        <v>0.2</v>
      </c>
      <c r="S32" s="17">
        <f t="shared" si="9"/>
        <v>0.2</v>
      </c>
      <c r="T32" s="17">
        <f t="shared" si="9"/>
        <v>0.2</v>
      </c>
      <c r="U32" s="17">
        <f t="shared" si="9"/>
        <v>0.2</v>
      </c>
      <c r="V32" s="17">
        <f t="shared" si="9"/>
        <v>0.2</v>
      </c>
      <c r="W32" s="17">
        <f t="shared" si="9"/>
        <v>0.2</v>
      </c>
      <c r="X32" s="17">
        <f t="shared" si="9"/>
        <v>0.2</v>
      </c>
      <c r="Y32" s="17">
        <f t="shared" si="9"/>
        <v>0.2</v>
      </c>
      <c r="Z32" s="17">
        <f t="shared" si="9"/>
        <v>0.2</v>
      </c>
      <c r="AA32" s="17">
        <f t="shared" si="9"/>
        <v>0.2</v>
      </c>
      <c r="AB32" s="17">
        <f t="shared" si="9"/>
        <v>0.19999999999999998</v>
      </c>
      <c r="AC32" s="17">
        <f t="shared" si="9"/>
        <v>0.2</v>
      </c>
      <c r="AD32" s="17">
        <f t="shared" si="9"/>
        <v>0.2</v>
      </c>
      <c r="AE32" s="17">
        <f t="shared" si="9"/>
        <v>0.20000000000000004</v>
      </c>
      <c r="AF32" s="17">
        <f t="shared" si="9"/>
        <v>0.20000000000000004</v>
      </c>
      <c r="AG32" s="17">
        <f t="shared" si="9"/>
        <v>0.20000000000000004</v>
      </c>
      <c r="AH32" s="17">
        <f t="shared" si="9"/>
        <v>0.2</v>
      </c>
      <c r="AI32" s="17">
        <f t="shared" si="9"/>
        <v>0.2</v>
      </c>
      <c r="AJ32" s="17">
        <f t="shared" si="9"/>
        <v>0.2</v>
      </c>
      <c r="AK32" s="17">
        <f t="shared" si="9"/>
        <v>0.2</v>
      </c>
      <c r="AL32" s="17">
        <f t="shared" si="9"/>
        <v>0.2</v>
      </c>
      <c r="AM32" s="17">
        <f t="shared" si="9"/>
        <v>0.2</v>
      </c>
      <c r="AN32" s="17">
        <f t="shared" si="9"/>
        <v>0.2</v>
      </c>
      <c r="AO32" s="17">
        <f t="shared" si="9"/>
        <v>0.2</v>
      </c>
      <c r="AP32" s="17">
        <f t="shared" si="9"/>
        <v>0.19999999999999998</v>
      </c>
      <c r="AQ32" s="17">
        <f t="shared" si="9"/>
        <v>0.19999999999999998</v>
      </c>
      <c r="AR32" s="17">
        <f t="shared" si="9"/>
        <v>0.2</v>
      </c>
      <c r="AS32" s="17">
        <f t="shared" si="9"/>
        <v>0.2</v>
      </c>
      <c r="AT32" s="17">
        <f t="shared" si="9"/>
        <v>0.20000000000000004</v>
      </c>
      <c r="AU32" s="17">
        <f t="shared" si="9"/>
        <v>0.2</v>
      </c>
      <c r="AV32" s="17">
        <f t="shared" si="9"/>
        <v>0.2</v>
      </c>
      <c r="AW32" s="17">
        <f t="shared" si="9"/>
        <v>0.2</v>
      </c>
      <c r="AX32" s="17">
        <f t="shared" si="9"/>
        <v>0.2</v>
      </c>
      <c r="AY32" s="17">
        <f t="shared" si="9"/>
        <v>0.2</v>
      </c>
      <c r="AZ32" s="17">
        <f t="shared" si="9"/>
        <v>0.2</v>
      </c>
      <c r="BA32" s="17">
        <f t="shared" si="9"/>
        <v>0.2</v>
      </c>
      <c r="BB32" s="17">
        <f t="shared" si="9"/>
        <v>0.2</v>
      </c>
      <c r="BC32" s="17">
        <f t="shared" si="9"/>
        <v>0.2</v>
      </c>
      <c r="BD32" s="17">
        <f t="shared" si="9"/>
        <v>0.19999999999999998</v>
      </c>
      <c r="BE32" s="17">
        <f t="shared" si="9"/>
        <v>0.2</v>
      </c>
      <c r="BF32" s="17">
        <f t="shared" si="9"/>
        <v>0.2</v>
      </c>
    </row>
    <row r="33" spans="2:58" x14ac:dyDescent="0.25">
      <c r="C33" s="3"/>
      <c r="D33" s="3"/>
      <c r="E33" s="3"/>
      <c r="F33" s="3"/>
      <c r="G33" s="3"/>
      <c r="H33" s="3"/>
      <c r="I33" s="3"/>
      <c r="J33" s="3"/>
    </row>
    <row r="34" spans="2:58" x14ac:dyDescent="0.25">
      <c r="C34" s="3"/>
      <c r="D34" s="11">
        <f>+C35*(1+D23)</f>
        <v>2736.0000000000005</v>
      </c>
      <c r="E34" s="11">
        <f t="shared" ref="E34:BF34" si="10">+D35*(1+E23)</f>
        <v>3023.2799999999997</v>
      </c>
      <c r="F34" s="11">
        <f t="shared" si="10"/>
        <v>3265.1423999999997</v>
      </c>
      <c r="G34" s="11">
        <f t="shared" si="10"/>
        <v>3461.0509440000001</v>
      </c>
      <c r="H34" s="11">
        <f t="shared" si="10"/>
        <v>3651.4087459199995</v>
      </c>
      <c r="I34" s="11">
        <f t="shared" si="10"/>
        <v>3852.2362269455994</v>
      </c>
      <c r="J34" s="11">
        <f t="shared" si="10"/>
        <v>4044.8480382928797</v>
      </c>
      <c r="K34" s="11">
        <f t="shared" si="10"/>
        <v>4247.090440207523</v>
      </c>
      <c r="L34" s="11">
        <f t="shared" si="10"/>
        <v>4459.444962217899</v>
      </c>
      <c r="M34" s="11">
        <f t="shared" si="10"/>
        <v>4682.4172103287938</v>
      </c>
      <c r="N34" s="11">
        <f t="shared" si="10"/>
        <v>4916.538070845234</v>
      </c>
      <c r="O34" s="11">
        <f t="shared" si="10"/>
        <v>5162.3649743874948</v>
      </c>
      <c r="P34" s="11">
        <f t="shared" si="10"/>
        <v>5420.4832231068694</v>
      </c>
      <c r="Q34" s="11">
        <f t="shared" si="10"/>
        <v>5691.5073842622132</v>
      </c>
      <c r="R34" s="11">
        <f t="shared" si="10"/>
        <v>5976.0827534753244</v>
      </c>
      <c r="S34" s="11">
        <f t="shared" si="10"/>
        <v>6274.8868911490908</v>
      </c>
      <c r="T34" s="11">
        <f t="shared" si="10"/>
        <v>6588.6312357065453</v>
      </c>
      <c r="U34" s="11">
        <f t="shared" si="10"/>
        <v>6918.0627974918725</v>
      </c>
      <c r="V34" s="11">
        <f t="shared" si="10"/>
        <v>7263.9659373664663</v>
      </c>
      <c r="W34" s="11">
        <f t="shared" si="10"/>
        <v>7627.1642342347895</v>
      </c>
      <c r="X34" s="11">
        <f t="shared" si="10"/>
        <v>8008.5224459465289</v>
      </c>
      <c r="Y34" s="11">
        <f t="shared" si="10"/>
        <v>8408.9485682438553</v>
      </c>
      <c r="Z34" s="11">
        <f t="shared" si="10"/>
        <v>8829.3959966560487</v>
      </c>
      <c r="AA34" s="11">
        <f t="shared" si="10"/>
        <v>9270.8657964888516</v>
      </c>
      <c r="AB34" s="11">
        <f t="shared" si="10"/>
        <v>9734.4090863132951</v>
      </c>
      <c r="AC34" s="11">
        <f t="shared" si="10"/>
        <v>10221.129540628961</v>
      </c>
      <c r="AD34" s="11">
        <f t="shared" si="10"/>
        <v>10732.186017660408</v>
      </c>
      <c r="AE34" s="11">
        <f t="shared" si="10"/>
        <v>11268.795318543429</v>
      </c>
      <c r="AF34" s="11">
        <f t="shared" si="10"/>
        <v>11832.235084470602</v>
      </c>
      <c r="AG34" s="11">
        <f t="shared" si="10"/>
        <v>12423.846838694129</v>
      </c>
      <c r="AH34" s="11">
        <f t="shared" si="10"/>
        <v>13045.039180628837</v>
      </c>
      <c r="AI34" s="11">
        <f t="shared" si="10"/>
        <v>13697.291139660278</v>
      </c>
      <c r="AJ34" s="11">
        <f t="shared" si="10"/>
        <v>14382.155696643293</v>
      </c>
      <c r="AK34" s="11">
        <f t="shared" si="10"/>
        <v>15101.263481475457</v>
      </c>
      <c r="AL34" s="11">
        <f t="shared" si="10"/>
        <v>15856.326655549228</v>
      </c>
      <c r="AM34" s="11">
        <f t="shared" si="10"/>
        <v>16649.14298832669</v>
      </c>
      <c r="AN34" s="11">
        <f t="shared" si="10"/>
        <v>17481.600137743026</v>
      </c>
      <c r="AO34" s="11">
        <f t="shared" si="10"/>
        <v>18355.680144630176</v>
      </c>
      <c r="AP34" s="11">
        <f t="shared" si="10"/>
        <v>19273.464151861685</v>
      </c>
      <c r="AQ34" s="11">
        <f t="shared" si="10"/>
        <v>20237.137359454769</v>
      </c>
      <c r="AR34" s="11">
        <f t="shared" si="10"/>
        <v>21248.994227427509</v>
      </c>
      <c r="AS34" s="11">
        <f t="shared" si="10"/>
        <v>22311.443938798886</v>
      </c>
      <c r="AT34" s="11">
        <f t="shared" si="10"/>
        <v>23427.016135738832</v>
      </c>
      <c r="AU34" s="11">
        <f t="shared" si="10"/>
        <v>24598.366942525776</v>
      </c>
      <c r="AV34" s="11">
        <f t="shared" si="10"/>
        <v>25828.285289652064</v>
      </c>
      <c r="AW34" s="11">
        <f t="shared" si="10"/>
        <v>27119.699554134662</v>
      </c>
      <c r="AX34" s="11">
        <f t="shared" si="10"/>
        <v>28475.684531841398</v>
      </c>
      <c r="AY34" s="11">
        <f t="shared" si="10"/>
        <v>29899.468758433464</v>
      </c>
      <c r="AZ34" s="11">
        <f t="shared" si="10"/>
        <v>31394.442196355139</v>
      </c>
      <c r="BA34" s="11">
        <f t="shared" si="10"/>
        <v>32964.164306172897</v>
      </c>
      <c r="BB34" s="11">
        <f t="shared" si="10"/>
        <v>34612.372521481535</v>
      </c>
      <c r="BC34" s="11">
        <f t="shared" si="10"/>
        <v>36342.991147555615</v>
      </c>
      <c r="BD34" s="11">
        <f t="shared" si="10"/>
        <v>38160.140704933394</v>
      </c>
      <c r="BE34" s="11">
        <f t="shared" si="10"/>
        <v>40068.147740180066</v>
      </c>
      <c r="BF34" s="11">
        <f t="shared" si="10"/>
        <v>42071.555127189073</v>
      </c>
    </row>
    <row r="35" spans="2:58" x14ac:dyDescent="0.25">
      <c r="B35" t="s">
        <v>9</v>
      </c>
      <c r="C35" s="4">
        <f>+C20*C21</f>
        <v>2400</v>
      </c>
      <c r="D35" s="4">
        <f>+D22*C36+C35</f>
        <v>2736</v>
      </c>
      <c r="E35" s="4">
        <f t="shared" ref="E35:BF35" si="11">+E22*D36+D35</f>
        <v>3023.2799999999997</v>
      </c>
      <c r="F35" s="4">
        <f t="shared" si="11"/>
        <v>3265.1423999999997</v>
      </c>
      <c r="G35" s="4">
        <f t="shared" si="11"/>
        <v>3461.0509439999996</v>
      </c>
      <c r="H35" s="4">
        <f t="shared" si="11"/>
        <v>3651.4087459199995</v>
      </c>
      <c r="I35" s="4">
        <f t="shared" si="11"/>
        <v>3852.2362269455994</v>
      </c>
      <c r="J35" s="4">
        <f t="shared" si="11"/>
        <v>4044.8480382928792</v>
      </c>
      <c r="K35" s="4">
        <f t="shared" si="11"/>
        <v>4247.090440207523</v>
      </c>
      <c r="L35" s="4">
        <f t="shared" si="11"/>
        <v>4459.444962217899</v>
      </c>
      <c r="M35" s="4">
        <f t="shared" si="11"/>
        <v>4682.4172103287938</v>
      </c>
      <c r="N35" s="4">
        <f t="shared" si="11"/>
        <v>4916.5380708452331</v>
      </c>
      <c r="O35" s="4">
        <f t="shared" si="11"/>
        <v>5162.3649743874948</v>
      </c>
      <c r="P35" s="4">
        <f t="shared" si="11"/>
        <v>5420.4832231068694</v>
      </c>
      <c r="Q35" s="4">
        <f t="shared" si="11"/>
        <v>5691.5073842622132</v>
      </c>
      <c r="R35" s="4">
        <f t="shared" si="11"/>
        <v>5976.0827534753244</v>
      </c>
      <c r="S35" s="4">
        <f t="shared" si="11"/>
        <v>6274.8868911490908</v>
      </c>
      <c r="T35" s="4">
        <f t="shared" si="11"/>
        <v>6588.6312357065453</v>
      </c>
      <c r="U35" s="4">
        <f t="shared" si="11"/>
        <v>6918.0627974918725</v>
      </c>
      <c r="V35" s="4">
        <f t="shared" si="11"/>
        <v>7263.9659373664663</v>
      </c>
      <c r="W35" s="4">
        <f t="shared" si="11"/>
        <v>7627.1642342347895</v>
      </c>
      <c r="X35" s="4">
        <f t="shared" si="11"/>
        <v>8008.5224459465289</v>
      </c>
      <c r="Y35" s="4">
        <f t="shared" si="11"/>
        <v>8408.9485682438553</v>
      </c>
      <c r="Z35" s="4">
        <f t="shared" si="11"/>
        <v>8829.3959966560487</v>
      </c>
      <c r="AA35" s="4">
        <f t="shared" si="11"/>
        <v>9270.8657964888516</v>
      </c>
      <c r="AB35" s="4">
        <f t="shared" si="11"/>
        <v>9734.4090863132951</v>
      </c>
      <c r="AC35" s="4">
        <f t="shared" si="11"/>
        <v>10221.129540628959</v>
      </c>
      <c r="AD35" s="4">
        <f t="shared" si="11"/>
        <v>10732.186017660408</v>
      </c>
      <c r="AE35" s="4">
        <f t="shared" si="11"/>
        <v>11268.795318543429</v>
      </c>
      <c r="AF35" s="4">
        <f t="shared" si="11"/>
        <v>11832.2350844706</v>
      </c>
      <c r="AG35" s="4">
        <f t="shared" si="11"/>
        <v>12423.846838694129</v>
      </c>
      <c r="AH35" s="4">
        <f t="shared" si="11"/>
        <v>13045.039180628835</v>
      </c>
      <c r="AI35" s="4">
        <f t="shared" si="11"/>
        <v>13697.291139660278</v>
      </c>
      <c r="AJ35" s="4">
        <f t="shared" si="11"/>
        <v>14382.155696643291</v>
      </c>
      <c r="AK35" s="4">
        <f t="shared" si="11"/>
        <v>15101.263481475455</v>
      </c>
      <c r="AL35" s="4">
        <f t="shared" si="11"/>
        <v>15856.326655549228</v>
      </c>
      <c r="AM35" s="4">
        <f t="shared" si="11"/>
        <v>16649.14298832669</v>
      </c>
      <c r="AN35" s="4">
        <f t="shared" si="11"/>
        <v>17481.600137743026</v>
      </c>
      <c r="AO35" s="4">
        <f t="shared" si="11"/>
        <v>18355.680144630176</v>
      </c>
      <c r="AP35" s="4">
        <f t="shared" si="11"/>
        <v>19273.464151861685</v>
      </c>
      <c r="AQ35" s="4">
        <f t="shared" si="11"/>
        <v>20237.137359454769</v>
      </c>
      <c r="AR35" s="4">
        <f t="shared" si="11"/>
        <v>21248.994227427509</v>
      </c>
      <c r="AS35" s="4">
        <f t="shared" si="11"/>
        <v>22311.443938798886</v>
      </c>
      <c r="AT35" s="4">
        <f t="shared" si="11"/>
        <v>23427.016135738832</v>
      </c>
      <c r="AU35" s="4">
        <f t="shared" si="11"/>
        <v>24598.366942525772</v>
      </c>
      <c r="AV35" s="4">
        <f t="shared" si="11"/>
        <v>25828.28528965206</v>
      </c>
      <c r="AW35" s="4">
        <f t="shared" si="11"/>
        <v>27119.699554134662</v>
      </c>
      <c r="AX35" s="4">
        <f t="shared" si="11"/>
        <v>28475.684531841394</v>
      </c>
      <c r="AY35" s="4">
        <f t="shared" si="11"/>
        <v>29899.468758433464</v>
      </c>
      <c r="AZ35" s="4">
        <f t="shared" si="11"/>
        <v>31394.442196355136</v>
      </c>
      <c r="BA35" s="4">
        <f t="shared" si="11"/>
        <v>32964.16430617289</v>
      </c>
      <c r="BB35" s="4">
        <f t="shared" si="11"/>
        <v>34612.372521481535</v>
      </c>
      <c r="BC35" s="4">
        <f t="shared" si="11"/>
        <v>36342.991147555615</v>
      </c>
      <c r="BD35" s="4">
        <f t="shared" si="11"/>
        <v>38160.140704933394</v>
      </c>
      <c r="BE35" s="4">
        <f t="shared" si="11"/>
        <v>40068.147740180066</v>
      </c>
      <c r="BF35" s="4">
        <f t="shared" si="11"/>
        <v>42071.555127189073</v>
      </c>
    </row>
    <row r="36" spans="2:58" x14ac:dyDescent="0.25">
      <c r="B36" t="s">
        <v>10</v>
      </c>
      <c r="C36" s="4">
        <f>+C35*C30</f>
        <v>1920.0000000000005</v>
      </c>
      <c r="D36" s="4">
        <f t="shared" ref="D36:BF36" si="12">+D35*D30</f>
        <v>1689.8823529411764</v>
      </c>
      <c r="E36" s="4">
        <f t="shared" si="12"/>
        <v>1465.8327272727272</v>
      </c>
      <c r="F36" s="4">
        <f t="shared" si="12"/>
        <v>1224.4283999999998</v>
      </c>
      <c r="G36" s="4">
        <f t="shared" si="12"/>
        <v>1269.0520128000001</v>
      </c>
      <c r="H36" s="4">
        <f t="shared" si="12"/>
        <v>1722.3626159999999</v>
      </c>
      <c r="I36" s="4">
        <f t="shared" si="12"/>
        <v>1651.9023271636363</v>
      </c>
      <c r="J36" s="4">
        <f t="shared" si="12"/>
        <v>1734.497443521818</v>
      </c>
      <c r="K36" s="4">
        <f t="shared" si="12"/>
        <v>1821.2223156979087</v>
      </c>
      <c r="L36" s="4">
        <f t="shared" si="12"/>
        <v>1912.2834314828042</v>
      </c>
      <c r="M36" s="4">
        <f t="shared" si="12"/>
        <v>2007.8976030569443</v>
      </c>
      <c r="N36" s="4">
        <f t="shared" si="12"/>
        <v>2108.2924832097915</v>
      </c>
      <c r="O36" s="4">
        <f t="shared" si="12"/>
        <v>2213.7071073702809</v>
      </c>
      <c r="P36" s="4">
        <f t="shared" si="12"/>
        <v>2324.3924627387951</v>
      </c>
      <c r="Q36" s="4">
        <f t="shared" si="12"/>
        <v>2440.6120858757349</v>
      </c>
      <c r="R36" s="4">
        <f t="shared" si="12"/>
        <v>2562.6426901695218</v>
      </c>
      <c r="S36" s="4">
        <f t="shared" si="12"/>
        <v>2690.7748246779979</v>
      </c>
      <c r="T36" s="4">
        <f t="shared" si="12"/>
        <v>2825.313565911898</v>
      </c>
      <c r="U36" s="4">
        <f t="shared" si="12"/>
        <v>2966.5792442074926</v>
      </c>
      <c r="V36" s="4">
        <f t="shared" si="12"/>
        <v>3114.9082064178674</v>
      </c>
      <c r="W36" s="4">
        <f t="shared" si="12"/>
        <v>3270.6536167387608</v>
      </c>
      <c r="X36" s="4">
        <f t="shared" si="12"/>
        <v>3434.186297575699</v>
      </c>
      <c r="Y36" s="4">
        <f t="shared" si="12"/>
        <v>3605.8956124544839</v>
      </c>
      <c r="Z36" s="4">
        <f t="shared" si="12"/>
        <v>3786.1903930772082</v>
      </c>
      <c r="AA36" s="4">
        <f t="shared" si="12"/>
        <v>3975.4999127310689</v>
      </c>
      <c r="AB36" s="4">
        <f t="shared" si="12"/>
        <v>4174.2749083676226</v>
      </c>
      <c r="AC36" s="4">
        <f t="shared" si="12"/>
        <v>4382.9886537860039</v>
      </c>
      <c r="AD36" s="4">
        <f t="shared" si="12"/>
        <v>4602.1380864753037</v>
      </c>
      <c r="AE36" s="4">
        <f t="shared" si="12"/>
        <v>4832.2449907990695</v>
      </c>
      <c r="AF36" s="4">
        <f t="shared" si="12"/>
        <v>5073.8572403390226</v>
      </c>
      <c r="AG36" s="4">
        <f t="shared" si="12"/>
        <v>5327.5501023559736</v>
      </c>
      <c r="AH36" s="4">
        <f t="shared" si="12"/>
        <v>5593.9276074737718</v>
      </c>
      <c r="AI36" s="4">
        <f t="shared" si="12"/>
        <v>5873.6239878474607</v>
      </c>
      <c r="AJ36" s="4">
        <f t="shared" si="12"/>
        <v>6167.3051872398337</v>
      </c>
      <c r="AK36" s="4">
        <f t="shared" si="12"/>
        <v>6475.6704466018255</v>
      </c>
      <c r="AL36" s="4">
        <f t="shared" si="12"/>
        <v>6799.4539689319163</v>
      </c>
      <c r="AM36" s="4">
        <f t="shared" si="12"/>
        <v>7139.4266673785123</v>
      </c>
      <c r="AN36" s="4">
        <f t="shared" si="12"/>
        <v>7496.3980007474383</v>
      </c>
      <c r="AO36" s="4">
        <f t="shared" si="12"/>
        <v>7871.2179007848099</v>
      </c>
      <c r="AP36" s="4">
        <f t="shared" si="12"/>
        <v>8264.7787958240515</v>
      </c>
      <c r="AQ36" s="4">
        <f t="shared" si="12"/>
        <v>8678.0177356152526</v>
      </c>
      <c r="AR36" s="4">
        <f t="shared" si="12"/>
        <v>9111.9186223960169</v>
      </c>
      <c r="AS36" s="4">
        <f t="shared" si="12"/>
        <v>9567.514553515819</v>
      </c>
      <c r="AT36" s="4">
        <f t="shared" si="12"/>
        <v>10045.890281191609</v>
      </c>
      <c r="AU36" s="4">
        <f t="shared" si="12"/>
        <v>10548.184795251189</v>
      </c>
      <c r="AV36" s="4">
        <f t="shared" si="12"/>
        <v>11075.594035013748</v>
      </c>
      <c r="AW36" s="4">
        <f t="shared" si="12"/>
        <v>11629.373736764435</v>
      </c>
      <c r="AX36" s="4">
        <f t="shared" si="12"/>
        <v>12210.842423602657</v>
      </c>
      <c r="AY36" s="4">
        <f t="shared" si="12"/>
        <v>12821.38454478279</v>
      </c>
      <c r="AZ36" s="4">
        <f t="shared" si="12"/>
        <v>13462.453772021929</v>
      </c>
      <c r="BA36" s="4">
        <f t="shared" si="12"/>
        <v>14135.576460623024</v>
      </c>
      <c r="BB36" s="4">
        <f t="shared" si="12"/>
        <v>14842.355283654175</v>
      </c>
      <c r="BC36" s="4">
        <f t="shared" si="12"/>
        <v>15584.473047836886</v>
      </c>
      <c r="BD36" s="4">
        <f t="shared" si="12"/>
        <v>16363.696700228729</v>
      </c>
      <c r="BE36" s="4">
        <f t="shared" si="12"/>
        <v>17181.881535240165</v>
      </c>
      <c r="BF36" s="4">
        <f t="shared" si="12"/>
        <v>18040.975612002178</v>
      </c>
    </row>
    <row r="37" spans="2:58" x14ac:dyDescent="0.25">
      <c r="B37" t="s">
        <v>11</v>
      </c>
      <c r="C37" s="4">
        <f>+C35-C36</f>
        <v>479.99999999999955</v>
      </c>
      <c r="D37" s="4">
        <f t="shared" ref="D37:BF37" si="13">+D35-D36</f>
        <v>1046.1176470588236</v>
      </c>
      <c r="E37" s="4">
        <f t="shared" si="13"/>
        <v>1557.4472727272725</v>
      </c>
      <c r="F37" s="4">
        <f t="shared" si="13"/>
        <v>2040.7139999999999</v>
      </c>
      <c r="G37" s="4">
        <f t="shared" si="13"/>
        <v>2191.9989311999998</v>
      </c>
      <c r="H37" s="4">
        <f t="shared" si="13"/>
        <v>1929.0461299199997</v>
      </c>
      <c r="I37" s="4">
        <f>+I35-I36</f>
        <v>2200.3338997819628</v>
      </c>
      <c r="J37" s="4">
        <f t="shared" si="13"/>
        <v>2310.350594771061</v>
      </c>
      <c r="K37" s="4">
        <f t="shared" si="13"/>
        <v>2425.8681245096141</v>
      </c>
      <c r="L37" s="4">
        <f t="shared" si="13"/>
        <v>2547.1615307350949</v>
      </c>
      <c r="M37" s="4">
        <f t="shared" si="13"/>
        <v>2674.5196072718495</v>
      </c>
      <c r="N37" s="4">
        <f t="shared" si="13"/>
        <v>2808.2455876354416</v>
      </c>
      <c r="O37" s="4">
        <f t="shared" si="13"/>
        <v>2948.6578670172139</v>
      </c>
      <c r="P37" s="4">
        <f t="shared" si="13"/>
        <v>3096.0907603680744</v>
      </c>
      <c r="Q37" s="4">
        <f t="shared" si="13"/>
        <v>3250.8952983864783</v>
      </c>
      <c r="R37" s="4">
        <f t="shared" si="13"/>
        <v>3413.4400633058026</v>
      </c>
      <c r="S37" s="4">
        <f t="shared" si="13"/>
        <v>3584.1120664710929</v>
      </c>
      <c r="T37" s="4">
        <f t="shared" si="13"/>
        <v>3763.3176697946474</v>
      </c>
      <c r="U37" s="4">
        <f t="shared" si="13"/>
        <v>3951.4835532843799</v>
      </c>
      <c r="V37" s="4">
        <f t="shared" si="13"/>
        <v>4149.0577309485989</v>
      </c>
      <c r="W37" s="4">
        <f t="shared" si="13"/>
        <v>4356.5106174960292</v>
      </c>
      <c r="X37" s="4">
        <f t="shared" si="13"/>
        <v>4574.3361483708304</v>
      </c>
      <c r="Y37" s="4">
        <f t="shared" si="13"/>
        <v>4803.0529557893715</v>
      </c>
      <c r="Z37" s="4">
        <f t="shared" si="13"/>
        <v>5043.205603578841</v>
      </c>
      <c r="AA37" s="4">
        <f t="shared" si="13"/>
        <v>5295.3658837577823</v>
      </c>
      <c r="AB37" s="4">
        <f t="shared" si="13"/>
        <v>5560.1341779456725</v>
      </c>
      <c r="AC37" s="4">
        <f t="shared" si="13"/>
        <v>5838.1408868429553</v>
      </c>
      <c r="AD37" s="4">
        <f t="shared" si="13"/>
        <v>6130.0479311851041</v>
      </c>
      <c r="AE37" s="4">
        <f t="shared" si="13"/>
        <v>6436.5503277443595</v>
      </c>
      <c r="AF37" s="4">
        <f t="shared" si="13"/>
        <v>6758.3778441315771</v>
      </c>
      <c r="AG37" s="4">
        <f t="shared" si="13"/>
        <v>7096.2967363381558</v>
      </c>
      <c r="AH37" s="4">
        <f t="shared" si="13"/>
        <v>7451.1115731550635</v>
      </c>
      <c r="AI37" s="4">
        <f t="shared" si="13"/>
        <v>7823.6671518128169</v>
      </c>
      <c r="AJ37" s="4">
        <f t="shared" si="13"/>
        <v>8214.8505094034572</v>
      </c>
      <c r="AK37" s="4">
        <f t="shared" si="13"/>
        <v>8625.5930348736292</v>
      </c>
      <c r="AL37" s="4">
        <f t="shared" si="13"/>
        <v>9056.8726866173129</v>
      </c>
      <c r="AM37" s="4">
        <f t="shared" si="13"/>
        <v>9509.7163209481769</v>
      </c>
      <c r="AN37" s="4">
        <f t="shared" si="13"/>
        <v>9985.2021369955874</v>
      </c>
      <c r="AO37" s="4">
        <f t="shared" si="13"/>
        <v>10484.462243845366</v>
      </c>
      <c r="AP37" s="4">
        <f t="shared" si="13"/>
        <v>11008.685356037633</v>
      </c>
      <c r="AQ37" s="4">
        <f t="shared" si="13"/>
        <v>11559.119623839517</v>
      </c>
      <c r="AR37" s="4">
        <f t="shared" si="13"/>
        <v>12137.075605031492</v>
      </c>
      <c r="AS37" s="4">
        <f t="shared" si="13"/>
        <v>12743.929385283067</v>
      </c>
      <c r="AT37" s="4">
        <f t="shared" si="13"/>
        <v>13381.125854547223</v>
      </c>
      <c r="AU37" s="4">
        <f t="shared" si="13"/>
        <v>14050.182147274583</v>
      </c>
      <c r="AV37" s="4">
        <f t="shared" si="13"/>
        <v>14752.691254638312</v>
      </c>
      <c r="AW37" s="4">
        <f t="shared" si="13"/>
        <v>15490.325817370227</v>
      </c>
      <c r="AX37" s="4">
        <f t="shared" si="13"/>
        <v>16264.842108238738</v>
      </c>
      <c r="AY37" s="4">
        <f t="shared" si="13"/>
        <v>17078.084213650676</v>
      </c>
      <c r="AZ37" s="4">
        <f t="shared" si="13"/>
        <v>17931.988424333205</v>
      </c>
      <c r="BA37" s="4">
        <f t="shared" si="13"/>
        <v>18828.587845549868</v>
      </c>
      <c r="BB37" s="4">
        <f t="shared" si="13"/>
        <v>19770.01723782736</v>
      </c>
      <c r="BC37" s="4">
        <f t="shared" si="13"/>
        <v>20758.518099718727</v>
      </c>
      <c r="BD37" s="4">
        <f t="shared" si="13"/>
        <v>21796.444004704666</v>
      </c>
      <c r="BE37" s="4">
        <f t="shared" si="13"/>
        <v>22886.2662049399</v>
      </c>
      <c r="BF37" s="4">
        <f t="shared" si="13"/>
        <v>24030.579515186895</v>
      </c>
    </row>
    <row r="38" spans="2:58" x14ac:dyDescent="0.25">
      <c r="B38" t="s">
        <v>68</v>
      </c>
      <c r="C38" s="4">
        <f>+C64*C25</f>
        <v>0</v>
      </c>
      <c r="D38" s="4">
        <f t="shared" ref="D38:BF38" si="14">+D64*D25</f>
        <v>78.986314669837554</v>
      </c>
      <c r="E38" s="4">
        <f t="shared" si="14"/>
        <v>182.39922956515875</v>
      </c>
      <c r="F38" s="4">
        <f t="shared" si="14"/>
        <v>332.58167364755656</v>
      </c>
      <c r="G38" s="4">
        <f t="shared" si="14"/>
        <v>484.5662743128255</v>
      </c>
      <c r="H38" s="4">
        <f t="shared" si="14"/>
        <v>532.36662676363608</v>
      </c>
      <c r="I38" s="4">
        <f t="shared" si="14"/>
        <v>561.64679123563599</v>
      </c>
      <c r="J38" s="4">
        <f t="shared" si="14"/>
        <v>589.72913079741784</v>
      </c>
      <c r="K38" s="4">
        <f t="shared" si="14"/>
        <v>619.21558733728875</v>
      </c>
      <c r="L38" s="4">
        <f t="shared" si="14"/>
        <v>650.17636670415311</v>
      </c>
      <c r="M38" s="4">
        <f t="shared" si="14"/>
        <v>682.68518503936093</v>
      </c>
      <c r="N38" s="4">
        <f t="shared" si="14"/>
        <v>716.81944429132898</v>
      </c>
      <c r="O38" s="4">
        <f t="shared" si="14"/>
        <v>752.66041650589545</v>
      </c>
      <c r="P38" s="4">
        <f t="shared" si="14"/>
        <v>790.29343733119026</v>
      </c>
      <c r="Q38" s="4">
        <f t="shared" si="14"/>
        <v>829.80810919774979</v>
      </c>
      <c r="R38" s="4">
        <f t="shared" si="14"/>
        <v>871.29851465763727</v>
      </c>
      <c r="S38" s="4">
        <f t="shared" si="14"/>
        <v>914.86344039051914</v>
      </c>
      <c r="T38" s="4">
        <f t="shared" si="14"/>
        <v>960.60661241004539</v>
      </c>
      <c r="U38" s="4">
        <f t="shared" si="14"/>
        <v>1008.6369430305475</v>
      </c>
      <c r="V38" s="4">
        <f t="shared" si="14"/>
        <v>1059.068790182075</v>
      </c>
      <c r="W38" s="4">
        <f t="shared" si="14"/>
        <v>1112.0222296911788</v>
      </c>
      <c r="X38" s="4">
        <f t="shared" si="14"/>
        <v>1167.6233411757378</v>
      </c>
      <c r="Y38" s="4">
        <f t="shared" si="14"/>
        <v>1226.0045082345246</v>
      </c>
      <c r="Z38" s="4">
        <f t="shared" si="14"/>
        <v>1287.304733646251</v>
      </c>
      <c r="AA38" s="4">
        <f t="shared" si="14"/>
        <v>1351.6699703285633</v>
      </c>
      <c r="AB38" s="4">
        <f t="shared" si="14"/>
        <v>1419.2534688449919</v>
      </c>
      <c r="AC38" s="4">
        <f t="shared" si="14"/>
        <v>1490.2161422872412</v>
      </c>
      <c r="AD38" s="4">
        <f t="shared" si="14"/>
        <v>1564.7269494016034</v>
      </c>
      <c r="AE38" s="4">
        <f t="shared" si="14"/>
        <v>1642.9632968716837</v>
      </c>
      <c r="AF38" s="4">
        <f t="shared" si="14"/>
        <v>1725.1114617152678</v>
      </c>
      <c r="AG38" s="4">
        <f t="shared" si="14"/>
        <v>1811.3670348010312</v>
      </c>
      <c r="AH38" s="4">
        <f t="shared" si="14"/>
        <v>1901.9353865410826</v>
      </c>
      <c r="AI38" s="4">
        <f t="shared" si="14"/>
        <v>1997.0321558681371</v>
      </c>
      <c r="AJ38" s="4">
        <f t="shared" si="14"/>
        <v>2096.8837636615435</v>
      </c>
      <c r="AK38" s="4">
        <f t="shared" si="14"/>
        <v>2201.7279518446203</v>
      </c>
      <c r="AL38" s="4">
        <f t="shared" si="14"/>
        <v>2311.8143494368524</v>
      </c>
      <c r="AM38" s="4">
        <f t="shared" si="14"/>
        <v>2427.4050669086946</v>
      </c>
      <c r="AN38" s="4">
        <f t="shared" si="14"/>
        <v>2548.7753202541294</v>
      </c>
      <c r="AO38" s="4">
        <f t="shared" si="14"/>
        <v>2676.2140862668357</v>
      </c>
      <c r="AP38" s="4">
        <f t="shared" si="14"/>
        <v>2810.0247905801771</v>
      </c>
      <c r="AQ38" s="4">
        <f t="shared" si="14"/>
        <v>2950.5260301091866</v>
      </c>
      <c r="AR38" s="4">
        <f t="shared" si="14"/>
        <v>3098.0523316146459</v>
      </c>
      <c r="AS38" s="4">
        <f t="shared" si="14"/>
        <v>3252.9549481953782</v>
      </c>
      <c r="AT38" s="4">
        <f t="shared" si="14"/>
        <v>3415.6026956051478</v>
      </c>
      <c r="AU38" s="4">
        <f t="shared" si="14"/>
        <v>3586.3828303854052</v>
      </c>
      <c r="AV38" s="4">
        <f t="shared" si="14"/>
        <v>3765.7019719046752</v>
      </c>
      <c r="AW38" s="4">
        <f t="shared" si="14"/>
        <v>3953.9870704999084</v>
      </c>
      <c r="AX38" s="4">
        <f t="shared" si="14"/>
        <v>4151.6864240249042</v>
      </c>
      <c r="AY38" s="4">
        <f t="shared" si="14"/>
        <v>4359.2707452261493</v>
      </c>
      <c r="AZ38" s="4">
        <f t="shared" si="14"/>
        <v>4577.2342824874559</v>
      </c>
      <c r="BA38" s="4">
        <f t="shared" si="14"/>
        <v>4806.0959966118289</v>
      </c>
      <c r="BB38" s="4">
        <f t="shared" si="14"/>
        <v>5046.4007964424209</v>
      </c>
      <c r="BC38" s="4">
        <f t="shared" si="14"/>
        <v>5298.7208362645415</v>
      </c>
      <c r="BD38" s="4">
        <f t="shared" si="14"/>
        <v>5563.6568780777689</v>
      </c>
      <c r="BE38" s="4">
        <f t="shared" si="14"/>
        <v>5841.8397219816579</v>
      </c>
      <c r="BF38" s="4">
        <f t="shared" si="14"/>
        <v>6133.9317080807396</v>
      </c>
    </row>
    <row r="39" spans="2:58" x14ac:dyDescent="0.25">
      <c r="B39" t="s">
        <v>69</v>
      </c>
      <c r="C39" s="4">
        <f>+C38*C31</f>
        <v>0</v>
      </c>
      <c r="D39" s="4">
        <f t="shared" ref="D39:BF39" si="15">+D38*D31</f>
        <v>15.797262933967511</v>
      </c>
      <c r="E39" s="4">
        <f t="shared" si="15"/>
        <v>36.479845913031753</v>
      </c>
      <c r="F39" s="4">
        <f t="shared" si="15"/>
        <v>66.516334729511314</v>
      </c>
      <c r="G39" s="4">
        <f t="shared" si="15"/>
        <v>96.913254862565111</v>
      </c>
      <c r="H39" s="4">
        <f t="shared" si="15"/>
        <v>106.47332535272722</v>
      </c>
      <c r="I39" s="4">
        <f t="shared" si="15"/>
        <v>112.3293582471272</v>
      </c>
      <c r="J39" s="4">
        <f t="shared" si="15"/>
        <v>117.94582615948357</v>
      </c>
      <c r="K39" s="4">
        <f t="shared" si="15"/>
        <v>123.84311746745776</v>
      </c>
      <c r="L39" s="4">
        <f t="shared" si="15"/>
        <v>130.03527334083063</v>
      </c>
      <c r="M39" s="4">
        <f t="shared" si="15"/>
        <v>136.53703700787219</v>
      </c>
      <c r="N39" s="4">
        <f t="shared" si="15"/>
        <v>143.3638888582658</v>
      </c>
      <c r="O39" s="4">
        <f t="shared" si="15"/>
        <v>150.53208330117909</v>
      </c>
      <c r="P39" s="4">
        <f t="shared" si="15"/>
        <v>158.05868746623807</v>
      </c>
      <c r="Q39" s="4">
        <f t="shared" si="15"/>
        <v>165.96162183954996</v>
      </c>
      <c r="R39" s="4">
        <f t="shared" si="15"/>
        <v>174.25970293152747</v>
      </c>
      <c r="S39" s="4">
        <f t="shared" si="15"/>
        <v>182.97268807810383</v>
      </c>
      <c r="T39" s="4">
        <f t="shared" si="15"/>
        <v>192.12132248200908</v>
      </c>
      <c r="U39" s="4">
        <f t="shared" si="15"/>
        <v>201.72738860610951</v>
      </c>
      <c r="V39" s="4">
        <f t="shared" si="15"/>
        <v>211.81375803641501</v>
      </c>
      <c r="W39" s="4">
        <f t="shared" si="15"/>
        <v>222.40444593823577</v>
      </c>
      <c r="X39" s="4">
        <f t="shared" si="15"/>
        <v>233.52466823514757</v>
      </c>
      <c r="Y39" s="4">
        <f t="shared" si="15"/>
        <v>245.20090164690492</v>
      </c>
      <c r="Z39" s="4">
        <f t="shared" si="15"/>
        <v>257.46094672925022</v>
      </c>
      <c r="AA39" s="4">
        <f t="shared" si="15"/>
        <v>270.33399406571266</v>
      </c>
      <c r="AB39" s="4">
        <f t="shared" si="15"/>
        <v>283.85069376899838</v>
      </c>
      <c r="AC39" s="4">
        <f t="shared" si="15"/>
        <v>298.04322845744827</v>
      </c>
      <c r="AD39" s="4">
        <f t="shared" si="15"/>
        <v>312.9453898803207</v>
      </c>
      <c r="AE39" s="4">
        <f t="shared" si="15"/>
        <v>328.59265937433679</v>
      </c>
      <c r="AF39" s="4">
        <f t="shared" si="15"/>
        <v>345.02229234305355</v>
      </c>
      <c r="AG39" s="4">
        <f t="shared" si="15"/>
        <v>362.27340696020627</v>
      </c>
      <c r="AH39" s="4">
        <f t="shared" si="15"/>
        <v>380.38707730821653</v>
      </c>
      <c r="AI39" s="4">
        <f t="shared" si="15"/>
        <v>399.40643117362742</v>
      </c>
      <c r="AJ39" s="4">
        <f t="shared" si="15"/>
        <v>419.37675273230872</v>
      </c>
      <c r="AK39" s="4">
        <f t="shared" si="15"/>
        <v>440.34559036892409</v>
      </c>
      <c r="AL39" s="4">
        <f t="shared" si="15"/>
        <v>462.36286988737049</v>
      </c>
      <c r="AM39" s="4">
        <f t="shared" si="15"/>
        <v>485.48101338173893</v>
      </c>
      <c r="AN39" s="4">
        <f t="shared" si="15"/>
        <v>509.75506405082592</v>
      </c>
      <c r="AO39" s="4">
        <f t="shared" si="15"/>
        <v>535.24281725336721</v>
      </c>
      <c r="AP39" s="4">
        <f t="shared" si="15"/>
        <v>562.00495811603548</v>
      </c>
      <c r="AQ39" s="4">
        <f t="shared" si="15"/>
        <v>590.10520602183738</v>
      </c>
      <c r="AR39" s="4">
        <f t="shared" si="15"/>
        <v>619.61046632292926</v>
      </c>
      <c r="AS39" s="4">
        <f t="shared" si="15"/>
        <v>650.5909896390757</v>
      </c>
      <c r="AT39" s="4">
        <f t="shared" si="15"/>
        <v>683.12053912102965</v>
      </c>
      <c r="AU39" s="4">
        <f t="shared" si="15"/>
        <v>717.27656607708104</v>
      </c>
      <c r="AV39" s="4">
        <f t="shared" si="15"/>
        <v>753.14039438093505</v>
      </c>
      <c r="AW39" s="4">
        <f t="shared" si="15"/>
        <v>790.79741409998178</v>
      </c>
      <c r="AX39" s="4">
        <f t="shared" si="15"/>
        <v>830.33728480498087</v>
      </c>
      <c r="AY39" s="4">
        <f t="shared" si="15"/>
        <v>871.85414904522986</v>
      </c>
      <c r="AZ39" s="4">
        <f t="shared" si="15"/>
        <v>915.44685649749124</v>
      </c>
      <c r="BA39" s="4">
        <f t="shared" si="15"/>
        <v>961.21919932236585</v>
      </c>
      <c r="BB39" s="4">
        <f t="shared" si="15"/>
        <v>1009.2801592884842</v>
      </c>
      <c r="BC39" s="4">
        <f t="shared" si="15"/>
        <v>1059.7441672529083</v>
      </c>
      <c r="BD39" s="4">
        <f t="shared" si="15"/>
        <v>1112.7313756155538</v>
      </c>
      <c r="BE39" s="4">
        <f t="shared" si="15"/>
        <v>1168.3679443963317</v>
      </c>
      <c r="BF39" s="4">
        <f t="shared" si="15"/>
        <v>1226.7863416161479</v>
      </c>
    </row>
    <row r="40" spans="2:58" x14ac:dyDescent="0.25">
      <c r="B40" t="s">
        <v>70</v>
      </c>
      <c r="C40" s="4">
        <f>+D64-C64</f>
        <v>1128.3759238548221</v>
      </c>
      <c r="D40" s="4">
        <f t="shared" ref="D40:BF40" si="16">+E64-D64</f>
        <v>1303.6138036806281</v>
      </c>
      <c r="E40" s="4">
        <f t="shared" si="16"/>
        <v>1725.2811930590065</v>
      </c>
      <c r="F40" s="4">
        <f t="shared" si="16"/>
        <v>1543.5087772034904</v>
      </c>
      <c r="G40" s="4">
        <f t="shared" si="16"/>
        <v>562.35708765659456</v>
      </c>
      <c r="H40" s="4">
        <f t="shared" si="16"/>
        <v>344.47252319999916</v>
      </c>
      <c r="I40" s="4">
        <f t="shared" si="16"/>
        <v>330.38046543272776</v>
      </c>
      <c r="J40" s="4">
        <f t="shared" si="16"/>
        <v>346.89948870436365</v>
      </c>
      <c r="K40" s="4">
        <f t="shared" si="16"/>
        <v>364.24446313958106</v>
      </c>
      <c r="L40" s="4">
        <f t="shared" si="16"/>
        <v>382.45668629656211</v>
      </c>
      <c r="M40" s="4">
        <f t="shared" si="16"/>
        <v>401.57952061138894</v>
      </c>
      <c r="N40" s="4">
        <f t="shared" si="16"/>
        <v>421.65849664195775</v>
      </c>
      <c r="O40" s="4">
        <f t="shared" si="16"/>
        <v>442.74142147405655</v>
      </c>
      <c r="P40" s="4">
        <f t="shared" si="16"/>
        <v>464.87849254775938</v>
      </c>
      <c r="Q40" s="4">
        <f t="shared" si="16"/>
        <v>488.12241717514735</v>
      </c>
      <c r="R40" s="4">
        <f t="shared" si="16"/>
        <v>512.52853803390462</v>
      </c>
      <c r="S40" s="4">
        <f t="shared" si="16"/>
        <v>538.15496493560204</v>
      </c>
      <c r="T40" s="4">
        <f t="shared" si="16"/>
        <v>565.0627131823785</v>
      </c>
      <c r="U40" s="4">
        <f t="shared" si="16"/>
        <v>593.31584884149925</v>
      </c>
      <c r="V40" s="4">
        <f t="shared" si="16"/>
        <v>622.9816412835753</v>
      </c>
      <c r="W40" s="4">
        <f t="shared" si="16"/>
        <v>654.13072334775097</v>
      </c>
      <c r="X40" s="4">
        <f t="shared" si="16"/>
        <v>686.83725951513952</v>
      </c>
      <c r="Y40" s="4">
        <f t="shared" si="16"/>
        <v>721.1791224908975</v>
      </c>
      <c r="Z40" s="4">
        <f t="shared" si="16"/>
        <v>757.23807861543901</v>
      </c>
      <c r="AA40" s="4">
        <f t="shared" si="16"/>
        <v>795.0999825462186</v>
      </c>
      <c r="AB40" s="4">
        <f t="shared" si="16"/>
        <v>834.85498167352125</v>
      </c>
      <c r="AC40" s="4">
        <f t="shared" si="16"/>
        <v>876.59773075720295</v>
      </c>
      <c r="AD40" s="4">
        <f t="shared" si="16"/>
        <v>920.4276172950631</v>
      </c>
      <c r="AE40" s="4">
        <f t="shared" si="16"/>
        <v>966.44899815981262</v>
      </c>
      <c r="AF40" s="4">
        <f t="shared" si="16"/>
        <v>1014.7714480678042</v>
      </c>
      <c r="AG40" s="4">
        <f t="shared" si="16"/>
        <v>1065.5100204711925</v>
      </c>
      <c r="AH40" s="4">
        <f t="shared" si="16"/>
        <v>1118.7855214947595</v>
      </c>
      <c r="AI40" s="4">
        <f t="shared" si="16"/>
        <v>1174.7247975694881</v>
      </c>
      <c r="AJ40" s="4">
        <f t="shared" si="16"/>
        <v>1233.4610374479635</v>
      </c>
      <c r="AK40" s="4">
        <f t="shared" si="16"/>
        <v>1295.1340893203742</v>
      </c>
      <c r="AL40" s="4">
        <f t="shared" si="16"/>
        <v>1359.8907937863805</v>
      </c>
      <c r="AM40" s="4">
        <f t="shared" si="16"/>
        <v>1427.8853334757005</v>
      </c>
      <c r="AN40" s="4">
        <f t="shared" si="16"/>
        <v>1499.2796001494862</v>
      </c>
      <c r="AO40" s="4">
        <f t="shared" si="16"/>
        <v>1574.2435801569591</v>
      </c>
      <c r="AP40" s="4">
        <f t="shared" si="16"/>
        <v>1652.955759164819</v>
      </c>
      <c r="AQ40" s="4">
        <f t="shared" si="16"/>
        <v>1735.6035471230498</v>
      </c>
      <c r="AR40" s="4">
        <f t="shared" si="16"/>
        <v>1822.3837244792012</v>
      </c>
      <c r="AS40" s="4">
        <f t="shared" si="16"/>
        <v>1913.5029107031733</v>
      </c>
      <c r="AT40" s="4">
        <f t="shared" si="16"/>
        <v>2009.178056238321</v>
      </c>
      <c r="AU40" s="4">
        <f t="shared" si="16"/>
        <v>2109.6369590502363</v>
      </c>
      <c r="AV40" s="4">
        <f t="shared" si="16"/>
        <v>2215.118807002742</v>
      </c>
      <c r="AW40" s="4">
        <f t="shared" si="16"/>
        <v>2325.8747473528929</v>
      </c>
      <c r="AX40" s="4">
        <f t="shared" si="16"/>
        <v>2442.1684847205324</v>
      </c>
      <c r="AY40" s="4">
        <f t="shared" si="16"/>
        <v>2564.2769089565409</v>
      </c>
      <c r="AZ40" s="4">
        <f t="shared" si="16"/>
        <v>2692.4907544043963</v>
      </c>
      <c r="BA40" s="4">
        <f t="shared" si="16"/>
        <v>2827.115292124603</v>
      </c>
      <c r="BB40" s="4">
        <f t="shared" si="16"/>
        <v>2968.4710567308357</v>
      </c>
      <c r="BC40" s="4">
        <f t="shared" si="16"/>
        <v>3116.8946095673818</v>
      </c>
      <c r="BD40" s="4">
        <f t="shared" si="16"/>
        <v>3272.7393400457513</v>
      </c>
      <c r="BE40" s="4">
        <f t="shared" si="16"/>
        <v>3436.37630704802</v>
      </c>
      <c r="BF40" s="4">
        <f t="shared" si="16"/>
        <v>-72163.902448008696</v>
      </c>
    </row>
    <row r="41" spans="2:58" x14ac:dyDescent="0.25">
      <c r="B41" t="s">
        <v>71</v>
      </c>
      <c r="C41" s="4">
        <f>+C37-C38+C39+C40</f>
        <v>1608.3759238548216</v>
      </c>
      <c r="D41" s="4">
        <f t="shared" ref="D41:BF41" si="17">+D37-D38+D39+D40</f>
        <v>2286.5423990035815</v>
      </c>
      <c r="E41" s="4">
        <f t="shared" si="17"/>
        <v>3136.809082134152</v>
      </c>
      <c r="F41" s="4">
        <f t="shared" si="17"/>
        <v>3318.1574382854451</v>
      </c>
      <c r="G41" s="4">
        <f t="shared" si="17"/>
        <v>2366.7029994063341</v>
      </c>
      <c r="H41" s="4">
        <f t="shared" si="17"/>
        <v>1847.62535170909</v>
      </c>
      <c r="I41" s="4">
        <f t="shared" si="17"/>
        <v>2081.3969322261819</v>
      </c>
      <c r="J41" s="4">
        <f t="shared" si="17"/>
        <v>2185.4667788374904</v>
      </c>
      <c r="K41" s="4">
        <f t="shared" si="17"/>
        <v>2294.740117779364</v>
      </c>
      <c r="L41" s="4">
        <f t="shared" si="17"/>
        <v>2409.4771236683346</v>
      </c>
      <c r="M41" s="4">
        <f t="shared" si="17"/>
        <v>2529.9509798517497</v>
      </c>
      <c r="N41" s="4">
        <f t="shared" si="17"/>
        <v>2656.4485288443361</v>
      </c>
      <c r="O41" s="4">
        <f t="shared" si="17"/>
        <v>2789.2709552865545</v>
      </c>
      <c r="P41" s="4">
        <f t="shared" si="17"/>
        <v>2928.7345030508818</v>
      </c>
      <c r="Q41" s="4">
        <f t="shared" si="17"/>
        <v>3075.1712282034259</v>
      </c>
      <c r="R41" s="4">
        <f t="shared" si="17"/>
        <v>3228.9297896135977</v>
      </c>
      <c r="S41" s="4">
        <f t="shared" si="17"/>
        <v>3390.3762790942792</v>
      </c>
      <c r="T41" s="4">
        <f t="shared" si="17"/>
        <v>3559.8950930489896</v>
      </c>
      <c r="U41" s="4">
        <f t="shared" si="17"/>
        <v>3737.8898477014409</v>
      </c>
      <c r="V41" s="4">
        <f t="shared" si="17"/>
        <v>3924.7843400865145</v>
      </c>
      <c r="W41" s="4">
        <f t="shared" si="17"/>
        <v>4121.0235570908371</v>
      </c>
      <c r="X41" s="4">
        <f t="shared" si="17"/>
        <v>4327.0747349453795</v>
      </c>
      <c r="Y41" s="4">
        <f t="shared" si="17"/>
        <v>4543.4284716926495</v>
      </c>
      <c r="Z41" s="4">
        <f t="shared" si="17"/>
        <v>4770.5998952772788</v>
      </c>
      <c r="AA41" s="4">
        <f t="shared" si="17"/>
        <v>5009.1298900411502</v>
      </c>
      <c r="AB41" s="4">
        <f t="shared" si="17"/>
        <v>5259.5863845431995</v>
      </c>
      <c r="AC41" s="4">
        <f t="shared" si="17"/>
        <v>5522.565703770365</v>
      </c>
      <c r="AD41" s="4">
        <f t="shared" si="17"/>
        <v>5798.6939889588839</v>
      </c>
      <c r="AE41" s="4">
        <f t="shared" si="17"/>
        <v>6088.6286884068249</v>
      </c>
      <c r="AF41" s="4">
        <f t="shared" si="17"/>
        <v>6393.0601228271671</v>
      </c>
      <c r="AG41" s="4">
        <f t="shared" si="17"/>
        <v>6712.713128968524</v>
      </c>
      <c r="AH41" s="4">
        <f t="shared" si="17"/>
        <v>7048.3487854169562</v>
      </c>
      <c r="AI41" s="4">
        <f t="shared" si="17"/>
        <v>7400.7662246877953</v>
      </c>
      <c r="AJ41" s="4">
        <f t="shared" si="17"/>
        <v>7770.804535922186</v>
      </c>
      <c r="AK41" s="4">
        <f t="shared" si="17"/>
        <v>8159.3447627183068</v>
      </c>
      <c r="AL41" s="4">
        <f t="shared" si="17"/>
        <v>8567.3120008542119</v>
      </c>
      <c r="AM41" s="4">
        <f t="shared" si="17"/>
        <v>8995.6776008969209</v>
      </c>
      <c r="AN41" s="4">
        <f t="shared" si="17"/>
        <v>9445.461480941769</v>
      </c>
      <c r="AO41" s="4">
        <f t="shared" si="17"/>
        <v>9917.734554988856</v>
      </c>
      <c r="AP41" s="4">
        <f t="shared" si="17"/>
        <v>10413.62128273831</v>
      </c>
      <c r="AQ41" s="4">
        <f t="shared" si="17"/>
        <v>10934.302346875216</v>
      </c>
      <c r="AR41" s="4">
        <f t="shared" si="17"/>
        <v>11481.017464218976</v>
      </c>
      <c r="AS41" s="4">
        <f t="shared" si="17"/>
        <v>12055.068337429937</v>
      </c>
      <c r="AT41" s="4">
        <f t="shared" si="17"/>
        <v>12657.821754301425</v>
      </c>
      <c r="AU41" s="4">
        <f t="shared" si="17"/>
        <v>13290.712842016495</v>
      </c>
      <c r="AV41" s="4">
        <f t="shared" si="17"/>
        <v>13955.248484117314</v>
      </c>
      <c r="AW41" s="4">
        <f t="shared" si="17"/>
        <v>14653.010908323193</v>
      </c>
      <c r="AX41" s="4">
        <f t="shared" si="17"/>
        <v>15385.661453739347</v>
      </c>
      <c r="AY41" s="4">
        <f t="shared" si="17"/>
        <v>16154.944526426298</v>
      </c>
      <c r="AZ41" s="4">
        <f t="shared" si="17"/>
        <v>16962.691752747636</v>
      </c>
      <c r="BA41" s="4">
        <f t="shared" si="17"/>
        <v>17810.826340385007</v>
      </c>
      <c r="BB41" s="4">
        <f t="shared" si="17"/>
        <v>18701.367657404262</v>
      </c>
      <c r="BC41" s="4">
        <f t="shared" si="17"/>
        <v>19636.436040274475</v>
      </c>
      <c r="BD41" s="4">
        <f t="shared" si="17"/>
        <v>20618.257842288203</v>
      </c>
      <c r="BE41" s="4">
        <f t="shared" si="17"/>
        <v>21649.170734402593</v>
      </c>
      <c r="BF41" s="4">
        <f t="shared" si="17"/>
        <v>-53040.468299286389</v>
      </c>
    </row>
    <row r="42" spans="2:58" x14ac:dyDescent="0.25">
      <c r="B42" s="4" t="str">
        <f>+B52</f>
        <v>Dividend</v>
      </c>
      <c r="C42" s="4">
        <f t="shared" ref="C42:BE42" si="18">+C52</f>
        <v>1608.3759238548228</v>
      </c>
      <c r="D42" s="4">
        <f t="shared" si="18"/>
        <v>2286.5423990035829</v>
      </c>
      <c r="E42" s="4">
        <f t="shared" si="18"/>
        <v>2877.3606163478726</v>
      </c>
      <c r="F42" s="4">
        <f t="shared" si="18"/>
        <v>2999.0770610819541</v>
      </c>
      <c r="G42" s="4">
        <f t="shared" si="18"/>
        <v>2366.7029994063355</v>
      </c>
      <c r="H42" s="4">
        <f t="shared" si="18"/>
        <v>1847.6253517090904</v>
      </c>
      <c r="I42" s="4">
        <f t="shared" si="18"/>
        <v>2081.3969322261828</v>
      </c>
      <c r="J42" s="4">
        <f t="shared" si="18"/>
        <v>2185.46677883749</v>
      </c>
      <c r="K42" s="4">
        <f t="shared" si="18"/>
        <v>2294.740117779364</v>
      </c>
      <c r="L42" s="4">
        <f t="shared" si="18"/>
        <v>2409.477123668335</v>
      </c>
      <c r="M42" s="4">
        <f t="shared" si="18"/>
        <v>2529.9509798517493</v>
      </c>
      <c r="N42" s="4">
        <f t="shared" si="18"/>
        <v>2656.4485288443384</v>
      </c>
      <c r="O42" s="4">
        <f t="shared" si="18"/>
        <v>2789.2709552865517</v>
      </c>
      <c r="P42" s="4">
        <f t="shared" si="18"/>
        <v>2928.7345030508795</v>
      </c>
      <c r="Q42" s="4">
        <f t="shared" si="18"/>
        <v>3075.1712282034232</v>
      </c>
      <c r="R42" s="4">
        <f t="shared" si="18"/>
        <v>3228.9297896135959</v>
      </c>
      <c r="S42" s="4">
        <f t="shared" si="18"/>
        <v>3390.3762790942819</v>
      </c>
      <c r="T42" s="4">
        <f t="shared" si="18"/>
        <v>3559.8950930489864</v>
      </c>
      <c r="U42" s="4">
        <f t="shared" si="18"/>
        <v>3737.8898477014445</v>
      </c>
      <c r="V42" s="4">
        <f t="shared" si="18"/>
        <v>3924.7843400865122</v>
      </c>
      <c r="W42" s="4">
        <f t="shared" si="18"/>
        <v>4121.0235570908426</v>
      </c>
      <c r="X42" s="4">
        <f t="shared" si="18"/>
        <v>4327.0747349453795</v>
      </c>
      <c r="Y42" s="4">
        <f t="shared" si="18"/>
        <v>4543.4284716926459</v>
      </c>
      <c r="Z42" s="4">
        <f t="shared" si="18"/>
        <v>4770.5998952772761</v>
      </c>
      <c r="AA42" s="4">
        <f t="shared" si="18"/>
        <v>5009.1298900411475</v>
      </c>
      <c r="AB42" s="4">
        <f t="shared" si="18"/>
        <v>5259.5863845432086</v>
      </c>
      <c r="AC42" s="4">
        <f t="shared" si="18"/>
        <v>5522.5657037703677</v>
      </c>
      <c r="AD42" s="4">
        <f t="shared" si="18"/>
        <v>5798.6939889588866</v>
      </c>
      <c r="AE42" s="4">
        <f t="shared" si="18"/>
        <v>6088.6286884068159</v>
      </c>
      <c r="AF42" s="4">
        <f t="shared" si="18"/>
        <v>6393.060122827168</v>
      </c>
      <c r="AG42" s="4">
        <f t="shared" si="18"/>
        <v>6712.7131289685185</v>
      </c>
      <c r="AH42" s="4">
        <f t="shared" si="18"/>
        <v>7048.3487854169598</v>
      </c>
      <c r="AI42" s="4">
        <f t="shared" si="18"/>
        <v>7400.7662246878008</v>
      </c>
      <c r="AJ42" s="4">
        <f t="shared" si="18"/>
        <v>7770.8045359221724</v>
      </c>
      <c r="AK42" s="4">
        <f t="shared" si="18"/>
        <v>8159.344762718305</v>
      </c>
      <c r="AL42" s="4">
        <f t="shared" si="18"/>
        <v>8567.3120008542228</v>
      </c>
      <c r="AM42" s="4">
        <f t="shared" si="18"/>
        <v>8995.6776008969173</v>
      </c>
      <c r="AN42" s="4">
        <f t="shared" si="18"/>
        <v>9445.4614809417781</v>
      </c>
      <c r="AO42" s="4">
        <f t="shared" si="18"/>
        <v>9917.7345549888705</v>
      </c>
      <c r="AP42" s="4">
        <f t="shared" si="18"/>
        <v>10413.621282738295</v>
      </c>
      <c r="AQ42" s="4">
        <f t="shared" si="18"/>
        <v>10934.302346875189</v>
      </c>
      <c r="AR42" s="4">
        <f t="shared" si="18"/>
        <v>11481.017464218989</v>
      </c>
      <c r="AS42" s="4">
        <f t="shared" si="18"/>
        <v>12055.068337429948</v>
      </c>
      <c r="AT42" s="4">
        <f t="shared" si="18"/>
        <v>12657.8217543014</v>
      </c>
      <c r="AU42" s="4">
        <f t="shared" si="18"/>
        <v>13290.712842016532</v>
      </c>
      <c r="AV42" s="4">
        <f t="shared" si="18"/>
        <v>13955.248484117292</v>
      </c>
      <c r="AW42" s="4">
        <f t="shared" si="18"/>
        <v>14653.01090832322</v>
      </c>
      <c r="AX42" s="4">
        <f t="shared" si="18"/>
        <v>15385.66145373934</v>
      </c>
      <c r="AY42" s="4">
        <f t="shared" si="18"/>
        <v>16154.944526426319</v>
      </c>
      <c r="AZ42" s="4">
        <f t="shared" si="18"/>
        <v>16962.691752747582</v>
      </c>
      <c r="BA42" s="4">
        <f t="shared" si="18"/>
        <v>17810.826340385036</v>
      </c>
      <c r="BB42" s="4">
        <f t="shared" si="18"/>
        <v>18701.367657404255</v>
      </c>
      <c r="BC42" s="4">
        <f t="shared" si="18"/>
        <v>19636.436040274486</v>
      </c>
      <c r="BD42" s="4">
        <f t="shared" si="18"/>
        <v>20618.257842288229</v>
      </c>
      <c r="BE42" s="4">
        <f t="shared" si="18"/>
        <v>21649.170734402593</v>
      </c>
      <c r="BF42" s="4"/>
    </row>
    <row r="43" spans="2:58" x14ac:dyDescent="0.25">
      <c r="B43" t="s">
        <v>84</v>
      </c>
      <c r="C43" s="4">
        <f>+D65-C65-C53</f>
        <v>0</v>
      </c>
      <c r="D43" s="4">
        <f t="shared" ref="D43:BF43" si="19">+E65-D65-D53</f>
        <v>0</v>
      </c>
      <c r="E43" s="4">
        <f t="shared" si="19"/>
        <v>-259.44846578627948</v>
      </c>
      <c r="F43" s="4">
        <f t="shared" si="19"/>
        <v>-319.08037720349057</v>
      </c>
      <c r="G43" s="4">
        <f t="shared" si="19"/>
        <v>0</v>
      </c>
      <c r="H43" s="4">
        <f t="shared" si="19"/>
        <v>0</v>
      </c>
      <c r="I43" s="4">
        <f t="shared" si="19"/>
        <v>0</v>
      </c>
      <c r="J43" s="4">
        <f t="shared" si="19"/>
        <v>0</v>
      </c>
      <c r="K43" s="4">
        <f t="shared" si="19"/>
        <v>0</v>
      </c>
      <c r="L43" s="4">
        <f t="shared" si="19"/>
        <v>0</v>
      </c>
      <c r="M43" s="4">
        <f t="shared" si="19"/>
        <v>0</v>
      </c>
      <c r="N43" s="4">
        <f t="shared" si="19"/>
        <v>0</v>
      </c>
      <c r="O43" s="4">
        <f t="shared" si="19"/>
        <v>0</v>
      </c>
      <c r="P43" s="4">
        <f t="shared" si="19"/>
        <v>0</v>
      </c>
      <c r="Q43" s="4">
        <f t="shared" si="19"/>
        <v>0</v>
      </c>
      <c r="R43" s="4">
        <f t="shared" si="19"/>
        <v>0</v>
      </c>
      <c r="S43" s="4">
        <f t="shared" si="19"/>
        <v>0</v>
      </c>
      <c r="T43" s="4">
        <f t="shared" si="19"/>
        <v>0</v>
      </c>
      <c r="U43" s="4">
        <f t="shared" si="19"/>
        <v>0</v>
      </c>
      <c r="V43" s="4">
        <f t="shared" si="19"/>
        <v>0</v>
      </c>
      <c r="W43" s="4">
        <f t="shared" si="19"/>
        <v>0</v>
      </c>
      <c r="X43" s="4">
        <f t="shared" si="19"/>
        <v>0</v>
      </c>
      <c r="Y43" s="4">
        <f t="shared" si="19"/>
        <v>0</v>
      </c>
      <c r="Z43" s="4">
        <f t="shared" si="19"/>
        <v>0</v>
      </c>
      <c r="AA43" s="4">
        <f t="shared" si="19"/>
        <v>0</v>
      </c>
      <c r="AB43" s="4">
        <f t="shared" si="19"/>
        <v>0</v>
      </c>
      <c r="AC43" s="4">
        <f t="shared" si="19"/>
        <v>0</v>
      </c>
      <c r="AD43" s="4">
        <f t="shared" si="19"/>
        <v>0</v>
      </c>
      <c r="AE43" s="4">
        <f t="shared" si="19"/>
        <v>0</v>
      </c>
      <c r="AF43" s="4">
        <f t="shared" si="19"/>
        <v>0</v>
      </c>
      <c r="AG43" s="4">
        <f t="shared" si="19"/>
        <v>0</v>
      </c>
      <c r="AH43" s="4">
        <f t="shared" si="19"/>
        <v>0</v>
      </c>
      <c r="AI43" s="4">
        <f t="shared" si="19"/>
        <v>0</v>
      </c>
      <c r="AJ43" s="4">
        <f t="shared" si="19"/>
        <v>0</v>
      </c>
      <c r="AK43" s="4">
        <f t="shared" si="19"/>
        <v>0</v>
      </c>
      <c r="AL43" s="4">
        <f t="shared" si="19"/>
        <v>0</v>
      </c>
      <c r="AM43" s="4">
        <f t="shared" si="19"/>
        <v>0</v>
      </c>
      <c r="AN43" s="4">
        <f t="shared" si="19"/>
        <v>0</v>
      </c>
      <c r="AO43" s="4">
        <f t="shared" si="19"/>
        <v>0</v>
      </c>
      <c r="AP43" s="4">
        <f t="shared" si="19"/>
        <v>0</v>
      </c>
      <c r="AQ43" s="4">
        <f t="shared" si="19"/>
        <v>0</v>
      </c>
      <c r="AR43" s="4">
        <f t="shared" si="19"/>
        <v>0</v>
      </c>
      <c r="AS43" s="4">
        <f t="shared" si="19"/>
        <v>0</v>
      </c>
      <c r="AT43" s="4">
        <f t="shared" si="19"/>
        <v>0</v>
      </c>
      <c r="AU43" s="4">
        <f t="shared" si="19"/>
        <v>0</v>
      </c>
      <c r="AV43" s="4">
        <f t="shared" si="19"/>
        <v>0</v>
      </c>
      <c r="AW43" s="4">
        <f t="shared" si="19"/>
        <v>0</v>
      </c>
      <c r="AX43" s="4">
        <f t="shared" si="19"/>
        <v>0</v>
      </c>
      <c r="AY43" s="4">
        <f t="shared" si="19"/>
        <v>0</v>
      </c>
      <c r="AZ43" s="4">
        <f t="shared" si="19"/>
        <v>0</v>
      </c>
      <c r="BA43" s="4">
        <f t="shared" si="19"/>
        <v>0</v>
      </c>
      <c r="BB43" s="4">
        <f t="shared" si="19"/>
        <v>0</v>
      </c>
      <c r="BC43" s="4">
        <f t="shared" si="19"/>
        <v>0</v>
      </c>
      <c r="BD43" s="4">
        <f t="shared" si="19"/>
        <v>0</v>
      </c>
      <c r="BE43" s="4">
        <f t="shared" si="19"/>
        <v>0</v>
      </c>
      <c r="BF43" s="4"/>
    </row>
    <row r="44" spans="2:58" x14ac:dyDescent="0.25">
      <c r="B44" t="s">
        <v>85</v>
      </c>
      <c r="C44" s="4">
        <f>+C41-C42+C43</f>
        <v>-1.1368683772161603E-12</v>
      </c>
      <c r="D44" s="4">
        <f t="shared" ref="D44:BE44" si="20">+D41-D42+D43</f>
        <v>-1.3642420526593924E-12</v>
      </c>
      <c r="E44" s="4">
        <f t="shared" si="20"/>
        <v>0</v>
      </c>
      <c r="F44" s="4">
        <f t="shared" si="20"/>
        <v>4.5474735088646412E-13</v>
      </c>
      <c r="G44" s="4">
        <f t="shared" si="20"/>
        <v>-1.3642420526593924E-12</v>
      </c>
      <c r="H44" s="4">
        <f t="shared" si="20"/>
        <v>-4.5474735088646412E-13</v>
      </c>
      <c r="I44" s="4">
        <f t="shared" si="20"/>
        <v>-9.0949470177292824E-13</v>
      </c>
      <c r="J44" s="4">
        <f t="shared" si="20"/>
        <v>4.5474735088646412E-13</v>
      </c>
      <c r="K44" s="4">
        <f t="shared" si="20"/>
        <v>0</v>
      </c>
      <c r="L44" s="4">
        <f t="shared" si="20"/>
        <v>-4.5474735088646412E-13</v>
      </c>
      <c r="M44" s="4">
        <f t="shared" si="20"/>
        <v>4.5474735088646412E-13</v>
      </c>
      <c r="N44" s="4">
        <f t="shared" si="20"/>
        <v>-2.2737367544323206E-12</v>
      </c>
      <c r="O44" s="4">
        <f t="shared" si="20"/>
        <v>2.7284841053187847E-12</v>
      </c>
      <c r="P44" s="4">
        <f t="shared" si="20"/>
        <v>2.2737367544323206E-12</v>
      </c>
      <c r="Q44" s="4">
        <f t="shared" si="20"/>
        <v>2.7284841053187847E-12</v>
      </c>
      <c r="R44" s="4">
        <f t="shared" si="20"/>
        <v>1.8189894035458565E-12</v>
      </c>
      <c r="S44" s="4">
        <f t="shared" si="20"/>
        <v>-2.7284841053187847E-12</v>
      </c>
      <c r="T44" s="4">
        <f t="shared" si="20"/>
        <v>3.1832314562052488E-12</v>
      </c>
      <c r="U44" s="4">
        <f t="shared" si="20"/>
        <v>-3.637978807091713E-12</v>
      </c>
      <c r="V44" s="4">
        <f t="shared" si="20"/>
        <v>2.2737367544323206E-12</v>
      </c>
      <c r="W44" s="4">
        <f t="shared" si="20"/>
        <v>-5.4569682106375694E-12</v>
      </c>
      <c r="X44" s="4">
        <f t="shared" si="20"/>
        <v>0</v>
      </c>
      <c r="Y44" s="4">
        <f t="shared" si="20"/>
        <v>3.637978807091713E-12</v>
      </c>
      <c r="Z44" s="4">
        <f t="shared" si="20"/>
        <v>2.7284841053187847E-12</v>
      </c>
      <c r="AA44" s="4">
        <f t="shared" si="20"/>
        <v>2.7284841053187847E-12</v>
      </c>
      <c r="AB44" s="4">
        <f t="shared" si="20"/>
        <v>-9.0949470177292824E-12</v>
      </c>
      <c r="AC44" s="4">
        <f t="shared" si="20"/>
        <v>-2.7284841053187847E-12</v>
      </c>
      <c r="AD44" s="4">
        <f t="shared" si="20"/>
        <v>-2.7284841053187847E-12</v>
      </c>
      <c r="AE44" s="4">
        <f t="shared" si="20"/>
        <v>9.0949470177292824E-12</v>
      </c>
      <c r="AF44" s="4">
        <f t="shared" si="20"/>
        <v>-9.0949470177292824E-13</v>
      </c>
      <c r="AG44" s="4">
        <f t="shared" si="20"/>
        <v>5.4569682106375694E-12</v>
      </c>
      <c r="AH44" s="4">
        <f t="shared" si="20"/>
        <v>-3.637978807091713E-12</v>
      </c>
      <c r="AI44" s="4">
        <f t="shared" si="20"/>
        <v>-5.4569682106375694E-12</v>
      </c>
      <c r="AJ44" s="4">
        <f t="shared" si="20"/>
        <v>1.3642420526593924E-11</v>
      </c>
      <c r="AK44" s="4">
        <f t="shared" si="20"/>
        <v>1.8189894035458565E-12</v>
      </c>
      <c r="AL44" s="4">
        <f t="shared" si="20"/>
        <v>-1.0913936421275139E-11</v>
      </c>
      <c r="AM44" s="4">
        <f t="shared" si="20"/>
        <v>3.637978807091713E-12</v>
      </c>
      <c r="AN44" s="4">
        <f t="shared" si="20"/>
        <v>-9.0949470177292824E-12</v>
      </c>
      <c r="AO44" s="4">
        <f t="shared" si="20"/>
        <v>-1.4551915228366852E-11</v>
      </c>
      <c r="AP44" s="4">
        <f t="shared" si="20"/>
        <v>1.4551915228366852E-11</v>
      </c>
      <c r="AQ44" s="4">
        <f t="shared" si="20"/>
        <v>2.7284841053187847E-11</v>
      </c>
      <c r="AR44" s="4">
        <f t="shared" si="20"/>
        <v>-1.2732925824820995E-11</v>
      </c>
      <c r="AS44" s="4">
        <f t="shared" si="20"/>
        <v>-1.0913936421275139E-11</v>
      </c>
      <c r="AT44" s="4">
        <f t="shared" si="20"/>
        <v>2.5465851649641991E-11</v>
      </c>
      <c r="AU44" s="4">
        <f t="shared" si="20"/>
        <v>-3.637978807091713E-11</v>
      </c>
      <c r="AV44" s="4">
        <f t="shared" si="20"/>
        <v>2.1827872842550278E-11</v>
      </c>
      <c r="AW44" s="4">
        <f t="shared" si="20"/>
        <v>-2.7284841053187847E-11</v>
      </c>
      <c r="AX44" s="4">
        <f t="shared" si="20"/>
        <v>7.2759576141834259E-12</v>
      </c>
      <c r="AY44" s="4">
        <f t="shared" si="20"/>
        <v>-2.1827872842550278E-11</v>
      </c>
      <c r="AZ44" s="4">
        <f t="shared" si="20"/>
        <v>5.4569682106375694E-11</v>
      </c>
      <c r="BA44" s="4">
        <f t="shared" si="20"/>
        <v>-2.9103830456733704E-11</v>
      </c>
      <c r="BB44" s="4">
        <f t="shared" si="20"/>
        <v>7.2759576141834259E-12</v>
      </c>
      <c r="BC44" s="4">
        <f t="shared" si="20"/>
        <v>-1.0913936421275139E-11</v>
      </c>
      <c r="BD44" s="4">
        <f t="shared" si="20"/>
        <v>-2.5465851649641991E-11</v>
      </c>
      <c r="BE44" s="4">
        <f t="shared" si="20"/>
        <v>0</v>
      </c>
      <c r="BF44" s="4"/>
    </row>
    <row r="46" spans="2:58" x14ac:dyDescent="0.25">
      <c r="B46" t="s">
        <v>73</v>
      </c>
    </row>
    <row r="47" spans="2:58" x14ac:dyDescent="0.25">
      <c r="B47" t="s">
        <v>74</v>
      </c>
      <c r="C47" s="4">
        <f>+C35/(1-C31)</f>
        <v>3000</v>
      </c>
      <c r="D47" s="4">
        <f t="shared" ref="D47:BF47" si="21">+D35/(1-D31)</f>
        <v>3420</v>
      </c>
      <c r="E47" s="4">
        <f t="shared" si="21"/>
        <v>3779.0999999999995</v>
      </c>
      <c r="F47" s="4">
        <f t="shared" si="21"/>
        <v>4081.4279999999994</v>
      </c>
      <c r="G47" s="4">
        <f t="shared" si="21"/>
        <v>4326.3136799999993</v>
      </c>
      <c r="H47" s="4">
        <f t="shared" si="21"/>
        <v>4564.2609323999995</v>
      </c>
      <c r="I47" s="4">
        <f t="shared" si="21"/>
        <v>4815.2952836819986</v>
      </c>
      <c r="J47" s="4">
        <f t="shared" si="21"/>
        <v>5056.060047866099</v>
      </c>
      <c r="K47" s="4">
        <f t="shared" si="21"/>
        <v>5308.8630502594033</v>
      </c>
      <c r="L47" s="4">
        <f t="shared" si="21"/>
        <v>5574.3062027723736</v>
      </c>
      <c r="M47" s="4">
        <f t="shared" si="21"/>
        <v>5853.021512910992</v>
      </c>
      <c r="N47" s="4">
        <f t="shared" si="21"/>
        <v>6145.6725885565411</v>
      </c>
      <c r="O47" s="4">
        <f t="shared" si="21"/>
        <v>6452.9562179843679</v>
      </c>
      <c r="P47" s="4">
        <f t="shared" si="21"/>
        <v>6775.6040288835866</v>
      </c>
      <c r="Q47" s="4">
        <f t="shared" si="21"/>
        <v>7114.3842303277661</v>
      </c>
      <c r="R47" s="4">
        <f t="shared" si="21"/>
        <v>7470.103441844155</v>
      </c>
      <c r="S47" s="4">
        <f t="shared" si="21"/>
        <v>7843.6086139363633</v>
      </c>
      <c r="T47" s="4">
        <f t="shared" si="21"/>
        <v>8235.7890446331803</v>
      </c>
      <c r="U47" s="4">
        <f t="shared" si="21"/>
        <v>8647.5784968648404</v>
      </c>
      <c r="V47" s="4">
        <f t="shared" si="21"/>
        <v>9079.9574217080826</v>
      </c>
      <c r="W47" s="4">
        <f t="shared" si="21"/>
        <v>9533.9552927934856</v>
      </c>
      <c r="X47" s="4">
        <f t="shared" si="21"/>
        <v>10010.653057433161</v>
      </c>
      <c r="Y47" s="4">
        <f t="shared" si="21"/>
        <v>10511.185710304819</v>
      </c>
      <c r="Z47" s="4">
        <f t="shared" si="21"/>
        <v>11036.74499582006</v>
      </c>
      <c r="AA47" s="4">
        <f t="shared" si="21"/>
        <v>11588.582245611064</v>
      </c>
      <c r="AB47" s="4">
        <f t="shared" si="21"/>
        <v>12168.011357891619</v>
      </c>
      <c r="AC47" s="4">
        <f t="shared" si="21"/>
        <v>12776.411925786198</v>
      </c>
      <c r="AD47" s="4">
        <f t="shared" si="21"/>
        <v>13415.232522075508</v>
      </c>
      <c r="AE47" s="4">
        <f t="shared" si="21"/>
        <v>14085.994148179285</v>
      </c>
      <c r="AF47" s="4">
        <f t="shared" si="21"/>
        <v>14790.293855588248</v>
      </c>
      <c r="AG47" s="4">
        <f t="shared" si="21"/>
        <v>15529.80854836766</v>
      </c>
      <c r="AH47" s="4">
        <f t="shared" si="21"/>
        <v>16306.298975786043</v>
      </c>
      <c r="AI47" s="4">
        <f t="shared" si="21"/>
        <v>17121.613924575347</v>
      </c>
      <c r="AJ47" s="4">
        <f t="shared" si="21"/>
        <v>17977.694620804112</v>
      </c>
      <c r="AK47" s="4">
        <f t="shared" si="21"/>
        <v>18876.579351844317</v>
      </c>
      <c r="AL47" s="4">
        <f t="shared" si="21"/>
        <v>19820.408319436534</v>
      </c>
      <c r="AM47" s="4">
        <f t="shared" si="21"/>
        <v>20811.428735408361</v>
      </c>
      <c r="AN47" s="4">
        <f t="shared" si="21"/>
        <v>21852.000172178781</v>
      </c>
      <c r="AO47" s="4">
        <f t="shared" si="21"/>
        <v>22944.600180787718</v>
      </c>
      <c r="AP47" s="4">
        <f t="shared" si="21"/>
        <v>24091.830189827106</v>
      </c>
      <c r="AQ47" s="4">
        <f t="shared" si="21"/>
        <v>25296.42169931846</v>
      </c>
      <c r="AR47" s="4">
        <f t="shared" si="21"/>
        <v>26561.242784284386</v>
      </c>
      <c r="AS47" s="4">
        <f t="shared" si="21"/>
        <v>27889.304923498607</v>
      </c>
      <c r="AT47" s="4">
        <f t="shared" si="21"/>
        <v>29283.770169673538</v>
      </c>
      <c r="AU47" s="4">
        <f t="shared" si="21"/>
        <v>30747.958678157214</v>
      </c>
      <c r="AV47" s="4">
        <f t="shared" si="21"/>
        <v>32285.356612065072</v>
      </c>
      <c r="AW47" s="4">
        <f t="shared" si="21"/>
        <v>33899.624442668326</v>
      </c>
      <c r="AX47" s="4">
        <f t="shared" si="21"/>
        <v>35594.60566480174</v>
      </c>
      <c r="AY47" s="4">
        <f t="shared" si="21"/>
        <v>37374.335948041829</v>
      </c>
      <c r="AZ47" s="4">
        <f t="shared" si="21"/>
        <v>39243.052745443914</v>
      </c>
      <c r="BA47" s="4">
        <f t="shared" si="21"/>
        <v>41205.205382716107</v>
      </c>
      <c r="BB47" s="4">
        <f t="shared" si="21"/>
        <v>43265.465651851919</v>
      </c>
      <c r="BC47" s="4">
        <f t="shared" si="21"/>
        <v>45428.738934444518</v>
      </c>
      <c r="BD47" s="4">
        <f t="shared" si="21"/>
        <v>47700.175881166739</v>
      </c>
      <c r="BE47" s="4">
        <f t="shared" si="21"/>
        <v>50085.184675225079</v>
      </c>
      <c r="BF47" s="4">
        <f t="shared" si="21"/>
        <v>52589.443908986337</v>
      </c>
    </row>
    <row r="48" spans="2:58" x14ac:dyDescent="0.25">
      <c r="B48" s="4" t="str">
        <f>+B38</f>
        <v>D*rD</v>
      </c>
      <c r="C48" s="4">
        <f t="shared" ref="C48:BF48" si="22">+C38</f>
        <v>0</v>
      </c>
      <c r="D48" s="4">
        <f t="shared" si="22"/>
        <v>78.986314669837554</v>
      </c>
      <c r="E48" s="4">
        <f t="shared" si="22"/>
        <v>182.39922956515875</v>
      </c>
      <c r="F48" s="4">
        <f t="shared" si="22"/>
        <v>332.58167364755656</v>
      </c>
      <c r="G48" s="4">
        <f t="shared" si="22"/>
        <v>484.5662743128255</v>
      </c>
      <c r="H48" s="4">
        <f t="shared" si="22"/>
        <v>532.36662676363608</v>
      </c>
      <c r="I48" s="4">
        <f t="shared" si="22"/>
        <v>561.64679123563599</v>
      </c>
      <c r="J48" s="4">
        <f t="shared" si="22"/>
        <v>589.72913079741784</v>
      </c>
      <c r="K48" s="4">
        <f t="shared" si="22"/>
        <v>619.21558733728875</v>
      </c>
      <c r="L48" s="4">
        <f t="shared" si="22"/>
        <v>650.17636670415311</v>
      </c>
      <c r="M48" s="4">
        <f t="shared" si="22"/>
        <v>682.68518503936093</v>
      </c>
      <c r="N48" s="4">
        <f t="shared" si="22"/>
        <v>716.81944429132898</v>
      </c>
      <c r="O48" s="4">
        <f t="shared" si="22"/>
        <v>752.66041650589545</v>
      </c>
      <c r="P48" s="4">
        <f t="shared" si="22"/>
        <v>790.29343733119026</v>
      </c>
      <c r="Q48" s="4">
        <f t="shared" si="22"/>
        <v>829.80810919774979</v>
      </c>
      <c r="R48" s="4">
        <f t="shared" si="22"/>
        <v>871.29851465763727</v>
      </c>
      <c r="S48" s="4">
        <f t="shared" si="22"/>
        <v>914.86344039051914</v>
      </c>
      <c r="T48" s="4">
        <f t="shared" si="22"/>
        <v>960.60661241004539</v>
      </c>
      <c r="U48" s="4">
        <f t="shared" si="22"/>
        <v>1008.6369430305475</v>
      </c>
      <c r="V48" s="4">
        <f t="shared" si="22"/>
        <v>1059.068790182075</v>
      </c>
      <c r="W48" s="4">
        <f t="shared" si="22"/>
        <v>1112.0222296911788</v>
      </c>
      <c r="X48" s="4">
        <f t="shared" si="22"/>
        <v>1167.6233411757378</v>
      </c>
      <c r="Y48" s="4">
        <f t="shared" si="22"/>
        <v>1226.0045082345246</v>
      </c>
      <c r="Z48" s="4">
        <f t="shared" si="22"/>
        <v>1287.304733646251</v>
      </c>
      <c r="AA48" s="4">
        <f t="shared" si="22"/>
        <v>1351.6699703285633</v>
      </c>
      <c r="AB48" s="4">
        <f t="shared" si="22"/>
        <v>1419.2534688449919</v>
      </c>
      <c r="AC48" s="4">
        <f t="shared" si="22"/>
        <v>1490.2161422872412</v>
      </c>
      <c r="AD48" s="4">
        <f t="shared" si="22"/>
        <v>1564.7269494016034</v>
      </c>
      <c r="AE48" s="4">
        <f t="shared" si="22"/>
        <v>1642.9632968716837</v>
      </c>
      <c r="AF48" s="4">
        <f t="shared" si="22"/>
        <v>1725.1114617152678</v>
      </c>
      <c r="AG48" s="4">
        <f t="shared" si="22"/>
        <v>1811.3670348010312</v>
      </c>
      <c r="AH48" s="4">
        <f t="shared" si="22"/>
        <v>1901.9353865410826</v>
      </c>
      <c r="AI48" s="4">
        <f t="shared" si="22"/>
        <v>1997.0321558681371</v>
      </c>
      <c r="AJ48" s="4">
        <f t="shared" si="22"/>
        <v>2096.8837636615435</v>
      </c>
      <c r="AK48" s="4">
        <f t="shared" si="22"/>
        <v>2201.7279518446203</v>
      </c>
      <c r="AL48" s="4">
        <f t="shared" si="22"/>
        <v>2311.8143494368524</v>
      </c>
      <c r="AM48" s="4">
        <f t="shared" si="22"/>
        <v>2427.4050669086946</v>
      </c>
      <c r="AN48" s="4">
        <f t="shared" si="22"/>
        <v>2548.7753202541294</v>
      </c>
      <c r="AO48" s="4">
        <f t="shared" si="22"/>
        <v>2676.2140862668357</v>
      </c>
      <c r="AP48" s="4">
        <f t="shared" si="22"/>
        <v>2810.0247905801771</v>
      </c>
      <c r="AQ48" s="4">
        <f t="shared" si="22"/>
        <v>2950.5260301091866</v>
      </c>
      <c r="AR48" s="4">
        <f t="shared" si="22"/>
        <v>3098.0523316146459</v>
      </c>
      <c r="AS48" s="4">
        <f t="shared" si="22"/>
        <v>3252.9549481953782</v>
      </c>
      <c r="AT48" s="4">
        <f t="shared" si="22"/>
        <v>3415.6026956051478</v>
      </c>
      <c r="AU48" s="4">
        <f t="shared" si="22"/>
        <v>3586.3828303854052</v>
      </c>
      <c r="AV48" s="4">
        <f t="shared" si="22"/>
        <v>3765.7019719046752</v>
      </c>
      <c r="AW48" s="4">
        <f t="shared" si="22"/>
        <v>3953.9870704999084</v>
      </c>
      <c r="AX48" s="4">
        <f t="shared" si="22"/>
        <v>4151.6864240249042</v>
      </c>
      <c r="AY48" s="4">
        <f t="shared" si="22"/>
        <v>4359.2707452261493</v>
      </c>
      <c r="AZ48" s="4">
        <f t="shared" si="22"/>
        <v>4577.2342824874559</v>
      </c>
      <c r="BA48" s="4">
        <f t="shared" si="22"/>
        <v>4806.0959966118289</v>
      </c>
      <c r="BB48" s="4">
        <f t="shared" si="22"/>
        <v>5046.4007964424209</v>
      </c>
      <c r="BC48" s="4">
        <f t="shared" si="22"/>
        <v>5298.7208362645415</v>
      </c>
      <c r="BD48" s="4">
        <f t="shared" si="22"/>
        <v>5563.6568780777689</v>
      </c>
      <c r="BE48" s="4">
        <f t="shared" si="22"/>
        <v>5841.8397219816579</v>
      </c>
      <c r="BF48" s="4">
        <f t="shared" si="22"/>
        <v>6133.9317080807396</v>
      </c>
    </row>
    <row r="49" spans="2:59" x14ac:dyDescent="0.25">
      <c r="B49" t="s">
        <v>76</v>
      </c>
      <c r="C49" s="4">
        <f>+C47-C48</f>
        <v>3000</v>
      </c>
      <c r="D49" s="4">
        <f t="shared" ref="D49:BF49" si="23">+D47-D48</f>
        <v>3341.0136853301624</v>
      </c>
      <c r="E49" s="4">
        <f t="shared" si="23"/>
        <v>3596.7007704348407</v>
      </c>
      <c r="F49" s="4">
        <f t="shared" si="23"/>
        <v>3748.8463263524427</v>
      </c>
      <c r="G49" s="4">
        <f t="shared" si="23"/>
        <v>3841.7474056871738</v>
      </c>
      <c r="H49" s="4">
        <f t="shared" si="23"/>
        <v>4031.8943056363632</v>
      </c>
      <c r="I49" s="4">
        <f t="shared" si="23"/>
        <v>4253.648492446363</v>
      </c>
      <c r="J49" s="4">
        <f t="shared" si="23"/>
        <v>4466.3309170686807</v>
      </c>
      <c r="K49" s="4">
        <f t="shared" si="23"/>
        <v>4689.6474629221148</v>
      </c>
      <c r="L49" s="4">
        <f t="shared" si="23"/>
        <v>4924.1298360682204</v>
      </c>
      <c r="M49" s="4">
        <f t="shared" si="23"/>
        <v>5170.3363278716315</v>
      </c>
      <c r="N49" s="4">
        <f t="shared" si="23"/>
        <v>5428.853144265212</v>
      </c>
      <c r="O49" s="4">
        <f t="shared" si="23"/>
        <v>5700.2958014784726</v>
      </c>
      <c r="P49" s="4">
        <f t="shared" si="23"/>
        <v>5985.3105915523965</v>
      </c>
      <c r="Q49" s="4">
        <f t="shared" si="23"/>
        <v>6284.576121130016</v>
      </c>
      <c r="R49" s="4">
        <f t="shared" si="23"/>
        <v>6598.8049271865175</v>
      </c>
      <c r="S49" s="4">
        <f t="shared" si="23"/>
        <v>6928.7451735458444</v>
      </c>
      <c r="T49" s="4">
        <f t="shared" si="23"/>
        <v>7275.182432223135</v>
      </c>
      <c r="U49" s="4">
        <f t="shared" si="23"/>
        <v>7638.9415538342928</v>
      </c>
      <c r="V49" s="4">
        <f t="shared" si="23"/>
        <v>8020.8886315260079</v>
      </c>
      <c r="W49" s="4">
        <f t="shared" si="23"/>
        <v>8421.9330631023076</v>
      </c>
      <c r="X49" s="4">
        <f t="shared" si="23"/>
        <v>8843.0297162574225</v>
      </c>
      <c r="Y49" s="4">
        <f t="shared" si="23"/>
        <v>9285.1812020702946</v>
      </c>
      <c r="Z49" s="4">
        <f t="shared" si="23"/>
        <v>9749.4402621738082</v>
      </c>
      <c r="AA49" s="4">
        <f t="shared" si="23"/>
        <v>10236.912275282501</v>
      </c>
      <c r="AB49" s="4">
        <f t="shared" si="23"/>
        <v>10748.757889046627</v>
      </c>
      <c r="AC49" s="4">
        <f t="shared" si="23"/>
        <v>11286.195783498957</v>
      </c>
      <c r="AD49" s="4">
        <f t="shared" si="23"/>
        <v>11850.505572673905</v>
      </c>
      <c r="AE49" s="4">
        <f t="shared" si="23"/>
        <v>12443.030851307602</v>
      </c>
      <c r="AF49" s="4">
        <f t="shared" si="23"/>
        <v>13065.182393872981</v>
      </c>
      <c r="AG49" s="4">
        <f t="shared" si="23"/>
        <v>13718.44151356663</v>
      </c>
      <c r="AH49" s="4">
        <f t="shared" si="23"/>
        <v>14404.36358924496</v>
      </c>
      <c r="AI49" s="4">
        <f t="shared" si="23"/>
        <v>15124.58176870721</v>
      </c>
      <c r="AJ49" s="4">
        <f t="shared" si="23"/>
        <v>15880.810857142569</v>
      </c>
      <c r="AK49" s="4">
        <f t="shared" si="23"/>
        <v>16674.851399999698</v>
      </c>
      <c r="AL49" s="4">
        <f t="shared" si="23"/>
        <v>17508.593969999682</v>
      </c>
      <c r="AM49" s="4">
        <f t="shared" si="23"/>
        <v>18384.023668499667</v>
      </c>
      <c r="AN49" s="4">
        <f t="shared" si="23"/>
        <v>19303.224851924653</v>
      </c>
      <c r="AO49" s="4">
        <f t="shared" si="23"/>
        <v>20268.386094520883</v>
      </c>
      <c r="AP49" s="4">
        <f t="shared" si="23"/>
        <v>21281.805399246929</v>
      </c>
      <c r="AQ49" s="4">
        <f t="shared" si="23"/>
        <v>22345.895669209272</v>
      </c>
      <c r="AR49" s="4">
        <f t="shared" si="23"/>
        <v>23463.19045266974</v>
      </c>
      <c r="AS49" s="4">
        <f t="shared" si="23"/>
        <v>24636.34997530323</v>
      </c>
      <c r="AT49" s="4">
        <f t="shared" si="23"/>
        <v>25868.167474068392</v>
      </c>
      <c r="AU49" s="4">
        <f t="shared" si="23"/>
        <v>27161.575847771808</v>
      </c>
      <c r="AV49" s="4">
        <f t="shared" si="23"/>
        <v>28519.654640160396</v>
      </c>
      <c r="AW49" s="4">
        <f t="shared" si="23"/>
        <v>29945.637372168418</v>
      </c>
      <c r="AX49" s="4">
        <f t="shared" si="23"/>
        <v>31442.919240776835</v>
      </c>
      <c r="AY49" s="4">
        <f t="shared" si="23"/>
        <v>33015.065202815676</v>
      </c>
      <c r="AZ49" s="4">
        <f t="shared" si="23"/>
        <v>34665.818462956457</v>
      </c>
      <c r="BA49" s="4">
        <f t="shared" si="23"/>
        <v>36399.109386104275</v>
      </c>
      <c r="BB49" s="4">
        <f t="shared" si="23"/>
        <v>38219.064855409495</v>
      </c>
      <c r="BC49" s="4">
        <f t="shared" si="23"/>
        <v>40130.018098179979</v>
      </c>
      <c r="BD49" s="4">
        <f t="shared" si="23"/>
        <v>42136.519003088972</v>
      </c>
      <c r="BE49" s="4">
        <f t="shared" si="23"/>
        <v>44243.344953243417</v>
      </c>
      <c r="BF49" s="4">
        <f t="shared" si="23"/>
        <v>46455.512200905599</v>
      </c>
    </row>
    <row r="50" spans="2:59" x14ac:dyDescent="0.25">
      <c r="B50" t="s">
        <v>77</v>
      </c>
      <c r="C50" s="4">
        <f>+IF(C49&lt;0,0,C49*C27)</f>
        <v>600</v>
      </c>
      <c r="D50" s="4">
        <f t="shared" ref="D50:BF50" si="24">+IF(D49&lt;0,0,D49*D27)</f>
        <v>668.20273706603257</v>
      </c>
      <c r="E50" s="4">
        <f t="shared" si="24"/>
        <v>719.34015408696814</v>
      </c>
      <c r="F50" s="4">
        <f t="shared" si="24"/>
        <v>749.76926527048863</v>
      </c>
      <c r="G50" s="4">
        <f t="shared" si="24"/>
        <v>768.34948113743485</v>
      </c>
      <c r="H50" s="4">
        <f t="shared" si="24"/>
        <v>806.37886112727267</v>
      </c>
      <c r="I50" s="4">
        <f t="shared" si="24"/>
        <v>850.72969848927266</v>
      </c>
      <c r="J50" s="4">
        <f t="shared" si="24"/>
        <v>893.26618341373614</v>
      </c>
      <c r="K50" s="4">
        <f t="shared" si="24"/>
        <v>937.92949258442297</v>
      </c>
      <c r="L50" s="4">
        <f t="shared" si="24"/>
        <v>984.82596721364416</v>
      </c>
      <c r="M50" s="4">
        <f t="shared" si="24"/>
        <v>1034.0672655743263</v>
      </c>
      <c r="N50" s="4">
        <f t="shared" si="24"/>
        <v>1085.7706288530424</v>
      </c>
      <c r="O50" s="4">
        <f t="shared" si="24"/>
        <v>1140.0591602956945</v>
      </c>
      <c r="P50" s="4">
        <f t="shared" si="24"/>
        <v>1197.0621183104793</v>
      </c>
      <c r="Q50" s="4">
        <f t="shared" si="24"/>
        <v>1256.9152242260034</v>
      </c>
      <c r="R50" s="4">
        <f t="shared" si="24"/>
        <v>1319.7609854373036</v>
      </c>
      <c r="S50" s="4">
        <f t="shared" si="24"/>
        <v>1385.7490347091689</v>
      </c>
      <c r="T50" s="4">
        <f t="shared" si="24"/>
        <v>1455.0364864446271</v>
      </c>
      <c r="U50" s="4">
        <f t="shared" si="24"/>
        <v>1527.7883107668586</v>
      </c>
      <c r="V50" s="4">
        <f t="shared" si="24"/>
        <v>1604.1777263052018</v>
      </c>
      <c r="W50" s="4">
        <f t="shared" si="24"/>
        <v>1684.3866126204616</v>
      </c>
      <c r="X50" s="4">
        <f t="shared" si="24"/>
        <v>1768.6059432514846</v>
      </c>
      <c r="Y50" s="4">
        <f t="shared" si="24"/>
        <v>1857.036240414059</v>
      </c>
      <c r="Z50" s="4">
        <f t="shared" si="24"/>
        <v>1949.8880524347617</v>
      </c>
      <c r="AA50" s="4">
        <f t="shared" si="24"/>
        <v>2047.3824550565002</v>
      </c>
      <c r="AB50" s="4">
        <f t="shared" si="24"/>
        <v>2149.7515778093252</v>
      </c>
      <c r="AC50" s="4">
        <f t="shared" si="24"/>
        <v>2257.2391566997917</v>
      </c>
      <c r="AD50" s="4">
        <f t="shared" si="24"/>
        <v>2370.1011145347811</v>
      </c>
      <c r="AE50" s="4">
        <f t="shared" si="24"/>
        <v>2488.6061702615207</v>
      </c>
      <c r="AF50" s="4">
        <f t="shared" si="24"/>
        <v>2613.0364787745966</v>
      </c>
      <c r="AG50" s="4">
        <f t="shared" si="24"/>
        <v>2743.6883027133263</v>
      </c>
      <c r="AH50" s="4">
        <f t="shared" si="24"/>
        <v>2880.8727178489921</v>
      </c>
      <c r="AI50" s="4">
        <f t="shared" si="24"/>
        <v>3024.9163537414424</v>
      </c>
      <c r="AJ50" s="4">
        <f t="shared" si="24"/>
        <v>3176.1621714285138</v>
      </c>
      <c r="AK50" s="4">
        <f t="shared" si="24"/>
        <v>3334.9702799999395</v>
      </c>
      <c r="AL50" s="4">
        <f t="shared" si="24"/>
        <v>3501.7187939999367</v>
      </c>
      <c r="AM50" s="4">
        <f t="shared" si="24"/>
        <v>3676.8047336999334</v>
      </c>
      <c r="AN50" s="4">
        <f t="shared" si="24"/>
        <v>3860.6449703849307</v>
      </c>
      <c r="AO50" s="4">
        <f t="shared" si="24"/>
        <v>4053.6772189041767</v>
      </c>
      <c r="AP50" s="4">
        <f t="shared" si="24"/>
        <v>4256.3610798493855</v>
      </c>
      <c r="AQ50" s="4">
        <f t="shared" si="24"/>
        <v>4469.1791338418543</v>
      </c>
      <c r="AR50" s="4">
        <f t="shared" si="24"/>
        <v>4692.6380905339483</v>
      </c>
      <c r="AS50" s="4">
        <f t="shared" si="24"/>
        <v>4927.2699950606466</v>
      </c>
      <c r="AT50" s="4">
        <f t="shared" si="24"/>
        <v>5173.6334948136791</v>
      </c>
      <c r="AU50" s="4">
        <f t="shared" si="24"/>
        <v>5432.315169554362</v>
      </c>
      <c r="AV50" s="4">
        <f t="shared" si="24"/>
        <v>5703.9309280320795</v>
      </c>
      <c r="AW50" s="4">
        <f t="shared" si="24"/>
        <v>5989.1274744336843</v>
      </c>
      <c r="AX50" s="4">
        <f t="shared" si="24"/>
        <v>6288.5838481553674</v>
      </c>
      <c r="AY50" s="4">
        <f t="shared" si="24"/>
        <v>6603.0130405631353</v>
      </c>
      <c r="AZ50" s="4">
        <f t="shared" si="24"/>
        <v>6933.1636925912917</v>
      </c>
      <c r="BA50" s="4">
        <f t="shared" si="24"/>
        <v>7279.8218772208556</v>
      </c>
      <c r="BB50" s="4">
        <f t="shared" si="24"/>
        <v>7643.8129710818994</v>
      </c>
      <c r="BC50" s="4">
        <f t="shared" si="24"/>
        <v>8026.0036196359961</v>
      </c>
      <c r="BD50" s="4">
        <f t="shared" si="24"/>
        <v>8427.303800617794</v>
      </c>
      <c r="BE50" s="4">
        <f t="shared" si="24"/>
        <v>8848.6689906486845</v>
      </c>
      <c r="BF50" s="4">
        <f t="shared" si="24"/>
        <v>9291.102440181121</v>
      </c>
    </row>
    <row r="51" spans="2:59" x14ac:dyDescent="0.25">
      <c r="B51" t="s">
        <v>78</v>
      </c>
      <c r="C51" s="4">
        <f>+C49-C50</f>
        <v>2400</v>
      </c>
      <c r="D51" s="4">
        <f t="shared" ref="D51:BF51" si="25">+D49-D50</f>
        <v>2672.8109482641298</v>
      </c>
      <c r="E51" s="4">
        <f t="shared" si="25"/>
        <v>2877.3606163478726</v>
      </c>
      <c r="F51" s="4">
        <f t="shared" si="25"/>
        <v>2999.0770610819541</v>
      </c>
      <c r="G51" s="4">
        <f t="shared" si="25"/>
        <v>3073.3979245497389</v>
      </c>
      <c r="H51" s="4">
        <f t="shared" si="25"/>
        <v>3225.5154445090907</v>
      </c>
      <c r="I51" s="4">
        <f t="shared" si="25"/>
        <v>3402.9187939570902</v>
      </c>
      <c r="J51" s="4">
        <f t="shared" si="25"/>
        <v>3573.0647336549446</v>
      </c>
      <c r="K51" s="4">
        <f t="shared" si="25"/>
        <v>3751.7179703376919</v>
      </c>
      <c r="L51" s="4">
        <f t="shared" si="25"/>
        <v>3939.3038688545762</v>
      </c>
      <c r="M51" s="4">
        <f t="shared" si="25"/>
        <v>4136.269062297305</v>
      </c>
      <c r="N51" s="4">
        <f t="shared" si="25"/>
        <v>4343.0825154121694</v>
      </c>
      <c r="O51" s="4">
        <f t="shared" si="25"/>
        <v>4560.2366411827779</v>
      </c>
      <c r="P51" s="4">
        <f t="shared" si="25"/>
        <v>4788.2484732419171</v>
      </c>
      <c r="Q51" s="4">
        <f t="shared" si="25"/>
        <v>5027.6608969040126</v>
      </c>
      <c r="R51" s="4">
        <f t="shared" si="25"/>
        <v>5279.0439417492144</v>
      </c>
      <c r="S51" s="4">
        <f t="shared" si="25"/>
        <v>5542.9961388366755</v>
      </c>
      <c r="T51" s="4">
        <f t="shared" si="25"/>
        <v>5820.1459457785077</v>
      </c>
      <c r="U51" s="4">
        <f t="shared" si="25"/>
        <v>6111.1532430674342</v>
      </c>
      <c r="V51" s="4">
        <f t="shared" si="25"/>
        <v>6416.7109052208061</v>
      </c>
      <c r="W51" s="4">
        <f t="shared" si="25"/>
        <v>6737.5464504818465</v>
      </c>
      <c r="X51" s="4">
        <f t="shared" si="25"/>
        <v>7074.4237730059376</v>
      </c>
      <c r="Y51" s="4">
        <f t="shared" si="25"/>
        <v>7428.1449616562359</v>
      </c>
      <c r="Z51" s="4">
        <f t="shared" si="25"/>
        <v>7799.5522097390467</v>
      </c>
      <c r="AA51" s="4">
        <f t="shared" si="25"/>
        <v>8189.5298202260001</v>
      </c>
      <c r="AB51" s="4">
        <f t="shared" si="25"/>
        <v>8599.0063112373009</v>
      </c>
      <c r="AC51" s="4">
        <f t="shared" si="25"/>
        <v>9028.956626799165</v>
      </c>
      <c r="AD51" s="4">
        <f t="shared" si="25"/>
        <v>9480.4044581391245</v>
      </c>
      <c r="AE51" s="4">
        <f t="shared" si="25"/>
        <v>9954.4246810460809</v>
      </c>
      <c r="AF51" s="4">
        <f t="shared" si="25"/>
        <v>10452.145915098385</v>
      </c>
      <c r="AG51" s="4">
        <f t="shared" si="25"/>
        <v>10974.753210853303</v>
      </c>
      <c r="AH51" s="4">
        <f t="shared" si="25"/>
        <v>11523.490871395968</v>
      </c>
      <c r="AI51" s="4">
        <f t="shared" si="25"/>
        <v>12099.665414965768</v>
      </c>
      <c r="AJ51" s="4">
        <f t="shared" si="25"/>
        <v>12704.648685714055</v>
      </c>
      <c r="AK51" s="4">
        <f t="shared" si="25"/>
        <v>13339.881119999758</v>
      </c>
      <c r="AL51" s="4">
        <f t="shared" si="25"/>
        <v>14006.875175999745</v>
      </c>
      <c r="AM51" s="4">
        <f t="shared" si="25"/>
        <v>14707.218934799734</v>
      </c>
      <c r="AN51" s="4">
        <f t="shared" si="25"/>
        <v>15442.579881539723</v>
      </c>
      <c r="AO51" s="4">
        <f t="shared" si="25"/>
        <v>16214.708875616707</v>
      </c>
      <c r="AP51" s="4">
        <f t="shared" si="25"/>
        <v>17025.444319397542</v>
      </c>
      <c r="AQ51" s="4">
        <f t="shared" si="25"/>
        <v>17876.716535367417</v>
      </c>
      <c r="AR51" s="4">
        <f t="shared" si="25"/>
        <v>18770.552362135793</v>
      </c>
      <c r="AS51" s="4">
        <f t="shared" si="25"/>
        <v>19709.079980242583</v>
      </c>
      <c r="AT51" s="4">
        <f t="shared" si="25"/>
        <v>20694.533979254713</v>
      </c>
      <c r="AU51" s="4">
        <f t="shared" si="25"/>
        <v>21729.260678217448</v>
      </c>
      <c r="AV51" s="4">
        <f t="shared" si="25"/>
        <v>22815.723712128318</v>
      </c>
      <c r="AW51" s="4">
        <f t="shared" si="25"/>
        <v>23956.509897734733</v>
      </c>
      <c r="AX51" s="4">
        <f t="shared" si="25"/>
        <v>25154.33539262147</v>
      </c>
      <c r="AY51" s="4">
        <f t="shared" si="25"/>
        <v>26412.052162252541</v>
      </c>
      <c r="AZ51" s="4">
        <f t="shared" si="25"/>
        <v>27732.654770365167</v>
      </c>
      <c r="BA51" s="4">
        <f t="shared" si="25"/>
        <v>29119.287508883419</v>
      </c>
      <c r="BB51" s="4">
        <f t="shared" si="25"/>
        <v>30575.251884327598</v>
      </c>
      <c r="BC51" s="4">
        <f t="shared" si="25"/>
        <v>32104.014478543984</v>
      </c>
      <c r="BD51" s="4">
        <f t="shared" si="25"/>
        <v>33709.215202471176</v>
      </c>
      <c r="BE51" s="4">
        <f t="shared" si="25"/>
        <v>35394.675962594731</v>
      </c>
      <c r="BF51" s="4">
        <f t="shared" si="25"/>
        <v>37164.409760724477</v>
      </c>
    </row>
    <row r="52" spans="2:59" x14ac:dyDescent="0.25">
      <c r="B52" t="s">
        <v>80</v>
      </c>
      <c r="C52" s="4">
        <f>+C51-C53</f>
        <v>1608.3759238548228</v>
      </c>
      <c r="D52" s="4">
        <f t="shared" ref="D52:BF52" si="26">+D51-D53</f>
        <v>2286.5423990035829</v>
      </c>
      <c r="E52" s="4">
        <f t="shared" si="26"/>
        <v>2877.3606163478726</v>
      </c>
      <c r="F52" s="4">
        <f t="shared" si="26"/>
        <v>2999.0770610819541</v>
      </c>
      <c r="G52" s="4">
        <f t="shared" si="26"/>
        <v>2366.7029994063355</v>
      </c>
      <c r="H52" s="4">
        <f t="shared" si="26"/>
        <v>1847.6253517090904</v>
      </c>
      <c r="I52" s="4">
        <f t="shared" si="26"/>
        <v>2081.3969322261828</v>
      </c>
      <c r="J52" s="4">
        <f t="shared" si="26"/>
        <v>2185.46677883749</v>
      </c>
      <c r="K52" s="4">
        <f t="shared" si="26"/>
        <v>2294.740117779364</v>
      </c>
      <c r="L52" s="4">
        <f t="shared" si="26"/>
        <v>2409.477123668335</v>
      </c>
      <c r="M52" s="4">
        <f t="shared" si="26"/>
        <v>2529.9509798517493</v>
      </c>
      <c r="N52" s="4">
        <f t="shared" si="26"/>
        <v>2656.4485288443384</v>
      </c>
      <c r="O52" s="4">
        <f t="shared" si="26"/>
        <v>2789.2709552865517</v>
      </c>
      <c r="P52" s="4">
        <f t="shared" si="26"/>
        <v>2928.7345030508795</v>
      </c>
      <c r="Q52" s="4">
        <f t="shared" si="26"/>
        <v>3075.1712282034232</v>
      </c>
      <c r="R52" s="4">
        <f t="shared" si="26"/>
        <v>3228.9297896135959</v>
      </c>
      <c r="S52" s="4">
        <f t="shared" si="26"/>
        <v>3390.3762790942819</v>
      </c>
      <c r="T52" s="4">
        <f t="shared" si="26"/>
        <v>3559.8950930489864</v>
      </c>
      <c r="U52" s="4">
        <f t="shared" si="26"/>
        <v>3737.8898477014445</v>
      </c>
      <c r="V52" s="4">
        <f t="shared" si="26"/>
        <v>3924.7843400865122</v>
      </c>
      <c r="W52" s="4">
        <f t="shared" si="26"/>
        <v>4121.0235570908426</v>
      </c>
      <c r="X52" s="4">
        <f t="shared" si="26"/>
        <v>4327.0747349453795</v>
      </c>
      <c r="Y52" s="4">
        <f t="shared" si="26"/>
        <v>4543.4284716926459</v>
      </c>
      <c r="Z52" s="4">
        <f t="shared" si="26"/>
        <v>4770.5998952772761</v>
      </c>
      <c r="AA52" s="4">
        <f t="shared" si="26"/>
        <v>5009.1298900411475</v>
      </c>
      <c r="AB52" s="4">
        <f t="shared" si="26"/>
        <v>5259.5863845432086</v>
      </c>
      <c r="AC52" s="4">
        <f t="shared" si="26"/>
        <v>5522.5657037703677</v>
      </c>
      <c r="AD52" s="4">
        <f t="shared" si="26"/>
        <v>5798.6939889588866</v>
      </c>
      <c r="AE52" s="4">
        <f t="shared" si="26"/>
        <v>6088.6286884068159</v>
      </c>
      <c r="AF52" s="4">
        <f t="shared" si="26"/>
        <v>6393.060122827168</v>
      </c>
      <c r="AG52" s="4">
        <f t="shared" si="26"/>
        <v>6712.7131289685185</v>
      </c>
      <c r="AH52" s="4">
        <f t="shared" si="26"/>
        <v>7048.3487854169598</v>
      </c>
      <c r="AI52" s="4">
        <f t="shared" si="26"/>
        <v>7400.7662246878008</v>
      </c>
      <c r="AJ52" s="4">
        <f t="shared" si="26"/>
        <v>7770.8045359221724</v>
      </c>
      <c r="AK52" s="4">
        <f t="shared" si="26"/>
        <v>8159.344762718305</v>
      </c>
      <c r="AL52" s="4">
        <f t="shared" si="26"/>
        <v>8567.3120008542228</v>
      </c>
      <c r="AM52" s="4">
        <f t="shared" si="26"/>
        <v>8995.6776008969173</v>
      </c>
      <c r="AN52" s="4">
        <f t="shared" si="26"/>
        <v>9445.4614809417781</v>
      </c>
      <c r="AO52" s="4">
        <f t="shared" si="26"/>
        <v>9917.7345549888705</v>
      </c>
      <c r="AP52" s="4">
        <f t="shared" si="26"/>
        <v>10413.621282738295</v>
      </c>
      <c r="AQ52" s="4">
        <f t="shared" si="26"/>
        <v>10934.302346875189</v>
      </c>
      <c r="AR52" s="4">
        <f t="shared" si="26"/>
        <v>11481.017464218989</v>
      </c>
      <c r="AS52" s="4">
        <f t="shared" si="26"/>
        <v>12055.068337429948</v>
      </c>
      <c r="AT52" s="4">
        <f t="shared" si="26"/>
        <v>12657.8217543014</v>
      </c>
      <c r="AU52" s="4">
        <f t="shared" si="26"/>
        <v>13290.712842016532</v>
      </c>
      <c r="AV52" s="4">
        <f t="shared" si="26"/>
        <v>13955.248484117292</v>
      </c>
      <c r="AW52" s="4">
        <f t="shared" si="26"/>
        <v>14653.01090832322</v>
      </c>
      <c r="AX52" s="4">
        <f t="shared" si="26"/>
        <v>15385.66145373934</v>
      </c>
      <c r="AY52" s="4">
        <f t="shared" si="26"/>
        <v>16154.944526426319</v>
      </c>
      <c r="AZ52" s="4">
        <f t="shared" si="26"/>
        <v>16962.691752747582</v>
      </c>
      <c r="BA52" s="4">
        <f t="shared" si="26"/>
        <v>17810.826340385036</v>
      </c>
      <c r="BB52" s="4">
        <f t="shared" si="26"/>
        <v>18701.367657404255</v>
      </c>
      <c r="BC52" s="4">
        <f t="shared" si="26"/>
        <v>19636.436040274486</v>
      </c>
      <c r="BD52" s="4">
        <f t="shared" si="26"/>
        <v>20618.257842288229</v>
      </c>
      <c r="BE52" s="4">
        <f t="shared" si="26"/>
        <v>21649.170734402593</v>
      </c>
      <c r="BF52" s="4">
        <f t="shared" si="26"/>
        <v>0</v>
      </c>
    </row>
    <row r="53" spans="2:59" x14ac:dyDescent="0.25">
      <c r="B53" t="s">
        <v>81</v>
      </c>
      <c r="C53" s="4">
        <f>+IF(C51&lt;0,C51,MAX(0,MIN(C51,C55)))</f>
        <v>791.62407614517724</v>
      </c>
      <c r="D53" s="4">
        <f t="shared" ref="D53:BF53" si="27">+IF(D51&lt;0,D51,MAX(0,MIN(D51,D55)))</f>
        <v>386.26854926054693</v>
      </c>
      <c r="E53" s="4">
        <f t="shared" si="27"/>
        <v>0</v>
      </c>
      <c r="F53" s="4">
        <f t="shared" si="27"/>
        <v>0</v>
      </c>
      <c r="G53" s="4">
        <f t="shared" si="27"/>
        <v>706.69492514340345</v>
      </c>
      <c r="H53" s="4">
        <f t="shared" si="27"/>
        <v>1377.8900928000003</v>
      </c>
      <c r="I53" s="4">
        <f t="shared" si="27"/>
        <v>1321.5218617309074</v>
      </c>
      <c r="J53" s="4">
        <f t="shared" si="27"/>
        <v>1387.5979548174546</v>
      </c>
      <c r="K53" s="4">
        <f t="shared" si="27"/>
        <v>1456.9778525583279</v>
      </c>
      <c r="L53" s="4">
        <f t="shared" si="27"/>
        <v>1529.8267451862412</v>
      </c>
      <c r="M53" s="4">
        <f t="shared" si="27"/>
        <v>1606.3180824455558</v>
      </c>
      <c r="N53" s="4">
        <f t="shared" si="27"/>
        <v>1686.633986567831</v>
      </c>
      <c r="O53" s="4">
        <f t="shared" si="27"/>
        <v>1770.9656858962262</v>
      </c>
      <c r="P53" s="4">
        <f t="shared" si="27"/>
        <v>1859.5139701910375</v>
      </c>
      <c r="Q53" s="4">
        <f t="shared" si="27"/>
        <v>1952.4896687005894</v>
      </c>
      <c r="R53" s="4">
        <f t="shared" si="27"/>
        <v>2050.1141521356185</v>
      </c>
      <c r="S53" s="4">
        <f t="shared" si="27"/>
        <v>2152.6198597423936</v>
      </c>
      <c r="T53" s="4">
        <f t="shared" si="27"/>
        <v>2260.2508527295213</v>
      </c>
      <c r="U53" s="4">
        <f t="shared" si="27"/>
        <v>2373.2633953659897</v>
      </c>
      <c r="V53" s="4">
        <f t="shared" si="27"/>
        <v>2491.9265651342939</v>
      </c>
      <c r="W53" s="4">
        <f t="shared" si="27"/>
        <v>2616.5228933910039</v>
      </c>
      <c r="X53" s="4">
        <f t="shared" si="27"/>
        <v>2747.3490380605581</v>
      </c>
      <c r="Y53" s="4">
        <f t="shared" si="27"/>
        <v>2884.71648996359</v>
      </c>
      <c r="Z53" s="4">
        <f t="shared" si="27"/>
        <v>3028.9523144617706</v>
      </c>
      <c r="AA53" s="4">
        <f t="shared" si="27"/>
        <v>3180.3999301848526</v>
      </c>
      <c r="AB53" s="4">
        <f t="shared" si="27"/>
        <v>3339.4199266940923</v>
      </c>
      <c r="AC53" s="4">
        <f t="shared" si="27"/>
        <v>3506.3909230287973</v>
      </c>
      <c r="AD53" s="4">
        <f t="shared" si="27"/>
        <v>3681.7104691802379</v>
      </c>
      <c r="AE53" s="4">
        <f t="shared" si="27"/>
        <v>3865.795992639265</v>
      </c>
      <c r="AF53" s="4">
        <f t="shared" si="27"/>
        <v>4059.0857922712166</v>
      </c>
      <c r="AG53" s="4">
        <f t="shared" si="27"/>
        <v>4262.0400818847847</v>
      </c>
      <c r="AH53" s="4">
        <f t="shared" si="27"/>
        <v>4475.1420859790087</v>
      </c>
      <c r="AI53" s="4">
        <f t="shared" si="27"/>
        <v>4698.8991902779671</v>
      </c>
      <c r="AJ53" s="4">
        <f t="shared" si="27"/>
        <v>4933.844149791883</v>
      </c>
      <c r="AK53" s="4">
        <f t="shared" si="27"/>
        <v>5180.5363572814531</v>
      </c>
      <c r="AL53" s="4">
        <f t="shared" si="27"/>
        <v>5439.5631751455221</v>
      </c>
      <c r="AM53" s="4">
        <f t="shared" si="27"/>
        <v>5711.5413339028164</v>
      </c>
      <c r="AN53" s="4">
        <f t="shared" si="27"/>
        <v>5997.1184005979449</v>
      </c>
      <c r="AO53" s="4">
        <f t="shared" si="27"/>
        <v>6296.9743206278363</v>
      </c>
      <c r="AP53" s="4">
        <f t="shared" si="27"/>
        <v>6611.823036659247</v>
      </c>
      <c r="AQ53" s="4">
        <f t="shared" si="27"/>
        <v>6942.4141884922283</v>
      </c>
      <c r="AR53" s="4">
        <f t="shared" si="27"/>
        <v>7289.5348979168048</v>
      </c>
      <c r="AS53" s="4">
        <f t="shared" si="27"/>
        <v>7654.0116428126348</v>
      </c>
      <c r="AT53" s="4">
        <f t="shared" si="27"/>
        <v>8036.7122249533131</v>
      </c>
      <c r="AU53" s="4">
        <f t="shared" si="27"/>
        <v>8438.5478362009162</v>
      </c>
      <c r="AV53" s="4">
        <f t="shared" si="27"/>
        <v>8860.475228011026</v>
      </c>
      <c r="AW53" s="4">
        <f t="shared" si="27"/>
        <v>9303.4989894115133</v>
      </c>
      <c r="AX53" s="4">
        <f t="shared" si="27"/>
        <v>9768.6739388821297</v>
      </c>
      <c r="AY53" s="4">
        <f t="shared" si="27"/>
        <v>10257.107635826222</v>
      </c>
      <c r="AZ53" s="4">
        <f t="shared" si="27"/>
        <v>10769.963017617585</v>
      </c>
      <c r="BA53" s="4">
        <f t="shared" si="27"/>
        <v>11308.461168498383</v>
      </c>
      <c r="BB53" s="4">
        <f t="shared" si="27"/>
        <v>11873.884226923343</v>
      </c>
      <c r="BC53" s="4">
        <f t="shared" si="27"/>
        <v>12467.578438269498</v>
      </c>
      <c r="BD53" s="4">
        <f t="shared" si="27"/>
        <v>13090.957360182947</v>
      </c>
      <c r="BE53" s="4">
        <f t="shared" si="27"/>
        <v>13745.505228192138</v>
      </c>
      <c r="BF53" s="4">
        <f t="shared" si="27"/>
        <v>37164.409760724477</v>
      </c>
    </row>
    <row r="55" spans="2:59" x14ac:dyDescent="0.25">
      <c r="B55" t="s">
        <v>82</v>
      </c>
      <c r="C55" s="4">
        <f>+D65-C65</f>
        <v>791.62407614517724</v>
      </c>
      <c r="D55" s="4">
        <f t="shared" ref="D55:BF55" si="28">+E65-D65</f>
        <v>386.26854926054693</v>
      </c>
      <c r="E55" s="4">
        <f t="shared" si="28"/>
        <v>-259.44846578627948</v>
      </c>
      <c r="F55" s="4">
        <f t="shared" si="28"/>
        <v>-319.08037720349057</v>
      </c>
      <c r="G55" s="4">
        <f t="shared" si="28"/>
        <v>706.69492514340345</v>
      </c>
      <c r="H55" s="4">
        <f t="shared" si="28"/>
        <v>1377.8900928000003</v>
      </c>
      <c r="I55" s="4">
        <f t="shared" si="28"/>
        <v>1321.5218617309074</v>
      </c>
      <c r="J55" s="4">
        <f t="shared" si="28"/>
        <v>1387.5979548174546</v>
      </c>
      <c r="K55" s="4">
        <f t="shared" si="28"/>
        <v>1456.9778525583279</v>
      </c>
      <c r="L55" s="4">
        <f t="shared" si="28"/>
        <v>1529.8267451862412</v>
      </c>
      <c r="M55" s="4">
        <f t="shared" si="28"/>
        <v>1606.3180824455558</v>
      </c>
      <c r="N55" s="4">
        <f t="shared" si="28"/>
        <v>1686.633986567831</v>
      </c>
      <c r="O55" s="4">
        <f t="shared" si="28"/>
        <v>1770.9656858962262</v>
      </c>
      <c r="P55" s="4">
        <f t="shared" si="28"/>
        <v>1859.5139701910375</v>
      </c>
      <c r="Q55" s="4">
        <f t="shared" si="28"/>
        <v>1952.4896687005894</v>
      </c>
      <c r="R55" s="4">
        <f t="shared" si="28"/>
        <v>2050.1141521356185</v>
      </c>
      <c r="S55" s="4">
        <f t="shared" si="28"/>
        <v>2152.6198597423936</v>
      </c>
      <c r="T55" s="4">
        <f t="shared" si="28"/>
        <v>2260.2508527295213</v>
      </c>
      <c r="U55" s="4">
        <f t="shared" si="28"/>
        <v>2373.2633953659897</v>
      </c>
      <c r="V55" s="4">
        <f t="shared" si="28"/>
        <v>2491.9265651342939</v>
      </c>
      <c r="W55" s="4">
        <f t="shared" si="28"/>
        <v>2616.5228933910039</v>
      </c>
      <c r="X55" s="4">
        <f t="shared" si="28"/>
        <v>2747.3490380605581</v>
      </c>
      <c r="Y55" s="4">
        <f t="shared" si="28"/>
        <v>2884.71648996359</v>
      </c>
      <c r="Z55" s="4">
        <f t="shared" si="28"/>
        <v>3028.9523144617706</v>
      </c>
      <c r="AA55" s="4">
        <f t="shared" si="28"/>
        <v>3180.3999301848526</v>
      </c>
      <c r="AB55" s="4">
        <f t="shared" si="28"/>
        <v>3339.4199266940923</v>
      </c>
      <c r="AC55" s="4">
        <f t="shared" si="28"/>
        <v>3506.3909230287973</v>
      </c>
      <c r="AD55" s="4">
        <f t="shared" si="28"/>
        <v>3681.7104691802379</v>
      </c>
      <c r="AE55" s="4">
        <f t="shared" si="28"/>
        <v>3865.795992639265</v>
      </c>
      <c r="AF55" s="4">
        <f t="shared" si="28"/>
        <v>4059.0857922712166</v>
      </c>
      <c r="AG55" s="4">
        <f t="shared" si="28"/>
        <v>4262.0400818847847</v>
      </c>
      <c r="AH55" s="4">
        <f t="shared" si="28"/>
        <v>4475.1420859790087</v>
      </c>
      <c r="AI55" s="4">
        <f t="shared" si="28"/>
        <v>4698.8991902779671</v>
      </c>
      <c r="AJ55" s="4">
        <f t="shared" si="28"/>
        <v>4933.844149791883</v>
      </c>
      <c r="AK55" s="4">
        <f t="shared" si="28"/>
        <v>5180.5363572814531</v>
      </c>
      <c r="AL55" s="4">
        <f t="shared" si="28"/>
        <v>5439.5631751455221</v>
      </c>
      <c r="AM55" s="4">
        <f t="shared" si="28"/>
        <v>5711.5413339028164</v>
      </c>
      <c r="AN55" s="4">
        <f t="shared" si="28"/>
        <v>5997.1184005979449</v>
      </c>
      <c r="AO55" s="4">
        <f t="shared" si="28"/>
        <v>6296.9743206278363</v>
      </c>
      <c r="AP55" s="4">
        <f t="shared" si="28"/>
        <v>6611.823036659247</v>
      </c>
      <c r="AQ55" s="4">
        <f t="shared" si="28"/>
        <v>6942.4141884922283</v>
      </c>
      <c r="AR55" s="4">
        <f t="shared" si="28"/>
        <v>7289.5348979168048</v>
      </c>
      <c r="AS55" s="4">
        <f t="shared" si="28"/>
        <v>7654.0116428126348</v>
      </c>
      <c r="AT55" s="4">
        <f t="shared" si="28"/>
        <v>8036.7122249533131</v>
      </c>
      <c r="AU55" s="4">
        <f t="shared" si="28"/>
        <v>8438.5478362009162</v>
      </c>
      <c r="AV55" s="4">
        <f t="shared" si="28"/>
        <v>8860.475228011026</v>
      </c>
      <c r="AW55" s="4">
        <f t="shared" si="28"/>
        <v>9303.4989894115133</v>
      </c>
      <c r="AX55" s="4">
        <f t="shared" si="28"/>
        <v>9768.6739388821297</v>
      </c>
      <c r="AY55" s="4">
        <f t="shared" si="28"/>
        <v>10257.107635826222</v>
      </c>
      <c r="AZ55" s="4">
        <f t="shared" si="28"/>
        <v>10769.963017617585</v>
      </c>
      <c r="BA55" s="4">
        <f t="shared" si="28"/>
        <v>11308.461168498383</v>
      </c>
      <c r="BB55" s="4">
        <f t="shared" si="28"/>
        <v>11873.884226923343</v>
      </c>
      <c r="BC55" s="4">
        <f t="shared" si="28"/>
        <v>12467.578438269498</v>
      </c>
      <c r="BD55" s="4">
        <f t="shared" si="28"/>
        <v>13090.957360182947</v>
      </c>
      <c r="BE55" s="4">
        <f t="shared" si="28"/>
        <v>13745.505228192138</v>
      </c>
      <c r="BF55" s="4"/>
    </row>
    <row r="56" spans="2:59" x14ac:dyDescent="0.25">
      <c r="B56" t="s">
        <v>83</v>
      </c>
      <c r="C56" s="4">
        <f>+C55-C53</f>
        <v>0</v>
      </c>
      <c r="D56" s="4">
        <f t="shared" ref="D56:BE56" si="29">+D55-D53</f>
        <v>0</v>
      </c>
      <c r="E56" s="4">
        <f t="shared" si="29"/>
        <v>-259.44846578627948</v>
      </c>
      <c r="F56" s="4">
        <f t="shared" si="29"/>
        <v>-319.08037720349057</v>
      </c>
      <c r="G56" s="4">
        <f t="shared" si="29"/>
        <v>0</v>
      </c>
      <c r="H56" s="4">
        <f t="shared" si="29"/>
        <v>0</v>
      </c>
      <c r="I56" s="4">
        <f t="shared" si="29"/>
        <v>0</v>
      </c>
      <c r="J56" s="4">
        <f t="shared" si="29"/>
        <v>0</v>
      </c>
      <c r="K56" s="4">
        <f t="shared" si="29"/>
        <v>0</v>
      </c>
      <c r="L56" s="4">
        <f t="shared" si="29"/>
        <v>0</v>
      </c>
      <c r="M56" s="4">
        <f t="shared" si="29"/>
        <v>0</v>
      </c>
      <c r="N56" s="4">
        <f t="shared" si="29"/>
        <v>0</v>
      </c>
      <c r="O56" s="4">
        <f t="shared" si="29"/>
        <v>0</v>
      </c>
      <c r="P56" s="4">
        <f t="shared" si="29"/>
        <v>0</v>
      </c>
      <c r="Q56" s="4">
        <f t="shared" si="29"/>
        <v>0</v>
      </c>
      <c r="R56" s="4">
        <f t="shared" si="29"/>
        <v>0</v>
      </c>
      <c r="S56" s="4">
        <f t="shared" si="29"/>
        <v>0</v>
      </c>
      <c r="T56" s="4">
        <f t="shared" si="29"/>
        <v>0</v>
      </c>
      <c r="U56" s="4">
        <f t="shared" si="29"/>
        <v>0</v>
      </c>
      <c r="V56" s="4">
        <f t="shared" si="29"/>
        <v>0</v>
      </c>
      <c r="W56" s="4">
        <f t="shared" si="29"/>
        <v>0</v>
      </c>
      <c r="X56" s="4">
        <f t="shared" si="29"/>
        <v>0</v>
      </c>
      <c r="Y56" s="4">
        <f t="shared" si="29"/>
        <v>0</v>
      </c>
      <c r="Z56" s="4">
        <f t="shared" si="29"/>
        <v>0</v>
      </c>
      <c r="AA56" s="4">
        <f t="shared" si="29"/>
        <v>0</v>
      </c>
      <c r="AB56" s="4">
        <f t="shared" si="29"/>
        <v>0</v>
      </c>
      <c r="AC56" s="4">
        <f t="shared" si="29"/>
        <v>0</v>
      </c>
      <c r="AD56" s="4">
        <f t="shared" si="29"/>
        <v>0</v>
      </c>
      <c r="AE56" s="4">
        <f t="shared" si="29"/>
        <v>0</v>
      </c>
      <c r="AF56" s="4">
        <f t="shared" si="29"/>
        <v>0</v>
      </c>
      <c r="AG56" s="4">
        <f t="shared" si="29"/>
        <v>0</v>
      </c>
      <c r="AH56" s="4">
        <f t="shared" si="29"/>
        <v>0</v>
      </c>
      <c r="AI56" s="4">
        <f t="shared" si="29"/>
        <v>0</v>
      </c>
      <c r="AJ56" s="4">
        <f t="shared" si="29"/>
        <v>0</v>
      </c>
      <c r="AK56" s="4">
        <f t="shared" si="29"/>
        <v>0</v>
      </c>
      <c r="AL56" s="4">
        <f t="shared" si="29"/>
        <v>0</v>
      </c>
      <c r="AM56" s="4">
        <f t="shared" si="29"/>
        <v>0</v>
      </c>
      <c r="AN56" s="4">
        <f t="shared" si="29"/>
        <v>0</v>
      </c>
      <c r="AO56" s="4">
        <f t="shared" si="29"/>
        <v>0</v>
      </c>
      <c r="AP56" s="4">
        <f t="shared" si="29"/>
        <v>0</v>
      </c>
      <c r="AQ56" s="4">
        <f t="shared" si="29"/>
        <v>0</v>
      </c>
      <c r="AR56" s="4">
        <f t="shared" si="29"/>
        <v>0</v>
      </c>
      <c r="AS56" s="4">
        <f t="shared" si="29"/>
        <v>0</v>
      </c>
      <c r="AT56" s="4">
        <f t="shared" si="29"/>
        <v>0</v>
      </c>
      <c r="AU56" s="4">
        <f t="shared" si="29"/>
        <v>0</v>
      </c>
      <c r="AV56" s="4">
        <f t="shared" si="29"/>
        <v>0</v>
      </c>
      <c r="AW56" s="4">
        <f t="shared" si="29"/>
        <v>0</v>
      </c>
      <c r="AX56" s="4">
        <f t="shared" si="29"/>
        <v>0</v>
      </c>
      <c r="AY56" s="4">
        <f t="shared" si="29"/>
        <v>0</v>
      </c>
      <c r="AZ56" s="4">
        <f t="shared" si="29"/>
        <v>0</v>
      </c>
      <c r="BA56" s="4">
        <f t="shared" si="29"/>
        <v>0</v>
      </c>
      <c r="BB56" s="4">
        <f t="shared" si="29"/>
        <v>0</v>
      </c>
      <c r="BC56" s="4">
        <f t="shared" si="29"/>
        <v>0</v>
      </c>
      <c r="BD56" s="4">
        <f t="shared" si="29"/>
        <v>0</v>
      </c>
      <c r="BE56" s="4">
        <f t="shared" si="29"/>
        <v>0</v>
      </c>
      <c r="BF56" s="4"/>
    </row>
    <row r="58" spans="2:59" x14ac:dyDescent="0.25">
      <c r="B58" t="s">
        <v>18</v>
      </c>
      <c r="I58" s="2" t="s">
        <v>7</v>
      </c>
      <c r="J58" s="2" t="s">
        <v>8</v>
      </c>
      <c r="K58" s="2" t="s">
        <v>16</v>
      </c>
      <c r="L58" s="2" t="s">
        <v>17</v>
      </c>
      <c r="M58" s="2" t="s">
        <v>20</v>
      </c>
      <c r="N58" s="2" t="s">
        <v>21</v>
      </c>
      <c r="O58" s="2" t="s">
        <v>22</v>
      </c>
      <c r="P58" s="2" t="s">
        <v>23</v>
      </c>
      <c r="Q58" s="2" t="s">
        <v>24</v>
      </c>
      <c r="R58" s="2" t="s">
        <v>25</v>
      </c>
      <c r="S58" s="2" t="s">
        <v>26</v>
      </c>
      <c r="T58" s="2" t="s">
        <v>27</v>
      </c>
      <c r="U58" s="2" t="s">
        <v>28</v>
      </c>
      <c r="V58" s="2" t="s">
        <v>29</v>
      </c>
      <c r="W58" s="2" t="s">
        <v>30</v>
      </c>
      <c r="X58" s="2" t="s">
        <v>31</v>
      </c>
      <c r="Y58" s="2" t="s">
        <v>32</v>
      </c>
      <c r="Z58" s="2" t="s">
        <v>33</v>
      </c>
      <c r="AA58" s="2" t="s">
        <v>34</v>
      </c>
      <c r="AB58" s="2" t="s">
        <v>35</v>
      </c>
      <c r="AC58" s="2" t="s">
        <v>36</v>
      </c>
      <c r="AD58" s="2" t="s">
        <v>37</v>
      </c>
      <c r="AE58" s="2" t="s">
        <v>38</v>
      </c>
      <c r="AF58" s="2" t="s">
        <v>39</v>
      </c>
      <c r="AG58" s="2" t="s">
        <v>40</v>
      </c>
      <c r="AH58" s="2" t="s">
        <v>41</v>
      </c>
      <c r="AI58" s="2" t="s">
        <v>42</v>
      </c>
      <c r="AJ58" s="2" t="s">
        <v>43</v>
      </c>
      <c r="AK58" s="2" t="s">
        <v>44</v>
      </c>
      <c r="AL58" s="2" t="s">
        <v>45</v>
      </c>
      <c r="AM58" s="2" t="s">
        <v>46</v>
      </c>
      <c r="AN58" s="2" t="s">
        <v>47</v>
      </c>
      <c r="AO58" s="2" t="s">
        <v>48</v>
      </c>
      <c r="AP58" s="2" t="s">
        <v>49</v>
      </c>
      <c r="AQ58" s="2" t="s">
        <v>50</v>
      </c>
      <c r="AR58" s="2" t="s">
        <v>51</v>
      </c>
      <c r="AS58" s="2" t="s">
        <v>52</v>
      </c>
      <c r="AT58" s="2" t="s">
        <v>53</v>
      </c>
      <c r="AU58" s="2" t="s">
        <v>54</v>
      </c>
      <c r="AV58" s="2" t="s">
        <v>55</v>
      </c>
      <c r="AW58" s="2" t="s">
        <v>56</v>
      </c>
      <c r="AX58" s="2" t="s">
        <v>57</v>
      </c>
      <c r="AY58" s="2" t="s">
        <v>58</v>
      </c>
      <c r="AZ58" s="2" t="s">
        <v>59</v>
      </c>
      <c r="BA58" s="2" t="s">
        <v>60</v>
      </c>
      <c r="BB58" s="2" t="s">
        <v>61</v>
      </c>
      <c r="BC58" s="2" t="s">
        <v>62</v>
      </c>
      <c r="BD58" s="2" t="s">
        <v>63</v>
      </c>
      <c r="BE58" s="2" t="s">
        <v>64</v>
      </c>
      <c r="BF58" s="2" t="s">
        <v>65</v>
      </c>
    </row>
    <row r="59" spans="2:59" x14ac:dyDescent="0.25">
      <c r="B59" s="4" t="str">
        <f>+B37</f>
        <v>FCFF</v>
      </c>
      <c r="C59" s="4">
        <f t="shared" ref="C59:BF59" si="30">+C37</f>
        <v>479.99999999999955</v>
      </c>
      <c r="D59" s="4">
        <f t="shared" si="30"/>
        <v>1046.1176470588236</v>
      </c>
      <c r="E59" s="4">
        <f t="shared" si="30"/>
        <v>1557.4472727272725</v>
      </c>
      <c r="F59" s="4">
        <f t="shared" si="30"/>
        <v>2040.7139999999999</v>
      </c>
      <c r="G59" s="4">
        <f t="shared" si="30"/>
        <v>2191.9989311999998</v>
      </c>
      <c r="H59" s="4">
        <f t="shared" si="30"/>
        <v>1929.0461299199997</v>
      </c>
      <c r="I59" s="4">
        <f t="shared" si="30"/>
        <v>2200.3338997819628</v>
      </c>
      <c r="J59" s="4">
        <f t="shared" si="30"/>
        <v>2310.350594771061</v>
      </c>
      <c r="K59" s="4">
        <f t="shared" si="30"/>
        <v>2425.8681245096141</v>
      </c>
      <c r="L59" s="4">
        <f t="shared" si="30"/>
        <v>2547.1615307350949</v>
      </c>
      <c r="M59" s="4">
        <f t="shared" si="30"/>
        <v>2674.5196072718495</v>
      </c>
      <c r="N59" s="4">
        <f t="shared" si="30"/>
        <v>2808.2455876354416</v>
      </c>
      <c r="O59" s="4">
        <f t="shared" si="30"/>
        <v>2948.6578670172139</v>
      </c>
      <c r="P59" s="4">
        <f t="shared" si="30"/>
        <v>3096.0907603680744</v>
      </c>
      <c r="Q59" s="4">
        <f t="shared" si="30"/>
        <v>3250.8952983864783</v>
      </c>
      <c r="R59" s="4">
        <f t="shared" si="30"/>
        <v>3413.4400633058026</v>
      </c>
      <c r="S59" s="4">
        <f t="shared" si="30"/>
        <v>3584.1120664710929</v>
      </c>
      <c r="T59" s="4">
        <f t="shared" si="30"/>
        <v>3763.3176697946474</v>
      </c>
      <c r="U59" s="4">
        <f t="shared" si="30"/>
        <v>3951.4835532843799</v>
      </c>
      <c r="V59" s="4">
        <f t="shared" si="30"/>
        <v>4149.0577309485989</v>
      </c>
      <c r="W59" s="4">
        <f t="shared" si="30"/>
        <v>4356.5106174960292</v>
      </c>
      <c r="X59" s="4">
        <f t="shared" si="30"/>
        <v>4574.3361483708304</v>
      </c>
      <c r="Y59" s="4">
        <f t="shared" si="30"/>
        <v>4803.0529557893715</v>
      </c>
      <c r="Z59" s="4">
        <f t="shared" si="30"/>
        <v>5043.205603578841</v>
      </c>
      <c r="AA59" s="4">
        <f t="shared" si="30"/>
        <v>5295.3658837577823</v>
      </c>
      <c r="AB59" s="4">
        <f t="shared" si="30"/>
        <v>5560.1341779456725</v>
      </c>
      <c r="AC59" s="4">
        <f t="shared" si="30"/>
        <v>5838.1408868429553</v>
      </c>
      <c r="AD59" s="4">
        <f t="shared" si="30"/>
        <v>6130.0479311851041</v>
      </c>
      <c r="AE59" s="4">
        <f t="shared" si="30"/>
        <v>6436.5503277443595</v>
      </c>
      <c r="AF59" s="4">
        <f t="shared" si="30"/>
        <v>6758.3778441315771</v>
      </c>
      <c r="AG59" s="4">
        <f t="shared" si="30"/>
        <v>7096.2967363381558</v>
      </c>
      <c r="AH59" s="4">
        <f t="shared" si="30"/>
        <v>7451.1115731550635</v>
      </c>
      <c r="AI59" s="4">
        <f t="shared" si="30"/>
        <v>7823.6671518128169</v>
      </c>
      <c r="AJ59" s="4">
        <f t="shared" si="30"/>
        <v>8214.8505094034572</v>
      </c>
      <c r="AK59" s="4">
        <f t="shared" si="30"/>
        <v>8625.5930348736292</v>
      </c>
      <c r="AL59" s="4">
        <f t="shared" si="30"/>
        <v>9056.8726866173129</v>
      </c>
      <c r="AM59" s="4">
        <f t="shared" si="30"/>
        <v>9509.7163209481769</v>
      </c>
      <c r="AN59" s="4">
        <f t="shared" si="30"/>
        <v>9985.2021369955874</v>
      </c>
      <c r="AO59" s="4">
        <f t="shared" si="30"/>
        <v>10484.462243845366</v>
      </c>
      <c r="AP59" s="4">
        <f t="shared" si="30"/>
        <v>11008.685356037633</v>
      </c>
      <c r="AQ59" s="4">
        <f t="shared" si="30"/>
        <v>11559.119623839517</v>
      </c>
      <c r="AR59" s="4">
        <f t="shared" si="30"/>
        <v>12137.075605031492</v>
      </c>
      <c r="AS59" s="4">
        <f t="shared" si="30"/>
        <v>12743.929385283067</v>
      </c>
      <c r="AT59" s="4">
        <f t="shared" si="30"/>
        <v>13381.125854547223</v>
      </c>
      <c r="AU59" s="4">
        <f t="shared" si="30"/>
        <v>14050.182147274583</v>
      </c>
      <c r="AV59" s="4">
        <f t="shared" si="30"/>
        <v>14752.691254638312</v>
      </c>
      <c r="AW59" s="4">
        <f t="shared" si="30"/>
        <v>15490.325817370227</v>
      </c>
      <c r="AX59" s="4">
        <f t="shared" si="30"/>
        <v>16264.842108238738</v>
      </c>
      <c r="AY59" s="4">
        <f t="shared" si="30"/>
        <v>17078.084213650676</v>
      </c>
      <c r="AZ59" s="4">
        <f t="shared" si="30"/>
        <v>17931.988424333205</v>
      </c>
      <c r="BA59" s="4">
        <f t="shared" si="30"/>
        <v>18828.587845549868</v>
      </c>
      <c r="BB59" s="4">
        <f t="shared" si="30"/>
        <v>19770.01723782736</v>
      </c>
      <c r="BC59" s="4">
        <f t="shared" si="30"/>
        <v>20758.518099718727</v>
      </c>
      <c r="BD59" s="4">
        <f t="shared" si="30"/>
        <v>21796.444004704666</v>
      </c>
      <c r="BE59" s="4">
        <f t="shared" si="30"/>
        <v>22886.2662049399</v>
      </c>
      <c r="BF59" s="4">
        <f t="shared" si="30"/>
        <v>24030.579515186895</v>
      </c>
      <c r="BG59" s="4"/>
    </row>
    <row r="60" spans="2:59" x14ac:dyDescent="0.25">
      <c r="B60" s="3" t="str">
        <f>+B29</f>
        <v>WACC=rA-D/V*rD*t</v>
      </c>
      <c r="C60" s="3">
        <f t="shared" ref="C60:BF60" si="31">+C29</f>
        <v>0.12</v>
      </c>
      <c r="D60" s="3">
        <f t="shared" si="31"/>
        <v>0.11936999999999999</v>
      </c>
      <c r="E60" s="3">
        <f t="shared" si="31"/>
        <v>0.11864999999999999</v>
      </c>
      <c r="F60" s="3">
        <f t="shared" si="31"/>
        <v>0.11767999999999999</v>
      </c>
      <c r="G60" s="3">
        <f t="shared" si="31"/>
        <v>0.11677</v>
      </c>
      <c r="H60" s="3">
        <f t="shared" si="31"/>
        <v>0.1166</v>
      </c>
      <c r="I60" s="3">
        <f t="shared" si="31"/>
        <v>0.1166</v>
      </c>
      <c r="J60" s="3">
        <f t="shared" si="31"/>
        <v>0.1166</v>
      </c>
      <c r="K60" s="3">
        <f t="shared" si="31"/>
        <v>0.1166</v>
      </c>
      <c r="L60" s="3">
        <f t="shared" si="31"/>
        <v>0.1166</v>
      </c>
      <c r="M60" s="3">
        <f t="shared" si="31"/>
        <v>0.1166</v>
      </c>
      <c r="N60" s="3">
        <f t="shared" si="31"/>
        <v>0.1166</v>
      </c>
      <c r="O60" s="3">
        <f t="shared" si="31"/>
        <v>0.1166</v>
      </c>
      <c r="P60" s="3">
        <f t="shared" si="31"/>
        <v>0.1166</v>
      </c>
      <c r="Q60" s="3">
        <f t="shared" si="31"/>
        <v>0.1166</v>
      </c>
      <c r="R60" s="3">
        <f t="shared" si="31"/>
        <v>0.1166</v>
      </c>
      <c r="S60" s="3">
        <f t="shared" si="31"/>
        <v>0.1166</v>
      </c>
      <c r="T60" s="3">
        <f t="shared" si="31"/>
        <v>0.1166</v>
      </c>
      <c r="U60" s="3">
        <f t="shared" si="31"/>
        <v>0.1166</v>
      </c>
      <c r="V60" s="3">
        <f t="shared" si="31"/>
        <v>0.1166</v>
      </c>
      <c r="W60" s="3">
        <f t="shared" si="31"/>
        <v>0.1166</v>
      </c>
      <c r="X60" s="3">
        <f t="shared" si="31"/>
        <v>0.1166</v>
      </c>
      <c r="Y60" s="3">
        <f t="shared" si="31"/>
        <v>0.1166</v>
      </c>
      <c r="Z60" s="3">
        <f t="shared" si="31"/>
        <v>0.1166</v>
      </c>
      <c r="AA60" s="3">
        <f t="shared" si="31"/>
        <v>0.1166</v>
      </c>
      <c r="AB60" s="3">
        <f t="shared" si="31"/>
        <v>0.1166</v>
      </c>
      <c r="AC60" s="3">
        <f t="shared" si="31"/>
        <v>0.1166</v>
      </c>
      <c r="AD60" s="3">
        <f t="shared" si="31"/>
        <v>0.1166</v>
      </c>
      <c r="AE60" s="3">
        <f t="shared" si="31"/>
        <v>0.1166</v>
      </c>
      <c r="AF60" s="3">
        <f t="shared" si="31"/>
        <v>0.1166</v>
      </c>
      <c r="AG60" s="3">
        <f t="shared" si="31"/>
        <v>0.1166</v>
      </c>
      <c r="AH60" s="3">
        <f t="shared" si="31"/>
        <v>0.1166</v>
      </c>
      <c r="AI60" s="3">
        <f t="shared" si="31"/>
        <v>0.1166</v>
      </c>
      <c r="AJ60" s="3">
        <f t="shared" si="31"/>
        <v>0.1166</v>
      </c>
      <c r="AK60" s="3">
        <f t="shared" si="31"/>
        <v>0.1166</v>
      </c>
      <c r="AL60" s="3">
        <f t="shared" si="31"/>
        <v>0.1166</v>
      </c>
      <c r="AM60" s="3">
        <f t="shared" si="31"/>
        <v>0.1166</v>
      </c>
      <c r="AN60" s="3">
        <f t="shared" si="31"/>
        <v>0.1166</v>
      </c>
      <c r="AO60" s="3">
        <f t="shared" si="31"/>
        <v>0.1166</v>
      </c>
      <c r="AP60" s="3">
        <f t="shared" si="31"/>
        <v>0.1166</v>
      </c>
      <c r="AQ60" s="3">
        <f t="shared" si="31"/>
        <v>0.1166</v>
      </c>
      <c r="AR60" s="3">
        <f t="shared" si="31"/>
        <v>0.1166</v>
      </c>
      <c r="AS60" s="3">
        <f t="shared" si="31"/>
        <v>0.1166</v>
      </c>
      <c r="AT60" s="3">
        <f t="shared" si="31"/>
        <v>0.1166</v>
      </c>
      <c r="AU60" s="3">
        <f t="shared" si="31"/>
        <v>0.1166</v>
      </c>
      <c r="AV60" s="3">
        <f t="shared" si="31"/>
        <v>0.1166</v>
      </c>
      <c r="AW60" s="3">
        <f t="shared" si="31"/>
        <v>0.1166</v>
      </c>
      <c r="AX60" s="3">
        <f t="shared" si="31"/>
        <v>0.1166</v>
      </c>
      <c r="AY60" s="3">
        <f t="shared" si="31"/>
        <v>0.1166</v>
      </c>
      <c r="AZ60" s="3">
        <f t="shared" si="31"/>
        <v>0.1166</v>
      </c>
      <c r="BA60" s="3">
        <f t="shared" si="31"/>
        <v>0.1166</v>
      </c>
      <c r="BB60" s="3">
        <f t="shared" si="31"/>
        <v>0.1166</v>
      </c>
      <c r="BC60" s="3">
        <f t="shared" si="31"/>
        <v>0.1166</v>
      </c>
      <c r="BD60" s="3">
        <f t="shared" si="31"/>
        <v>0.1166</v>
      </c>
      <c r="BE60" s="3">
        <f t="shared" si="31"/>
        <v>0.1166</v>
      </c>
      <c r="BF60" s="3">
        <f t="shared" si="31"/>
        <v>0.1166</v>
      </c>
      <c r="BG60" s="3"/>
    </row>
    <row r="61" spans="2:59" x14ac:dyDescent="0.25">
      <c r="B61" s="12" t="s">
        <v>19</v>
      </c>
      <c r="C61" s="13">
        <f t="shared" ref="C61:G61" si="32">+(C59+D61)/(1+C60)</f>
        <v>22816.982616167104</v>
      </c>
      <c r="D61" s="13">
        <f t="shared" si="32"/>
        <v>25075.020530107158</v>
      </c>
      <c r="E61" s="13">
        <f t="shared" si="32"/>
        <v>27022.108083727224</v>
      </c>
      <c r="F61" s="13">
        <f t="shared" si="32"/>
        <v>28670.833935134186</v>
      </c>
      <c r="G61" s="13">
        <f t="shared" si="32"/>
        <v>30004.103672620775</v>
      </c>
      <c r="H61" s="13">
        <f>+(H59+I61)/(1+H60)</f>
        <v>31315.683927272705</v>
      </c>
      <c r="I61" s="13">
        <f t="shared" ref="I61:T61" si="33">+(I59+J61)/(1+I60)</f>
        <v>33038.0465432727</v>
      </c>
      <c r="J61" s="13">
        <f t="shared" si="33"/>
        <v>34689.948870436339</v>
      </c>
      <c r="K61" s="13">
        <f t="shared" si="33"/>
        <v>36424.446313958157</v>
      </c>
      <c r="L61" s="13">
        <f t="shared" si="33"/>
        <v>38245.668629656066</v>
      </c>
      <c r="M61" s="13">
        <f t="shared" si="33"/>
        <v>40157.952061138873</v>
      </c>
      <c r="N61" s="13">
        <f t="shared" si="33"/>
        <v>42165.849664195819</v>
      </c>
      <c r="O61" s="13">
        <f t="shared" si="33"/>
        <v>44274.142147405611</v>
      </c>
      <c r="P61" s="13">
        <f t="shared" si="33"/>
        <v>46487.849254775894</v>
      </c>
      <c r="Q61" s="13">
        <f t="shared" si="33"/>
        <v>48812.241717514691</v>
      </c>
      <c r="R61" s="13">
        <f t="shared" si="33"/>
        <v>51252.853803390426</v>
      </c>
      <c r="S61" s="13">
        <f t="shared" si="33"/>
        <v>53815.496493559949</v>
      </c>
      <c r="T61" s="13">
        <f t="shared" si="33"/>
        <v>56506.271318237952</v>
      </c>
      <c r="U61" s="13">
        <f>+(U59+V61)/(1+U60)</f>
        <v>59331.584884149852</v>
      </c>
      <c r="V61" s="15">
        <f>+V59/(V60-W23)</f>
        <v>62298.164128357348</v>
      </c>
      <c r="W61" s="15">
        <f t="shared" ref="W61:BF61" si="34">+W59/(W60-X23)</f>
        <v>65413.072334775221</v>
      </c>
      <c r="X61" s="15">
        <f t="shared" si="34"/>
        <v>68683.725951513974</v>
      </c>
      <c r="Y61" s="15">
        <f t="shared" si="34"/>
        <v>72117.91224908967</v>
      </c>
      <c r="Z61" s="15">
        <f t="shared" si="34"/>
        <v>75723.807861544163</v>
      </c>
      <c r="AA61" s="15">
        <f t="shared" si="34"/>
        <v>79509.998254621358</v>
      </c>
      <c r="AB61" s="15">
        <f t="shared" si="34"/>
        <v>83485.498167352445</v>
      </c>
      <c r="AC61" s="15">
        <f t="shared" si="34"/>
        <v>87659.773075720062</v>
      </c>
      <c r="AD61" s="15">
        <f t="shared" si="34"/>
        <v>92042.761729506077</v>
      </c>
      <c r="AE61" s="15">
        <f t="shared" si="34"/>
        <v>96644.899815981378</v>
      </c>
      <c r="AF61" s="15">
        <f t="shared" si="34"/>
        <v>101477.14480678044</v>
      </c>
      <c r="AG61" s="15">
        <f t="shared" si="34"/>
        <v>106551.00204711947</v>
      </c>
      <c r="AH61" s="15">
        <f t="shared" si="34"/>
        <v>111878.55214947544</v>
      </c>
      <c r="AI61" s="15">
        <f t="shared" si="34"/>
        <v>117472.47975694922</v>
      </c>
      <c r="AJ61" s="15">
        <f t="shared" si="34"/>
        <v>123346.10374479667</v>
      </c>
      <c r="AK61" s="15">
        <f t="shared" si="34"/>
        <v>129513.40893203649</v>
      </c>
      <c r="AL61" s="15">
        <f t="shared" si="34"/>
        <v>135989.07937863836</v>
      </c>
      <c r="AM61" s="15">
        <f t="shared" si="34"/>
        <v>142788.53334757025</v>
      </c>
      <c r="AN61" s="15">
        <f t="shared" si="34"/>
        <v>149927.96001494877</v>
      </c>
      <c r="AO61" s="15">
        <f t="shared" si="34"/>
        <v>157424.3580156962</v>
      </c>
      <c r="AP61" s="15">
        <f t="shared" si="34"/>
        <v>165295.575916481</v>
      </c>
      <c r="AQ61" s="15">
        <f t="shared" si="34"/>
        <v>173560.35471230507</v>
      </c>
      <c r="AR61" s="15">
        <f t="shared" si="34"/>
        <v>182238.37244792032</v>
      </c>
      <c r="AS61" s="15">
        <f t="shared" si="34"/>
        <v>191350.29107031634</v>
      </c>
      <c r="AT61" s="15">
        <f t="shared" si="34"/>
        <v>200917.80562383219</v>
      </c>
      <c r="AU61" s="15">
        <f t="shared" si="34"/>
        <v>210963.69590502381</v>
      </c>
      <c r="AV61" s="15">
        <f t="shared" si="34"/>
        <v>221511.88070027498</v>
      </c>
      <c r="AW61" s="15">
        <f t="shared" si="34"/>
        <v>232587.47473528871</v>
      </c>
      <c r="AX61" s="15">
        <f t="shared" si="34"/>
        <v>244216.84847205316</v>
      </c>
      <c r="AY61" s="15">
        <f t="shared" si="34"/>
        <v>256427.69089565583</v>
      </c>
      <c r="AZ61" s="15">
        <f t="shared" si="34"/>
        <v>269249.07544043852</v>
      </c>
      <c r="BA61" s="15">
        <f t="shared" si="34"/>
        <v>282711.5292124605</v>
      </c>
      <c r="BB61" s="15">
        <f t="shared" si="34"/>
        <v>296847.10567308351</v>
      </c>
      <c r="BC61" s="15">
        <f t="shared" si="34"/>
        <v>311689.46095673769</v>
      </c>
      <c r="BD61" s="15">
        <f t="shared" si="34"/>
        <v>327273.93400457461</v>
      </c>
      <c r="BE61" s="15">
        <f t="shared" si="34"/>
        <v>343637.63070480333</v>
      </c>
      <c r="BF61" s="15">
        <f t="shared" si="34"/>
        <v>360819.51224004349</v>
      </c>
      <c r="BG61" s="15"/>
    </row>
    <row r="63" spans="2:59" x14ac:dyDescent="0.25">
      <c r="B63" s="4" t="str">
        <f>+B20</f>
        <v>IC boy</v>
      </c>
      <c r="C63" s="4">
        <f t="shared" ref="C63:BF63" si="35">+C20</f>
        <v>15000</v>
      </c>
      <c r="D63" s="4">
        <f t="shared" si="35"/>
        <v>16920</v>
      </c>
      <c r="E63" s="4">
        <f t="shared" si="35"/>
        <v>18609.882352941175</v>
      </c>
      <c r="F63" s="4">
        <f t="shared" si="35"/>
        <v>20075.7150802139</v>
      </c>
      <c r="G63" s="4">
        <f t="shared" si="35"/>
        <v>21300.143480213901</v>
      </c>
      <c r="H63" s="4">
        <f t="shared" si="35"/>
        <v>22569.1954930139</v>
      </c>
      <c r="I63" s="4">
        <f t="shared" si="35"/>
        <v>24291.558109013899</v>
      </c>
      <c r="J63" s="4">
        <f t="shared" si="35"/>
        <v>25943.460436177535</v>
      </c>
      <c r="K63" s="4">
        <f t="shared" si="35"/>
        <v>27677.957879699352</v>
      </c>
      <c r="L63" s="4">
        <f t="shared" si="35"/>
        <v>29499.180195397261</v>
      </c>
      <c r="M63" s="4">
        <f t="shared" si="35"/>
        <v>31411.463626880064</v>
      </c>
      <c r="N63" s="4">
        <f t="shared" si="35"/>
        <v>33419.361229937007</v>
      </c>
      <c r="O63" s="4">
        <f t="shared" si="35"/>
        <v>35527.653713146799</v>
      </c>
      <c r="P63" s="4">
        <f t="shared" si="35"/>
        <v>37741.360820517082</v>
      </c>
      <c r="Q63" s="4">
        <f t="shared" si="35"/>
        <v>40065.753283255879</v>
      </c>
      <c r="R63" s="4">
        <f t="shared" si="35"/>
        <v>42506.365369131614</v>
      </c>
      <c r="S63" s="4">
        <f t="shared" si="35"/>
        <v>45069.008059301137</v>
      </c>
      <c r="T63" s="4">
        <f t="shared" si="35"/>
        <v>47759.782883979133</v>
      </c>
      <c r="U63" s="4">
        <f t="shared" si="35"/>
        <v>50585.096449891033</v>
      </c>
      <c r="V63" s="4">
        <f t="shared" si="35"/>
        <v>53551.675694098521</v>
      </c>
      <c r="W63" s="4">
        <f t="shared" si="35"/>
        <v>56666.583900516387</v>
      </c>
      <c r="X63" s="4">
        <f t="shared" si="35"/>
        <v>59937.237517255147</v>
      </c>
      <c r="Y63" s="4">
        <f t="shared" si="35"/>
        <v>63371.423814830843</v>
      </c>
      <c r="Z63" s="4">
        <f t="shared" si="35"/>
        <v>66977.319427285329</v>
      </c>
      <c r="AA63" s="4">
        <f t="shared" si="35"/>
        <v>70763.509820362538</v>
      </c>
      <c r="AB63" s="4">
        <f t="shared" si="35"/>
        <v>74739.009733093611</v>
      </c>
      <c r="AC63" s="4">
        <f t="shared" si="35"/>
        <v>78913.284641461229</v>
      </c>
      <c r="AD63" s="4">
        <f t="shared" si="35"/>
        <v>83296.273295247229</v>
      </c>
      <c r="AE63" s="4">
        <f t="shared" si="35"/>
        <v>87898.41138172253</v>
      </c>
      <c r="AF63" s="4">
        <f t="shared" si="35"/>
        <v>92730.656372521596</v>
      </c>
      <c r="AG63" s="4">
        <f t="shared" si="35"/>
        <v>97804.513612860625</v>
      </c>
      <c r="AH63" s="4">
        <f t="shared" si="35"/>
        <v>103132.0637152166</v>
      </c>
      <c r="AI63" s="4">
        <f t="shared" si="35"/>
        <v>108725.99132269037</v>
      </c>
      <c r="AJ63" s="4">
        <f t="shared" si="35"/>
        <v>114599.61531053783</v>
      </c>
      <c r="AK63" s="4">
        <f t="shared" si="35"/>
        <v>120766.92049777767</v>
      </c>
      <c r="AL63" s="4">
        <f t="shared" si="35"/>
        <v>127242.5909443795</v>
      </c>
      <c r="AM63" s="4">
        <f t="shared" si="35"/>
        <v>134042.0449133114</v>
      </c>
      <c r="AN63" s="4">
        <f t="shared" si="35"/>
        <v>141181.47158068992</v>
      </c>
      <c r="AO63" s="4">
        <f t="shared" si="35"/>
        <v>148677.86958143735</v>
      </c>
      <c r="AP63" s="4">
        <f t="shared" si="35"/>
        <v>156549.08748222215</v>
      </c>
      <c r="AQ63" s="4">
        <f t="shared" si="35"/>
        <v>164813.86627804622</v>
      </c>
      <c r="AR63" s="4">
        <f t="shared" si="35"/>
        <v>173491.88401366147</v>
      </c>
      <c r="AS63" s="4">
        <f t="shared" si="35"/>
        <v>182603.80263605749</v>
      </c>
      <c r="AT63" s="4">
        <f t="shared" si="35"/>
        <v>192171.31718957331</v>
      </c>
      <c r="AU63" s="4">
        <f t="shared" si="35"/>
        <v>202217.20747076493</v>
      </c>
      <c r="AV63" s="4">
        <f t="shared" si="35"/>
        <v>212765.3922660161</v>
      </c>
      <c r="AW63" s="4">
        <f t="shared" si="35"/>
        <v>223840.98630102986</v>
      </c>
      <c r="AX63" s="4">
        <f t="shared" si="35"/>
        <v>235470.36003779428</v>
      </c>
      <c r="AY63" s="4">
        <f t="shared" si="35"/>
        <v>247681.20246139693</v>
      </c>
      <c r="AZ63" s="4">
        <f t="shared" si="35"/>
        <v>260502.5870061797</v>
      </c>
      <c r="BA63" s="4">
        <f t="shared" si="35"/>
        <v>273965.04077820166</v>
      </c>
      <c r="BB63" s="4">
        <f t="shared" si="35"/>
        <v>288100.61723882466</v>
      </c>
      <c r="BC63" s="4">
        <f t="shared" si="35"/>
        <v>302942.97252247884</v>
      </c>
      <c r="BD63" s="4">
        <f t="shared" si="35"/>
        <v>318527.4455703157</v>
      </c>
      <c r="BE63" s="4">
        <f t="shared" si="35"/>
        <v>334891.14227054443</v>
      </c>
      <c r="BF63" s="4">
        <f t="shared" si="35"/>
        <v>352073.02380578459</v>
      </c>
      <c r="BG63" s="4"/>
    </row>
    <row r="64" spans="2:59" x14ac:dyDescent="0.25">
      <c r="B64" t="s">
        <v>66</v>
      </c>
      <c r="C64" s="4">
        <f>+C61*C24</f>
        <v>0</v>
      </c>
      <c r="D64" s="4">
        <f t="shared" ref="D64:BF64" si="36">+D61*D24</f>
        <v>1128.3759238548221</v>
      </c>
      <c r="E64" s="4">
        <f t="shared" si="36"/>
        <v>2431.9897275354501</v>
      </c>
      <c r="F64" s="4">
        <f t="shared" si="36"/>
        <v>4157.2709205944566</v>
      </c>
      <c r="G64" s="4">
        <f t="shared" si="36"/>
        <v>5700.7796977979469</v>
      </c>
      <c r="H64" s="4">
        <f t="shared" si="36"/>
        <v>6263.1367854545415</v>
      </c>
      <c r="I64" s="4">
        <f t="shared" si="36"/>
        <v>6607.6093086545407</v>
      </c>
      <c r="J64" s="4">
        <f t="shared" si="36"/>
        <v>6937.9897740872684</v>
      </c>
      <c r="K64" s="4">
        <f t="shared" si="36"/>
        <v>7284.8892627916321</v>
      </c>
      <c r="L64" s="4">
        <f t="shared" si="36"/>
        <v>7649.1337259312131</v>
      </c>
      <c r="M64" s="4">
        <f t="shared" si="36"/>
        <v>8031.5904122277752</v>
      </c>
      <c r="N64" s="4">
        <f t="shared" si="36"/>
        <v>8433.1699328391642</v>
      </c>
      <c r="O64" s="4">
        <f t="shared" si="36"/>
        <v>8854.8284294811219</v>
      </c>
      <c r="P64" s="4">
        <f t="shared" si="36"/>
        <v>9297.5698509551785</v>
      </c>
      <c r="Q64" s="4">
        <f t="shared" si="36"/>
        <v>9762.4483435029379</v>
      </c>
      <c r="R64" s="4">
        <f t="shared" si="36"/>
        <v>10250.570760678085</v>
      </c>
      <c r="S64" s="4">
        <f t="shared" si="36"/>
        <v>10763.09929871199</v>
      </c>
      <c r="T64" s="4">
        <f t="shared" si="36"/>
        <v>11301.254263647592</v>
      </c>
      <c r="U64" s="4">
        <f t="shared" si="36"/>
        <v>11866.31697682997</v>
      </c>
      <c r="V64" s="4">
        <f t="shared" si="36"/>
        <v>12459.63282567147</v>
      </c>
      <c r="W64" s="4">
        <f t="shared" si="36"/>
        <v>13082.614466955045</v>
      </c>
      <c r="X64" s="4">
        <f t="shared" si="36"/>
        <v>13736.745190302796</v>
      </c>
      <c r="Y64" s="4">
        <f t="shared" si="36"/>
        <v>14423.582449817935</v>
      </c>
      <c r="Z64" s="4">
        <f t="shared" si="36"/>
        <v>15144.761572308833</v>
      </c>
      <c r="AA64" s="4">
        <f t="shared" si="36"/>
        <v>15901.999650924272</v>
      </c>
      <c r="AB64" s="4">
        <f t="shared" si="36"/>
        <v>16697.099633470491</v>
      </c>
      <c r="AC64" s="4">
        <f t="shared" si="36"/>
        <v>17531.954615144012</v>
      </c>
      <c r="AD64" s="4">
        <f t="shared" si="36"/>
        <v>18408.552345901215</v>
      </c>
      <c r="AE64" s="4">
        <f t="shared" si="36"/>
        <v>19328.979963196278</v>
      </c>
      <c r="AF64" s="4">
        <f t="shared" si="36"/>
        <v>20295.42896135609</v>
      </c>
      <c r="AG64" s="4">
        <f t="shared" si="36"/>
        <v>21310.200409423895</v>
      </c>
      <c r="AH64" s="4">
        <f t="shared" si="36"/>
        <v>22375.710429895087</v>
      </c>
      <c r="AI64" s="4">
        <f t="shared" si="36"/>
        <v>23494.495951389847</v>
      </c>
      <c r="AJ64" s="4">
        <f t="shared" si="36"/>
        <v>24669.220748959335</v>
      </c>
      <c r="AK64" s="4">
        <f t="shared" si="36"/>
        <v>25902.681786407298</v>
      </c>
      <c r="AL64" s="4">
        <f t="shared" si="36"/>
        <v>27197.815875727672</v>
      </c>
      <c r="AM64" s="4">
        <f t="shared" si="36"/>
        <v>28557.706669514053</v>
      </c>
      <c r="AN64" s="4">
        <f t="shared" si="36"/>
        <v>29985.592002989753</v>
      </c>
      <c r="AO64" s="4">
        <f t="shared" si="36"/>
        <v>31484.87160313924</v>
      </c>
      <c r="AP64" s="4">
        <f t="shared" si="36"/>
        <v>33059.115183296199</v>
      </c>
      <c r="AQ64" s="4">
        <f t="shared" si="36"/>
        <v>34712.070942461018</v>
      </c>
      <c r="AR64" s="4">
        <f t="shared" si="36"/>
        <v>36447.674489584067</v>
      </c>
      <c r="AS64" s="4">
        <f t="shared" si="36"/>
        <v>38270.058214063269</v>
      </c>
      <c r="AT64" s="4">
        <f t="shared" si="36"/>
        <v>40183.561124766442</v>
      </c>
      <c r="AU64" s="4">
        <f t="shared" si="36"/>
        <v>42192.739181004763</v>
      </c>
      <c r="AV64" s="4">
        <f t="shared" si="36"/>
        <v>44302.376140054999</v>
      </c>
      <c r="AW64" s="4">
        <f t="shared" si="36"/>
        <v>46517.494947057741</v>
      </c>
      <c r="AX64" s="4">
        <f t="shared" si="36"/>
        <v>48843.369694410634</v>
      </c>
      <c r="AY64" s="4">
        <f t="shared" si="36"/>
        <v>51285.538179131167</v>
      </c>
      <c r="AZ64" s="4">
        <f t="shared" si="36"/>
        <v>53849.815088087707</v>
      </c>
      <c r="BA64" s="4">
        <f t="shared" si="36"/>
        <v>56542.305842492104</v>
      </c>
      <c r="BB64" s="4">
        <f t="shared" si="36"/>
        <v>59369.421134616707</v>
      </c>
      <c r="BC64" s="4">
        <f t="shared" si="36"/>
        <v>62337.892191347542</v>
      </c>
      <c r="BD64" s="4">
        <f t="shared" si="36"/>
        <v>65454.786800914924</v>
      </c>
      <c r="BE64" s="4">
        <f t="shared" si="36"/>
        <v>68727.526140960676</v>
      </c>
      <c r="BF64" s="4">
        <f t="shared" si="36"/>
        <v>72163.902448008696</v>
      </c>
      <c r="BG64" s="4"/>
    </row>
    <row r="65" spans="2:59" x14ac:dyDescent="0.25">
      <c r="B65" t="s">
        <v>67</v>
      </c>
      <c r="C65" s="4">
        <f>+C63-C64</f>
        <v>15000</v>
      </c>
      <c r="D65" s="4">
        <f t="shared" ref="D65:BF65" si="37">+D63-D64</f>
        <v>15791.624076145177</v>
      </c>
      <c r="E65" s="4">
        <f t="shared" si="37"/>
        <v>16177.892625405724</v>
      </c>
      <c r="F65" s="4">
        <f t="shared" si="37"/>
        <v>15918.444159619445</v>
      </c>
      <c r="G65" s="4">
        <f t="shared" si="37"/>
        <v>15599.363782415954</v>
      </c>
      <c r="H65" s="4">
        <f t="shared" si="37"/>
        <v>16306.058707559358</v>
      </c>
      <c r="I65" s="4">
        <f t="shared" si="37"/>
        <v>17683.948800359358</v>
      </c>
      <c r="J65" s="4">
        <f t="shared" si="37"/>
        <v>19005.470662090265</v>
      </c>
      <c r="K65" s="4">
        <f t="shared" si="37"/>
        <v>20393.06861690772</v>
      </c>
      <c r="L65" s="4">
        <f t="shared" si="37"/>
        <v>21850.046469466048</v>
      </c>
      <c r="M65" s="4">
        <f t="shared" si="37"/>
        <v>23379.873214652289</v>
      </c>
      <c r="N65" s="4">
        <f t="shared" si="37"/>
        <v>24986.191297097845</v>
      </c>
      <c r="O65" s="4">
        <f t="shared" si="37"/>
        <v>26672.825283665676</v>
      </c>
      <c r="P65" s="4">
        <f t="shared" si="37"/>
        <v>28443.790969561902</v>
      </c>
      <c r="Q65" s="4">
        <f t="shared" si="37"/>
        <v>30303.304939752939</v>
      </c>
      <c r="R65" s="4">
        <f t="shared" si="37"/>
        <v>32255.794608453529</v>
      </c>
      <c r="S65" s="4">
        <f t="shared" si="37"/>
        <v>34305.908760589147</v>
      </c>
      <c r="T65" s="4">
        <f t="shared" si="37"/>
        <v>36458.528620331541</v>
      </c>
      <c r="U65" s="4">
        <f t="shared" si="37"/>
        <v>38718.779473061062</v>
      </c>
      <c r="V65" s="4">
        <f t="shared" si="37"/>
        <v>41092.042868427052</v>
      </c>
      <c r="W65" s="4">
        <f t="shared" si="37"/>
        <v>43583.969433561346</v>
      </c>
      <c r="X65" s="4">
        <f t="shared" si="37"/>
        <v>46200.49232695235</v>
      </c>
      <c r="Y65" s="4">
        <f t="shared" si="37"/>
        <v>48947.841365012908</v>
      </c>
      <c r="Z65" s="4">
        <f t="shared" si="37"/>
        <v>51832.557854976498</v>
      </c>
      <c r="AA65" s="4">
        <f t="shared" si="37"/>
        <v>54861.510169438268</v>
      </c>
      <c r="AB65" s="4">
        <f t="shared" si="37"/>
        <v>58041.910099623121</v>
      </c>
      <c r="AC65" s="4">
        <f t="shared" si="37"/>
        <v>61381.330026317213</v>
      </c>
      <c r="AD65" s="4">
        <f t="shared" si="37"/>
        <v>64887.72094934601</v>
      </c>
      <c r="AE65" s="4">
        <f t="shared" si="37"/>
        <v>68569.431418526248</v>
      </c>
      <c r="AF65" s="4">
        <f t="shared" si="37"/>
        <v>72435.227411165513</v>
      </c>
      <c r="AG65" s="4">
        <f t="shared" si="37"/>
        <v>76494.31320343673</v>
      </c>
      <c r="AH65" s="4">
        <f t="shared" si="37"/>
        <v>80756.353285321515</v>
      </c>
      <c r="AI65" s="4">
        <f t="shared" si="37"/>
        <v>85231.495371300523</v>
      </c>
      <c r="AJ65" s="4">
        <f t="shared" si="37"/>
        <v>89930.394561578491</v>
      </c>
      <c r="AK65" s="4">
        <f t="shared" si="37"/>
        <v>94864.238711370373</v>
      </c>
      <c r="AL65" s="4">
        <f t="shared" si="37"/>
        <v>100044.77506865183</v>
      </c>
      <c r="AM65" s="4">
        <f t="shared" si="37"/>
        <v>105484.33824379735</v>
      </c>
      <c r="AN65" s="4">
        <f t="shared" si="37"/>
        <v>111195.87957770017</v>
      </c>
      <c r="AO65" s="4">
        <f t="shared" si="37"/>
        <v>117192.99797829811</v>
      </c>
      <c r="AP65" s="4">
        <f t="shared" si="37"/>
        <v>123489.97229892595</v>
      </c>
      <c r="AQ65" s="4">
        <f t="shared" si="37"/>
        <v>130101.79533558519</v>
      </c>
      <c r="AR65" s="4">
        <f t="shared" si="37"/>
        <v>137044.20952407742</v>
      </c>
      <c r="AS65" s="4">
        <f t="shared" si="37"/>
        <v>144333.74442199423</v>
      </c>
      <c r="AT65" s="4">
        <f t="shared" si="37"/>
        <v>151987.75606480686</v>
      </c>
      <c r="AU65" s="4">
        <f t="shared" si="37"/>
        <v>160024.46828976017</v>
      </c>
      <c r="AV65" s="4">
        <f t="shared" si="37"/>
        <v>168463.01612596109</v>
      </c>
      <c r="AW65" s="4">
        <f t="shared" si="37"/>
        <v>177323.49135397212</v>
      </c>
      <c r="AX65" s="4">
        <f t="shared" si="37"/>
        <v>186626.99034338363</v>
      </c>
      <c r="AY65" s="4">
        <f t="shared" si="37"/>
        <v>196395.66428226576</v>
      </c>
      <c r="AZ65" s="4">
        <f t="shared" si="37"/>
        <v>206652.77191809198</v>
      </c>
      <c r="BA65" s="4">
        <f t="shared" si="37"/>
        <v>217422.73493570957</v>
      </c>
      <c r="BB65" s="4">
        <f t="shared" si="37"/>
        <v>228731.19610420795</v>
      </c>
      <c r="BC65" s="4">
        <f t="shared" si="37"/>
        <v>240605.08033113129</v>
      </c>
      <c r="BD65" s="4">
        <f t="shared" si="37"/>
        <v>253072.65876940079</v>
      </c>
      <c r="BE65" s="4">
        <f t="shared" si="37"/>
        <v>266163.61612958374</v>
      </c>
      <c r="BF65" s="4">
        <f t="shared" si="37"/>
        <v>279909.12135777588</v>
      </c>
      <c r="BG65" s="4"/>
    </row>
    <row r="68" spans="2:59" x14ac:dyDescent="0.25">
      <c r="B68" t="s">
        <v>86</v>
      </c>
    </row>
    <row r="69" spans="2:59" x14ac:dyDescent="0.25">
      <c r="B69" t="s">
        <v>87</v>
      </c>
      <c r="C69" s="4">
        <f t="shared" ref="C69:V69" si="38">+C37+C39</f>
        <v>479.99999999999955</v>
      </c>
      <c r="D69" s="4">
        <f t="shared" si="38"/>
        <v>1061.9149099927911</v>
      </c>
      <c r="E69" s="4">
        <f t="shared" si="38"/>
        <v>1593.9271186403043</v>
      </c>
      <c r="F69" s="4">
        <f t="shared" si="38"/>
        <v>2107.2303347295115</v>
      </c>
      <c r="G69" s="4">
        <f t="shared" si="38"/>
        <v>2288.9121860625651</v>
      </c>
      <c r="H69" s="4">
        <f t="shared" si="38"/>
        <v>2035.5194552727269</v>
      </c>
      <c r="I69" s="4">
        <f t="shared" si="38"/>
        <v>2312.6632580290902</v>
      </c>
      <c r="J69" s="4">
        <f t="shared" si="38"/>
        <v>2428.2964209305446</v>
      </c>
      <c r="K69" s="4">
        <f t="shared" si="38"/>
        <v>2549.7112419770719</v>
      </c>
      <c r="L69" s="4">
        <f t="shared" si="38"/>
        <v>2677.1968040759257</v>
      </c>
      <c r="M69" s="4">
        <f t="shared" si="38"/>
        <v>2811.0566442797217</v>
      </c>
      <c r="N69" s="4">
        <f t="shared" si="38"/>
        <v>2951.6094764937075</v>
      </c>
      <c r="O69" s="4">
        <f t="shared" si="38"/>
        <v>3099.1899503183931</v>
      </c>
      <c r="P69" s="4">
        <f t="shared" si="38"/>
        <v>3254.1494478343125</v>
      </c>
      <c r="Q69" s="4">
        <f t="shared" si="38"/>
        <v>3416.8569202260283</v>
      </c>
      <c r="R69" s="4">
        <f t="shared" si="38"/>
        <v>3587.6997662373301</v>
      </c>
      <c r="S69" s="4">
        <f t="shared" si="38"/>
        <v>3767.084754549197</v>
      </c>
      <c r="T69" s="4">
        <f t="shared" si="38"/>
        <v>3955.4389922766563</v>
      </c>
      <c r="U69" s="4">
        <f t="shared" si="38"/>
        <v>4153.2109418904893</v>
      </c>
      <c r="V69" s="4">
        <f t="shared" si="38"/>
        <v>4360.8714889850135</v>
      </c>
      <c r="W69" s="4">
        <f>+W37+W39</f>
        <v>4578.915063434265</v>
      </c>
    </row>
    <row r="70" spans="2:59" x14ac:dyDescent="0.25">
      <c r="B70" t="str">
        <f>+B26</f>
        <v>rA</v>
      </c>
      <c r="C70" s="3">
        <f>+C26</f>
        <v>0.12</v>
      </c>
      <c r="D70" s="3">
        <f t="shared" ref="D70:W70" si="39">+D26</f>
        <v>0.12</v>
      </c>
      <c r="E70" s="3">
        <f t="shared" si="39"/>
        <v>0.12</v>
      </c>
      <c r="F70" s="3">
        <f t="shared" si="39"/>
        <v>0.12</v>
      </c>
      <c r="G70" s="3">
        <f t="shared" si="39"/>
        <v>0.12</v>
      </c>
      <c r="H70" s="3">
        <f t="shared" si="39"/>
        <v>0.12</v>
      </c>
      <c r="I70" s="3">
        <f t="shared" si="39"/>
        <v>0.12</v>
      </c>
      <c r="J70" s="3">
        <f t="shared" si="39"/>
        <v>0.12</v>
      </c>
      <c r="K70" s="3">
        <f t="shared" si="39"/>
        <v>0.12</v>
      </c>
      <c r="L70" s="3">
        <f t="shared" si="39"/>
        <v>0.12</v>
      </c>
      <c r="M70" s="3">
        <f t="shared" si="39"/>
        <v>0.12</v>
      </c>
      <c r="N70" s="3">
        <f t="shared" si="39"/>
        <v>0.12</v>
      </c>
      <c r="O70" s="3">
        <f t="shared" si="39"/>
        <v>0.12</v>
      </c>
      <c r="P70" s="3">
        <f t="shared" si="39"/>
        <v>0.12</v>
      </c>
      <c r="Q70" s="3">
        <f t="shared" si="39"/>
        <v>0.12</v>
      </c>
      <c r="R70" s="3">
        <f t="shared" si="39"/>
        <v>0.12</v>
      </c>
      <c r="S70" s="3">
        <f t="shared" si="39"/>
        <v>0.12</v>
      </c>
      <c r="T70" s="3">
        <f t="shared" si="39"/>
        <v>0.12</v>
      </c>
      <c r="U70" s="3">
        <f t="shared" si="39"/>
        <v>0.12</v>
      </c>
      <c r="V70" s="3">
        <f t="shared" si="39"/>
        <v>0.12</v>
      </c>
      <c r="W70" s="3">
        <f t="shared" si="39"/>
        <v>0.12</v>
      </c>
    </row>
    <row r="71" spans="2:59" s="12" customFormat="1" x14ac:dyDescent="0.25">
      <c r="B71" s="12" t="s">
        <v>19</v>
      </c>
      <c r="C71" s="13">
        <f t="shared" ref="C71:U71" si="40">+(C69+D71)/(1+C70)</f>
        <v>22816.98261616709</v>
      </c>
      <c r="D71" s="13">
        <f t="shared" si="40"/>
        <v>25075.020530107144</v>
      </c>
      <c r="E71" s="13">
        <f t="shared" si="40"/>
        <v>27022.108083727209</v>
      </c>
      <c r="F71" s="13">
        <f t="shared" si="40"/>
        <v>28670.833935134171</v>
      </c>
      <c r="G71" s="13">
        <f t="shared" si="40"/>
        <v>30004.10367262076</v>
      </c>
      <c r="H71" s="13">
        <f t="shared" si="40"/>
        <v>31315.683927272687</v>
      </c>
      <c r="I71" s="13">
        <f t="shared" si="40"/>
        <v>33038.046543272685</v>
      </c>
      <c r="J71" s="13">
        <f t="shared" si="40"/>
        <v>34689.948870436325</v>
      </c>
      <c r="K71" s="13">
        <f t="shared" si="40"/>
        <v>36424.446313958142</v>
      </c>
      <c r="L71" s="13">
        <f t="shared" si="40"/>
        <v>38245.668629656051</v>
      </c>
      <c r="M71" s="13">
        <f t="shared" si="40"/>
        <v>40157.952061138858</v>
      </c>
      <c r="N71" s="13">
        <f t="shared" si="40"/>
        <v>42165.849664195805</v>
      </c>
      <c r="O71" s="13">
        <f t="shared" si="40"/>
        <v>44274.142147405597</v>
      </c>
      <c r="P71" s="13">
        <f t="shared" si="40"/>
        <v>46487.84925477588</v>
      </c>
      <c r="Q71" s="13">
        <f t="shared" si="40"/>
        <v>48812.241717514677</v>
      </c>
      <c r="R71" s="13">
        <f t="shared" si="40"/>
        <v>51252.853803390419</v>
      </c>
      <c r="S71" s="13">
        <f t="shared" si="40"/>
        <v>53815.496493559942</v>
      </c>
      <c r="T71" s="13">
        <f t="shared" si="40"/>
        <v>56506.271318237945</v>
      </c>
      <c r="U71" s="13">
        <f t="shared" si="40"/>
        <v>59331.584884149845</v>
      </c>
      <c r="V71" s="13">
        <f>+(V69+W71)/(1+V70)</f>
        <v>62298.164128357341</v>
      </c>
      <c r="W71" s="13">
        <f>+W69/(W70-X23)</f>
        <v>65413.072334775221</v>
      </c>
    </row>
    <row r="74" spans="2:59" x14ac:dyDescent="0.25">
      <c r="B74" t="s">
        <v>88</v>
      </c>
    </row>
    <row r="75" spans="2:59" x14ac:dyDescent="0.25">
      <c r="B75" t="str">
        <f>+B41</f>
        <v>FCFE</v>
      </c>
      <c r="C75" s="4">
        <f t="shared" ref="C75:T75" si="41">+C41</f>
        <v>1608.3759238548216</v>
      </c>
      <c r="D75" s="4">
        <f t="shared" si="41"/>
        <v>2286.5423990035815</v>
      </c>
      <c r="E75" s="4">
        <f t="shared" si="41"/>
        <v>3136.809082134152</v>
      </c>
      <c r="F75" s="4">
        <f t="shared" si="41"/>
        <v>3318.1574382854451</v>
      </c>
      <c r="G75" s="4">
        <f t="shared" si="41"/>
        <v>2366.7029994063341</v>
      </c>
      <c r="H75" s="4">
        <f t="shared" si="41"/>
        <v>1847.62535170909</v>
      </c>
      <c r="I75" s="4">
        <f t="shared" si="41"/>
        <v>2081.3969322261819</v>
      </c>
      <c r="J75" s="4">
        <f t="shared" si="41"/>
        <v>2185.4667788374904</v>
      </c>
      <c r="K75" s="4">
        <f t="shared" si="41"/>
        <v>2294.740117779364</v>
      </c>
      <c r="L75" s="4">
        <f t="shared" si="41"/>
        <v>2409.4771236683346</v>
      </c>
      <c r="M75" s="4">
        <f t="shared" si="41"/>
        <v>2529.9509798517497</v>
      </c>
      <c r="N75" s="4">
        <f t="shared" si="41"/>
        <v>2656.4485288443361</v>
      </c>
      <c r="O75" s="4">
        <f t="shared" si="41"/>
        <v>2789.2709552865545</v>
      </c>
      <c r="P75" s="4">
        <f t="shared" si="41"/>
        <v>2928.7345030508818</v>
      </c>
      <c r="Q75" s="4">
        <f t="shared" si="41"/>
        <v>3075.1712282034259</v>
      </c>
      <c r="R75" s="4">
        <f t="shared" si="41"/>
        <v>3228.9297896135977</v>
      </c>
      <c r="S75" s="4">
        <f t="shared" si="41"/>
        <v>3390.3762790942792</v>
      </c>
      <c r="T75" s="4">
        <f t="shared" si="41"/>
        <v>3559.8950930489896</v>
      </c>
    </row>
    <row r="76" spans="2:59" x14ac:dyDescent="0.25">
      <c r="B76" t="str">
        <f>+B28</f>
        <v>rE=(rA-D/V*rD)/(1-D/V)</v>
      </c>
      <c r="C76" s="3">
        <f t="shared" ref="C76:T76" si="42">+C28</f>
        <v>0.12</v>
      </c>
      <c r="D76" s="3">
        <f t="shared" si="42"/>
        <v>0.12235602094240838</v>
      </c>
      <c r="E76" s="3">
        <f t="shared" si="42"/>
        <v>0.12445054945054944</v>
      </c>
      <c r="F76" s="3">
        <f t="shared" si="42"/>
        <v>0.12678362573099414</v>
      </c>
      <c r="G76" s="3">
        <f t="shared" si="42"/>
        <v>0.12820987654320987</v>
      </c>
      <c r="H76" s="3">
        <f t="shared" si="42"/>
        <v>0.12874999999999998</v>
      </c>
      <c r="I76" s="3">
        <f t="shared" si="42"/>
        <v>0.12874999999999998</v>
      </c>
      <c r="J76" s="3">
        <f t="shared" si="42"/>
        <v>0.12874999999999998</v>
      </c>
      <c r="K76" s="3">
        <f t="shared" si="42"/>
        <v>0.12874999999999998</v>
      </c>
      <c r="L76" s="3">
        <f t="shared" si="42"/>
        <v>0.12874999999999998</v>
      </c>
      <c r="M76" s="3">
        <f t="shared" si="42"/>
        <v>0.12874999999999998</v>
      </c>
      <c r="N76" s="3">
        <f t="shared" si="42"/>
        <v>0.12874999999999998</v>
      </c>
      <c r="O76" s="3">
        <f t="shared" si="42"/>
        <v>0.12874999999999998</v>
      </c>
      <c r="P76" s="3">
        <f t="shared" si="42"/>
        <v>0.12874999999999998</v>
      </c>
      <c r="Q76" s="3">
        <f t="shared" si="42"/>
        <v>0.12874999999999998</v>
      </c>
      <c r="R76" s="3">
        <f t="shared" si="42"/>
        <v>0.12874999999999998</v>
      </c>
      <c r="S76" s="3">
        <f t="shared" si="42"/>
        <v>0.12874999999999998</v>
      </c>
      <c r="T76" s="3">
        <f t="shared" si="42"/>
        <v>0.12874999999999998</v>
      </c>
    </row>
    <row r="77" spans="2:59" x14ac:dyDescent="0.25">
      <c r="B77" t="s">
        <v>89</v>
      </c>
      <c r="C77" s="4">
        <f t="shared" ref="C77:R77" si="43">+(C75+D77)/(1+C76)</f>
        <v>22816.982616167115</v>
      </c>
      <c r="D77" s="4">
        <f t="shared" si="43"/>
        <v>23946.64460625235</v>
      </c>
      <c r="E77" s="4">
        <f t="shared" si="43"/>
        <v>24590.118356191793</v>
      </c>
      <c r="F77" s="4">
        <f t="shared" si="43"/>
        <v>24513.563014539752</v>
      </c>
      <c r="G77" s="4">
        <f t="shared" si="43"/>
        <v>24303.323974822855</v>
      </c>
      <c r="H77" s="4">
        <f t="shared" si="43"/>
        <v>25052.547141818191</v>
      </c>
      <c r="I77" s="4">
        <f t="shared" si="43"/>
        <v>26430.437234618192</v>
      </c>
      <c r="J77" s="4">
        <f t="shared" si="43"/>
        <v>27751.959096349099</v>
      </c>
      <c r="K77" s="4">
        <f t="shared" si="43"/>
        <v>29139.557051166554</v>
      </c>
      <c r="L77" s="4">
        <f t="shared" si="43"/>
        <v>30596.534903724885</v>
      </c>
      <c r="M77" s="4">
        <f t="shared" si="43"/>
        <v>32126.361648911126</v>
      </c>
      <c r="N77" s="4">
        <f t="shared" si="43"/>
        <v>33732.679731356686</v>
      </c>
      <c r="O77" s="4">
        <f t="shared" si="43"/>
        <v>35419.313717924517</v>
      </c>
      <c r="P77" s="4">
        <f t="shared" si="43"/>
        <v>37190.279403820736</v>
      </c>
      <c r="Q77" s="4">
        <f t="shared" si="43"/>
        <v>39049.793374011773</v>
      </c>
      <c r="R77" s="4">
        <f t="shared" si="43"/>
        <v>41002.283042712355</v>
      </c>
      <c r="S77" s="4">
        <f>+(S75+T77)/(1+S76)</f>
        <v>43052.397194847967</v>
      </c>
      <c r="T77" s="4">
        <f>+T75/(T76-U23)</f>
        <v>45205.01705459036</v>
      </c>
    </row>
    <row r="78" spans="2:59" x14ac:dyDescent="0.25">
      <c r="B78" t="str">
        <f>+B64</f>
        <v>D boy</v>
      </c>
      <c r="C78" s="4">
        <f>+C64</f>
        <v>0</v>
      </c>
      <c r="D78" s="4">
        <f t="shared" ref="D78:T78" si="44">+D64</f>
        <v>1128.3759238548221</v>
      </c>
      <c r="E78" s="4">
        <f t="shared" si="44"/>
        <v>2431.9897275354501</v>
      </c>
      <c r="F78" s="4">
        <f t="shared" si="44"/>
        <v>4157.2709205944566</v>
      </c>
      <c r="G78" s="4">
        <f t="shared" si="44"/>
        <v>5700.7796977979469</v>
      </c>
      <c r="H78" s="4">
        <f t="shared" si="44"/>
        <v>6263.1367854545415</v>
      </c>
      <c r="I78" s="4">
        <f t="shared" si="44"/>
        <v>6607.6093086545407</v>
      </c>
      <c r="J78" s="4">
        <f t="shared" si="44"/>
        <v>6937.9897740872684</v>
      </c>
      <c r="K78" s="4">
        <f t="shared" si="44"/>
        <v>7284.8892627916321</v>
      </c>
      <c r="L78" s="4">
        <f t="shared" si="44"/>
        <v>7649.1337259312131</v>
      </c>
      <c r="M78" s="4">
        <f t="shared" si="44"/>
        <v>8031.5904122277752</v>
      </c>
      <c r="N78" s="4">
        <f t="shared" si="44"/>
        <v>8433.1699328391642</v>
      </c>
      <c r="O78" s="4">
        <f t="shared" si="44"/>
        <v>8854.8284294811219</v>
      </c>
      <c r="P78" s="4">
        <f t="shared" si="44"/>
        <v>9297.5698509551785</v>
      </c>
      <c r="Q78" s="4">
        <f t="shared" si="44"/>
        <v>9762.4483435029379</v>
      </c>
      <c r="R78" s="4">
        <f t="shared" si="44"/>
        <v>10250.570760678085</v>
      </c>
      <c r="S78" s="4">
        <f t="shared" si="44"/>
        <v>10763.09929871199</v>
      </c>
      <c r="T78" s="4">
        <f t="shared" si="44"/>
        <v>11301.254263647592</v>
      </c>
    </row>
    <row r="79" spans="2:59" x14ac:dyDescent="0.25">
      <c r="B79" s="12" t="s">
        <v>19</v>
      </c>
      <c r="C79" s="13">
        <f>+C77+C78</f>
        <v>22816.982616167115</v>
      </c>
      <c r="D79" s="13">
        <f t="shared" ref="D79:T79" si="45">+D77+D78</f>
        <v>25075.020530107173</v>
      </c>
      <c r="E79" s="13">
        <f t="shared" si="45"/>
        <v>27022.108083727242</v>
      </c>
      <c r="F79" s="13">
        <f t="shared" si="45"/>
        <v>28670.833935134207</v>
      </c>
      <c r="G79" s="13">
        <f t="shared" si="45"/>
        <v>30004.103672620804</v>
      </c>
      <c r="H79" s="13">
        <f t="shared" si="45"/>
        <v>31315.683927272734</v>
      </c>
      <c r="I79" s="13">
        <f t="shared" si="45"/>
        <v>33038.046543272736</v>
      </c>
      <c r="J79" s="13">
        <f t="shared" si="45"/>
        <v>34689.948870436368</v>
      </c>
      <c r="K79" s="13">
        <f t="shared" si="45"/>
        <v>36424.446313958186</v>
      </c>
      <c r="L79" s="13">
        <f t="shared" si="45"/>
        <v>38245.668629656095</v>
      </c>
      <c r="M79" s="13">
        <f t="shared" si="45"/>
        <v>40157.952061138902</v>
      </c>
      <c r="N79" s="13">
        <f t="shared" si="45"/>
        <v>42165.849664195848</v>
      </c>
      <c r="O79" s="13">
        <f t="shared" si="45"/>
        <v>44274.142147405641</v>
      </c>
      <c r="P79" s="13">
        <f t="shared" si="45"/>
        <v>46487.849254775916</v>
      </c>
      <c r="Q79" s="13">
        <f t="shared" si="45"/>
        <v>48812.241717514713</v>
      </c>
      <c r="R79" s="13">
        <f t="shared" si="45"/>
        <v>51252.853803390441</v>
      </c>
      <c r="S79" s="13">
        <f t="shared" si="45"/>
        <v>53815.496493559956</v>
      </c>
      <c r="T79" s="13">
        <f t="shared" si="45"/>
        <v>56506.271318237952</v>
      </c>
    </row>
    <row r="82" spans="2:21" x14ac:dyDescent="0.25">
      <c r="B82" t="s">
        <v>90</v>
      </c>
    </row>
    <row r="83" spans="2:21" x14ac:dyDescent="0.25">
      <c r="B83" s="4" t="str">
        <f>+B35</f>
        <v>Noplat</v>
      </c>
      <c r="C83" s="4">
        <f t="shared" ref="C83:T83" si="46">+C35</f>
        <v>2400</v>
      </c>
      <c r="D83" s="4">
        <f t="shared" si="46"/>
        <v>2736</v>
      </c>
      <c r="E83" s="4">
        <f t="shared" si="46"/>
        <v>3023.2799999999997</v>
      </c>
      <c r="F83" s="4">
        <f t="shared" si="46"/>
        <v>3265.1423999999997</v>
      </c>
      <c r="G83" s="4">
        <f t="shared" si="46"/>
        <v>3461.0509439999996</v>
      </c>
      <c r="H83" s="4">
        <f t="shared" si="46"/>
        <v>3651.4087459199995</v>
      </c>
      <c r="I83" s="4">
        <f t="shared" si="46"/>
        <v>3852.2362269455994</v>
      </c>
      <c r="J83" s="4">
        <f t="shared" si="46"/>
        <v>4044.8480382928792</v>
      </c>
      <c r="K83" s="4">
        <f t="shared" si="46"/>
        <v>4247.090440207523</v>
      </c>
      <c r="L83" s="4">
        <f t="shared" si="46"/>
        <v>4459.444962217899</v>
      </c>
      <c r="M83" s="4">
        <f t="shared" si="46"/>
        <v>4682.4172103287938</v>
      </c>
      <c r="N83" s="4">
        <f t="shared" si="46"/>
        <v>4916.5380708452331</v>
      </c>
      <c r="O83" s="4">
        <f t="shared" si="46"/>
        <v>5162.3649743874948</v>
      </c>
      <c r="P83" s="4">
        <f t="shared" si="46"/>
        <v>5420.4832231068694</v>
      </c>
      <c r="Q83" s="4">
        <f t="shared" si="46"/>
        <v>5691.5073842622132</v>
      </c>
      <c r="R83" s="4">
        <f t="shared" si="46"/>
        <v>5976.0827534753244</v>
      </c>
      <c r="S83" s="4">
        <f t="shared" si="46"/>
        <v>6274.8868911490908</v>
      </c>
      <c r="T83" s="4">
        <f t="shared" si="46"/>
        <v>6588.6312357065453</v>
      </c>
    </row>
    <row r="84" spans="2:21" x14ac:dyDescent="0.25">
      <c r="B84" s="4" t="str">
        <f>+B63</f>
        <v>IC boy</v>
      </c>
      <c r="C84" s="4">
        <f t="shared" ref="C84:T84" si="47">+C63</f>
        <v>15000</v>
      </c>
      <c r="D84" s="4">
        <f t="shared" si="47"/>
        <v>16920</v>
      </c>
      <c r="E84" s="4">
        <f t="shared" si="47"/>
        <v>18609.882352941175</v>
      </c>
      <c r="F84" s="4">
        <f t="shared" si="47"/>
        <v>20075.7150802139</v>
      </c>
      <c r="G84" s="4">
        <f t="shared" si="47"/>
        <v>21300.143480213901</v>
      </c>
      <c r="H84" s="4">
        <f t="shared" si="47"/>
        <v>22569.1954930139</v>
      </c>
      <c r="I84" s="4">
        <f t="shared" si="47"/>
        <v>24291.558109013899</v>
      </c>
      <c r="J84" s="4">
        <f t="shared" si="47"/>
        <v>25943.460436177535</v>
      </c>
      <c r="K84" s="4">
        <f t="shared" si="47"/>
        <v>27677.957879699352</v>
      </c>
      <c r="L84" s="4">
        <f t="shared" si="47"/>
        <v>29499.180195397261</v>
      </c>
      <c r="M84" s="4">
        <f t="shared" si="47"/>
        <v>31411.463626880064</v>
      </c>
      <c r="N84" s="4">
        <f t="shared" si="47"/>
        <v>33419.361229937007</v>
      </c>
      <c r="O84" s="4">
        <f t="shared" si="47"/>
        <v>35527.653713146799</v>
      </c>
      <c r="P84" s="4">
        <f t="shared" si="47"/>
        <v>37741.360820517082</v>
      </c>
      <c r="Q84" s="4">
        <f t="shared" si="47"/>
        <v>40065.753283255879</v>
      </c>
      <c r="R84" s="4">
        <f t="shared" si="47"/>
        <v>42506.365369131614</v>
      </c>
      <c r="S84" s="4">
        <f t="shared" si="47"/>
        <v>45069.008059301137</v>
      </c>
      <c r="T84" s="4">
        <f t="shared" si="47"/>
        <v>47759.782883979133</v>
      </c>
    </row>
    <row r="85" spans="2:21" x14ac:dyDescent="0.25">
      <c r="B85" s="3" t="str">
        <f>+B29</f>
        <v>WACC=rA-D/V*rD*t</v>
      </c>
      <c r="C85" s="3">
        <f t="shared" ref="C85:T85" si="48">+C29</f>
        <v>0.12</v>
      </c>
      <c r="D85" s="3">
        <f t="shared" si="48"/>
        <v>0.11936999999999999</v>
      </c>
      <c r="E85" s="3">
        <f t="shared" si="48"/>
        <v>0.11864999999999999</v>
      </c>
      <c r="F85" s="3">
        <f t="shared" si="48"/>
        <v>0.11767999999999999</v>
      </c>
      <c r="G85" s="3">
        <f t="shared" si="48"/>
        <v>0.11677</v>
      </c>
      <c r="H85" s="3">
        <f t="shared" si="48"/>
        <v>0.1166</v>
      </c>
      <c r="I85" s="3">
        <f t="shared" si="48"/>
        <v>0.1166</v>
      </c>
      <c r="J85" s="3">
        <f t="shared" si="48"/>
        <v>0.1166</v>
      </c>
      <c r="K85" s="3">
        <f t="shared" si="48"/>
        <v>0.1166</v>
      </c>
      <c r="L85" s="3">
        <f t="shared" si="48"/>
        <v>0.1166</v>
      </c>
      <c r="M85" s="3">
        <f t="shared" si="48"/>
        <v>0.1166</v>
      </c>
      <c r="N85" s="3">
        <f t="shared" si="48"/>
        <v>0.1166</v>
      </c>
      <c r="O85" s="3">
        <f t="shared" si="48"/>
        <v>0.1166</v>
      </c>
      <c r="P85" s="3">
        <f t="shared" si="48"/>
        <v>0.1166</v>
      </c>
      <c r="Q85" s="3">
        <f t="shared" si="48"/>
        <v>0.1166</v>
      </c>
      <c r="R85" s="3">
        <f t="shared" si="48"/>
        <v>0.1166</v>
      </c>
      <c r="S85" s="3">
        <f t="shared" si="48"/>
        <v>0.1166</v>
      </c>
      <c r="T85" s="3">
        <f t="shared" si="48"/>
        <v>0.1166</v>
      </c>
    </row>
    <row r="86" spans="2:21" x14ac:dyDescent="0.25">
      <c r="B86" t="s">
        <v>91</v>
      </c>
      <c r="C86" s="4">
        <f>+C84*C85</f>
        <v>1800</v>
      </c>
      <c r="D86" s="4">
        <f>+D84*D85</f>
        <v>2019.7403999999999</v>
      </c>
      <c r="E86" s="4">
        <f t="shared" ref="E86:T86" si="49">+E84*E85</f>
        <v>2208.0625411764704</v>
      </c>
      <c r="F86" s="4">
        <f t="shared" si="49"/>
        <v>2362.5101506395717</v>
      </c>
      <c r="G86" s="4">
        <f t="shared" si="49"/>
        <v>2487.2177541845772</v>
      </c>
      <c r="H86" s="4">
        <f t="shared" si="49"/>
        <v>2631.5681944854205</v>
      </c>
      <c r="I86" s="4">
        <f t="shared" si="49"/>
        <v>2832.3956755110203</v>
      </c>
      <c r="J86" s="4">
        <f t="shared" si="49"/>
        <v>3025.0074868583006</v>
      </c>
      <c r="K86" s="4">
        <f t="shared" si="49"/>
        <v>3227.2498887729444</v>
      </c>
      <c r="L86" s="4">
        <f t="shared" si="49"/>
        <v>3439.6044107833204</v>
      </c>
      <c r="M86" s="4">
        <f t="shared" si="49"/>
        <v>3662.5766588942151</v>
      </c>
      <c r="N86" s="4">
        <f t="shared" si="49"/>
        <v>3896.6975194106549</v>
      </c>
      <c r="O86" s="4">
        <f t="shared" si="49"/>
        <v>4142.5244229529162</v>
      </c>
      <c r="P86" s="4">
        <f t="shared" si="49"/>
        <v>4400.6426716722917</v>
      </c>
      <c r="Q86" s="4">
        <f t="shared" si="49"/>
        <v>4671.6668328276355</v>
      </c>
      <c r="R86" s="4">
        <f t="shared" si="49"/>
        <v>4956.2422020407457</v>
      </c>
      <c r="S86" s="4">
        <f t="shared" si="49"/>
        <v>5255.0463397145122</v>
      </c>
      <c r="T86" s="4">
        <f t="shared" si="49"/>
        <v>5568.7906842719667</v>
      </c>
    </row>
    <row r="87" spans="2:21" x14ac:dyDescent="0.25">
      <c r="B87" t="s">
        <v>90</v>
      </c>
      <c r="C87" s="4">
        <f>+C83-C86</f>
        <v>600</v>
      </c>
      <c r="D87" s="4">
        <f>+D83-D86</f>
        <v>716.25960000000009</v>
      </c>
      <c r="E87" s="4">
        <f t="shared" ref="E87:T87" si="50">+E83-E86</f>
        <v>815.21745882352934</v>
      </c>
      <c r="F87" s="4">
        <f t="shared" si="50"/>
        <v>902.63224936042798</v>
      </c>
      <c r="G87" s="4">
        <f t="shared" si="50"/>
        <v>973.83318981542243</v>
      </c>
      <c r="H87" s="4">
        <f t="shared" si="50"/>
        <v>1019.8405514345791</v>
      </c>
      <c r="I87" s="4">
        <f t="shared" si="50"/>
        <v>1019.8405514345791</v>
      </c>
      <c r="J87" s="4">
        <f t="shared" si="50"/>
        <v>1019.8405514345786</v>
      </c>
      <c r="K87" s="4">
        <f t="shared" si="50"/>
        <v>1019.8405514345786</v>
      </c>
      <c r="L87" s="4">
        <f t="shared" si="50"/>
        <v>1019.8405514345786</v>
      </c>
      <c r="M87" s="4">
        <f t="shared" si="50"/>
        <v>1019.8405514345786</v>
      </c>
      <c r="N87" s="4">
        <f t="shared" si="50"/>
        <v>1019.8405514345782</v>
      </c>
      <c r="O87" s="4">
        <f t="shared" si="50"/>
        <v>1019.8405514345786</v>
      </c>
      <c r="P87" s="4">
        <f t="shared" si="50"/>
        <v>1019.8405514345777</v>
      </c>
      <c r="Q87" s="4">
        <f t="shared" si="50"/>
        <v>1019.8405514345777</v>
      </c>
      <c r="R87" s="4">
        <f t="shared" si="50"/>
        <v>1019.8405514345786</v>
      </c>
      <c r="S87" s="4">
        <f t="shared" si="50"/>
        <v>1019.8405514345786</v>
      </c>
      <c r="T87" s="4">
        <f t="shared" si="50"/>
        <v>1019.8405514345786</v>
      </c>
      <c r="U87" s="4"/>
    </row>
    <row r="88" spans="2:21" x14ac:dyDescent="0.25">
      <c r="B88" t="s">
        <v>92</v>
      </c>
      <c r="C88" s="4">
        <f t="shared" ref="C88:R88" si="51">+(C87+D88)/(1+C85)</f>
        <v>7816.9826161671144</v>
      </c>
      <c r="D88" s="4">
        <f t="shared" si="51"/>
        <v>8155.0205301071683</v>
      </c>
      <c r="E88" s="4">
        <f t="shared" si="51"/>
        <v>8412.2257307860618</v>
      </c>
      <c r="F88" s="4">
        <f t="shared" si="51"/>
        <v>8595.118854920298</v>
      </c>
      <c r="G88" s="4">
        <f t="shared" si="51"/>
        <v>8703.9601924068902</v>
      </c>
      <c r="H88" s="4">
        <f t="shared" si="51"/>
        <v>8746.4884342588193</v>
      </c>
      <c r="I88" s="4">
        <f t="shared" si="51"/>
        <v>8746.4884342588193</v>
      </c>
      <c r="J88" s="4">
        <f t="shared" si="51"/>
        <v>8746.4884342588193</v>
      </c>
      <c r="K88" s="4">
        <f t="shared" si="51"/>
        <v>8746.4884342588193</v>
      </c>
      <c r="L88" s="4">
        <f t="shared" si="51"/>
        <v>8746.4884342588193</v>
      </c>
      <c r="M88" s="4">
        <f t="shared" si="51"/>
        <v>8746.4884342588193</v>
      </c>
      <c r="N88" s="4">
        <f t="shared" si="51"/>
        <v>8746.4884342588193</v>
      </c>
      <c r="O88" s="4">
        <f t="shared" si="51"/>
        <v>8746.4884342588193</v>
      </c>
      <c r="P88" s="4">
        <f t="shared" si="51"/>
        <v>8746.4884342588193</v>
      </c>
      <c r="Q88" s="4">
        <f t="shared" si="51"/>
        <v>8746.4884342588193</v>
      </c>
      <c r="R88" s="4">
        <f t="shared" si="51"/>
        <v>8746.4884342588193</v>
      </c>
      <c r="S88" s="4">
        <f>+(S87+T88)/(1+S85)</f>
        <v>8746.4884342588193</v>
      </c>
      <c r="T88" s="14">
        <f>+T79-T84</f>
        <v>8746.4884342588193</v>
      </c>
      <c r="U88" s="4">
        <f>+T87/T85+U36*(V22-V29)/V29/(V29-W23)</f>
        <v>8746.488434258823</v>
      </c>
    </row>
    <row r="89" spans="2:21" x14ac:dyDescent="0.25">
      <c r="B89" s="12" t="s">
        <v>19</v>
      </c>
      <c r="C89" s="13">
        <f>+C88+C84</f>
        <v>22816.982616167115</v>
      </c>
      <c r="D89" s="13">
        <f t="shared" ref="D89:T89" si="52">+D88+D84</f>
        <v>25075.020530107169</v>
      </c>
      <c r="E89" s="13">
        <f t="shared" si="52"/>
        <v>27022.108083727238</v>
      </c>
      <c r="F89" s="13">
        <f t="shared" si="52"/>
        <v>28670.8339351342</v>
      </c>
      <c r="G89" s="13">
        <f t="shared" si="52"/>
        <v>30004.103672620789</v>
      </c>
      <c r="H89" s="13">
        <f t="shared" si="52"/>
        <v>31315.683927272719</v>
      </c>
      <c r="I89" s="13">
        <f t="shared" si="52"/>
        <v>33038.046543272721</v>
      </c>
      <c r="J89" s="13">
        <f t="shared" si="52"/>
        <v>34689.948870436354</v>
      </c>
      <c r="K89" s="13">
        <f t="shared" si="52"/>
        <v>36424.446313958171</v>
      </c>
      <c r="L89" s="13">
        <f t="shared" si="52"/>
        <v>38245.66862965608</v>
      </c>
      <c r="M89" s="13">
        <f t="shared" si="52"/>
        <v>40157.952061138887</v>
      </c>
      <c r="N89" s="13">
        <f t="shared" si="52"/>
        <v>42165.849664195826</v>
      </c>
      <c r="O89" s="13">
        <f t="shared" si="52"/>
        <v>44274.142147405619</v>
      </c>
      <c r="P89" s="13">
        <f t="shared" si="52"/>
        <v>46487.849254775901</v>
      </c>
      <c r="Q89" s="13">
        <f t="shared" si="52"/>
        <v>48812.241717514698</v>
      </c>
      <c r="R89" s="13">
        <f t="shared" si="52"/>
        <v>51252.853803390433</v>
      </c>
      <c r="S89" s="13">
        <f t="shared" si="52"/>
        <v>53815.496493559956</v>
      </c>
      <c r="T89" s="13">
        <f t="shared" si="52"/>
        <v>56506.271318237952</v>
      </c>
    </row>
    <row r="92" spans="2:21" x14ac:dyDescent="0.25">
      <c r="B92" t="s">
        <v>93</v>
      </c>
    </row>
    <row r="93" spans="2:21" x14ac:dyDescent="0.25">
      <c r="B93" t="str">
        <f>+B51</f>
        <v>PAT</v>
      </c>
      <c r="C93" s="4">
        <f t="shared" ref="C93:R93" si="53">+C51</f>
        <v>2400</v>
      </c>
      <c r="D93" s="4">
        <f t="shared" si="53"/>
        <v>2672.8109482641298</v>
      </c>
      <c r="E93" s="4">
        <f t="shared" si="53"/>
        <v>2877.3606163478726</v>
      </c>
      <c r="F93" s="4">
        <f t="shared" si="53"/>
        <v>2999.0770610819541</v>
      </c>
      <c r="G93" s="4">
        <f t="shared" si="53"/>
        <v>3073.3979245497389</v>
      </c>
      <c r="H93" s="4">
        <f t="shared" si="53"/>
        <v>3225.5154445090907</v>
      </c>
      <c r="I93" s="4">
        <f t="shared" si="53"/>
        <v>3402.9187939570902</v>
      </c>
      <c r="J93" s="4">
        <f t="shared" si="53"/>
        <v>3573.0647336549446</v>
      </c>
      <c r="K93" s="4">
        <f t="shared" si="53"/>
        <v>3751.7179703376919</v>
      </c>
      <c r="L93" s="4">
        <f t="shared" si="53"/>
        <v>3939.3038688545762</v>
      </c>
      <c r="M93" s="4">
        <f t="shared" si="53"/>
        <v>4136.269062297305</v>
      </c>
      <c r="N93" s="4">
        <f t="shared" si="53"/>
        <v>4343.0825154121694</v>
      </c>
      <c r="O93" s="4">
        <f t="shared" si="53"/>
        <v>4560.2366411827779</v>
      </c>
      <c r="P93" s="4">
        <f t="shared" si="53"/>
        <v>4788.2484732419171</v>
      </c>
      <c r="Q93" s="4">
        <f t="shared" si="53"/>
        <v>5027.6608969040126</v>
      </c>
      <c r="R93" s="4">
        <f t="shared" si="53"/>
        <v>5279.0439417492144</v>
      </c>
    </row>
    <row r="94" spans="2:21" x14ac:dyDescent="0.25">
      <c r="B94" t="str">
        <f>+B65</f>
        <v>BV E boy</v>
      </c>
      <c r="C94" s="4">
        <f t="shared" ref="C94:R94" si="54">+C65</f>
        <v>15000</v>
      </c>
      <c r="D94" s="4">
        <f t="shared" si="54"/>
        <v>15791.624076145177</v>
      </c>
      <c r="E94" s="4">
        <f t="shared" si="54"/>
        <v>16177.892625405724</v>
      </c>
      <c r="F94" s="4">
        <f t="shared" si="54"/>
        <v>15918.444159619445</v>
      </c>
      <c r="G94" s="4">
        <f t="shared" si="54"/>
        <v>15599.363782415954</v>
      </c>
      <c r="H94" s="4">
        <f t="shared" si="54"/>
        <v>16306.058707559358</v>
      </c>
      <c r="I94" s="4">
        <f t="shared" si="54"/>
        <v>17683.948800359358</v>
      </c>
      <c r="J94" s="4">
        <f t="shared" si="54"/>
        <v>19005.470662090265</v>
      </c>
      <c r="K94" s="4">
        <f t="shared" si="54"/>
        <v>20393.06861690772</v>
      </c>
      <c r="L94" s="4">
        <f t="shared" si="54"/>
        <v>21850.046469466048</v>
      </c>
      <c r="M94" s="4">
        <f t="shared" si="54"/>
        <v>23379.873214652289</v>
      </c>
      <c r="N94" s="4">
        <f t="shared" si="54"/>
        <v>24986.191297097845</v>
      </c>
      <c r="O94" s="4">
        <f t="shared" si="54"/>
        <v>26672.825283665676</v>
      </c>
      <c r="P94" s="4">
        <f t="shared" si="54"/>
        <v>28443.790969561902</v>
      </c>
      <c r="Q94" s="4">
        <f t="shared" si="54"/>
        <v>30303.304939752939</v>
      </c>
      <c r="R94" s="4">
        <f t="shared" si="54"/>
        <v>32255.794608453529</v>
      </c>
    </row>
    <row r="95" spans="2:21" x14ac:dyDescent="0.25">
      <c r="B95" s="3" t="str">
        <f>+B28</f>
        <v>rE=(rA-D/V*rD)/(1-D/V)</v>
      </c>
      <c r="C95" s="3">
        <f t="shared" ref="C95:R95" si="55">+C28</f>
        <v>0.12</v>
      </c>
      <c r="D95" s="3">
        <f t="shared" si="55"/>
        <v>0.12235602094240838</v>
      </c>
      <c r="E95" s="3">
        <f t="shared" si="55"/>
        <v>0.12445054945054944</v>
      </c>
      <c r="F95" s="3">
        <f t="shared" si="55"/>
        <v>0.12678362573099414</v>
      </c>
      <c r="G95" s="3">
        <f t="shared" si="55"/>
        <v>0.12820987654320987</v>
      </c>
      <c r="H95" s="3">
        <f t="shared" si="55"/>
        <v>0.12874999999999998</v>
      </c>
      <c r="I95" s="3">
        <f t="shared" si="55"/>
        <v>0.12874999999999998</v>
      </c>
      <c r="J95" s="3">
        <f t="shared" si="55"/>
        <v>0.12874999999999998</v>
      </c>
      <c r="K95" s="3">
        <f t="shared" si="55"/>
        <v>0.12874999999999998</v>
      </c>
      <c r="L95" s="3">
        <f t="shared" si="55"/>
        <v>0.12874999999999998</v>
      </c>
      <c r="M95" s="3">
        <f t="shared" si="55"/>
        <v>0.12874999999999998</v>
      </c>
      <c r="N95" s="3">
        <f t="shared" si="55"/>
        <v>0.12874999999999998</v>
      </c>
      <c r="O95" s="3">
        <f t="shared" si="55"/>
        <v>0.12874999999999998</v>
      </c>
      <c r="P95" s="3">
        <f t="shared" si="55"/>
        <v>0.12874999999999998</v>
      </c>
      <c r="Q95" s="3">
        <f t="shared" si="55"/>
        <v>0.12874999999999998</v>
      </c>
      <c r="R95" s="3">
        <f t="shared" si="55"/>
        <v>0.12874999999999998</v>
      </c>
    </row>
    <row r="96" spans="2:21" x14ac:dyDescent="0.25">
      <c r="B96" t="s">
        <v>94</v>
      </c>
      <c r="C96" s="4">
        <f>+C94*C95</f>
        <v>1800</v>
      </c>
      <c r="D96" s="4">
        <f t="shared" ref="D96:R96" si="56">+D94*D95</f>
        <v>1932.2002861754597</v>
      </c>
      <c r="E96" s="4">
        <f t="shared" si="56"/>
        <v>2013.3476261837341</v>
      </c>
      <c r="F96" s="4">
        <f t="shared" si="56"/>
        <v>2018.1980665529211</v>
      </c>
      <c r="G96" s="4">
        <f t="shared" si="56"/>
        <v>1999.9925046961687</v>
      </c>
      <c r="H96" s="4">
        <f t="shared" si="56"/>
        <v>2099.4050585982668</v>
      </c>
      <c r="I96" s="4">
        <f t="shared" si="56"/>
        <v>2276.8084080462668</v>
      </c>
      <c r="J96" s="4">
        <f t="shared" si="56"/>
        <v>2446.9543477441212</v>
      </c>
      <c r="K96" s="4">
        <f t="shared" si="56"/>
        <v>2625.6075844268685</v>
      </c>
      <c r="L96" s="4">
        <f t="shared" si="56"/>
        <v>2813.1934829437532</v>
      </c>
      <c r="M96" s="4">
        <f t="shared" si="56"/>
        <v>3010.1586763864816</v>
      </c>
      <c r="N96" s="4">
        <f t="shared" si="56"/>
        <v>3216.9721295013469</v>
      </c>
      <c r="O96" s="4">
        <f t="shared" si="56"/>
        <v>3434.126255271955</v>
      </c>
      <c r="P96" s="4">
        <f t="shared" si="56"/>
        <v>3662.1380873310941</v>
      </c>
      <c r="Q96" s="4">
        <f t="shared" si="56"/>
        <v>3901.5505109931901</v>
      </c>
      <c r="R96" s="4">
        <f t="shared" si="56"/>
        <v>4152.9335558383909</v>
      </c>
    </row>
    <row r="97" spans="2:19" x14ac:dyDescent="0.25">
      <c r="B97" t="s">
        <v>95</v>
      </c>
      <c r="C97" s="4">
        <f>+C93-C96</f>
        <v>600</v>
      </c>
      <c r="D97" s="4">
        <f t="shared" ref="D97:R97" si="57">+D93-D96</f>
        <v>740.6106620886701</v>
      </c>
      <c r="E97" s="4">
        <f t="shared" si="57"/>
        <v>864.0129901641385</v>
      </c>
      <c r="F97" s="4">
        <f t="shared" si="57"/>
        <v>980.87899452903298</v>
      </c>
      <c r="G97" s="4">
        <f t="shared" si="57"/>
        <v>1073.4054198535703</v>
      </c>
      <c r="H97" s="4">
        <f t="shared" si="57"/>
        <v>1126.1103859108239</v>
      </c>
      <c r="I97" s="4">
        <f t="shared" si="57"/>
        <v>1126.1103859108234</v>
      </c>
      <c r="J97" s="4">
        <f t="shared" si="57"/>
        <v>1126.1103859108234</v>
      </c>
      <c r="K97" s="4">
        <f t="shared" si="57"/>
        <v>1126.1103859108234</v>
      </c>
      <c r="L97" s="4">
        <f t="shared" si="57"/>
        <v>1126.110385910823</v>
      </c>
      <c r="M97" s="4">
        <f t="shared" si="57"/>
        <v>1126.1103859108234</v>
      </c>
      <c r="N97" s="4">
        <f t="shared" si="57"/>
        <v>1126.1103859108225</v>
      </c>
      <c r="O97" s="4">
        <f t="shared" si="57"/>
        <v>1126.110385910823</v>
      </c>
      <c r="P97" s="4">
        <f t="shared" si="57"/>
        <v>1126.110385910823</v>
      </c>
      <c r="Q97" s="4">
        <f t="shared" si="57"/>
        <v>1126.1103859108225</v>
      </c>
      <c r="R97" s="4">
        <f t="shared" si="57"/>
        <v>1126.1103859108234</v>
      </c>
    </row>
    <row r="98" spans="2:19" x14ac:dyDescent="0.25">
      <c r="B98" t="s">
        <v>96</v>
      </c>
      <c r="C98" s="4">
        <f t="shared" ref="C98:P98" si="58">+(C97+D98)/(1+C95)</f>
        <v>7816.9826161671181</v>
      </c>
      <c r="D98" s="4">
        <f t="shared" si="58"/>
        <v>8155.0205301071719</v>
      </c>
      <c r="E98" s="4">
        <f t="shared" si="58"/>
        <v>8412.2257307860655</v>
      </c>
      <c r="F98" s="4">
        <f t="shared" si="58"/>
        <v>8595.1188549203034</v>
      </c>
      <c r="G98" s="4">
        <f t="shared" si="58"/>
        <v>8703.9601924068975</v>
      </c>
      <c r="H98" s="4">
        <f t="shared" si="58"/>
        <v>8746.4884342588284</v>
      </c>
      <c r="I98" s="4">
        <f t="shared" si="58"/>
        <v>8746.4884342588266</v>
      </c>
      <c r="J98" s="4">
        <f t="shared" si="58"/>
        <v>8746.4884342588266</v>
      </c>
      <c r="K98" s="4">
        <f t="shared" si="58"/>
        <v>8746.4884342588266</v>
      </c>
      <c r="L98" s="4">
        <f t="shared" si="58"/>
        <v>8746.4884342588266</v>
      </c>
      <c r="M98" s="4">
        <f t="shared" si="58"/>
        <v>8746.4884342588266</v>
      </c>
      <c r="N98" s="4">
        <f t="shared" si="58"/>
        <v>8746.4884342588266</v>
      </c>
      <c r="O98" s="4">
        <f t="shared" si="58"/>
        <v>8746.4884342588266</v>
      </c>
      <c r="P98" s="4">
        <f t="shared" si="58"/>
        <v>8746.4884342588266</v>
      </c>
      <c r="Q98" s="4">
        <f>+(Q97+R98)/(1+Q95)</f>
        <v>8746.4884342588266</v>
      </c>
      <c r="R98" s="14">
        <f>+R77-R94</f>
        <v>8746.4884342588266</v>
      </c>
      <c r="S98" t="s">
        <v>97</v>
      </c>
    </row>
    <row r="99" spans="2:19" x14ac:dyDescent="0.25">
      <c r="B99" t="s">
        <v>89</v>
      </c>
      <c r="C99" s="4">
        <f>+C98+C94</f>
        <v>22816.982616167119</v>
      </c>
      <c r="D99" s="4">
        <f t="shared" ref="D99:R99" si="59">+D98+D94</f>
        <v>23946.64460625235</v>
      </c>
      <c r="E99" s="4">
        <f t="shared" si="59"/>
        <v>24590.11835619179</v>
      </c>
      <c r="F99" s="4">
        <f t="shared" si="59"/>
        <v>24513.563014539748</v>
      </c>
      <c r="G99" s="4">
        <f t="shared" si="59"/>
        <v>24303.323974822852</v>
      </c>
      <c r="H99" s="4">
        <f t="shared" si="59"/>
        <v>25052.547141818184</v>
      </c>
      <c r="I99" s="4">
        <f t="shared" si="59"/>
        <v>26430.437234618184</v>
      </c>
      <c r="J99" s="4">
        <f t="shared" si="59"/>
        <v>27751.959096349092</v>
      </c>
      <c r="K99" s="4">
        <f t="shared" si="59"/>
        <v>29139.557051166546</v>
      </c>
      <c r="L99" s="4">
        <f t="shared" si="59"/>
        <v>30596.534903724874</v>
      </c>
      <c r="M99" s="4">
        <f t="shared" si="59"/>
        <v>32126.361648911115</v>
      </c>
      <c r="N99" s="4">
        <f t="shared" si="59"/>
        <v>33732.679731356671</v>
      </c>
      <c r="O99" s="4">
        <f t="shared" si="59"/>
        <v>35419.313717924502</v>
      </c>
      <c r="P99" s="4">
        <f t="shared" si="59"/>
        <v>37190.279403820728</v>
      </c>
      <c r="Q99" s="4">
        <f t="shared" si="59"/>
        <v>39049.793374011766</v>
      </c>
      <c r="R99" s="4">
        <f t="shared" si="59"/>
        <v>41002.283042712355</v>
      </c>
    </row>
    <row r="100" spans="2:19" x14ac:dyDescent="0.25">
      <c r="B100" s="4" t="str">
        <f>+B78</f>
        <v>D boy</v>
      </c>
      <c r="C100" s="4">
        <f>+C78</f>
        <v>0</v>
      </c>
      <c r="D100" s="4">
        <f t="shared" ref="D100:R100" si="60">+D78</f>
        <v>1128.3759238548221</v>
      </c>
      <c r="E100" s="4">
        <f t="shared" si="60"/>
        <v>2431.9897275354501</v>
      </c>
      <c r="F100" s="4">
        <f t="shared" si="60"/>
        <v>4157.2709205944566</v>
      </c>
      <c r="G100" s="4">
        <f t="shared" si="60"/>
        <v>5700.7796977979469</v>
      </c>
      <c r="H100" s="4">
        <f t="shared" si="60"/>
        <v>6263.1367854545415</v>
      </c>
      <c r="I100" s="4">
        <f t="shared" si="60"/>
        <v>6607.6093086545407</v>
      </c>
      <c r="J100" s="4">
        <f t="shared" si="60"/>
        <v>6937.9897740872684</v>
      </c>
      <c r="K100" s="4">
        <f t="shared" si="60"/>
        <v>7284.8892627916321</v>
      </c>
      <c r="L100" s="4">
        <f t="shared" si="60"/>
        <v>7649.1337259312131</v>
      </c>
      <c r="M100" s="4">
        <f t="shared" si="60"/>
        <v>8031.5904122277752</v>
      </c>
      <c r="N100" s="4">
        <f t="shared" si="60"/>
        <v>8433.1699328391642</v>
      </c>
      <c r="O100" s="4">
        <f t="shared" si="60"/>
        <v>8854.8284294811219</v>
      </c>
      <c r="P100" s="4">
        <f t="shared" si="60"/>
        <v>9297.5698509551785</v>
      </c>
      <c r="Q100" s="4">
        <f t="shared" si="60"/>
        <v>9762.4483435029379</v>
      </c>
      <c r="R100" s="4">
        <f t="shared" si="60"/>
        <v>10250.570760678085</v>
      </c>
    </row>
    <row r="101" spans="2:19" x14ac:dyDescent="0.25">
      <c r="B101" s="12" t="s">
        <v>19</v>
      </c>
      <c r="C101" s="13">
        <f>+C99+C100</f>
        <v>22816.982616167119</v>
      </c>
      <c r="D101" s="13">
        <f t="shared" ref="D101:R101" si="61">+D99+D100</f>
        <v>25075.020530107173</v>
      </c>
      <c r="E101" s="13">
        <f t="shared" si="61"/>
        <v>27022.108083727238</v>
      </c>
      <c r="F101" s="13">
        <f t="shared" si="61"/>
        <v>28670.833935134204</v>
      </c>
      <c r="G101" s="13">
        <f t="shared" si="61"/>
        <v>30004.103672620797</v>
      </c>
      <c r="H101" s="13">
        <f t="shared" si="61"/>
        <v>31315.683927272727</v>
      </c>
      <c r="I101" s="13">
        <f t="shared" si="61"/>
        <v>33038.046543272721</v>
      </c>
      <c r="J101" s="13">
        <f t="shared" si="61"/>
        <v>34689.948870436361</v>
      </c>
      <c r="K101" s="13">
        <f t="shared" si="61"/>
        <v>36424.446313958179</v>
      </c>
      <c r="L101" s="13">
        <f t="shared" si="61"/>
        <v>38245.668629656087</v>
      </c>
      <c r="M101" s="13">
        <f t="shared" si="61"/>
        <v>40157.952061138887</v>
      </c>
      <c r="N101" s="13">
        <f t="shared" si="61"/>
        <v>42165.849664195834</v>
      </c>
      <c r="O101" s="13">
        <f t="shared" si="61"/>
        <v>44274.142147405626</v>
      </c>
      <c r="P101" s="13">
        <f t="shared" si="61"/>
        <v>46487.849254775909</v>
      </c>
      <c r="Q101" s="13">
        <f t="shared" si="61"/>
        <v>48812.241717514706</v>
      </c>
      <c r="R101" s="13">
        <f t="shared" si="61"/>
        <v>51252.853803390441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Case</vt:lpstr>
      <vt:lpstr>Task2</vt:lpstr>
      <vt:lpstr>Task3 base</vt:lpstr>
      <vt:lpstr>Task3 base (2)</vt:lpstr>
      <vt:lpstr>Task4</vt:lpstr>
      <vt:lpstr>ROIC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Juhász</dc:creator>
  <cp:lastModifiedBy>Juhász Péter</cp:lastModifiedBy>
  <dcterms:created xsi:type="dcterms:W3CDTF">2023-11-05T11:18:39Z</dcterms:created>
  <dcterms:modified xsi:type="dcterms:W3CDTF">2024-11-18T17:55:16Z</dcterms:modified>
</cp:coreProperties>
</file>