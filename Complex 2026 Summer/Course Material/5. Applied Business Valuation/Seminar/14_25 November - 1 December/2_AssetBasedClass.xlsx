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Aktualis\2024ősz\Applied Business Valuation\Week4\"/>
    </mc:Choice>
  </mc:AlternateContent>
  <xr:revisionPtr revIDLastSave="0" documentId="13_ncr:1_{6940A050-52DC-432D-9443-5FA4E82B5F4F}" xr6:coauthVersionLast="47" xr6:coauthVersionMax="47" xr10:uidLastSave="{00000000-0000-0000-0000-000000000000}"/>
  <bookViews>
    <workbookView xWindow="-120" yWindow="-120" windowWidth="19440" windowHeight="14880" xr2:uid="{CA320408-6273-4D77-A4E8-34B65CD1653A}"/>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60" i="1" l="1"/>
  <c r="H59" i="1"/>
  <c r="H58" i="1"/>
  <c r="H57" i="1"/>
  <c r="H56" i="1"/>
  <c r="H55" i="1"/>
  <c r="H54" i="1"/>
  <c r="H53" i="1"/>
  <c r="H52" i="1"/>
  <c r="H44" i="1"/>
  <c r="H42" i="1"/>
  <c r="H41" i="1"/>
  <c r="J40" i="1"/>
  <c r="H40" i="1"/>
  <c r="H39" i="1"/>
  <c r="H38" i="1"/>
  <c r="H37" i="1"/>
  <c r="H36" i="1"/>
  <c r="H35" i="1"/>
  <c r="H34" i="1"/>
  <c r="H33" i="1"/>
  <c r="K28" i="1"/>
  <c r="K25" i="1"/>
  <c r="K22" i="1"/>
  <c r="H28" i="1"/>
  <c r="H27" i="1"/>
  <c r="H26" i="1"/>
  <c r="H25" i="1"/>
  <c r="H24" i="1"/>
  <c r="H23" i="1"/>
  <c r="H22" i="1"/>
  <c r="I13" i="1"/>
  <c r="H13" i="1"/>
  <c r="K10" i="1"/>
  <c r="K11" i="1" s="1"/>
  <c r="K9" i="1"/>
  <c r="H10" i="1"/>
  <c r="H11" i="1" s="1"/>
  <c r="H14" i="1" s="1"/>
  <c r="H3" i="1" s="1"/>
  <c r="H5" i="1" s="1"/>
</calcChain>
</file>

<file path=xl/sharedStrings.xml><?xml version="1.0" encoding="utf-8"?>
<sst xmlns="http://schemas.openxmlformats.org/spreadsheetml/2006/main" count="85" uniqueCount="63">
  <si>
    <t>Logistics</t>
  </si>
  <si>
    <t>Road</t>
  </si>
  <si>
    <t>Housing</t>
  </si>
  <si>
    <t>Offices</t>
  </si>
  <si>
    <t>Plot ratio</t>
  </si>
  <si>
    <t>Corporate tax rate</t>
  </si>
  <si>
    <t>rA logistics</t>
  </si>
  <si>
    <t>rA renting</t>
  </si>
  <si>
    <t>Real estate development</t>
  </si>
  <si>
    <t>Investment ratio</t>
  </si>
  <si>
    <t>Time need</t>
  </si>
  <si>
    <t>years</t>
  </si>
  <si>
    <t>General</t>
  </si>
  <si>
    <t>Sales price</t>
  </si>
  <si>
    <t>M HUF</t>
  </si>
  <si>
    <t>Useful lifetime</t>
  </si>
  <si>
    <t>Tax lifetime</t>
  </si>
  <si>
    <t>Rental income</t>
  </si>
  <si>
    <t>g</t>
  </si>
  <si>
    <t>Investment need</t>
  </si>
  <si>
    <t>Book value of real estate</t>
  </si>
  <si>
    <t>Expected rental fee</t>
  </si>
  <si>
    <t>EBITDA</t>
  </si>
  <si>
    <t>Debt</t>
  </si>
  <si>
    <t>EBITDA multiple</t>
  </si>
  <si>
    <t>rA real estate development</t>
  </si>
  <si>
    <t>EV/EBITDA</t>
  </si>
  <si>
    <t>EV</t>
  </si>
  <si>
    <t>Equity</t>
  </si>
  <si>
    <t>EBITDA*</t>
  </si>
  <si>
    <t>Mistake:</t>
  </si>
  <si>
    <t>Fee perp</t>
  </si>
  <si>
    <t>E*</t>
  </si>
  <si>
    <t>Equity*</t>
  </si>
  <si>
    <t>Tax</t>
  </si>
  <si>
    <t>PAT</t>
  </si>
  <si>
    <t>BV real estate</t>
  </si>
  <si>
    <t>Profit</t>
  </si>
  <si>
    <t>Price (income)</t>
  </si>
  <si>
    <t>dIC</t>
  </si>
  <si>
    <t>FCFF</t>
  </si>
  <si>
    <t>Inflow</t>
  </si>
  <si>
    <t>Outflow</t>
  </si>
  <si>
    <t>Direct CF</t>
  </si>
  <si>
    <t>Income</t>
  </si>
  <si>
    <t>Construction cost</t>
  </si>
  <si>
    <t>Selling</t>
  </si>
  <si>
    <t>Building</t>
  </si>
  <si>
    <t>FCFF* in2ys</t>
  </si>
  <si>
    <t>PV FCFF</t>
  </si>
  <si>
    <t>PV Rental fees</t>
  </si>
  <si>
    <t>Ag=C/(r-g)*(1-(1+g)^T/(1+r)^T)</t>
  </si>
  <si>
    <t>prepaid</t>
  </si>
  <si>
    <t>D&amp;A</t>
  </si>
  <si>
    <t>Building Book value</t>
  </si>
  <si>
    <t>TS D&amp;A</t>
  </si>
  <si>
    <t>PV TS</t>
  </si>
  <si>
    <t>V in 2y</t>
  </si>
  <si>
    <t>Construction costs</t>
  </si>
  <si>
    <t>CF in2y</t>
  </si>
  <si>
    <t>PV CF</t>
  </si>
  <si>
    <t>Sum Equity</t>
  </si>
  <si>
    <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</si>
</sst>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38"/>
      <scheme val="minor"/>
    </font>
    <font>
      <b/>
      <sz val="12"/>
      <color theme="1"/>
      <name val="Calibri"/>
      <family val="2"/>
      <charset val="238"/>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9" fontId="0" fillId="0" borderId="0" xfId="0" applyNumberFormat="1"/>
    <xf numFmtId="3" fontId="0" fillId="0" borderId="0" xfId="0" applyNumberFormat="1"/>
    <xf numFmtId="0" fontId="0" fillId="0" borderId="0" xfId="0" applyAlignment="1">
      <alignment horizontal="right"/>
    </xf>
    <xf numFmtId="0" fontId="1" fillId="2" borderId="0" xfId="0" applyFont="1" applyFill="1"/>
    <xf numFmtId="0" fontId="1" fillId="0" borderId="0" xfId="0" applyFont="1" applyAlignment="1">
      <alignment horizontal="right"/>
    </xf>
    <xf numFmtId="0" fontId="0" fillId="0" borderId="1" xfId="0" applyBorder="1"/>
    <xf numFmtId="0" fontId="0" fillId="0" borderId="2" xfId="0" applyBorder="1"/>
    <xf numFmtId="0" fontId="0" fillId="0" borderId="3" xfId="0" applyBorder="1"/>
    <xf numFmtId="0" fontId="0" fillId="0" borderId="4" xfId="0" applyBorder="1"/>
    <xf numFmtId="3" fontId="0" fillId="0" borderId="4" xfId="0" applyNumberFormat="1" applyBorder="1"/>
    <xf numFmtId="0" fontId="0" fillId="0" borderId="5" xfId="0" applyBorder="1"/>
    <xf numFmtId="0" fontId="0" fillId="0" borderId="6" xfId="0" applyBorder="1"/>
    <xf numFmtId="0" fontId="1" fillId="3" borderId="0" xfId="0" applyFont="1" applyFill="1"/>
    <xf numFmtId="4" fontId="0" fillId="0" borderId="0" xfId="0" applyNumberFormat="1"/>
    <xf numFmtId="4" fontId="1" fillId="3" borderId="0" xfId="0" applyNumberFormat="1" applyFont="1" applyFill="1"/>
    <xf numFmtId="0" fontId="1" fillId="0" borderId="0" xfId="0" applyFont="1"/>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92528</xdr:colOff>
      <xdr:row>1</xdr:row>
      <xdr:rowOff>174171</xdr:rowOff>
    </xdr:from>
    <xdr:to>
      <xdr:col>23</xdr:col>
      <xdr:colOff>680357</xdr:colOff>
      <xdr:row>37</xdr:row>
      <xdr:rowOff>10885</xdr:rowOff>
    </xdr:to>
    <xdr:sp macro="" textlink="">
      <xdr:nvSpPr>
        <xdr:cNvPr id="2" name="Szövegdoboz 1">
          <a:extLst>
            <a:ext uri="{FF2B5EF4-FFF2-40B4-BE49-F238E27FC236}">
              <a16:creationId xmlns:a16="http://schemas.microsoft.com/office/drawing/2014/main" id="{E2C24C2D-3DFC-BCC6-5D0D-75E3172240DB}"/>
            </a:ext>
          </a:extLst>
        </xdr:cNvPr>
        <xdr:cNvSpPr txBox="1"/>
      </xdr:nvSpPr>
      <xdr:spPr>
        <a:xfrm>
          <a:off x="9329057" y="375557"/>
          <a:ext cx="8948057" cy="708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An asset-based decision</a:t>
          </a:r>
          <a:endParaRPr lang="hu-HU" sz="1400">
            <a:solidFill>
              <a:schemeClr val="dk1"/>
            </a:solidFill>
            <a:effectLst/>
            <a:latin typeface="+mn-lt"/>
            <a:ea typeface="+mn-ea"/>
            <a:cs typeface="+mn-cs"/>
          </a:endParaRPr>
        </a:p>
        <a:p>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hu-HU" sz="1400" baseline="0">
              <a:solidFill>
                <a:schemeClr val="dk1"/>
              </a:solidFill>
              <a:effectLst/>
              <a:latin typeface="+mn-lt"/>
              <a:ea typeface="+mn-ea"/>
              <a:cs typeface="+mn-cs"/>
            </a:rPr>
            <a:t>  </a:t>
          </a:r>
          <a:r>
            <a:rPr lang="en-GB" sz="1400">
              <a:solidFill>
                <a:schemeClr val="dk1"/>
              </a:solidFill>
              <a:effectLst/>
              <a:latin typeface="+mn-lt"/>
              <a:ea typeface="+mn-ea"/>
              <a:cs typeface="+mn-cs"/>
            </a:rPr>
            <a:t>The WellBuilt Co. is specialised in real estate development and also acts as a main contractor for construction projects. They proved to be successful in a number of cases where they bought the construction sites of liquidated firms to build a resort or an office building. While looking for real estates with good opportunities they came across a former military base with a great view and a lot of old trees, in silent and elegant part of a medium sized city. The owner of the plot is CarryOn Ltd. that offers logistics and transportation services and could purchase the plot at a depressed price some years ago when the current main owner was major of the city. They use the old buildings as storage facilities while the huge open area in the middle of the complex serves as parking area for their trucks. An old office building houses the headquarter of the firm. (It is highly unusual in the industry that companies would own their real estates, rather most of them rent or lease.) </a:t>
          </a:r>
          <a:endParaRPr lang="hu-HU" sz="1400">
            <a:solidFill>
              <a:schemeClr val="dk1"/>
            </a:solidFill>
            <a:effectLst/>
            <a:latin typeface="+mn-lt"/>
            <a:ea typeface="+mn-ea"/>
            <a:cs typeface="+mn-cs"/>
          </a:endParaRPr>
        </a:p>
        <a:p>
          <a:pPr algn="just"/>
          <a:r>
            <a:rPr lang="hu-HU" sz="1400">
              <a:solidFill>
                <a:schemeClr val="dk1"/>
              </a:solidFill>
              <a:effectLst/>
              <a:latin typeface="+mn-lt"/>
              <a:ea typeface="+mn-ea"/>
              <a:cs typeface="+mn-cs"/>
            </a:rPr>
            <a:t>  </a:t>
          </a:r>
          <a:r>
            <a:rPr lang="en-GB" sz="1400">
              <a:solidFill>
                <a:schemeClr val="dk1"/>
              </a:solidFill>
              <a:effectLst/>
              <a:latin typeface="+mn-lt"/>
              <a:ea typeface="+mn-ea"/>
              <a:cs typeface="+mn-cs"/>
            </a:rPr>
            <a:t>The top management of the WellBuilt Co. decided to make a takeover offer on CarryOn. The current owner is anyway </a:t>
          </a:r>
          <a:r>
            <a:rPr lang="hu-HU" sz="1400">
              <a:solidFill>
                <a:schemeClr val="dk1"/>
              </a:solidFill>
              <a:effectLst/>
              <a:latin typeface="+mn-lt"/>
              <a:ea typeface="+mn-ea"/>
              <a:cs typeface="+mn-cs"/>
            </a:rPr>
            <a:t>  </a:t>
          </a:r>
          <a:r>
            <a:rPr lang="en-GB" sz="1400">
              <a:solidFill>
                <a:schemeClr val="dk1"/>
              </a:solidFill>
              <a:effectLst/>
              <a:latin typeface="+mn-lt"/>
              <a:ea typeface="+mn-ea"/>
              <a:cs typeface="+mn-cs"/>
            </a:rPr>
            <a:t>willing to sell as he prepares to restart his political career. They plan to relocate and sell the logistic firm and clear the plot that has currently a book value of 30 million HUF. They expect to pay a yearly fee of 12 million HUF as rental fee for the new headquarter. The fee is predicted to grow by 5 percent. (Rental fees are to be paid in advance in line with the market convention.) WellBuilt expects to sell CarryOn easily at six times of the expected EBITDA (currently 200 million HUF). The logistics firm has an outstanding debt of 120 million HUF. </a:t>
          </a:r>
          <a:endParaRPr lang="hu-HU" sz="1400">
            <a:solidFill>
              <a:schemeClr val="dk1"/>
            </a:solidFill>
            <a:effectLst/>
            <a:latin typeface="+mn-lt"/>
            <a:ea typeface="+mn-ea"/>
            <a:cs typeface="+mn-cs"/>
          </a:endParaRPr>
        </a:p>
        <a:p>
          <a:pPr algn="just"/>
          <a:r>
            <a:rPr lang="hu-HU" sz="1400">
              <a:solidFill>
                <a:schemeClr val="dk1"/>
              </a:solidFill>
              <a:effectLst/>
              <a:latin typeface="+mn-lt"/>
              <a:ea typeface="+mn-ea"/>
              <a:cs typeface="+mn-cs"/>
            </a:rPr>
            <a:t>  </a:t>
          </a:r>
          <a:r>
            <a:rPr lang="en-GB" sz="1400">
              <a:solidFill>
                <a:schemeClr val="dk1"/>
              </a:solidFill>
              <a:effectLst/>
              <a:latin typeface="+mn-lt"/>
              <a:ea typeface="+mn-ea"/>
              <a:cs typeface="+mn-cs"/>
            </a:rPr>
            <a:t>Based on the plans of WellBuilt Co., 60 percent of plot would be used to set up a resort with apartment buildings and stand-alone homes. They predict to receive 1.25 billion HUF when selling those flats. On the country-road side of the plot, an office building is to be constructed with a useful lifetime of 30 years. (The corporate tax rules allow for a full depreciation over just 20 years.) The net office rental income (before tax and D&amp;A) could reach 60 million HUF yearly (pre-paid). The fee may rise by 5 percent yearly. One fifth of the real estate has to be sold to the local municipality for 10 million HUF (well below the market price) so public roads and street lighting could be established.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1. What is the maximum price to offer for the 100 percent ownership of CarryOn Ltd if the construction works will require two years? Of the 1.1 billion HUF total investment due completely at the end of the works 60 percent would be linked to the apartments. The cost of capital for renting is 10 percent, while that of real estate development amounts to 15 percent, and that of logistics equals 12 percent. The corporate tax rate is 20 percent.</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2. What additional problems emerge during this business compared to traditional </a:t>
          </a:r>
          <a:r>
            <a:rPr lang="hu-HU" sz="1400">
              <a:solidFill>
                <a:schemeClr val="dk1"/>
              </a:solidFill>
              <a:effectLst/>
              <a:latin typeface="+mn-lt"/>
              <a:ea typeface="+mn-ea"/>
              <a:cs typeface="+mn-cs"/>
            </a:rPr>
            <a:t>construction</a:t>
          </a:r>
          <a:r>
            <a:rPr lang="en-GB" sz="1400">
              <a:solidFill>
                <a:schemeClr val="dk1"/>
              </a:solidFill>
              <a:effectLst/>
              <a:latin typeface="+mn-lt"/>
              <a:ea typeface="+mn-ea"/>
              <a:cs typeface="+mn-cs"/>
            </a:rPr>
            <a:t> and development projects? </a:t>
          </a:r>
          <a:endParaRPr lang="hu-HU" sz="1400">
            <a:solidFill>
              <a:schemeClr val="dk1"/>
            </a:solidFill>
            <a:effectLst/>
            <a:latin typeface="+mn-lt"/>
            <a:ea typeface="+mn-ea"/>
            <a:cs typeface="+mn-cs"/>
          </a:endParaRPr>
        </a:p>
        <a:p>
          <a:endParaRPr lang="hu-HU"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6A04-5B7C-4E3C-B368-A1455DFA25B6}">
  <dimension ref="B2:K60"/>
  <sheetViews>
    <sheetView tabSelected="1" topLeftCell="B1" zoomScale="120" zoomScaleNormal="120" workbookViewId="0">
      <selection activeCell="D11" sqref="D11"/>
    </sheetView>
  </sheetViews>
  <sheetFormatPr defaultRowHeight="15.75" x14ac:dyDescent="0.25"/>
  <cols>
    <col min="2" max="2" width="21.625" bestFit="1" customWidth="1"/>
    <col min="3" max="3" width="23.125" bestFit="1" customWidth="1"/>
    <col min="4" max="4" width="6.25" bestFit="1" customWidth="1"/>
    <col min="5" max="5" width="6.375" bestFit="1" customWidth="1"/>
    <col min="7" max="7" width="26.625" bestFit="1" customWidth="1"/>
  </cols>
  <sheetData>
    <row r="2" spans="2:11" x14ac:dyDescent="0.25">
      <c r="B2" s="4" t="s">
        <v>12</v>
      </c>
    </row>
    <row r="3" spans="2:11" x14ac:dyDescent="0.25">
      <c r="C3" t="s">
        <v>5</v>
      </c>
      <c r="D3" s="1">
        <v>0.2</v>
      </c>
      <c r="G3" s="13" t="s">
        <v>61</v>
      </c>
      <c r="H3" s="15">
        <f>+H14+H28+H44+H60</f>
        <v>1533.9584851097688</v>
      </c>
    </row>
    <row r="5" spans="2:11" x14ac:dyDescent="0.25">
      <c r="C5" t="s">
        <v>7</v>
      </c>
      <c r="D5" s="1">
        <v>0.1</v>
      </c>
      <c r="G5" s="16" t="s">
        <v>62</v>
      </c>
      <c r="H5" s="17">
        <f>+H3-H14</f>
        <v>665.15848510976889</v>
      </c>
    </row>
    <row r="6" spans="2:11" ht="16.5" thickBot="1" x14ac:dyDescent="0.3">
      <c r="C6" t="s">
        <v>25</v>
      </c>
      <c r="D6" s="1">
        <v>0.15</v>
      </c>
    </row>
    <row r="7" spans="2:11" x14ac:dyDescent="0.25">
      <c r="C7" t="s">
        <v>6</v>
      </c>
      <c r="D7" s="1">
        <v>0.12</v>
      </c>
      <c r="J7" s="6" t="s">
        <v>30</v>
      </c>
      <c r="K7" s="7"/>
    </row>
    <row r="8" spans="2:11" x14ac:dyDescent="0.25">
      <c r="J8" s="8"/>
      <c r="K8" s="9"/>
    </row>
    <row r="9" spans="2:11" x14ac:dyDescent="0.25">
      <c r="B9" s="4" t="s">
        <v>0</v>
      </c>
      <c r="J9" s="8" t="s">
        <v>29</v>
      </c>
      <c r="K9" s="10">
        <f>+D10-D13</f>
        <v>188</v>
      </c>
    </row>
    <row r="10" spans="2:11" x14ac:dyDescent="0.25">
      <c r="C10" t="s">
        <v>22</v>
      </c>
      <c r="D10" s="2">
        <v>200</v>
      </c>
      <c r="E10" t="s">
        <v>14</v>
      </c>
      <c r="G10" t="s">
        <v>27</v>
      </c>
      <c r="H10" s="14">
        <f>+D12*D10</f>
        <v>1200</v>
      </c>
      <c r="I10" s="14"/>
      <c r="J10" s="8" t="s">
        <v>27</v>
      </c>
      <c r="K10" s="9">
        <f>+K9*D12</f>
        <v>1128</v>
      </c>
    </row>
    <row r="11" spans="2:11" ht="16.5" thickBot="1" x14ac:dyDescent="0.3">
      <c r="C11" t="s">
        <v>23</v>
      </c>
      <c r="D11">
        <v>120</v>
      </c>
      <c r="E11" t="s">
        <v>14</v>
      </c>
      <c r="G11" t="s">
        <v>28</v>
      </c>
      <c r="H11" s="14">
        <f>+H10-D11</f>
        <v>1080</v>
      </c>
      <c r="I11" s="14"/>
      <c r="J11" s="11" t="s">
        <v>33</v>
      </c>
      <c r="K11" s="12">
        <f>+K10-D11</f>
        <v>1008</v>
      </c>
    </row>
    <row r="12" spans="2:11" x14ac:dyDescent="0.25">
      <c r="B12" t="s">
        <v>26</v>
      </c>
      <c r="C12" t="s">
        <v>24</v>
      </c>
      <c r="D12">
        <v>6</v>
      </c>
      <c r="H12" s="14"/>
      <c r="I12" s="14"/>
    </row>
    <row r="13" spans="2:11" x14ac:dyDescent="0.25">
      <c r="C13" t="s">
        <v>21</v>
      </c>
      <c r="D13" s="2">
        <v>12</v>
      </c>
      <c r="E13" t="s">
        <v>14</v>
      </c>
      <c r="G13" t="s">
        <v>31</v>
      </c>
      <c r="H13" s="14">
        <f>(+D13*(1+D14)/(D5-D14)+D13)*(1-D3)</f>
        <v>211.20000000000002</v>
      </c>
      <c r="I13" s="14">
        <f>+D13*(1-D3)/(D5-D14)*(1+D5)</f>
        <v>211.20000000000005</v>
      </c>
    </row>
    <row r="14" spans="2:11" x14ac:dyDescent="0.25">
      <c r="C14" t="s">
        <v>18</v>
      </c>
      <c r="D14" s="1">
        <v>0.05</v>
      </c>
      <c r="G14" s="13" t="s">
        <v>32</v>
      </c>
      <c r="H14" s="15">
        <f>+H11-H13</f>
        <v>868.8</v>
      </c>
      <c r="I14" s="14"/>
    </row>
    <row r="15" spans="2:11" x14ac:dyDescent="0.25">
      <c r="H15">
        <v>868.8</v>
      </c>
    </row>
    <row r="16" spans="2:11" x14ac:dyDescent="0.25">
      <c r="B16" s="4" t="s">
        <v>8</v>
      </c>
    </row>
    <row r="17" spans="2:11" x14ac:dyDescent="0.25">
      <c r="C17" t="s">
        <v>20</v>
      </c>
      <c r="D17">
        <v>30</v>
      </c>
      <c r="E17" t="s">
        <v>14</v>
      </c>
    </row>
    <row r="18" spans="2:11" x14ac:dyDescent="0.25">
      <c r="C18" t="s">
        <v>10</v>
      </c>
      <c r="D18">
        <v>2</v>
      </c>
      <c r="E18" t="s">
        <v>11</v>
      </c>
    </row>
    <row r="19" spans="2:11" x14ac:dyDescent="0.25">
      <c r="C19" t="s">
        <v>19</v>
      </c>
      <c r="D19">
        <v>1100</v>
      </c>
      <c r="E19" t="s">
        <v>14</v>
      </c>
    </row>
    <row r="21" spans="2:11" x14ac:dyDescent="0.25">
      <c r="B21" s="5" t="s">
        <v>1</v>
      </c>
    </row>
    <row r="22" spans="2:11" x14ac:dyDescent="0.25">
      <c r="B22" s="3"/>
      <c r="C22" t="s">
        <v>4</v>
      </c>
      <c r="D22" s="1">
        <v>0.2</v>
      </c>
      <c r="G22" t="s">
        <v>38</v>
      </c>
      <c r="H22" s="14">
        <f>+D24</f>
        <v>10</v>
      </c>
      <c r="J22" t="s">
        <v>41</v>
      </c>
      <c r="K22" s="14">
        <f>+H22</f>
        <v>10</v>
      </c>
    </row>
    <row r="23" spans="2:11" x14ac:dyDescent="0.25">
      <c r="B23" s="3"/>
      <c r="C23" t="s">
        <v>9</v>
      </c>
      <c r="D23" s="1">
        <v>0</v>
      </c>
      <c r="G23" t="s">
        <v>36</v>
      </c>
      <c r="H23" s="14">
        <f>+D17*D22</f>
        <v>6</v>
      </c>
    </row>
    <row r="24" spans="2:11" x14ac:dyDescent="0.25">
      <c r="B24" s="3"/>
      <c r="C24" t="s">
        <v>13</v>
      </c>
      <c r="D24">
        <v>10</v>
      </c>
      <c r="E24" t="s">
        <v>14</v>
      </c>
      <c r="G24" t="s">
        <v>37</v>
      </c>
      <c r="H24" s="14">
        <f>+H22-H23</f>
        <v>4</v>
      </c>
    </row>
    <row r="25" spans="2:11" x14ac:dyDescent="0.25">
      <c r="B25" s="3"/>
      <c r="G25" t="s">
        <v>34</v>
      </c>
      <c r="H25" s="14">
        <f>+D3*H24</f>
        <v>0.8</v>
      </c>
      <c r="J25" t="s">
        <v>42</v>
      </c>
      <c r="K25" s="14">
        <f>+H25</f>
        <v>0.8</v>
      </c>
    </row>
    <row r="26" spans="2:11" x14ac:dyDescent="0.25">
      <c r="G26" t="s">
        <v>35</v>
      </c>
      <c r="H26" s="14">
        <f>+H24-H25</f>
        <v>3.2</v>
      </c>
    </row>
    <row r="27" spans="2:11" x14ac:dyDescent="0.25">
      <c r="G27" t="s">
        <v>39</v>
      </c>
      <c r="H27" s="14">
        <f>-H23</f>
        <v>-6</v>
      </c>
    </row>
    <row r="28" spans="2:11" x14ac:dyDescent="0.25">
      <c r="G28" s="13" t="s">
        <v>40</v>
      </c>
      <c r="H28" s="15">
        <f>+H26-H27</f>
        <v>9.1999999999999993</v>
      </c>
      <c r="J28" t="s">
        <v>43</v>
      </c>
      <c r="K28" s="14">
        <f>+K22-K25</f>
        <v>9.1999999999999993</v>
      </c>
    </row>
    <row r="32" spans="2:11" x14ac:dyDescent="0.25">
      <c r="B32" s="5" t="s">
        <v>2</v>
      </c>
      <c r="G32" t="s">
        <v>46</v>
      </c>
    </row>
    <row r="33" spans="2:10" x14ac:dyDescent="0.25">
      <c r="B33" s="3"/>
      <c r="C33" t="s">
        <v>4</v>
      </c>
      <c r="D33" s="1">
        <v>0.6</v>
      </c>
      <c r="G33" t="s">
        <v>44</v>
      </c>
      <c r="H33" s="14">
        <f>+D35</f>
        <v>1250</v>
      </c>
    </row>
    <row r="34" spans="2:10" x14ac:dyDescent="0.25">
      <c r="B34" s="3"/>
      <c r="C34" t="s">
        <v>9</v>
      </c>
      <c r="D34" s="1">
        <v>0.6</v>
      </c>
      <c r="G34" t="s">
        <v>36</v>
      </c>
      <c r="H34" s="14">
        <f>+D33*D17</f>
        <v>18</v>
      </c>
    </row>
    <row r="35" spans="2:10" x14ac:dyDescent="0.25">
      <c r="B35" s="3"/>
      <c r="C35" t="s">
        <v>13</v>
      </c>
      <c r="D35">
        <v>1250</v>
      </c>
      <c r="E35" t="s">
        <v>14</v>
      </c>
      <c r="G35" t="s">
        <v>45</v>
      </c>
      <c r="H35" s="14">
        <f>+D19*D34</f>
        <v>660</v>
      </c>
    </row>
    <row r="36" spans="2:10" x14ac:dyDescent="0.25">
      <c r="B36" s="3"/>
      <c r="G36" t="s">
        <v>37</v>
      </c>
      <c r="H36" s="14">
        <f>+H33-H34-H35</f>
        <v>572</v>
      </c>
    </row>
    <row r="37" spans="2:10" x14ac:dyDescent="0.25">
      <c r="B37" s="3"/>
      <c r="G37" t="s">
        <v>34</v>
      </c>
      <c r="H37" s="14">
        <f>+H36*D22</f>
        <v>114.4</v>
      </c>
    </row>
    <row r="38" spans="2:10" x14ac:dyDescent="0.25">
      <c r="G38" t="s">
        <v>35</v>
      </c>
      <c r="H38" s="14">
        <f>+H36-H37</f>
        <v>457.6</v>
      </c>
    </row>
    <row r="39" spans="2:10" x14ac:dyDescent="0.25">
      <c r="G39" t="s">
        <v>39</v>
      </c>
      <c r="H39" s="14">
        <f>-H34-H35</f>
        <v>-678</v>
      </c>
    </row>
    <row r="40" spans="2:10" x14ac:dyDescent="0.25">
      <c r="G40" t="s">
        <v>40</v>
      </c>
      <c r="H40" s="14">
        <f>+H38-H39</f>
        <v>1135.5999999999999</v>
      </c>
      <c r="J40" s="14">
        <f>+H33-H37</f>
        <v>1135.5999999999999</v>
      </c>
    </row>
    <row r="41" spans="2:10" x14ac:dyDescent="0.25">
      <c r="G41" t="s">
        <v>47</v>
      </c>
      <c r="H41" s="14">
        <f>-H35</f>
        <v>-660</v>
      </c>
    </row>
    <row r="42" spans="2:10" x14ac:dyDescent="0.25">
      <c r="G42" t="s">
        <v>48</v>
      </c>
      <c r="H42" s="14">
        <f>+H40+H41</f>
        <v>475.59999999999991</v>
      </c>
    </row>
    <row r="44" spans="2:10" x14ac:dyDescent="0.25">
      <c r="G44" s="15" t="s">
        <v>49</v>
      </c>
      <c r="H44" s="15">
        <f>+H42/(1+D6)^2</f>
        <v>359.62192816635161</v>
      </c>
    </row>
    <row r="48" spans="2:10" x14ac:dyDescent="0.25">
      <c r="B48" s="5" t="s">
        <v>3</v>
      </c>
    </row>
    <row r="49" spans="3:9" x14ac:dyDescent="0.25">
      <c r="C49" t="s">
        <v>4</v>
      </c>
      <c r="D49" s="1">
        <v>0.2</v>
      </c>
      <c r="G49" t="s">
        <v>51</v>
      </c>
    </row>
    <row r="50" spans="3:9" x14ac:dyDescent="0.25">
      <c r="C50" t="s">
        <v>9</v>
      </c>
      <c r="D50" s="1">
        <v>0.4</v>
      </c>
    </row>
    <row r="52" spans="3:9" x14ac:dyDescent="0.25">
      <c r="C52" t="s">
        <v>15</v>
      </c>
      <c r="D52">
        <v>30</v>
      </c>
      <c r="E52" t="s">
        <v>11</v>
      </c>
      <c r="G52" t="s">
        <v>50</v>
      </c>
      <c r="H52" s="14">
        <f>+D55*(1-D3)/(D5-D56)*(1-(1+D56)^D52/(1+D5)^D52)*(1+D5)</f>
        <v>794.44541619073152</v>
      </c>
      <c r="I52" t="s">
        <v>52</v>
      </c>
    </row>
    <row r="53" spans="3:9" x14ac:dyDescent="0.25">
      <c r="C53" t="s">
        <v>16</v>
      </c>
      <c r="D53">
        <v>20</v>
      </c>
      <c r="E53" t="s">
        <v>11</v>
      </c>
      <c r="G53" t="s">
        <v>54</v>
      </c>
      <c r="H53" s="14">
        <f>+D50*D19</f>
        <v>440</v>
      </c>
    </row>
    <row r="54" spans="3:9" x14ac:dyDescent="0.25">
      <c r="G54" t="s">
        <v>53</v>
      </c>
      <c r="H54" s="14">
        <f>+H53/D53</f>
        <v>22</v>
      </c>
    </row>
    <row r="55" spans="3:9" x14ac:dyDescent="0.25">
      <c r="C55" t="s">
        <v>17</v>
      </c>
      <c r="D55">
        <v>60</v>
      </c>
      <c r="E55" t="s">
        <v>14</v>
      </c>
      <c r="G55" t="s">
        <v>55</v>
      </c>
      <c r="H55" s="14">
        <f>+H54*D3</f>
        <v>4.4000000000000004</v>
      </c>
    </row>
    <row r="56" spans="3:9" x14ac:dyDescent="0.25">
      <c r="C56" t="s">
        <v>18</v>
      </c>
      <c r="D56" s="1">
        <v>0.05</v>
      </c>
      <c r="G56" t="s">
        <v>56</v>
      </c>
      <c r="H56" s="14">
        <f>+H55/D5*(1-1/(1+D5)^D53)</f>
        <v>37.45968036693769</v>
      </c>
    </row>
    <row r="57" spans="3:9" x14ac:dyDescent="0.25">
      <c r="G57" t="s">
        <v>57</v>
      </c>
      <c r="H57" s="14">
        <f>+H52+H56</f>
        <v>831.90509655766925</v>
      </c>
    </row>
    <row r="58" spans="3:9" x14ac:dyDescent="0.25">
      <c r="G58" t="s">
        <v>58</v>
      </c>
      <c r="H58" s="14">
        <f>+H53</f>
        <v>440</v>
      </c>
    </row>
    <row r="59" spans="3:9" x14ac:dyDescent="0.25">
      <c r="G59" t="s">
        <v>59</v>
      </c>
      <c r="H59" s="14">
        <f>+H57-H58</f>
        <v>391.90509655766925</v>
      </c>
    </row>
    <row r="60" spans="3:9" x14ac:dyDescent="0.25">
      <c r="G60" s="13" t="s">
        <v>60</v>
      </c>
      <c r="H60" s="15">
        <f>+H59/(1+D6)^2</f>
        <v>296.33655694341724</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Juhász Péter</cp:lastModifiedBy>
  <dcterms:created xsi:type="dcterms:W3CDTF">2022-11-01T15:53:33Z</dcterms:created>
  <dcterms:modified xsi:type="dcterms:W3CDTF">2024-11-26T16:08:30Z</dcterms:modified>
</cp:coreProperties>
</file>