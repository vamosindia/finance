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Aktualis\2024ősz\Applied Business Valuation\Week2\"/>
    </mc:Choice>
  </mc:AlternateContent>
  <xr:revisionPtr revIDLastSave="0" documentId="13_ncr:1_{F1073E16-73E4-43D2-8938-63886426B865}" xr6:coauthVersionLast="47" xr6:coauthVersionMax="47" xr10:uidLastSave="{00000000-0000-0000-0000-000000000000}"/>
  <bookViews>
    <workbookView xWindow="-120" yWindow="-120" windowWidth="19440" windowHeight="14880" xr2:uid="{EE2224F1-1A86-480D-9DF9-DD5525925017}"/>
  </bookViews>
  <sheets>
    <sheet name="Model" sheetId="3" r:id="rId1"/>
  </sheets>
  <calcPr calcId="191029" iterateCount="10000" iterateDelta="1E-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0" i="3" l="1"/>
  <c r="C74" i="3"/>
  <c r="N74" i="3"/>
  <c r="N78" i="3"/>
  <c r="C76" i="3"/>
  <c r="N76" i="3"/>
  <c r="M71" i="3"/>
  <c r="S66" i="3"/>
  <c r="R66" i="3"/>
  <c r="Q66" i="3"/>
  <c r="P66" i="3"/>
  <c r="O66" i="3"/>
  <c r="N66" i="3"/>
  <c r="M66" i="3"/>
  <c r="P55" i="3"/>
  <c r="O55" i="3"/>
  <c r="N55" i="3"/>
  <c r="M55" i="3"/>
  <c r="S45" i="3"/>
  <c r="R45" i="3"/>
  <c r="Q45" i="3"/>
  <c r="P45" i="3"/>
  <c r="O45" i="3"/>
  <c r="N45" i="3"/>
  <c r="N44" i="3"/>
  <c r="N47" i="3" s="1"/>
  <c r="N54" i="3" s="1"/>
  <c r="N57" i="3" s="1"/>
  <c r="N41" i="3"/>
  <c r="P40" i="3"/>
  <c r="O56" i="3" s="1"/>
  <c r="O40" i="3"/>
  <c r="N56" i="3" s="1"/>
  <c r="N40" i="3"/>
  <c r="M40" i="3"/>
  <c r="N39" i="3"/>
  <c r="N53" i="3" s="1"/>
  <c r="O53" i="3" s="1"/>
  <c r="M39" i="3"/>
  <c r="H73" i="3"/>
  <c r="G73" i="3" s="1"/>
  <c r="F73" i="3" s="1"/>
  <c r="E73" i="3" s="1"/>
  <c r="D73" i="3" s="1"/>
  <c r="C73" i="3" s="1"/>
  <c r="I73" i="3"/>
  <c r="C71" i="3"/>
  <c r="D71" i="3"/>
  <c r="E71" i="3"/>
  <c r="F71" i="3"/>
  <c r="G71" i="3"/>
  <c r="H71" i="3"/>
  <c r="B71" i="3"/>
  <c r="D72" i="3"/>
  <c r="E72" i="3"/>
  <c r="F72" i="3"/>
  <c r="G72" i="3"/>
  <c r="H72" i="3"/>
  <c r="C72" i="3"/>
  <c r="D69" i="3"/>
  <c r="E69" i="3"/>
  <c r="F69" i="3"/>
  <c r="G69" i="3"/>
  <c r="H69" i="3"/>
  <c r="C69" i="3"/>
  <c r="F67" i="3"/>
  <c r="E67" i="3" s="1"/>
  <c r="D67" i="3" s="1"/>
  <c r="C67" i="3" s="1"/>
  <c r="G67" i="3"/>
  <c r="H67" i="3"/>
  <c r="I67" i="3"/>
  <c r="C66" i="3"/>
  <c r="D66" i="3"/>
  <c r="E66" i="3"/>
  <c r="F66" i="3"/>
  <c r="G66" i="3"/>
  <c r="H66" i="3"/>
  <c r="B66" i="3"/>
  <c r="D65" i="3"/>
  <c r="E65" i="3"/>
  <c r="F65" i="3"/>
  <c r="G65" i="3"/>
  <c r="H65" i="3"/>
  <c r="C65" i="3"/>
  <c r="D61" i="3"/>
  <c r="E61" i="3"/>
  <c r="F61" i="3"/>
  <c r="G61" i="3"/>
  <c r="H61" i="3"/>
  <c r="C61" i="3"/>
  <c r="D60" i="3"/>
  <c r="E60" i="3"/>
  <c r="F60" i="3"/>
  <c r="G60" i="3"/>
  <c r="H60" i="3"/>
  <c r="C60" i="3"/>
  <c r="D59" i="3"/>
  <c r="E59" i="3"/>
  <c r="F59" i="3"/>
  <c r="G59" i="3"/>
  <c r="H59" i="3"/>
  <c r="C59" i="3"/>
  <c r="D58" i="3"/>
  <c r="E58" i="3"/>
  <c r="F58" i="3"/>
  <c r="G58" i="3"/>
  <c r="H58" i="3"/>
  <c r="H41" i="3"/>
  <c r="I41" i="3"/>
  <c r="H42" i="3"/>
  <c r="I42" i="3"/>
  <c r="E41" i="3"/>
  <c r="F41" i="3"/>
  <c r="G41" i="3"/>
  <c r="E42" i="3"/>
  <c r="F42" i="3"/>
  <c r="G42" i="3"/>
  <c r="C58" i="3"/>
  <c r="H47" i="3"/>
  <c r="H46" i="3"/>
  <c r="D45" i="3"/>
  <c r="E45" i="3"/>
  <c r="F45" i="3"/>
  <c r="G45" i="3"/>
  <c r="H45" i="3"/>
  <c r="C45" i="3"/>
  <c r="C55" i="3"/>
  <c r="D55" i="3"/>
  <c r="E55" i="3"/>
  <c r="B55" i="3"/>
  <c r="C40" i="3"/>
  <c r="D40" i="3" s="1"/>
  <c r="B40" i="3"/>
  <c r="C39" i="3"/>
  <c r="C53" i="3" s="1"/>
  <c r="B39" i="3"/>
  <c r="N36" i="3"/>
  <c r="S35" i="3"/>
  <c r="N34" i="3"/>
  <c r="N33" i="3"/>
  <c r="S34" i="3"/>
  <c r="R34" i="3"/>
  <c r="Q34" i="3"/>
  <c r="P34" i="3"/>
  <c r="O34" i="3"/>
  <c r="S33" i="3"/>
  <c r="R33" i="3"/>
  <c r="Q33" i="3"/>
  <c r="P33" i="3"/>
  <c r="O33" i="3"/>
  <c r="S32" i="3"/>
  <c r="R32" i="3"/>
  <c r="Q32" i="3"/>
  <c r="P32" i="3"/>
  <c r="O32" i="3"/>
  <c r="S31" i="3"/>
  <c r="R31" i="3"/>
  <c r="Q31" i="3"/>
  <c r="P31" i="3"/>
  <c r="O31" i="3"/>
  <c r="N31" i="3"/>
  <c r="N25" i="3"/>
  <c r="O25" i="3" s="1"/>
  <c r="P25" i="3" s="1"/>
  <c r="Q25" i="3" s="1"/>
  <c r="R25" i="3" s="1"/>
  <c r="S25" i="3" s="1"/>
  <c r="D25" i="3"/>
  <c r="E25" i="3" s="1"/>
  <c r="F25" i="3" s="1"/>
  <c r="G25" i="3" s="1"/>
  <c r="H25" i="3" s="1"/>
  <c r="N71" i="3" l="1"/>
  <c r="O44" i="3"/>
  <c r="O47" i="3" s="1"/>
  <c r="O54" i="3" s="1"/>
  <c r="O57" i="3" s="1"/>
  <c r="P53" i="3"/>
  <c r="Q40" i="3"/>
  <c r="N58" i="3"/>
  <c r="N59" i="3" s="1"/>
  <c r="N65" i="3" s="1"/>
  <c r="O39" i="3"/>
  <c r="N42" i="3"/>
  <c r="C44" i="3"/>
  <c r="C47" i="3" s="1"/>
  <c r="C54" i="3" s="1"/>
  <c r="C57" i="3" s="1"/>
  <c r="D53" i="3"/>
  <c r="C41" i="3"/>
  <c r="C42" i="3" s="1"/>
  <c r="C56" i="3"/>
  <c r="E40" i="3"/>
  <c r="D39" i="3"/>
  <c r="P39" i="3" l="1"/>
  <c r="O41" i="3"/>
  <c r="O42" i="3" s="1"/>
  <c r="O71" i="3"/>
  <c r="P56" i="3"/>
  <c r="R40" i="3"/>
  <c r="P44" i="3"/>
  <c r="P47" i="3" s="1"/>
  <c r="P54" i="3" s="1"/>
  <c r="P57" i="3" s="1"/>
  <c r="Q53" i="3"/>
  <c r="E53" i="3"/>
  <c r="D44" i="3"/>
  <c r="D47" i="3" s="1"/>
  <c r="D54" i="3" s="1"/>
  <c r="D57" i="3" s="1"/>
  <c r="D41" i="3"/>
  <c r="D42" i="3" s="1"/>
  <c r="E39" i="3"/>
  <c r="F39" i="3" s="1"/>
  <c r="F40" i="3"/>
  <c r="D56" i="3"/>
  <c r="P71" i="3" l="1"/>
  <c r="Q55" i="3"/>
  <c r="R53" i="3" s="1"/>
  <c r="Q44" i="3"/>
  <c r="Q47" i="3" s="1"/>
  <c r="Q54" i="3" s="1"/>
  <c r="Q56" i="3"/>
  <c r="S40" i="3"/>
  <c r="O58" i="3"/>
  <c r="N60" i="3"/>
  <c r="N61" i="3" s="1"/>
  <c r="Q39" i="3"/>
  <c r="P41" i="3"/>
  <c r="P42" i="3" s="1"/>
  <c r="F53" i="3"/>
  <c r="E44" i="3"/>
  <c r="E47" i="3" s="1"/>
  <c r="E54" i="3" s="1"/>
  <c r="G40" i="3"/>
  <c r="E56" i="3"/>
  <c r="Q57" i="3" l="1"/>
  <c r="Q71" i="3" s="1"/>
  <c r="Q41" i="3"/>
  <c r="O59" i="3"/>
  <c r="O65" i="3" s="1"/>
  <c r="R56" i="3"/>
  <c r="T40" i="3"/>
  <c r="S56" i="3" s="1"/>
  <c r="R55" i="3"/>
  <c r="R44" i="3"/>
  <c r="R47" i="3" s="1"/>
  <c r="R54" i="3" s="1"/>
  <c r="R57" i="3" s="1"/>
  <c r="P58" i="3"/>
  <c r="O60" i="3"/>
  <c r="O61" i="3" s="1"/>
  <c r="R39" i="3"/>
  <c r="H40" i="3"/>
  <c r="F56" i="3"/>
  <c r="E57" i="3"/>
  <c r="F55" i="3"/>
  <c r="F44" i="3"/>
  <c r="F47" i="3" s="1"/>
  <c r="F54" i="3" s="1"/>
  <c r="G53" i="3"/>
  <c r="P59" i="3" l="1"/>
  <c r="P65" i="3" s="1"/>
  <c r="S39" i="3"/>
  <c r="R41" i="3"/>
  <c r="R42" i="3" s="1"/>
  <c r="R71" i="3"/>
  <c r="S53" i="3"/>
  <c r="Q58" i="3"/>
  <c r="P60" i="3"/>
  <c r="P61" i="3" s="1"/>
  <c r="Q42" i="3"/>
  <c r="G44" i="3"/>
  <c r="G47" i="3" s="1"/>
  <c r="G54" i="3" s="1"/>
  <c r="G55" i="3"/>
  <c r="H53" i="3"/>
  <c r="F57" i="3"/>
  <c r="G39" i="3"/>
  <c r="I40" i="3"/>
  <c r="H56" i="3" s="1"/>
  <c r="G56" i="3"/>
  <c r="S55" i="3" l="1"/>
  <c r="T39" i="3" s="1"/>
  <c r="S44" i="3"/>
  <c r="Q59" i="3"/>
  <c r="Q65" i="3" s="1"/>
  <c r="R58" i="3"/>
  <c r="Q60" i="3"/>
  <c r="Q61" i="3" s="1"/>
  <c r="S41" i="3"/>
  <c r="H44" i="3"/>
  <c r="H54" i="3" s="1"/>
  <c r="H55" i="3"/>
  <c r="H39" i="3"/>
  <c r="G57" i="3"/>
  <c r="S58" i="3" l="1"/>
  <c r="S59" i="3" s="1"/>
  <c r="R60" i="3"/>
  <c r="S42" i="3"/>
  <c r="R59" i="3"/>
  <c r="R65" i="3" s="1"/>
  <c r="R61" i="3"/>
  <c r="T67" i="3"/>
  <c r="T73" i="3" s="1"/>
  <c r="S46" i="3"/>
  <c r="S47" i="3" s="1"/>
  <c r="S54" i="3" s="1"/>
  <c r="S57" i="3" s="1"/>
  <c r="T41" i="3"/>
  <c r="S60" i="3" s="1"/>
  <c r="I39" i="3"/>
  <c r="H57" i="3"/>
  <c r="S65" i="3" l="1"/>
  <c r="S67" i="3" s="1"/>
  <c r="S69" i="3" s="1"/>
  <c r="S72" i="3" s="1"/>
  <c r="S61" i="3"/>
  <c r="S71" i="3"/>
  <c r="T42" i="3"/>
  <c r="R67" i="3"/>
  <c r="S73" i="3" l="1"/>
  <c r="R69" i="3"/>
  <c r="R72" i="3" s="1"/>
  <c r="Q67" i="3"/>
  <c r="R73" i="3"/>
  <c r="Q69" i="3" l="1"/>
  <c r="Q72" i="3" s="1"/>
  <c r="Q73" i="3" s="1"/>
  <c r="P67" i="3"/>
  <c r="P69" i="3" l="1"/>
  <c r="P72" i="3" s="1"/>
  <c r="P73" i="3" s="1"/>
  <c r="O67" i="3"/>
  <c r="N67" i="3" l="1"/>
  <c r="N69" i="3" s="1"/>
  <c r="N72" i="3" s="1"/>
  <c r="O69" i="3"/>
  <c r="O72" i="3" s="1"/>
  <c r="O73" i="3" s="1"/>
  <c r="N73" i="3" s="1"/>
</calcChain>
</file>

<file path=xl/sharedStrings.xml><?xml version="1.0" encoding="utf-8"?>
<sst xmlns="http://schemas.openxmlformats.org/spreadsheetml/2006/main" count="71" uniqueCount="37">
  <si>
    <t>rD</t>
  </si>
  <si>
    <t>t</t>
  </si>
  <si>
    <t>IC boy</t>
  </si>
  <si>
    <t>ROIC</t>
  </si>
  <si>
    <t>RONIC</t>
  </si>
  <si>
    <t>K</t>
  </si>
  <si>
    <t>dIC</t>
  </si>
  <si>
    <t>Debt/IC boy</t>
  </si>
  <si>
    <t>Moving costs/IC eoy</t>
  </si>
  <si>
    <t>rA</t>
  </si>
  <si>
    <t>Rental Right boy</t>
  </si>
  <si>
    <t>Debt boy</t>
  </si>
  <si>
    <t>BVEquity boy</t>
  </si>
  <si>
    <t>Noplat</t>
  </si>
  <si>
    <t>dRentalright</t>
  </si>
  <si>
    <t>FCFF</t>
  </si>
  <si>
    <t>effective tax rate</t>
  </si>
  <si>
    <t>OriginalEBIT</t>
  </si>
  <si>
    <t>D&amp;A rentalright</t>
  </si>
  <si>
    <t>Mod EBIT</t>
  </si>
  <si>
    <t>Mod Noplat</t>
  </si>
  <si>
    <t>Moving costs</t>
  </si>
  <si>
    <t>Interest payment</t>
  </si>
  <si>
    <t>TS</t>
  </si>
  <si>
    <t>dDebt</t>
  </si>
  <si>
    <t>FCFE</t>
  </si>
  <si>
    <t>APV // rA</t>
  </si>
  <si>
    <t>FCFF+TS</t>
  </si>
  <si>
    <t>V boy</t>
  </si>
  <si>
    <t>D/V boy</t>
  </si>
  <si>
    <t>WACC=rA-D/V*rD*t</t>
  </si>
  <si>
    <t>Vboy</t>
  </si>
  <si>
    <t>MVA</t>
  </si>
  <si>
    <t>SVA=E-BV(E)</t>
  </si>
  <si>
    <t>Contribution</t>
  </si>
  <si>
    <t>Eboy</t>
  </si>
  <si>
    <t>Contribution/new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</si>
</sst>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xf numFmtId="4" fontId="0" fillId="5" borderId="0" xfId="0" applyNumberFormat="1" applyFill="1"/>
    <xf numFmtId="10" fontId="0" fillId="5" borderId="0" xfId="1" applyNumberFormat="1" applyFont="1" applyFill="1"/>
    <xf numFmtId="4" fontId="0" fillId="0" borderId="0" xfId="0" applyNumberFormat="1" applyFill="1"/>
    <xf numFmtId="0" fontId="2" fillId="0" borderId="0" xfId="0" applyFont="1" applyFill="1" applyAlignment="1">
      <alignment horizontal="center"/>
    </xf>
    <xf numFmtId="10" fontId="0" fillId="6" borderId="0" xfId="0" applyNumberFormat="1" applyFill="1"/>
    <xf numFmtId="4" fontId="0" fillId="7" borderId="0" xfId="0" applyNumberFormat="1" applyFill="1"/>
    <xf numFmtId="0" fontId="2" fillId="2" borderId="0" xfId="0" applyFont="1" applyFill="1"/>
    <xf numFmtId="4" fontId="2" fillId="2" borderId="0" xfId="0" applyNumberFormat="1"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97970</xdr:colOff>
      <xdr:row>0</xdr:row>
      <xdr:rowOff>103415</xdr:rowOff>
    </xdr:from>
    <xdr:to>
      <xdr:col>10</xdr:col>
      <xdr:colOff>87084</xdr:colOff>
      <xdr:row>23</xdr:row>
      <xdr:rowOff>10886</xdr:rowOff>
    </xdr:to>
    <xdr:sp macro="" textlink="">
      <xdr:nvSpPr>
        <xdr:cNvPr id="2" name="Szövegdoboz 1">
          <a:extLst>
            <a:ext uri="{FF2B5EF4-FFF2-40B4-BE49-F238E27FC236}">
              <a16:creationId xmlns:a16="http://schemas.microsoft.com/office/drawing/2014/main" id="{C00D0995-3BB9-4A84-82D8-A74480B74F14}"/>
            </a:ext>
          </a:extLst>
        </xdr:cNvPr>
        <xdr:cNvSpPr txBox="1"/>
      </xdr:nvSpPr>
      <xdr:spPr>
        <a:xfrm>
          <a:off x="794656" y="103415"/>
          <a:ext cx="6662057" cy="4539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goes online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Recently, John’s became the CEO of The Kebab Shop, a small family-owned self-service restaurant selling Turkish and Arabic food. The business was founded by his grandfather was recently moved from the ground floor of his house just recently. John successfully bought the rental right of a municipality-owned real estate near the city centre for six years for 1200.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It was just at the celebration of the reopening when John met his former classmate, Jane, a blond girl with the world’s most beautiful smile, as he described her to his grandma. Jane became an IT professional who recommended The Kebab Shop to offer online sales and home delivery. Seeing that John is not very comfortable with online sales, she offered immediately to team up with the family and create the website and the direct invoicing connection to the bookkeeping and the tax authorities. She even offered to pay for the development in exchange for a modest stake in the restaurant. “We should not mix emotions with business” – Grandma said. “Calculate the value of her work and we will pay for it.”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created a plan both for the case with the online ordering and delivery and without it. Though, he was worried, that the family would not be able to pay for Jane’s contribution right on the spot as the renovation of the new venue burned quite a big part of their cash reserve. Thus, he decided to calculate what percentage of ownership could be offered in exchange for the job done instead of a cash payment. He was really hoping for the family to agree on such an alternative as this solution would also assure him of meeting Jane regularly.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For the calculations, assume that at the end of the rental period, the Kebab Shop will have to move out, which may lead to us losing 10 percent of the </a:t>
          </a:r>
          <a:r>
            <a:rPr lang="hu-HU" sz="1100">
              <a:solidFill>
                <a:schemeClr val="dk1"/>
              </a:solidFill>
              <a:effectLst/>
              <a:latin typeface="+mn-lt"/>
              <a:ea typeface="+mn-ea"/>
              <a:cs typeface="+mn-cs"/>
            </a:rPr>
            <a:t>end of year </a:t>
          </a:r>
          <a:r>
            <a:rPr lang="en-GB" sz="1100">
              <a:solidFill>
                <a:schemeClr val="dk1"/>
              </a:solidFill>
              <a:effectLst/>
              <a:latin typeface="+mn-lt"/>
              <a:ea typeface="+mn-ea"/>
              <a:cs typeface="+mn-cs"/>
            </a:rPr>
            <a:t>invested capital on moving costs (not included in the plan yet). At that time, debt needs to be repaid completely.</a:t>
          </a:r>
          <a:r>
            <a:rPr lang="hu-HU" sz="1100">
              <a:solidFill>
                <a:schemeClr val="dk1"/>
              </a:solidFill>
              <a:effectLst/>
              <a:latin typeface="+mn-lt"/>
              <a:ea typeface="+mn-ea"/>
              <a:cs typeface="+mn-cs"/>
            </a:rPr>
            <a:t> Fot the terminal value use</a:t>
          </a:r>
          <a:r>
            <a:rPr lang="hu-HU" sz="1100" baseline="0">
              <a:solidFill>
                <a:schemeClr val="dk1"/>
              </a:solidFill>
              <a:effectLst/>
              <a:latin typeface="+mn-lt"/>
              <a:ea typeface="+mn-ea"/>
              <a:cs typeface="+mn-cs"/>
            </a:rPr>
            <a:t> the liquidation value.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should pay for setting up the online sales and home delivery business.</a:t>
          </a:r>
          <a:r>
            <a:rPr lang="hu-HU" sz="1100">
              <a:solidFill>
                <a:schemeClr val="dk1"/>
              </a:solidFill>
              <a:effectLst/>
              <a:latin typeface="+mn-lt"/>
              <a:ea typeface="+mn-ea"/>
              <a:cs typeface="+mn-cs"/>
            </a:rPr>
            <a:t> Use all DCF methods</a:t>
          </a:r>
          <a:r>
            <a:rPr lang="hu-HU" sz="1100" baseline="0">
              <a:solidFill>
                <a:schemeClr val="dk1"/>
              </a:solidFill>
              <a:effectLst/>
              <a:latin typeface="+mn-lt"/>
              <a:ea typeface="+mn-ea"/>
              <a:cs typeface="+mn-cs"/>
            </a:rPr>
            <a:t> you know.</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What is the maximum percent of ownership that they may offer in exchange for Jane covering all the costs?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two solutions would be more advantageous?</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5979-18F8-4B7C-8FB7-14CB6920CF15}">
  <dimension ref="B25:T80"/>
  <sheetViews>
    <sheetView tabSelected="1" topLeftCell="K64" zoomScale="150" zoomScaleNormal="150" workbookViewId="0">
      <selection activeCell="P80" sqref="P80"/>
    </sheetView>
  </sheetViews>
  <sheetFormatPr defaultRowHeight="15.75" x14ac:dyDescent="0.25"/>
  <cols>
    <col min="2" max="2" width="17.375" bestFit="1" customWidth="1"/>
    <col min="3" max="9" width="8.75" bestFit="1" customWidth="1"/>
    <col min="13" max="13" width="21.625" bestFit="1" customWidth="1"/>
    <col min="14" max="20" width="8.75" bestFit="1" customWidth="1"/>
  </cols>
  <sheetData>
    <row r="25" spans="2:20" x14ac:dyDescent="0.25">
      <c r="C25" s="1">
        <v>2025</v>
      </c>
      <c r="D25" s="2">
        <f>+C25+1</f>
        <v>2026</v>
      </c>
      <c r="E25" s="2">
        <f t="shared" ref="E25:H25" si="0">+D25+1</f>
        <v>2027</v>
      </c>
      <c r="F25" s="2">
        <f t="shared" si="0"/>
        <v>2028</v>
      </c>
      <c r="G25" s="2">
        <f t="shared" si="0"/>
        <v>2029</v>
      </c>
      <c r="H25" s="2">
        <f t="shared" si="0"/>
        <v>2030</v>
      </c>
      <c r="N25" s="13">
        <f>+C25</f>
        <v>2025</v>
      </c>
      <c r="O25" s="2">
        <f>+N25+1</f>
        <v>2026</v>
      </c>
      <c r="P25" s="2">
        <f t="shared" ref="P25" si="1">+O25+1</f>
        <v>2027</v>
      </c>
      <c r="Q25" s="2">
        <f t="shared" ref="Q25" si="2">+P25+1</f>
        <v>2028</v>
      </c>
      <c r="R25" s="2">
        <f t="shared" ref="R25" si="3">+Q25+1</f>
        <v>2029</v>
      </c>
      <c r="S25" s="2">
        <f t="shared" ref="S25" si="4">+R25+1</f>
        <v>2030</v>
      </c>
    </row>
    <row r="26" spans="2:20" x14ac:dyDescent="0.25">
      <c r="B26" t="s">
        <v>2</v>
      </c>
      <c r="C26" s="7">
        <v>12000</v>
      </c>
      <c r="D26" s="4"/>
      <c r="E26" s="4"/>
      <c r="F26" s="4"/>
      <c r="G26" s="4"/>
      <c r="H26" s="4"/>
      <c r="I26" s="4"/>
      <c r="M26" t="s">
        <v>2</v>
      </c>
      <c r="N26" s="7">
        <v>12000</v>
      </c>
      <c r="O26" s="4"/>
      <c r="P26" s="4"/>
      <c r="Q26" s="4"/>
      <c r="R26" s="4"/>
      <c r="S26" s="4"/>
      <c r="T26" s="4"/>
    </row>
    <row r="27" spans="2:20" x14ac:dyDescent="0.25">
      <c r="B27" t="s">
        <v>6</v>
      </c>
      <c r="C27" s="7">
        <v>1350</v>
      </c>
      <c r="D27" s="7">
        <v>1150</v>
      </c>
      <c r="E27" s="7">
        <v>1100</v>
      </c>
      <c r="F27" s="4"/>
      <c r="G27" s="4"/>
      <c r="H27" s="4"/>
      <c r="M27" t="s">
        <v>6</v>
      </c>
      <c r="N27" s="10">
        <v>1600</v>
      </c>
      <c r="O27" s="10">
        <v>1400</v>
      </c>
      <c r="P27" s="10">
        <v>1200</v>
      </c>
      <c r="Q27" s="4"/>
      <c r="R27" s="4"/>
      <c r="S27" s="4"/>
    </row>
    <row r="28" spans="2:20" x14ac:dyDescent="0.25">
      <c r="B28" t="s">
        <v>3</v>
      </c>
      <c r="C28" s="8">
        <v>0.15</v>
      </c>
      <c r="D28" s="3"/>
      <c r="E28" s="3"/>
      <c r="F28" s="3"/>
      <c r="G28" s="3"/>
      <c r="H28" s="3"/>
      <c r="M28" t="s">
        <v>3</v>
      </c>
      <c r="N28" s="11">
        <v>0.16</v>
      </c>
      <c r="O28" s="3"/>
      <c r="P28" s="3"/>
      <c r="Q28" s="3"/>
      <c r="R28" s="3"/>
      <c r="S28" s="3"/>
    </row>
    <row r="29" spans="2:20" x14ac:dyDescent="0.25">
      <c r="B29" t="s">
        <v>4</v>
      </c>
      <c r="C29" s="3"/>
      <c r="D29" s="8">
        <v>0.17</v>
      </c>
      <c r="E29" s="8">
        <v>0.16500000000000001</v>
      </c>
      <c r="F29" s="8">
        <v>0.16</v>
      </c>
      <c r="G29" s="8">
        <v>0.15</v>
      </c>
      <c r="H29" s="8">
        <v>0.15</v>
      </c>
      <c r="M29" t="s">
        <v>4</v>
      </c>
      <c r="N29" s="3"/>
      <c r="O29" s="11">
        <v>0.17499999999999999</v>
      </c>
      <c r="P29" s="11">
        <v>0.17</v>
      </c>
      <c r="Q29" s="11">
        <v>0.16500000000000001</v>
      </c>
      <c r="R29" s="11">
        <v>0.16</v>
      </c>
      <c r="S29" s="8">
        <v>0.15</v>
      </c>
    </row>
    <row r="30" spans="2:20" x14ac:dyDescent="0.25">
      <c r="B30" t="s">
        <v>5</v>
      </c>
      <c r="C30" s="3"/>
      <c r="D30" s="3"/>
      <c r="E30" s="3"/>
      <c r="F30" s="8">
        <v>0.33</v>
      </c>
      <c r="G30" s="8">
        <v>0.33</v>
      </c>
      <c r="H30" s="8">
        <v>0.33</v>
      </c>
      <c r="M30" t="s">
        <v>5</v>
      </c>
      <c r="N30" s="3"/>
      <c r="O30" s="3"/>
      <c r="P30" s="3"/>
      <c r="Q30" s="8">
        <v>0.33</v>
      </c>
      <c r="R30" s="8">
        <v>0.33</v>
      </c>
      <c r="S30" s="8">
        <v>0.33</v>
      </c>
    </row>
    <row r="31" spans="2:20" x14ac:dyDescent="0.25">
      <c r="B31" t="s">
        <v>7</v>
      </c>
      <c r="C31" s="8">
        <v>0</v>
      </c>
      <c r="D31" s="8">
        <v>0.05</v>
      </c>
      <c r="E31" s="8">
        <v>0.1</v>
      </c>
      <c r="F31" s="8">
        <v>0.15</v>
      </c>
      <c r="G31" s="8">
        <v>0.2</v>
      </c>
      <c r="H31" s="8">
        <v>0.2</v>
      </c>
      <c r="M31" t="s">
        <v>7</v>
      </c>
      <c r="N31" s="8">
        <f t="shared" ref="N31:S35" si="5">+C31</f>
        <v>0</v>
      </c>
      <c r="O31" s="8">
        <f t="shared" si="5"/>
        <v>0.05</v>
      </c>
      <c r="P31" s="8">
        <f t="shared" si="5"/>
        <v>0.1</v>
      </c>
      <c r="Q31" s="8">
        <f t="shared" si="5"/>
        <v>0.15</v>
      </c>
      <c r="R31" s="8">
        <f t="shared" si="5"/>
        <v>0.2</v>
      </c>
      <c r="S31" s="8">
        <f t="shared" si="5"/>
        <v>0.2</v>
      </c>
    </row>
    <row r="32" spans="2:20" x14ac:dyDescent="0.25">
      <c r="B32" t="s">
        <v>0</v>
      </c>
      <c r="C32" s="5"/>
      <c r="D32" s="6">
        <v>7.0000000000000007E-2</v>
      </c>
      <c r="E32" s="6">
        <v>7.0000000000000007E-2</v>
      </c>
      <c r="F32" s="6">
        <v>7.0000000000000007E-2</v>
      </c>
      <c r="G32" s="6">
        <v>7.0000000000000007E-2</v>
      </c>
      <c r="H32" s="6">
        <v>7.0000000000000007E-2</v>
      </c>
      <c r="M32" t="s">
        <v>0</v>
      </c>
      <c r="N32" s="5"/>
      <c r="O32" s="8">
        <f t="shared" ref="O32:O34" si="6">+D32</f>
        <v>7.0000000000000007E-2</v>
      </c>
      <c r="P32" s="8">
        <f t="shared" ref="P32:P34" si="7">+E32</f>
        <v>7.0000000000000007E-2</v>
      </c>
      <c r="Q32" s="8">
        <f t="shared" ref="Q32:Q34" si="8">+F32</f>
        <v>7.0000000000000007E-2</v>
      </c>
      <c r="R32" s="8">
        <f t="shared" ref="R32:R34" si="9">+G32</f>
        <v>7.0000000000000007E-2</v>
      </c>
      <c r="S32" s="8">
        <f t="shared" ref="S32:S34" si="10">+H32</f>
        <v>7.0000000000000007E-2</v>
      </c>
    </row>
    <row r="33" spans="2:20" x14ac:dyDescent="0.25">
      <c r="B33" t="s">
        <v>9</v>
      </c>
      <c r="C33" s="6">
        <v>0.12</v>
      </c>
      <c r="D33" s="6">
        <v>0.12</v>
      </c>
      <c r="E33" s="6">
        <v>0.12</v>
      </c>
      <c r="F33" s="6">
        <v>0.12</v>
      </c>
      <c r="G33" s="6">
        <v>0.12</v>
      </c>
      <c r="H33" s="6">
        <v>0.12</v>
      </c>
      <c r="M33" t="s">
        <v>9</v>
      </c>
      <c r="N33" s="8">
        <f t="shared" si="5"/>
        <v>0.12</v>
      </c>
      <c r="O33" s="8">
        <f t="shared" si="6"/>
        <v>0.12</v>
      </c>
      <c r="P33" s="8">
        <f t="shared" si="7"/>
        <v>0.12</v>
      </c>
      <c r="Q33" s="8">
        <f t="shared" si="8"/>
        <v>0.12</v>
      </c>
      <c r="R33" s="8">
        <f t="shared" si="9"/>
        <v>0.12</v>
      </c>
      <c r="S33" s="8">
        <f t="shared" si="10"/>
        <v>0.12</v>
      </c>
    </row>
    <row r="34" spans="2:20" x14ac:dyDescent="0.25">
      <c r="B34" t="s">
        <v>1</v>
      </c>
      <c r="C34" s="6">
        <v>0.2</v>
      </c>
      <c r="D34" s="6">
        <v>0.2</v>
      </c>
      <c r="E34" s="6">
        <v>0.2</v>
      </c>
      <c r="F34" s="6">
        <v>0.2</v>
      </c>
      <c r="G34" s="6">
        <v>0.2</v>
      </c>
      <c r="H34" s="6">
        <v>0.2</v>
      </c>
      <c r="M34" t="s">
        <v>1</v>
      </c>
      <c r="N34" s="8">
        <f t="shared" si="5"/>
        <v>0.2</v>
      </c>
      <c r="O34" s="8">
        <f t="shared" si="6"/>
        <v>0.2</v>
      </c>
      <c r="P34" s="8">
        <f t="shared" si="7"/>
        <v>0.2</v>
      </c>
      <c r="Q34" s="8">
        <f t="shared" si="8"/>
        <v>0.2</v>
      </c>
      <c r="R34" s="8">
        <f t="shared" si="9"/>
        <v>0.2</v>
      </c>
      <c r="S34" s="8">
        <f t="shared" si="10"/>
        <v>0.2</v>
      </c>
    </row>
    <row r="35" spans="2:20" x14ac:dyDescent="0.25">
      <c r="B35" t="s">
        <v>8</v>
      </c>
      <c r="C35" s="9"/>
      <c r="D35" s="9"/>
      <c r="E35" s="9"/>
      <c r="F35" s="9"/>
      <c r="G35" s="9"/>
      <c r="H35" s="6">
        <v>0.1</v>
      </c>
      <c r="M35" t="s">
        <v>8</v>
      </c>
      <c r="N35" s="9"/>
      <c r="O35" s="9"/>
      <c r="P35" s="9"/>
      <c r="Q35" s="9"/>
      <c r="R35" s="9"/>
      <c r="S35" s="8">
        <f t="shared" si="5"/>
        <v>0.1</v>
      </c>
    </row>
    <row r="36" spans="2:20" x14ac:dyDescent="0.25">
      <c r="B36" t="s">
        <v>10</v>
      </c>
      <c r="C36" s="7">
        <v>1200</v>
      </c>
      <c r="D36" s="12"/>
      <c r="E36" s="12"/>
      <c r="F36" s="12"/>
      <c r="G36" s="12"/>
      <c r="H36" s="12"/>
      <c r="M36" t="s">
        <v>10</v>
      </c>
      <c r="N36" s="7">
        <f>+C36</f>
        <v>1200</v>
      </c>
    </row>
    <row r="37" spans="2:20" x14ac:dyDescent="0.25">
      <c r="C37" s="4"/>
      <c r="D37" s="4"/>
      <c r="E37" s="4"/>
      <c r="F37" s="4"/>
      <c r="G37" s="4"/>
      <c r="H37" s="4"/>
      <c r="I37" s="4"/>
      <c r="N37" s="4"/>
      <c r="O37" s="4"/>
      <c r="P37" s="4"/>
      <c r="Q37" s="4"/>
      <c r="R37" s="4"/>
      <c r="S37" s="4"/>
      <c r="T37" s="4"/>
    </row>
    <row r="38" spans="2:20" x14ac:dyDescent="0.25">
      <c r="C38" s="4"/>
      <c r="D38" s="4"/>
      <c r="E38" s="4"/>
      <c r="F38" s="4"/>
      <c r="G38" s="4"/>
      <c r="H38" s="4"/>
      <c r="I38" s="4"/>
      <c r="N38" s="4"/>
      <c r="O38" s="4"/>
      <c r="P38" s="4"/>
      <c r="Q38" s="4"/>
      <c r="R38" s="4"/>
      <c r="S38" s="4"/>
      <c r="T38" s="4"/>
    </row>
    <row r="39" spans="2:20" x14ac:dyDescent="0.25">
      <c r="B39" t="str">
        <f>+B26</f>
        <v>IC boy</v>
      </c>
      <c r="C39" s="4">
        <f>+C26</f>
        <v>12000</v>
      </c>
      <c r="D39" s="4">
        <f>+C55+C39</f>
        <v>13350</v>
      </c>
      <c r="E39" s="4">
        <f t="shared" ref="E39:I39" si="11">+D55+D39</f>
        <v>14500</v>
      </c>
      <c r="F39" s="4">
        <f t="shared" si="11"/>
        <v>15600</v>
      </c>
      <c r="G39" s="4">
        <f t="shared" si="11"/>
        <v>16390.432499999999</v>
      </c>
      <c r="H39" s="4">
        <f t="shared" si="11"/>
        <v>17219.99140875</v>
      </c>
      <c r="I39" s="4">
        <f t="shared" si="11"/>
        <v>18090.613483483125</v>
      </c>
      <c r="M39" t="str">
        <f>+M26</f>
        <v>IC boy</v>
      </c>
      <c r="N39" s="4">
        <f>+N26</f>
        <v>12000</v>
      </c>
      <c r="O39" s="4">
        <f>+N55+N39</f>
        <v>13600</v>
      </c>
      <c r="P39" s="4">
        <f t="shared" ref="P39:T39" si="12">+O55+O39</f>
        <v>15000</v>
      </c>
      <c r="Q39" s="4">
        <f t="shared" si="12"/>
        <v>16200</v>
      </c>
      <c r="R39" s="4">
        <f t="shared" si="12"/>
        <v>17069.88</v>
      </c>
      <c r="S39" s="4">
        <f t="shared" si="12"/>
        <v>17985.689664000001</v>
      </c>
      <c r="T39" s="4">
        <f t="shared" si="12"/>
        <v>18946.831906368003</v>
      </c>
    </row>
    <row r="40" spans="2:20" x14ac:dyDescent="0.25">
      <c r="B40" t="str">
        <f>+B36</f>
        <v>Rental Right boy</v>
      </c>
      <c r="C40" s="4">
        <f>+C36</f>
        <v>1200</v>
      </c>
      <c r="D40" s="4">
        <f>+C40-$C$40/6</f>
        <v>1000</v>
      </c>
      <c r="E40" s="4">
        <f t="shared" ref="E40:I40" si="13">+D40-$C$40/6</f>
        <v>800</v>
      </c>
      <c r="F40" s="4">
        <f t="shared" si="13"/>
        <v>600</v>
      </c>
      <c r="G40" s="4">
        <f t="shared" si="13"/>
        <v>400</v>
      </c>
      <c r="H40" s="4">
        <f t="shared" si="13"/>
        <v>200</v>
      </c>
      <c r="I40" s="4">
        <f t="shared" si="13"/>
        <v>0</v>
      </c>
      <c r="M40" t="str">
        <f>+M36</f>
        <v>Rental Right boy</v>
      </c>
      <c r="N40" s="4">
        <f>+N36</f>
        <v>1200</v>
      </c>
      <c r="O40" s="4">
        <f>+N40-$C$40/6</f>
        <v>1000</v>
      </c>
      <c r="P40" s="4">
        <f t="shared" ref="P40:T40" si="14">+O40-$C$40/6</f>
        <v>800</v>
      </c>
      <c r="Q40" s="4">
        <f t="shared" si="14"/>
        <v>600</v>
      </c>
      <c r="R40" s="4">
        <f t="shared" si="14"/>
        <v>400</v>
      </c>
      <c r="S40" s="4">
        <f t="shared" si="14"/>
        <v>200</v>
      </c>
      <c r="T40" s="4">
        <f t="shared" si="14"/>
        <v>0</v>
      </c>
    </row>
    <row r="41" spans="2:20" x14ac:dyDescent="0.25">
      <c r="B41" t="s">
        <v>11</v>
      </c>
      <c r="C41" s="4">
        <f>+C39*C31</f>
        <v>0</v>
      </c>
      <c r="D41" s="4">
        <f>+D39*D31</f>
        <v>667.5</v>
      </c>
      <c r="E41" s="4">
        <f t="shared" ref="E41:G41" si="15">+E39*E31</f>
        <v>1450</v>
      </c>
      <c r="F41" s="4">
        <f t="shared" si="15"/>
        <v>2340</v>
      </c>
      <c r="G41" s="4">
        <f t="shared" si="15"/>
        <v>3278.0864999999999</v>
      </c>
      <c r="H41" s="4">
        <f t="shared" ref="H41:I41" si="16">+H39*H31</f>
        <v>3443.9982817500004</v>
      </c>
      <c r="I41" s="4">
        <f t="shared" si="16"/>
        <v>0</v>
      </c>
      <c r="M41" t="s">
        <v>11</v>
      </c>
      <c r="N41" s="4">
        <f>+N39*N31</f>
        <v>0</v>
      </c>
      <c r="O41" s="4">
        <f>+O39*O31</f>
        <v>680</v>
      </c>
      <c r="P41" s="4">
        <f t="shared" ref="P41:T41" si="17">+P39*P31</f>
        <v>1500</v>
      </c>
      <c r="Q41" s="4">
        <f t="shared" si="17"/>
        <v>2430</v>
      </c>
      <c r="R41" s="4">
        <f t="shared" si="17"/>
        <v>3413.9760000000006</v>
      </c>
      <c r="S41" s="4">
        <f t="shared" si="17"/>
        <v>3597.1379328000003</v>
      </c>
      <c r="T41" s="4">
        <f t="shared" si="17"/>
        <v>0</v>
      </c>
    </row>
    <row r="42" spans="2:20" x14ac:dyDescent="0.25">
      <c r="B42" t="s">
        <v>12</v>
      </c>
      <c r="C42" s="4">
        <f>+C39+C40-C41</f>
        <v>13200</v>
      </c>
      <c r="D42" s="4">
        <f>+D39+D40-D41</f>
        <v>13682.5</v>
      </c>
      <c r="E42" s="4">
        <f t="shared" ref="E42:G42" si="18">+E39+E40-E41</f>
        <v>13850</v>
      </c>
      <c r="F42" s="4">
        <f t="shared" si="18"/>
        <v>13860</v>
      </c>
      <c r="G42" s="4">
        <f t="shared" si="18"/>
        <v>13512.346</v>
      </c>
      <c r="H42" s="4">
        <f t="shared" ref="H42" si="19">+H39+H40-H41</f>
        <v>13975.993127</v>
      </c>
      <c r="I42" s="4">
        <f t="shared" ref="I42" si="20">+I39+I40-I41</f>
        <v>18090.613483483125</v>
      </c>
      <c r="M42" t="s">
        <v>12</v>
      </c>
      <c r="N42" s="4">
        <f>+N39+N40-N41</f>
        <v>13200</v>
      </c>
      <c r="O42" s="4">
        <f>+O39+O40-O41</f>
        <v>13920</v>
      </c>
      <c r="P42" s="4">
        <f t="shared" ref="P42" si="21">+P39+P40-P41</f>
        <v>14300</v>
      </c>
      <c r="Q42" s="4">
        <f t="shared" ref="Q42" si="22">+Q39+Q40-Q41</f>
        <v>14370</v>
      </c>
      <c r="R42" s="4">
        <f t="shared" ref="R42" si="23">+R39+R40-R41</f>
        <v>14055.904</v>
      </c>
      <c r="S42" s="4">
        <f t="shared" ref="S42" si="24">+S39+S40-S41</f>
        <v>14588.551731200001</v>
      </c>
      <c r="T42" s="4">
        <f t="shared" ref="T42" si="25">+T39+T40-T41</f>
        <v>18946.831906368003</v>
      </c>
    </row>
    <row r="44" spans="2:20" x14ac:dyDescent="0.25">
      <c r="B44" t="s">
        <v>17</v>
      </c>
      <c r="C44" s="4">
        <f>+C53/(1-C51)</f>
        <v>2250</v>
      </c>
      <c r="D44" s="4">
        <f t="shared" ref="D44:I44" si="26">+D53/(1-D51)</f>
        <v>2536.875</v>
      </c>
      <c r="E44" s="4">
        <f t="shared" si="26"/>
        <v>2774.0625</v>
      </c>
      <c r="F44" s="4">
        <f t="shared" si="26"/>
        <v>2994.0625</v>
      </c>
      <c r="G44" s="4">
        <f t="shared" si="26"/>
        <v>3142.26859375</v>
      </c>
      <c r="H44" s="4">
        <f t="shared" si="26"/>
        <v>3297.8108891406246</v>
      </c>
      <c r="I44" s="4"/>
      <c r="M44" t="s">
        <v>17</v>
      </c>
      <c r="N44" s="4">
        <f>+N53/(1-N51)</f>
        <v>2400</v>
      </c>
      <c r="O44" s="4">
        <f t="shared" ref="O44:T44" si="27">+O53/(1-O51)</f>
        <v>2750</v>
      </c>
      <c r="P44" s="4">
        <f t="shared" si="27"/>
        <v>3047.5</v>
      </c>
      <c r="Q44" s="4">
        <f t="shared" si="27"/>
        <v>3295</v>
      </c>
      <c r="R44" s="4">
        <f t="shared" si="27"/>
        <v>3468.9760000000001</v>
      </c>
      <c r="S44" s="4">
        <f t="shared" si="27"/>
        <v>3640.6903120000002</v>
      </c>
      <c r="T44" s="4"/>
    </row>
    <row r="45" spans="2:20" x14ac:dyDescent="0.25">
      <c r="B45" t="s">
        <v>18</v>
      </c>
      <c r="C45" s="4">
        <f>+$C$36/6</f>
        <v>200</v>
      </c>
      <c r="D45" s="4">
        <f t="shared" ref="D45:I45" si="28">+$C$36/6</f>
        <v>200</v>
      </c>
      <c r="E45" s="4">
        <f t="shared" si="28"/>
        <v>200</v>
      </c>
      <c r="F45" s="4">
        <f t="shared" si="28"/>
        <v>200</v>
      </c>
      <c r="G45" s="4">
        <f t="shared" si="28"/>
        <v>200</v>
      </c>
      <c r="H45" s="4">
        <f t="shared" si="28"/>
        <v>200</v>
      </c>
      <c r="I45" s="4"/>
      <c r="M45" t="s">
        <v>18</v>
      </c>
      <c r="N45" s="4">
        <f>+$C$36/6</f>
        <v>200</v>
      </c>
      <c r="O45" s="4">
        <f t="shared" ref="O45:T45" si="29">+$C$36/6</f>
        <v>200</v>
      </c>
      <c r="P45" s="4">
        <f t="shared" si="29"/>
        <v>200</v>
      </c>
      <c r="Q45" s="4">
        <f t="shared" si="29"/>
        <v>200</v>
      </c>
      <c r="R45" s="4">
        <f t="shared" si="29"/>
        <v>200</v>
      </c>
      <c r="S45" s="4">
        <f t="shared" si="29"/>
        <v>200</v>
      </c>
      <c r="T45" s="4"/>
    </row>
    <row r="46" spans="2:20" x14ac:dyDescent="0.25">
      <c r="B46" t="s">
        <v>21</v>
      </c>
      <c r="C46" s="4"/>
      <c r="D46" s="4"/>
      <c r="E46" s="4"/>
      <c r="F46" s="4"/>
      <c r="G46" s="4"/>
      <c r="H46" s="4">
        <f>+I39*H35</f>
        <v>1809.0613483483125</v>
      </c>
      <c r="I46" s="4"/>
      <c r="M46" t="s">
        <v>21</v>
      </c>
      <c r="N46" s="4"/>
      <c r="O46" s="4"/>
      <c r="P46" s="4"/>
      <c r="Q46" s="4"/>
      <c r="R46" s="4"/>
      <c r="S46" s="4">
        <f>+T39*S35</f>
        <v>1894.6831906368004</v>
      </c>
      <c r="T46" s="4"/>
    </row>
    <row r="47" spans="2:20" x14ac:dyDescent="0.25">
      <c r="B47" t="s">
        <v>19</v>
      </c>
      <c r="C47" s="4">
        <f>+C44-C45</f>
        <v>2050</v>
      </c>
      <c r="D47" s="4">
        <f t="shared" ref="D47:I47" si="30">+D44-D45</f>
        <v>2336.875</v>
      </c>
      <c r="E47" s="4">
        <f t="shared" si="30"/>
        <v>2574.0625</v>
      </c>
      <c r="F47" s="4">
        <f t="shared" si="30"/>
        <v>2794.0625</v>
      </c>
      <c r="G47" s="4">
        <f t="shared" si="30"/>
        <v>2942.26859375</v>
      </c>
      <c r="H47" s="4">
        <f>+H44-H45-H46</f>
        <v>1288.749540792312</v>
      </c>
      <c r="I47" s="4"/>
      <c r="M47" t="s">
        <v>19</v>
      </c>
      <c r="N47" s="4">
        <f>+N44-N45</f>
        <v>2200</v>
      </c>
      <c r="O47" s="4">
        <f t="shared" ref="O47" si="31">+O44-O45</f>
        <v>2550</v>
      </c>
      <c r="P47" s="4">
        <f t="shared" ref="P47" si="32">+P44-P45</f>
        <v>2847.5</v>
      </c>
      <c r="Q47" s="4">
        <f t="shared" ref="Q47" si="33">+Q44-Q45</f>
        <v>3095</v>
      </c>
      <c r="R47" s="4">
        <f t="shared" ref="R47" si="34">+R44-R45</f>
        <v>3268.9760000000001</v>
      </c>
      <c r="S47" s="4">
        <f>+S44-S45-S46</f>
        <v>1546.0071213631998</v>
      </c>
      <c r="T47" s="4"/>
    </row>
    <row r="51" spans="2:20" x14ac:dyDescent="0.25">
      <c r="B51" t="s">
        <v>16</v>
      </c>
      <c r="C51" s="14">
        <v>0.2</v>
      </c>
      <c r="D51" s="14">
        <v>0.2</v>
      </c>
      <c r="E51" s="14">
        <v>0.2</v>
      </c>
      <c r="F51" s="14">
        <v>0.2</v>
      </c>
      <c r="G51" s="14">
        <v>0.2</v>
      </c>
      <c r="H51" s="14">
        <v>0.2</v>
      </c>
      <c r="I51" s="14">
        <v>0.2</v>
      </c>
      <c r="M51" t="s">
        <v>16</v>
      </c>
      <c r="N51" s="14">
        <v>0.2</v>
      </c>
      <c r="O51" s="14">
        <v>0.2</v>
      </c>
      <c r="P51" s="14">
        <v>0.2</v>
      </c>
      <c r="Q51" s="14">
        <v>0.2</v>
      </c>
      <c r="R51" s="14">
        <v>0.2</v>
      </c>
      <c r="S51" s="14">
        <v>0.2</v>
      </c>
      <c r="T51" s="14">
        <v>0.2</v>
      </c>
    </row>
    <row r="53" spans="2:20" x14ac:dyDescent="0.25">
      <c r="B53" t="s">
        <v>13</v>
      </c>
      <c r="C53" s="4">
        <f>+C39*C28</f>
        <v>1800</v>
      </c>
      <c r="D53" s="4">
        <f>+C53+C55*D29</f>
        <v>2029.5</v>
      </c>
      <c r="E53" s="4">
        <f>+D53+D55*E29</f>
        <v>2219.25</v>
      </c>
      <c r="F53" s="4">
        <f>+E53+E55*F29</f>
        <v>2395.25</v>
      </c>
      <c r="G53" s="4">
        <f>+F53+F55*G29</f>
        <v>2513.814875</v>
      </c>
      <c r="H53" s="4">
        <f>+G53+G55*H29</f>
        <v>2638.2487113124998</v>
      </c>
      <c r="I53" s="4"/>
      <c r="M53" t="s">
        <v>13</v>
      </c>
      <c r="N53" s="4">
        <f>+N39*N28</f>
        <v>1920</v>
      </c>
      <c r="O53" s="4">
        <f>+N53+N55*O29</f>
        <v>2200</v>
      </c>
      <c r="P53" s="4">
        <f>+O53+O55*P29</f>
        <v>2438</v>
      </c>
      <c r="Q53" s="4">
        <f>+P53+P55*Q29</f>
        <v>2636</v>
      </c>
      <c r="R53" s="4">
        <f>+Q53+Q55*R29</f>
        <v>2775.1808000000001</v>
      </c>
      <c r="S53" s="4">
        <f>+R53+R55*S29</f>
        <v>2912.5522496000003</v>
      </c>
      <c r="T53" s="4"/>
    </row>
    <row r="54" spans="2:20" x14ac:dyDescent="0.25">
      <c r="B54" t="s">
        <v>20</v>
      </c>
      <c r="C54" s="4">
        <f>+C47*(1-C51)</f>
        <v>1640</v>
      </c>
      <c r="D54" s="4">
        <f>+D47*(1-D51)</f>
        <v>1869.5</v>
      </c>
      <c r="E54" s="4">
        <f>+E47*(1-E51)</f>
        <v>2059.25</v>
      </c>
      <c r="F54" s="4">
        <f t="shared" ref="F54:H54" si="35">+F47*(1-F51)</f>
        <v>2235.25</v>
      </c>
      <c r="G54" s="4">
        <f t="shared" si="35"/>
        <v>2353.814875</v>
      </c>
      <c r="H54" s="4">
        <f t="shared" si="35"/>
        <v>1030.9996326338496</v>
      </c>
      <c r="I54" s="4"/>
      <c r="M54" t="s">
        <v>20</v>
      </c>
      <c r="N54" s="4">
        <f>+N47*(1-N51)</f>
        <v>1760</v>
      </c>
      <c r="O54" s="4">
        <f>+O47*(1-O51)</f>
        <v>2040</v>
      </c>
      <c r="P54" s="4">
        <f>+P47*(1-P51)</f>
        <v>2278</v>
      </c>
      <c r="Q54" s="4">
        <f t="shared" ref="Q54:S54" si="36">+Q47*(1-Q51)</f>
        <v>2476</v>
      </c>
      <c r="R54" s="4">
        <f t="shared" si="36"/>
        <v>2615.1808000000001</v>
      </c>
      <c r="S54" s="4">
        <f t="shared" si="36"/>
        <v>1236.80569709056</v>
      </c>
      <c r="T54" s="4"/>
    </row>
    <row r="55" spans="2:20" x14ac:dyDescent="0.25">
      <c r="B55" t="str">
        <f>+B27</f>
        <v>dIC</v>
      </c>
      <c r="C55" s="4">
        <f t="shared" ref="C55:E55" si="37">+C27</f>
        <v>1350</v>
      </c>
      <c r="D55" s="4">
        <f t="shared" si="37"/>
        <v>1150</v>
      </c>
      <c r="E55" s="4">
        <f t="shared" si="37"/>
        <v>1100</v>
      </c>
      <c r="F55" s="4">
        <f>+F30*F53</f>
        <v>790.4325</v>
      </c>
      <c r="G55" s="4">
        <f>+G30*G53</f>
        <v>829.55890875</v>
      </c>
      <c r="H55" s="4">
        <f>+H30*H53</f>
        <v>870.62207473312503</v>
      </c>
      <c r="I55" s="4"/>
      <c r="M55" t="str">
        <f>+M27</f>
        <v>dIC</v>
      </c>
      <c r="N55" s="4">
        <f t="shared" ref="N55:P55" si="38">+N27</f>
        <v>1600</v>
      </c>
      <c r="O55" s="4">
        <f t="shared" si="38"/>
        <v>1400</v>
      </c>
      <c r="P55" s="4">
        <f t="shared" si="38"/>
        <v>1200</v>
      </c>
      <c r="Q55" s="4">
        <f>+Q30*Q53</f>
        <v>869.88</v>
      </c>
      <c r="R55" s="4">
        <f>+R30*R53</f>
        <v>915.80966400000011</v>
      </c>
      <c r="S55" s="4">
        <f>+S30*S53</f>
        <v>961.1422423680001</v>
      </c>
      <c r="T55" s="4"/>
    </row>
    <row r="56" spans="2:20" x14ac:dyDescent="0.25">
      <c r="B56" t="s">
        <v>14</v>
      </c>
      <c r="C56" s="4">
        <f>+D40-C40</f>
        <v>-200</v>
      </c>
      <c r="D56" s="4">
        <f>+E40-D40</f>
        <v>-200</v>
      </c>
      <c r="E56" s="4">
        <f>+F40-E40</f>
        <v>-200</v>
      </c>
      <c r="F56" s="4">
        <f>+G40-F40</f>
        <v>-200</v>
      </c>
      <c r="G56" s="4">
        <f>+H40-G40</f>
        <v>-200</v>
      </c>
      <c r="H56" s="4">
        <f>+I40-H40</f>
        <v>-200</v>
      </c>
      <c r="I56" s="4"/>
      <c r="M56" t="s">
        <v>14</v>
      </c>
      <c r="N56" s="4">
        <f>+O40-N40</f>
        <v>-200</v>
      </c>
      <c r="O56" s="4">
        <f>+P40-O40</f>
        <v>-200</v>
      </c>
      <c r="P56" s="4">
        <f>+Q40-P40</f>
        <v>-200</v>
      </c>
      <c r="Q56" s="4">
        <f>+R40-Q40</f>
        <v>-200</v>
      </c>
      <c r="R56" s="4">
        <f>+S40-R40</f>
        <v>-200</v>
      </c>
      <c r="S56" s="4">
        <f>+T40-S40</f>
        <v>-200</v>
      </c>
      <c r="T56" s="4"/>
    </row>
    <row r="57" spans="2:20" x14ac:dyDescent="0.25">
      <c r="B57" t="s">
        <v>15</v>
      </c>
      <c r="C57" s="4">
        <f>+C54-C55-C56</f>
        <v>490</v>
      </c>
      <c r="D57" s="4">
        <f t="shared" ref="D57:E57" si="39">+D54-D55-D56</f>
        <v>919.5</v>
      </c>
      <c r="E57" s="4">
        <f t="shared" si="39"/>
        <v>1159.25</v>
      </c>
      <c r="F57" s="4">
        <f t="shared" ref="F57" si="40">+F54-F55-F56</f>
        <v>1644.8175000000001</v>
      </c>
      <c r="G57" s="4">
        <f t="shared" ref="G57" si="41">+G54-G55-G56</f>
        <v>1724.25596625</v>
      </c>
      <c r="H57" s="4">
        <f t="shared" ref="H57" si="42">+H54-H55-H56</f>
        <v>360.37755790072458</v>
      </c>
      <c r="I57" s="4"/>
      <c r="M57" t="s">
        <v>15</v>
      </c>
      <c r="N57" s="4">
        <f>+N54-N55-N56</f>
        <v>360</v>
      </c>
      <c r="O57" s="4">
        <f t="shared" ref="O57" si="43">+O54-O55-O56</f>
        <v>840</v>
      </c>
      <c r="P57" s="4">
        <f t="shared" ref="P57" si="44">+P54-P55-P56</f>
        <v>1278</v>
      </c>
      <c r="Q57" s="4">
        <f t="shared" ref="Q57" si="45">+Q54-Q55-Q56</f>
        <v>1806.12</v>
      </c>
      <c r="R57" s="4">
        <f t="shared" ref="R57" si="46">+R54-R55-R56</f>
        <v>1899.371136</v>
      </c>
      <c r="S57" s="4">
        <f t="shared" ref="S57" si="47">+S54-S55-S56</f>
        <v>475.66345472255989</v>
      </c>
      <c r="T57" s="4"/>
    </row>
    <row r="58" spans="2:20" x14ac:dyDescent="0.25">
      <c r="B58" t="s">
        <v>22</v>
      </c>
      <c r="C58" s="4">
        <f>+C41*C32</f>
        <v>0</v>
      </c>
      <c r="D58" s="4">
        <f t="shared" ref="D58:H58" si="48">+D41*D32</f>
        <v>46.725000000000001</v>
      </c>
      <c r="E58" s="4">
        <f t="shared" si="48"/>
        <v>101.50000000000001</v>
      </c>
      <c r="F58" s="4">
        <f t="shared" si="48"/>
        <v>163.80000000000001</v>
      </c>
      <c r="G58" s="4">
        <f t="shared" si="48"/>
        <v>229.46605500000001</v>
      </c>
      <c r="H58" s="4">
        <f t="shared" si="48"/>
        <v>241.07987972250004</v>
      </c>
      <c r="M58" t="s">
        <v>22</v>
      </c>
      <c r="N58" s="4">
        <f>+N41*N32</f>
        <v>0</v>
      </c>
      <c r="O58" s="4">
        <f t="shared" ref="O58:S58" si="49">+O41*O32</f>
        <v>47.6</v>
      </c>
      <c r="P58" s="4">
        <f t="shared" si="49"/>
        <v>105.00000000000001</v>
      </c>
      <c r="Q58" s="4">
        <f t="shared" si="49"/>
        <v>170.10000000000002</v>
      </c>
      <c r="R58" s="4">
        <f t="shared" si="49"/>
        <v>238.97832000000005</v>
      </c>
      <c r="S58" s="4">
        <f t="shared" si="49"/>
        <v>251.79965529600005</v>
      </c>
    </row>
    <row r="59" spans="2:20" x14ac:dyDescent="0.25">
      <c r="B59" t="s">
        <v>23</v>
      </c>
      <c r="C59" s="4">
        <f>+C58*C51</f>
        <v>0</v>
      </c>
      <c r="D59" s="4">
        <f t="shared" ref="D59:H59" si="50">+D58*D51</f>
        <v>9.3450000000000006</v>
      </c>
      <c r="E59" s="4">
        <f t="shared" si="50"/>
        <v>20.300000000000004</v>
      </c>
      <c r="F59" s="4">
        <f t="shared" si="50"/>
        <v>32.760000000000005</v>
      </c>
      <c r="G59" s="4">
        <f t="shared" si="50"/>
        <v>45.893211000000008</v>
      </c>
      <c r="H59" s="4">
        <f t="shared" si="50"/>
        <v>48.215975944500009</v>
      </c>
      <c r="M59" t="s">
        <v>23</v>
      </c>
      <c r="N59" s="4">
        <f>+N58*N51</f>
        <v>0</v>
      </c>
      <c r="O59" s="4">
        <f t="shared" ref="O59" si="51">+O58*O51</f>
        <v>9.5200000000000014</v>
      </c>
      <c r="P59" s="4">
        <f t="shared" ref="P59" si="52">+P58*P51</f>
        <v>21.000000000000004</v>
      </c>
      <c r="Q59" s="4">
        <f t="shared" ref="Q59" si="53">+Q58*Q51</f>
        <v>34.020000000000003</v>
      </c>
      <c r="R59" s="4">
        <f t="shared" ref="R59" si="54">+R58*R51</f>
        <v>47.795664000000016</v>
      </c>
      <c r="S59" s="4">
        <f t="shared" ref="S59" si="55">+S58*S51</f>
        <v>50.359931059200015</v>
      </c>
    </row>
    <row r="60" spans="2:20" x14ac:dyDescent="0.25">
      <c r="B60" t="s">
        <v>24</v>
      </c>
      <c r="C60" s="4">
        <f>+D41-C41</f>
        <v>667.5</v>
      </c>
      <c r="D60" s="4">
        <f t="shared" ref="D60:H60" si="56">+E41-D41</f>
        <v>782.5</v>
      </c>
      <c r="E60" s="4">
        <f t="shared" si="56"/>
        <v>890</v>
      </c>
      <c r="F60" s="4">
        <f t="shared" si="56"/>
        <v>938.08649999999989</v>
      </c>
      <c r="G60" s="4">
        <f t="shared" si="56"/>
        <v>165.9117817500005</v>
      </c>
      <c r="H60" s="4">
        <f t="shared" si="56"/>
        <v>-3443.9982817500004</v>
      </c>
      <c r="M60" t="s">
        <v>24</v>
      </c>
      <c r="N60" s="4">
        <f>+O41-N41</f>
        <v>680</v>
      </c>
      <c r="O60" s="4">
        <f t="shared" ref="O60:S60" si="57">+P41-O41</f>
        <v>820</v>
      </c>
      <c r="P60" s="4">
        <f t="shared" si="57"/>
        <v>930</v>
      </c>
      <c r="Q60" s="4">
        <f t="shared" si="57"/>
        <v>983.97600000000057</v>
      </c>
      <c r="R60" s="4">
        <f t="shared" si="57"/>
        <v>183.1619327999997</v>
      </c>
      <c r="S60" s="4">
        <f t="shared" si="57"/>
        <v>-3597.1379328000003</v>
      </c>
    </row>
    <row r="61" spans="2:20" x14ac:dyDescent="0.25">
      <c r="B61" t="s">
        <v>25</v>
      </c>
      <c r="C61" s="4">
        <f>+C57-C58+C59+C60</f>
        <v>1157.5</v>
      </c>
      <c r="D61" s="4">
        <f t="shared" ref="D61:H61" si="58">+D57-D58+D59+D60</f>
        <v>1664.62</v>
      </c>
      <c r="E61" s="4">
        <f t="shared" si="58"/>
        <v>1968.05</v>
      </c>
      <c r="F61" s="4">
        <f t="shared" si="58"/>
        <v>2451.864</v>
      </c>
      <c r="G61" s="4">
        <f t="shared" si="58"/>
        <v>1706.5949040000005</v>
      </c>
      <c r="H61" s="4">
        <f t="shared" si="58"/>
        <v>-3276.484627627276</v>
      </c>
      <c r="M61" t="s">
        <v>25</v>
      </c>
      <c r="N61" s="4">
        <f>+N57-N58+N59+N60</f>
        <v>1040</v>
      </c>
      <c r="O61" s="4">
        <f t="shared" ref="O61" si="59">+O57-O58+O59+O60</f>
        <v>1621.92</v>
      </c>
      <c r="P61" s="4">
        <f t="shared" ref="P61" si="60">+P57-P58+P59+P60</f>
        <v>2124</v>
      </c>
      <c r="Q61" s="4">
        <f t="shared" ref="Q61" si="61">+Q57-Q58+Q59+Q60</f>
        <v>2654.0160000000005</v>
      </c>
      <c r="R61" s="4">
        <f t="shared" ref="R61" si="62">+R57-R58+R59+R60</f>
        <v>1891.3504127999997</v>
      </c>
      <c r="S61" s="4">
        <f t="shared" ref="S61" si="63">+S57-S58+S59+S60</f>
        <v>-3322.9142023142404</v>
      </c>
    </row>
    <row r="64" spans="2:20" x14ac:dyDescent="0.25">
      <c r="B64" t="s">
        <v>26</v>
      </c>
      <c r="M64" t="s">
        <v>26</v>
      </c>
    </row>
    <row r="65" spans="2:20" x14ac:dyDescent="0.25">
      <c r="B65" t="s">
        <v>27</v>
      </c>
      <c r="C65" s="4">
        <f>+C57+C59</f>
        <v>490</v>
      </c>
      <c r="D65" s="4">
        <f t="shared" ref="D65:H65" si="64">+D57+D59</f>
        <v>928.84500000000003</v>
      </c>
      <c r="E65" s="4">
        <f t="shared" si="64"/>
        <v>1179.55</v>
      </c>
      <c r="F65" s="4">
        <f t="shared" si="64"/>
        <v>1677.5775000000001</v>
      </c>
      <c r="G65" s="4">
        <f t="shared" si="64"/>
        <v>1770.1491772500001</v>
      </c>
      <c r="H65" s="4">
        <f t="shared" si="64"/>
        <v>408.59353384522461</v>
      </c>
      <c r="M65" t="s">
        <v>27</v>
      </c>
      <c r="N65" s="4">
        <f>+N57+N59</f>
        <v>360</v>
      </c>
      <c r="O65" s="4">
        <f t="shared" ref="O65:S65" si="65">+O57+O59</f>
        <v>849.52</v>
      </c>
      <c r="P65" s="4">
        <f t="shared" si="65"/>
        <v>1299</v>
      </c>
      <c r="Q65" s="4">
        <f t="shared" si="65"/>
        <v>1840.1399999999999</v>
      </c>
      <c r="R65" s="4">
        <f t="shared" si="65"/>
        <v>1947.1668</v>
      </c>
      <c r="S65" s="4">
        <f t="shared" si="65"/>
        <v>526.02338578175988</v>
      </c>
    </row>
    <row r="66" spans="2:20" x14ac:dyDescent="0.25">
      <c r="B66" s="3" t="str">
        <f>+B33</f>
        <v>rA</v>
      </c>
      <c r="C66" s="3">
        <f t="shared" ref="C66:H66" si="66">+C33</f>
        <v>0.12</v>
      </c>
      <c r="D66" s="3">
        <f t="shared" si="66"/>
        <v>0.12</v>
      </c>
      <c r="E66" s="3">
        <f t="shared" si="66"/>
        <v>0.12</v>
      </c>
      <c r="F66" s="3">
        <f t="shared" si="66"/>
        <v>0.12</v>
      </c>
      <c r="G66" s="3">
        <f t="shared" si="66"/>
        <v>0.12</v>
      </c>
      <c r="H66" s="3">
        <f t="shared" si="66"/>
        <v>0.12</v>
      </c>
      <c r="M66" s="3" t="str">
        <f>+M33</f>
        <v>rA</v>
      </c>
      <c r="N66" s="3">
        <f t="shared" ref="N66:S66" si="67">+N33</f>
        <v>0.12</v>
      </c>
      <c r="O66" s="3">
        <f t="shared" si="67"/>
        <v>0.12</v>
      </c>
      <c r="P66" s="3">
        <f t="shared" si="67"/>
        <v>0.12</v>
      </c>
      <c r="Q66" s="3">
        <f t="shared" si="67"/>
        <v>0.12</v>
      </c>
      <c r="R66" s="3">
        <f t="shared" si="67"/>
        <v>0.12</v>
      </c>
      <c r="S66" s="3">
        <f t="shared" si="67"/>
        <v>0.12</v>
      </c>
    </row>
    <row r="67" spans="2:20" x14ac:dyDescent="0.25">
      <c r="B67" s="16" t="s">
        <v>28</v>
      </c>
      <c r="C67" s="17">
        <f t="shared" ref="C67:G67" si="68">+(C65+D67)/(1+C66)</f>
        <v>13460.384941557619</v>
      </c>
      <c r="D67" s="17">
        <f t="shared" si="68"/>
        <v>14585.631134544534</v>
      </c>
      <c r="E67" s="17">
        <f t="shared" si="68"/>
        <v>15407.06187068988</v>
      </c>
      <c r="F67" s="17">
        <f t="shared" si="68"/>
        <v>16076.359295172666</v>
      </c>
      <c r="G67" s="17">
        <f t="shared" si="68"/>
        <v>16327.944910593389</v>
      </c>
      <c r="H67" s="17">
        <f>+(H65+I67)/(1+H66)</f>
        <v>16517.149122614595</v>
      </c>
      <c r="I67" s="15">
        <f>+I39</f>
        <v>18090.613483483125</v>
      </c>
      <c r="M67" s="16" t="s">
        <v>28</v>
      </c>
      <c r="N67" s="17">
        <f t="shared" ref="N67" si="69">+(N65+O67)/(1+N66)</f>
        <v>14063.134737060402</v>
      </c>
      <c r="O67" s="17">
        <f t="shared" ref="O67" si="70">+(O65+P67)/(1+O66)</f>
        <v>15390.710905507651</v>
      </c>
      <c r="P67" s="17">
        <f t="shared" ref="P67" si="71">+(P65+Q67)/(1+P66)</f>
        <v>16388.07621416857</v>
      </c>
      <c r="Q67" s="17">
        <f t="shared" ref="Q67" si="72">+(Q65+R67)/(1+Q66)</f>
        <v>17055.645359868799</v>
      </c>
      <c r="R67" s="17">
        <f t="shared" ref="R67" si="73">+(R65+S67)/(1+R66)</f>
        <v>17262.182803053056</v>
      </c>
      <c r="S67" s="17">
        <f>+(S65+T67)/(1+S66)</f>
        <v>17386.477939419427</v>
      </c>
      <c r="T67" s="15">
        <f>+T39</f>
        <v>18946.831906368003</v>
      </c>
    </row>
    <row r="69" spans="2:20" x14ac:dyDescent="0.25">
      <c r="B69" t="s">
        <v>29</v>
      </c>
      <c r="C69" s="3">
        <f>+C41/C67</f>
        <v>0</v>
      </c>
      <c r="D69" s="3">
        <f t="shared" ref="D69:H69" si="74">+D41/D67</f>
        <v>4.5764217800565138E-2</v>
      </c>
      <c r="E69" s="3">
        <f t="shared" si="74"/>
        <v>9.4112687556506425E-2</v>
      </c>
      <c r="F69" s="3">
        <f t="shared" si="74"/>
        <v>0.14555534353494104</v>
      </c>
      <c r="G69" s="3">
        <f t="shared" si="74"/>
        <v>0.2007654066662862</v>
      </c>
      <c r="H69" s="3">
        <f t="shared" si="74"/>
        <v>0.2085104551750169</v>
      </c>
      <c r="M69" t="s">
        <v>29</v>
      </c>
      <c r="N69" s="3">
        <f>+N41/N67</f>
        <v>0</v>
      </c>
      <c r="O69" s="3">
        <f t="shared" ref="O69:S69" si="75">+O41/O67</f>
        <v>4.4182494504308979E-2</v>
      </c>
      <c r="P69" s="3">
        <f t="shared" si="75"/>
        <v>9.1529962418843966E-2</v>
      </c>
      <c r="Q69" s="3">
        <f t="shared" si="75"/>
        <v>0.14247481984573188</v>
      </c>
      <c r="R69" s="3">
        <f t="shared" si="75"/>
        <v>0.19777197582429679</v>
      </c>
      <c r="S69" s="3">
        <f t="shared" si="75"/>
        <v>0.20689284772532354</v>
      </c>
    </row>
    <row r="71" spans="2:20" x14ac:dyDescent="0.25">
      <c r="B71" s="4" t="str">
        <f>+B57</f>
        <v>FCFF</v>
      </c>
      <c r="C71" s="4">
        <f>+C57</f>
        <v>490</v>
      </c>
      <c r="D71" s="4">
        <f>+D57</f>
        <v>919.5</v>
      </c>
      <c r="E71" s="4">
        <f>+E57</f>
        <v>1159.25</v>
      </c>
      <c r="F71" s="4">
        <f>+F57</f>
        <v>1644.8175000000001</v>
      </c>
      <c r="G71" s="4">
        <f>+G57</f>
        <v>1724.25596625</v>
      </c>
      <c r="H71" s="4">
        <f>+H57</f>
        <v>360.37755790072458</v>
      </c>
      <c r="M71" s="4" t="str">
        <f>+M57</f>
        <v>FCFF</v>
      </c>
      <c r="N71" s="4">
        <f>+N57</f>
        <v>360</v>
      </c>
      <c r="O71" s="4">
        <f>+O57</f>
        <v>840</v>
      </c>
      <c r="P71" s="4">
        <f>+P57</f>
        <v>1278</v>
      </c>
      <c r="Q71" s="4">
        <f>+Q57</f>
        <v>1806.12</v>
      </c>
      <c r="R71" s="4">
        <f>+R57</f>
        <v>1899.371136</v>
      </c>
      <c r="S71" s="4">
        <f>+S57</f>
        <v>475.66345472255989</v>
      </c>
    </row>
    <row r="72" spans="2:20" x14ac:dyDescent="0.25">
      <c r="B72" t="s">
        <v>30</v>
      </c>
      <c r="C72" s="3">
        <f>+C66-C69*C32*C51</f>
        <v>0.12</v>
      </c>
      <c r="D72" s="3">
        <f>+D66-D69*D32*D51</f>
        <v>0.11935930095079209</v>
      </c>
      <c r="E72" s="3">
        <f>+E66-E69*E32*E51</f>
        <v>0.11868242237420891</v>
      </c>
      <c r="F72" s="3">
        <f>+F66-F69*F32*F51</f>
        <v>0.11796222519051082</v>
      </c>
      <c r="G72" s="3">
        <f>+G66-G69*G32*G51</f>
        <v>0.11718928430667198</v>
      </c>
      <c r="H72" s="3">
        <f>+H66-H69*H32*H51</f>
        <v>0.11708085362754976</v>
      </c>
      <c r="M72" t="s">
        <v>30</v>
      </c>
      <c r="N72" s="3">
        <f>+N66-N69*N32*N51</f>
        <v>0.12</v>
      </c>
      <c r="O72" s="3">
        <f>+O66-O69*O32*O51</f>
        <v>0.11938144507693967</v>
      </c>
      <c r="P72" s="3">
        <f>+P66-P69*P32*P51</f>
        <v>0.11871858052613618</v>
      </c>
      <c r="Q72" s="3">
        <f>+Q66-Q69*Q32*Q51</f>
        <v>0.11800535252215975</v>
      </c>
      <c r="R72" s="3">
        <f>+R66-R69*R32*R51</f>
        <v>0.11723119233845984</v>
      </c>
      <c r="S72" s="3">
        <f>+S66-S69*S32*S51</f>
        <v>0.11710350013184546</v>
      </c>
    </row>
    <row r="73" spans="2:20" x14ac:dyDescent="0.25">
      <c r="B73" s="16" t="s">
        <v>31</v>
      </c>
      <c r="C73" s="17">
        <f t="shared" ref="C73:G73" si="76">+(C71+D73)/(1+C72)</f>
        <v>13460.384941557621</v>
      </c>
      <c r="D73" s="17">
        <f t="shared" si="76"/>
        <v>14585.631134544537</v>
      </c>
      <c r="E73" s="17">
        <f t="shared" si="76"/>
        <v>15407.061870689882</v>
      </c>
      <c r="F73" s="17">
        <f t="shared" si="76"/>
        <v>16076.359295172666</v>
      </c>
      <c r="G73" s="17">
        <f t="shared" si="76"/>
        <v>16327.944910593387</v>
      </c>
      <c r="H73" s="17">
        <f>+(H71+I73)/(1+H72)</f>
        <v>16517.149122614595</v>
      </c>
      <c r="I73" s="15">
        <f>+I67</f>
        <v>18090.613483483125</v>
      </c>
      <c r="M73" s="16" t="s">
        <v>31</v>
      </c>
      <c r="N73" s="17">
        <f t="shared" ref="N73" si="77">+(N71+O73)/(1+N72)</f>
        <v>14063.134737060407</v>
      </c>
      <c r="O73" s="17">
        <f t="shared" ref="O73" si="78">+(O71+P73)/(1+O72)</f>
        <v>15390.710905507658</v>
      </c>
      <c r="P73" s="17">
        <f t="shared" ref="P73" si="79">+(P71+Q73)/(1+P72)</f>
        <v>16388.076214168577</v>
      </c>
      <c r="Q73" s="17">
        <f t="shared" ref="Q73" si="80">+(Q71+R73)/(1+Q72)</f>
        <v>17055.645359868806</v>
      </c>
      <c r="R73" s="17">
        <f t="shared" ref="R73" si="81">+(R71+S73)/(1+R72)</f>
        <v>17262.182803053063</v>
      </c>
      <c r="S73" s="17">
        <f>+(S71+T73)/(1+S72)</f>
        <v>17386.47793941943</v>
      </c>
      <c r="T73" s="15">
        <f>+T67</f>
        <v>18946.831906368003</v>
      </c>
    </row>
    <row r="74" spans="2:20" x14ac:dyDescent="0.25">
      <c r="B74" t="s">
        <v>35</v>
      </c>
      <c r="C74" s="4">
        <f>+C73-C41</f>
        <v>13460.384941557621</v>
      </c>
      <c r="M74" t="s">
        <v>35</v>
      </c>
      <c r="N74" s="4">
        <f>+N73-N41</f>
        <v>14063.134737060407</v>
      </c>
    </row>
    <row r="76" spans="2:20" x14ac:dyDescent="0.25">
      <c r="B76" t="s">
        <v>32</v>
      </c>
      <c r="C76" s="4">
        <f>+C73-C26</f>
        <v>1460.3849415576206</v>
      </c>
      <c r="M76" t="s">
        <v>32</v>
      </c>
      <c r="N76" s="4">
        <f>+N73-N26</f>
        <v>2063.1347370604071</v>
      </c>
    </row>
    <row r="77" spans="2:20" x14ac:dyDescent="0.25">
      <c r="M77" t="s">
        <v>33</v>
      </c>
    </row>
    <row r="78" spans="2:20" x14ac:dyDescent="0.25">
      <c r="M78" t="s">
        <v>34</v>
      </c>
      <c r="N78" s="4">
        <f>+N76-C76</f>
        <v>602.74979550278658</v>
      </c>
    </row>
    <row r="80" spans="2:20" x14ac:dyDescent="0.25">
      <c r="M80" t="s">
        <v>36</v>
      </c>
      <c r="N80" s="3">
        <f>+N78/N74</f>
        <v>4.2860273102153207E-2</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Juhász Péter</cp:lastModifiedBy>
  <dcterms:created xsi:type="dcterms:W3CDTF">2023-11-05T11:18:39Z</dcterms:created>
  <dcterms:modified xsi:type="dcterms:W3CDTF">2024-11-12T16:06:37Z</dcterms:modified>
</cp:coreProperties>
</file>