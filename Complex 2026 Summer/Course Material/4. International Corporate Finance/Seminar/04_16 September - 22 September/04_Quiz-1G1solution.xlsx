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unicorvinus-my.sharepoint.com/personal/leyla_yusifzada_uni-corvinus_hu/Documents/icf_2024/quiz/"/>
    </mc:Choice>
  </mc:AlternateContent>
  <xr:revisionPtr revIDLastSave="25" documentId="8_{1DDA3BB5-2B86-491A-8BB5-BB64D99F876C}" xr6:coauthVersionLast="47" xr6:coauthVersionMax="47" xr10:uidLastSave="{60AE4F66-761C-4D4F-878B-D74292641536}"/>
  <bookViews>
    <workbookView xWindow="28680" yWindow="-120" windowWidth="29040" windowHeight="15840" activeTab="3" xr2:uid="{00000000-000D-0000-FFFF-FFFF00000000}"/>
  </bookViews>
  <sheets>
    <sheet name="Instructions" sheetId="4" r:id="rId1"/>
    <sheet name="1" sheetId="5" r:id="rId2"/>
    <sheet name="2" sheetId="2" r:id="rId3"/>
    <sheet name="3"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6" l="1"/>
  <c r="E19" i="6"/>
  <c r="E18" i="6"/>
  <c r="C17" i="6"/>
  <c r="C16" i="6"/>
  <c r="D14" i="2"/>
  <c r="D13" i="2"/>
  <c r="D12" i="2"/>
  <c r="D11" i="2"/>
  <c r="M34" i="2" l="1"/>
  <c r="L34" i="2"/>
</calcChain>
</file>

<file path=xl/sharedStrings.xml><?xml version="1.0" encoding="utf-8"?>
<sst xmlns="http://schemas.openxmlformats.org/spreadsheetml/2006/main" count="87" uniqueCount="85">
  <si>
    <t>Time limit: 20 minutes</t>
  </si>
  <si>
    <t>Rename the file: please write both of the students' name into the file name</t>
  </si>
  <si>
    <t>It is sufficient if only ONE of the two members of the group upload the file in the Moodle</t>
  </si>
  <si>
    <t>Each exercise is worth 2 points.</t>
  </si>
  <si>
    <t>Do the work only in this excel file.</t>
  </si>
  <si>
    <t xml:space="preserve">You are allowed to open the book, you can use also use any additional material, except the help of another student other than your peer in the group. </t>
  </si>
  <si>
    <t>Net income</t>
  </si>
  <si>
    <t>Taxes</t>
  </si>
  <si>
    <r>
      <rPr>
        <b/>
        <sz val="12"/>
        <color rgb="FF333333"/>
        <rFont val="Times New Roman"/>
        <family val="1"/>
      </rPr>
      <t>Assets</t>
    </r>
  </si>
  <si>
    <r>
      <rPr>
        <b/>
        <sz val="12"/>
        <color rgb="FF333333"/>
        <rFont val="Times New Roman"/>
        <family val="1"/>
      </rPr>
      <t>Liabilities and Stockholders' Equity</t>
    </r>
  </si>
  <si>
    <r>
      <rPr>
        <i/>
        <sz val="12"/>
        <color rgb="FF333333"/>
        <rFont val="Times New Roman"/>
        <family val="1"/>
      </rPr>
      <t>Current Assets</t>
    </r>
  </si>
  <si>
    <r>
      <rPr>
        <i/>
        <sz val="12"/>
        <color rgb="FF333333"/>
        <rFont val="Times New Roman"/>
        <family val="1"/>
      </rPr>
      <t>Current Liabilities</t>
    </r>
  </si>
  <si>
    <r>
      <rPr>
        <sz val="12"/>
        <color rgb="FF333333"/>
        <rFont val="Times New Roman"/>
        <family val="1"/>
      </rPr>
      <t>Cash</t>
    </r>
  </si>
  <si>
    <r>
      <rPr>
        <sz val="12"/>
        <color rgb="FF333333"/>
        <rFont val="Times New Roman"/>
        <family val="1"/>
      </rPr>
      <t>Accounts payable</t>
    </r>
  </si>
  <si>
    <r>
      <rPr>
        <sz val="12"/>
        <color rgb="FF333333"/>
        <rFont val="Times New Roman"/>
        <family val="1"/>
      </rPr>
      <t>Accounts receivable</t>
    </r>
  </si>
  <si>
    <r>
      <rPr>
        <sz val="12"/>
        <color rgb="FF333333"/>
        <rFont val="Times New Roman"/>
        <family val="1"/>
      </rPr>
      <t>Notes payable/ short-term debt</t>
    </r>
  </si>
  <si>
    <r>
      <rPr>
        <sz val="12"/>
        <color rgb="FF333333"/>
        <rFont val="Times New Roman"/>
        <family val="1"/>
      </rPr>
      <t>Inventories</t>
    </r>
  </si>
  <si>
    <r>
      <rPr>
        <sz val="12"/>
        <color rgb="FF333333"/>
        <rFont val="Times New Roman"/>
        <family val="1"/>
      </rPr>
      <t xml:space="preserve">Current maturities of long-
</t>
    </r>
    <r>
      <rPr>
        <sz val="12"/>
        <color rgb="FF333333"/>
        <rFont val="Times New Roman"/>
        <family val="1"/>
      </rPr>
      <t>term debt</t>
    </r>
  </si>
  <si>
    <r>
      <rPr>
        <sz val="12"/>
        <color rgb="FF333333"/>
        <rFont val="Times New Roman"/>
        <family val="1"/>
      </rPr>
      <t>Other current assets</t>
    </r>
  </si>
  <si>
    <r>
      <rPr>
        <sz val="12"/>
        <color rgb="FF333333"/>
        <rFont val="Times New Roman"/>
        <family val="1"/>
      </rPr>
      <t>Other current liabilities</t>
    </r>
  </si>
  <si>
    <r>
      <rPr>
        <sz val="12"/>
        <color rgb="FF333333"/>
        <rFont val="Times New Roman"/>
        <family val="1"/>
      </rPr>
      <t>Total current assets</t>
    </r>
  </si>
  <si>
    <r>
      <rPr>
        <sz val="12"/>
        <color rgb="FF333333"/>
        <rFont val="Times New Roman"/>
        <family val="1"/>
      </rPr>
      <t>Total current liabilities</t>
    </r>
  </si>
  <si>
    <r>
      <rPr>
        <i/>
        <sz val="12"/>
        <color rgb="FF333333"/>
        <rFont val="Times New Roman"/>
        <family val="1"/>
      </rPr>
      <t>Long-Term Assets</t>
    </r>
  </si>
  <si>
    <r>
      <rPr>
        <i/>
        <sz val="12"/>
        <color rgb="FF333333"/>
        <rFont val="Times New Roman"/>
        <family val="1"/>
      </rPr>
      <t>Long-Term Liabilities</t>
    </r>
  </si>
  <si>
    <r>
      <rPr>
        <sz val="12"/>
        <color rgb="FF333333"/>
        <rFont val="Times New Roman"/>
        <family val="1"/>
      </rPr>
      <t>Land</t>
    </r>
  </si>
  <si>
    <r>
      <rPr>
        <sz val="12"/>
        <color rgb="FF333333"/>
        <rFont val="Times New Roman"/>
        <family val="1"/>
      </rPr>
      <t>Long-term debt</t>
    </r>
  </si>
  <si>
    <r>
      <rPr>
        <sz val="12"/>
        <color rgb="FF333333"/>
        <rFont val="Times New Roman"/>
        <family val="1"/>
      </rPr>
      <t>Buildings</t>
    </r>
  </si>
  <si>
    <r>
      <rPr>
        <sz val="12"/>
        <color rgb="FF333333"/>
        <rFont val="Times New Roman"/>
        <family val="1"/>
      </rPr>
      <t>Equipment</t>
    </r>
  </si>
  <si>
    <r>
      <rPr>
        <sz val="12"/>
        <color rgb="FF333333"/>
        <rFont val="Times New Roman"/>
        <family val="1"/>
      </rPr>
      <t>Total Debt</t>
    </r>
  </si>
  <si>
    <r>
      <rPr>
        <sz val="12"/>
        <color rgb="FF333333"/>
        <rFont val="Times New Roman"/>
        <family val="1"/>
      </rPr>
      <t>Other long-term liabilities</t>
    </r>
  </si>
  <si>
    <r>
      <rPr>
        <sz val="12"/>
        <color rgb="FF333333"/>
        <rFont val="Times New Roman"/>
        <family val="1"/>
      </rPr>
      <t>Goodwill</t>
    </r>
  </si>
  <si>
    <r>
      <rPr>
        <sz val="12"/>
        <color rgb="FF333333"/>
        <rFont val="Times New Roman"/>
        <family val="1"/>
      </rPr>
      <t>Total long-term liabilities</t>
    </r>
  </si>
  <si>
    <r>
      <rPr>
        <sz val="12"/>
        <color rgb="FF333333"/>
        <rFont val="Times New Roman"/>
        <family val="1"/>
      </rPr>
      <t>Other long-term assets</t>
    </r>
  </si>
  <si>
    <r>
      <rPr>
        <sz val="12"/>
        <color rgb="FF333333"/>
        <rFont val="Times New Roman"/>
        <family val="1"/>
      </rPr>
      <t>Total liabilities</t>
    </r>
  </si>
  <si>
    <r>
      <rPr>
        <sz val="12"/>
        <color rgb="FF333333"/>
        <rFont val="Times New Roman"/>
        <family val="1"/>
      </rPr>
      <t xml:space="preserve">Total long-term
</t>
    </r>
    <r>
      <rPr>
        <sz val="12"/>
        <color rgb="FF333333"/>
        <rFont val="Times New Roman"/>
        <family val="1"/>
      </rPr>
      <t>assets</t>
    </r>
  </si>
  <si>
    <r>
      <rPr>
        <sz val="12"/>
        <color rgb="FF333333"/>
        <rFont val="Times New Roman"/>
        <family val="1"/>
      </rPr>
      <t>Stockholders' Equity</t>
    </r>
  </si>
  <si>
    <t>Total Assets</t>
  </si>
  <si>
    <t>Less accumulated depreciation</t>
  </si>
  <si>
    <t>Net property, plant, and eguipement</t>
  </si>
  <si>
    <t>Total liabilities and Stockholders' Equity</t>
  </si>
  <si>
    <t>Capital lease obligations</t>
  </si>
  <si>
    <t>-</t>
  </si>
  <si>
    <t>Deferred taxes</t>
  </si>
  <si>
    <r>
      <rPr>
        <b/>
        <sz val="10"/>
        <color rgb="FF363638"/>
        <rFont val="Times New Roman"/>
        <family val="1"/>
      </rPr>
      <t>Luther Corporation</t>
    </r>
  </si>
  <si>
    <r>
      <rPr>
        <b/>
        <sz val="10"/>
        <color rgb="FF363638"/>
        <rFont val="Times New Roman"/>
        <family val="1"/>
      </rPr>
      <t>Consolidated Income Statement Year ended December 31 (in $ millions)</t>
    </r>
  </si>
  <si>
    <r>
      <rPr>
        <b/>
        <sz val="11"/>
        <color rgb="FF363638"/>
        <rFont val="Courier New"/>
        <family val="3"/>
      </rPr>
      <t>2019     2018</t>
    </r>
  </si>
  <si>
    <r>
      <rPr>
        <sz val="11"/>
        <color rgb="FF363638"/>
        <rFont val="Times New Roman"/>
        <family val="1"/>
      </rPr>
      <t>Other income</t>
    </r>
  </si>
  <si>
    <t xml:space="preserve">Total sales                                                            </t>
  </si>
  <si>
    <t xml:space="preserve">Cost of sales                                                                </t>
  </si>
  <si>
    <t xml:space="preserve">Gross profit                                                               </t>
  </si>
  <si>
    <t>Research and development</t>
  </si>
  <si>
    <r>
      <rPr>
        <sz val="11"/>
        <color rgb="FF363638"/>
        <rFont val="Times New Roman"/>
        <family val="1"/>
      </rPr>
      <t>Selling, general, and</t>
    </r>
    <r>
      <rPr>
        <sz val="11"/>
        <rFont val="Times New Roman"/>
      </rPr>
      <t xml:space="preserve"> administrative expenses        </t>
    </r>
  </si>
  <si>
    <t>Depreciation and amortization</t>
  </si>
  <si>
    <t xml:space="preserve"> -</t>
  </si>
  <si>
    <t>Operating income</t>
  </si>
  <si>
    <t>Earnings before interest and taxes (EBIT)</t>
  </si>
  <si>
    <t>Interest income (expense)</t>
  </si>
  <si>
    <t>Pre-tax income</t>
  </si>
  <si>
    <t>Price per share</t>
  </si>
  <si>
    <t>Shares outstanding (millions)</t>
  </si>
  <si>
    <t>Stock options outstanding (millions)</t>
  </si>
  <si>
    <t>Stockholders' Equity</t>
  </si>
  <si>
    <t>Total Liabilities and Stockholders' Equity</t>
  </si>
  <si>
    <t xml:space="preserve">Luther Corporation
Consolidated Balance Sheet December 31, 2019 and 2018 (in $ millions)
</t>
  </si>
  <si>
    <t>Security</t>
  </si>
  <si>
    <t>Price today</t>
  </si>
  <si>
    <t>Cash flow in one year</t>
  </si>
  <si>
    <t>Cash flow in two years</t>
  </si>
  <si>
    <t>X</t>
  </si>
  <si>
    <t>Y</t>
  </si>
  <si>
    <r>
      <rPr>
        <b/>
        <sz val="14"/>
        <color theme="1"/>
        <rFont val="Calibri"/>
        <family val="2"/>
        <charset val="238"/>
        <scheme val="minor"/>
      </rPr>
      <t>Question 2.</t>
    </r>
    <r>
      <rPr>
        <sz val="14"/>
        <color theme="1"/>
        <rFont val="Calibri"/>
        <family val="2"/>
        <charset val="238"/>
        <scheme val="minor"/>
      </rPr>
      <t xml:space="preserve"> For the year ending December 31, 2019 Luther's cash flow from operating activities is:</t>
    </r>
  </si>
  <si>
    <t>Depretiation &amp; amortization</t>
  </si>
  <si>
    <t>Other non cash entries</t>
  </si>
  <si>
    <t>Change in accounts recievable</t>
  </si>
  <si>
    <t>Change in accounts payable</t>
  </si>
  <si>
    <t>Change in inventory</t>
  </si>
  <si>
    <t>CF from operating activities</t>
  </si>
  <si>
    <t>a)</t>
  </si>
  <si>
    <t>b)</t>
  </si>
  <si>
    <t>c)</t>
  </si>
  <si>
    <t>No arbitrage price of C =</t>
  </si>
  <si>
    <t>Sell 0,5X and 1Y, and buy C instead.</t>
  </si>
  <si>
    <t xml:space="preserve">This way, you get $24 without risk. </t>
  </si>
  <si>
    <t>price of C</t>
  </si>
  <si>
    <t>Arbitrage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</si>
</sst>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164" formatCode="&quot;$&quot;#,##0"/>
    <numFmt numFmtId="165" formatCode="###0;###0"/>
    <numFmt numFmtId="166" formatCode="###0.0;###0.0"/>
    <numFmt numFmtId="167" formatCode="###0.0_);\(###0.0\)"/>
    <numFmt numFmtId="168" formatCode="_(&quot;$&quot;* #,##0_);_(&quot;$&quot;* \(#,##0\);_(&quot;$&quot;* &quot;-&quot;??_);_(@_)"/>
  </numFmts>
  <fonts count="24" x14ac:knownFonts="1">
    <font>
      <sz val="11"/>
      <color theme="1"/>
      <name val="Calibri"/>
      <family val="2"/>
      <charset val="238"/>
      <scheme val="minor"/>
    </font>
    <font>
      <sz val="11"/>
      <color theme="1"/>
      <name val="Calibri"/>
      <family val="2"/>
      <charset val="238"/>
      <scheme val="minor"/>
    </font>
    <font>
      <sz val="10"/>
      <name val="Arial"/>
      <family val="2"/>
      <charset val="238"/>
    </font>
    <font>
      <sz val="10"/>
      <color rgb="FF000000"/>
      <name val="Palatino Linotype"/>
      <family val="1"/>
      <charset val="238"/>
    </font>
    <font>
      <b/>
      <sz val="11"/>
      <color theme="1"/>
      <name val="Calibri"/>
      <family val="2"/>
      <charset val="238"/>
      <scheme val="minor"/>
    </font>
    <font>
      <b/>
      <sz val="12"/>
      <name val="Times New Roman"/>
    </font>
    <font>
      <b/>
      <sz val="12"/>
      <color rgb="FF333333"/>
      <name val="Times New Roman"/>
      <family val="1"/>
    </font>
    <font>
      <b/>
      <sz val="11"/>
      <color rgb="FF333333"/>
      <name val="Times New Roman"/>
      <family val="2"/>
    </font>
    <font>
      <i/>
      <sz val="12"/>
      <name val="Times New Roman"/>
    </font>
    <font>
      <i/>
      <sz val="12"/>
      <color rgb="FF333333"/>
      <name val="Times New Roman"/>
      <family val="1"/>
    </font>
    <font>
      <sz val="12"/>
      <name val="Times New Roman"/>
    </font>
    <font>
      <sz val="12"/>
      <color rgb="FF333333"/>
      <name val="Times New Roman"/>
      <family val="1"/>
    </font>
    <font>
      <sz val="12"/>
      <color rgb="FF333333"/>
      <name val="Times New Roman"/>
      <family val="2"/>
    </font>
    <font>
      <b/>
      <sz val="10"/>
      <name val="Times New Roman"/>
    </font>
    <font>
      <b/>
      <sz val="10"/>
      <color rgb="FF363638"/>
      <name val="Times New Roman"/>
      <family val="1"/>
    </font>
    <font>
      <b/>
      <sz val="11"/>
      <name val="Courier New"/>
    </font>
    <font>
      <b/>
      <sz val="11"/>
      <color rgb="FF363638"/>
      <name val="Courier New"/>
      <family val="3"/>
    </font>
    <font>
      <sz val="11"/>
      <color rgb="FF363638"/>
      <name val="Times New Roman"/>
      <family val="1"/>
    </font>
    <font>
      <sz val="11"/>
      <name val="Times New Roman"/>
    </font>
    <font>
      <sz val="10"/>
      <color rgb="FF363638"/>
      <name val="Times New Roman"/>
      <family val="2"/>
    </font>
    <font>
      <sz val="11"/>
      <name val="Times New Roman"/>
      <family val="1"/>
    </font>
    <font>
      <i/>
      <sz val="12"/>
      <color rgb="FF333333"/>
      <name val="Times New Roman"/>
      <family val="1"/>
      <charset val="238"/>
    </font>
    <font>
      <sz val="14"/>
      <color theme="1"/>
      <name val="Calibri"/>
      <family val="2"/>
      <charset val="238"/>
      <scheme val="minor"/>
    </font>
    <font>
      <b/>
      <sz val="14"/>
      <color theme="1"/>
      <name val="Calibri"/>
      <family val="2"/>
      <charset val="238"/>
      <scheme val="minor"/>
    </font>
  </fonts>
  <fills count="3">
    <fill>
      <patternFill patternType="none"/>
    </fill>
    <fill>
      <patternFill patternType="gray125"/>
    </fill>
    <fill>
      <patternFill patternType="solid">
        <fgColor theme="4"/>
        <bgColor indexed="64"/>
      </patternFill>
    </fill>
  </fills>
  <borders count="26">
    <border>
      <left/>
      <right/>
      <top/>
      <bottom/>
      <diagonal/>
    </border>
    <border>
      <left/>
      <right/>
      <top style="thin">
        <color rgb="FF343434"/>
      </top>
      <bottom style="thin">
        <color rgb="FF383838"/>
      </bottom>
      <diagonal/>
    </border>
    <border>
      <left/>
      <right/>
      <top style="thin">
        <color rgb="FF383838"/>
      </top>
      <bottom style="thin">
        <color rgb="FF282828"/>
      </bottom>
      <diagonal/>
    </border>
    <border>
      <left/>
      <right/>
      <top style="thin">
        <color rgb="FF282828"/>
      </top>
      <bottom style="thin">
        <color rgb="FF484848"/>
      </bottom>
      <diagonal/>
    </border>
    <border>
      <left/>
      <right/>
      <top style="thin">
        <color rgb="FF484848"/>
      </top>
      <bottom style="thin">
        <color rgb="FF383838"/>
      </bottom>
      <diagonal/>
    </border>
    <border>
      <left/>
      <right/>
      <top style="thin">
        <color rgb="FF383838"/>
      </top>
      <bottom style="thin">
        <color rgb="FF4B4B4B"/>
      </bottom>
      <diagonal/>
    </border>
    <border>
      <left/>
      <right/>
      <top style="thin">
        <color rgb="FF4B4B4B"/>
      </top>
      <bottom style="thin">
        <color rgb="FF4B4B4B"/>
      </bottom>
      <diagonal/>
    </border>
    <border>
      <left/>
      <right/>
      <top style="thin">
        <color rgb="FF4B4B4B"/>
      </top>
      <bottom style="thin">
        <color rgb="FF3B3B3B"/>
      </bottom>
      <diagonal/>
    </border>
    <border>
      <left/>
      <right/>
      <top style="thin">
        <color rgb="FF484848"/>
      </top>
      <bottom style="thin">
        <color rgb="FF3B3B3B"/>
      </bottom>
      <diagonal/>
    </border>
    <border>
      <left/>
      <right/>
      <top style="thin">
        <color rgb="FF3B3B3B"/>
      </top>
      <bottom style="thin">
        <color rgb="FF383838"/>
      </bottom>
      <diagonal/>
    </border>
    <border>
      <left/>
      <right/>
      <top style="thin">
        <color rgb="FF383838"/>
      </top>
      <bottom style="thin">
        <color rgb="FF000000"/>
      </bottom>
      <diagonal/>
    </border>
    <border>
      <left/>
      <right/>
      <top style="thin">
        <color rgb="FF000000"/>
      </top>
      <bottom style="thin">
        <color rgb="FF3B3B3B"/>
      </bottom>
      <diagonal/>
    </border>
    <border>
      <left/>
      <right/>
      <top style="thin">
        <color rgb="FF3B3B3B"/>
      </top>
      <bottom/>
      <diagonal/>
    </border>
    <border>
      <left/>
      <right/>
      <top/>
      <bottom style="thin">
        <color rgb="FF2B2B2B"/>
      </bottom>
      <diagonal/>
    </border>
    <border>
      <left/>
      <right/>
      <top style="thin">
        <color rgb="FF2B2B2B"/>
      </top>
      <bottom style="thin">
        <color rgb="FF000000"/>
      </bottom>
      <diagonal/>
    </border>
    <border>
      <left/>
      <right/>
      <top style="thin">
        <color rgb="FF000000"/>
      </top>
      <bottom style="thin">
        <color rgb="FF444444"/>
      </bottom>
      <diagonal/>
    </border>
    <border>
      <left/>
      <right/>
      <top style="thin">
        <color rgb="FF444444"/>
      </top>
      <bottom style="thin">
        <color rgb="FF3F3F3F"/>
      </bottom>
      <diagonal/>
    </border>
    <border>
      <left/>
      <right/>
      <top style="thin">
        <color rgb="FF3F3F3F"/>
      </top>
      <bottom style="thin">
        <color rgb="FF44444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rgb="FF34343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2" fillId="0" borderId="0"/>
    <xf numFmtId="44" fontId="1" fillId="0" borderId="0" applyFont="0" applyFill="0" applyBorder="0" applyAlignment="0" applyProtection="0"/>
    <xf numFmtId="9" fontId="1" fillId="0" borderId="0" applyFont="0" applyFill="0" applyBorder="0" applyAlignment="0" applyProtection="0"/>
  </cellStyleXfs>
  <cellXfs count="91">
    <xf numFmtId="0" fontId="0" fillId="0" borderId="0" xfId="0"/>
    <xf numFmtId="0" fontId="3" fillId="0" borderId="0" xfId="0" applyFont="1" applyAlignment="1">
      <alignment vertical="center"/>
    </xf>
    <xf numFmtId="6" fontId="0" fillId="0" borderId="0" xfId="0" applyNumberFormat="1"/>
    <xf numFmtId="0" fontId="0" fillId="0" borderId="0" xfId="0" applyAlignment="1">
      <alignment horizontal="right"/>
    </xf>
    <xf numFmtId="4" fontId="0" fillId="0" borderId="0" xfId="0" applyNumberFormat="1"/>
    <xf numFmtId="164" fontId="0" fillId="0" borderId="0" xfId="0" applyNumberFormat="1"/>
    <xf numFmtId="165" fontId="7" fillId="0" borderId="1" xfId="0" applyNumberFormat="1" applyFont="1" applyBorder="1" applyAlignment="1">
      <alignment horizontal="left" vertical="center" wrapText="1"/>
    </xf>
    <xf numFmtId="0" fontId="0" fillId="0" borderId="2" xfId="0" applyBorder="1" applyAlignment="1">
      <alignment horizontal="left" vertical="top" wrapText="1"/>
    </xf>
    <xf numFmtId="0" fontId="0" fillId="0" borderId="2" xfId="0" applyBorder="1" applyAlignment="1">
      <alignment horizontal="left" wrapText="1"/>
    </xf>
    <xf numFmtId="166" fontId="12" fillId="0" borderId="3" xfId="0" applyNumberFormat="1" applyFont="1" applyBorder="1" applyAlignment="1">
      <alignment horizontal="right" wrapText="1"/>
    </xf>
    <xf numFmtId="166" fontId="12" fillId="0" borderId="4" xfId="0" applyNumberFormat="1" applyFont="1" applyBorder="1" applyAlignment="1">
      <alignment horizontal="right" wrapText="1"/>
    </xf>
    <xf numFmtId="166" fontId="12" fillId="0" borderId="5" xfId="0" applyNumberFormat="1" applyFont="1" applyBorder="1" applyAlignment="1">
      <alignment horizontal="right" wrapText="1"/>
    </xf>
    <xf numFmtId="166" fontId="12" fillId="0" borderId="6" xfId="0" applyNumberFormat="1" applyFont="1" applyBorder="1" applyAlignment="1">
      <alignment horizontal="right" wrapText="1"/>
    </xf>
    <xf numFmtId="166" fontId="12" fillId="0" borderId="7" xfId="0" applyNumberFormat="1" applyFont="1" applyBorder="1" applyAlignment="1">
      <alignment horizontal="right" wrapText="1"/>
    </xf>
    <xf numFmtId="0" fontId="0" fillId="0" borderId="8" xfId="0" applyBorder="1" applyAlignment="1">
      <alignment horizontal="right" wrapText="1"/>
    </xf>
    <xf numFmtId="166" fontId="12" fillId="0" borderId="9" xfId="0" applyNumberFormat="1" applyFont="1" applyBorder="1" applyAlignment="1">
      <alignment horizontal="right" wrapText="1"/>
    </xf>
    <xf numFmtId="166" fontId="12" fillId="0" borderId="10" xfId="0" applyNumberFormat="1" applyFont="1" applyBorder="1" applyAlignment="1">
      <alignment horizontal="right" wrapText="1"/>
    </xf>
    <xf numFmtId="166" fontId="12" fillId="0" borderId="11" xfId="0" applyNumberFormat="1" applyFont="1" applyBorder="1" applyAlignment="1">
      <alignment horizontal="right" wrapText="1"/>
    </xf>
    <xf numFmtId="167" fontId="12" fillId="0" borderId="13" xfId="0" applyNumberFormat="1" applyFont="1" applyBorder="1" applyAlignment="1">
      <alignment horizontal="right" wrapText="1"/>
    </xf>
    <xf numFmtId="166" fontId="12" fillId="0" borderId="14" xfId="0" applyNumberFormat="1" applyFont="1" applyBorder="1" applyAlignment="1">
      <alignment horizontal="right" wrapText="1"/>
    </xf>
    <xf numFmtId="166" fontId="12" fillId="0" borderId="15" xfId="0" applyNumberFormat="1" applyFont="1" applyBorder="1" applyAlignment="1">
      <alignment horizontal="right" wrapText="1"/>
    </xf>
    <xf numFmtId="0" fontId="0" fillId="0" borderId="15" xfId="0" applyBorder="1" applyAlignment="1">
      <alignment horizontal="right" wrapText="1"/>
    </xf>
    <xf numFmtId="166" fontId="12" fillId="0" borderId="16" xfId="0" applyNumberFormat="1" applyFont="1" applyBorder="1" applyAlignment="1">
      <alignment horizontal="right" wrapText="1"/>
    </xf>
    <xf numFmtId="166" fontId="12" fillId="0" borderId="17" xfId="0" applyNumberFormat="1" applyFont="1" applyBorder="1" applyAlignment="1">
      <alignment horizontal="right" wrapText="1"/>
    </xf>
    <xf numFmtId="0" fontId="0" fillId="0" borderId="10" xfId="0" applyBorder="1" applyAlignment="1">
      <alignment horizontal="right" wrapText="1"/>
    </xf>
    <xf numFmtId="166" fontId="12" fillId="0" borderId="13" xfId="0" applyNumberFormat="1" applyFont="1" applyBorder="1" applyAlignment="1">
      <alignment horizontal="right" wrapText="1"/>
    </xf>
    <xf numFmtId="0" fontId="0" fillId="0" borderId="14" xfId="0" applyBorder="1" applyAlignment="1">
      <alignment horizontal="right" wrapText="1"/>
    </xf>
    <xf numFmtId="0" fontId="0" fillId="0" borderId="0" xfId="0" applyAlignment="1">
      <alignment horizontal="left" vertical="top"/>
    </xf>
    <xf numFmtId="166" fontId="19" fillId="0" borderId="0" xfId="0" applyNumberFormat="1" applyFont="1" applyAlignment="1">
      <alignment horizontal="center" vertical="top"/>
    </xf>
    <xf numFmtId="0" fontId="13" fillId="2" borderId="0" xfId="0" applyFont="1" applyFill="1" applyAlignment="1">
      <alignment horizontal="left" vertical="top"/>
    </xf>
    <xf numFmtId="0" fontId="0" fillId="2" borderId="0" xfId="0" applyFill="1" applyAlignment="1">
      <alignment horizontal="left" vertical="top"/>
    </xf>
    <xf numFmtId="0" fontId="15" fillId="0" borderId="18" xfId="0" applyFont="1" applyBorder="1" applyAlignment="1">
      <alignment horizontal="right" vertical="top"/>
    </xf>
    <xf numFmtId="0" fontId="0" fillId="0" borderId="20" xfId="0" applyBorder="1" applyAlignment="1">
      <alignment horizontal="right"/>
    </xf>
    <xf numFmtId="0" fontId="0" fillId="0" borderId="20" xfId="0" applyBorder="1" applyAlignment="1">
      <alignment horizontal="right" vertical="top"/>
    </xf>
    <xf numFmtId="168" fontId="0" fillId="0" borderId="20" xfId="2" applyNumberFormat="1" applyFont="1" applyBorder="1" applyAlignment="1">
      <alignment horizontal="right" vertical="top"/>
    </xf>
    <xf numFmtId="0" fontId="0" fillId="0" borderId="20" xfId="0" applyBorder="1"/>
    <xf numFmtId="0" fontId="0" fillId="0" borderId="21" xfId="0" applyBorder="1" applyAlignment="1">
      <alignment horizontal="right"/>
    </xf>
    <xf numFmtId="0" fontId="0" fillId="0" borderId="21" xfId="0" applyBorder="1" applyAlignment="1">
      <alignment horizontal="right" vertical="top"/>
    </xf>
    <xf numFmtId="168" fontId="0" fillId="0" borderId="21" xfId="2" applyNumberFormat="1" applyFont="1" applyBorder="1" applyAlignment="1">
      <alignment horizontal="right" vertical="top"/>
    </xf>
    <xf numFmtId="0" fontId="0" fillId="0" borderId="19" xfId="0" applyBorder="1"/>
    <xf numFmtId="0" fontId="17" fillId="0" borderId="19" xfId="0" applyFont="1" applyBorder="1" applyAlignment="1">
      <alignment horizontal="left" vertical="top"/>
    </xf>
    <xf numFmtId="0" fontId="20" fillId="0" borderId="19" xfId="0" applyFont="1" applyBorder="1" applyAlignment="1">
      <alignment horizontal="left" vertical="top"/>
    </xf>
    <xf numFmtId="0" fontId="18" fillId="0" borderId="19" xfId="0" applyFont="1" applyBorder="1" applyAlignment="1">
      <alignment horizontal="left" vertical="top"/>
    </xf>
    <xf numFmtId="0" fontId="5" fillId="0" borderId="1" xfId="0" applyFont="1" applyBorder="1" applyAlignment="1">
      <alignment vertical="center" wrapText="1"/>
    </xf>
    <xf numFmtId="0" fontId="8" fillId="0" borderId="2" xfId="0" applyFont="1" applyBorder="1" applyAlignment="1">
      <alignment vertical="top" wrapText="1"/>
    </xf>
    <xf numFmtId="0" fontId="10" fillId="0" borderId="3" xfId="0" applyFont="1" applyBorder="1" applyAlignment="1">
      <alignment vertical="top" wrapText="1"/>
    </xf>
    <xf numFmtId="0" fontId="10" fillId="0" borderId="4" xfId="0" applyFont="1" applyBorder="1" applyAlignment="1">
      <alignment vertical="center" wrapText="1"/>
    </xf>
    <xf numFmtId="0" fontId="10" fillId="0" borderId="5" xfId="0" applyFont="1" applyBorder="1" applyAlignment="1">
      <alignment vertical="center" wrapText="1"/>
    </xf>
    <xf numFmtId="0" fontId="10" fillId="0" borderId="6" xfId="0" applyFont="1" applyBorder="1" applyAlignment="1">
      <alignment vertical="top" wrapText="1"/>
    </xf>
    <xf numFmtId="0" fontId="10" fillId="0" borderId="7" xfId="0" applyFont="1" applyBorder="1" applyAlignment="1">
      <alignment vertical="top" wrapText="1"/>
    </xf>
    <xf numFmtId="0" fontId="10" fillId="0" borderId="9" xfId="0" applyFont="1" applyBorder="1" applyAlignment="1">
      <alignment vertical="top" wrapText="1"/>
    </xf>
    <xf numFmtId="0" fontId="10" fillId="0" borderId="10" xfId="0" applyFont="1" applyBorder="1" applyAlignment="1">
      <alignment vertical="top" wrapText="1"/>
    </xf>
    <xf numFmtId="0" fontId="8" fillId="0" borderId="8" xfId="0" applyFont="1" applyBorder="1" applyAlignment="1">
      <alignment vertical="top" wrapText="1"/>
    </xf>
    <xf numFmtId="0" fontId="11" fillId="0" borderId="14" xfId="0" applyFont="1" applyBorder="1" applyAlignment="1">
      <alignment vertical="top" wrapText="1"/>
    </xf>
    <xf numFmtId="0" fontId="10" fillId="0" borderId="11" xfId="0" applyFont="1" applyBorder="1" applyAlignment="1">
      <alignment vertical="top" wrapText="1"/>
    </xf>
    <xf numFmtId="0" fontId="11" fillId="0" borderId="12" xfId="0" applyFont="1" applyBorder="1" applyAlignment="1">
      <alignment vertical="top" wrapText="1"/>
    </xf>
    <xf numFmtId="0" fontId="0" fillId="0" borderId="17" xfId="0" applyBorder="1" applyAlignment="1">
      <alignment vertical="top" wrapText="1"/>
    </xf>
    <xf numFmtId="0" fontId="10" fillId="0" borderId="15" xfId="0" applyFont="1" applyBorder="1" applyAlignment="1">
      <alignment vertical="top" wrapText="1"/>
    </xf>
    <xf numFmtId="0" fontId="10" fillId="0" borderId="16" xfId="0" applyFont="1" applyBorder="1" applyAlignment="1">
      <alignment vertical="top" wrapText="1"/>
    </xf>
    <xf numFmtId="166" fontId="21" fillId="0" borderId="16" xfId="0" applyNumberFormat="1" applyFont="1" applyBorder="1" applyAlignment="1">
      <alignment wrapText="1"/>
    </xf>
    <xf numFmtId="0" fontId="0" fillId="0" borderId="8" xfId="0" applyBorder="1" applyAlignment="1">
      <alignment horizontal="right" wrapText="1"/>
    </xf>
    <xf numFmtId="0" fontId="5" fillId="0" borderId="1" xfId="0" applyFont="1" applyBorder="1" applyAlignment="1">
      <alignment horizontal="left" vertical="top" wrapText="1"/>
    </xf>
    <xf numFmtId="0" fontId="8"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0" fillId="0" borderId="5" xfId="0" applyBorder="1" applyAlignment="1">
      <alignment horizontal="left" vertical="top" wrapText="1"/>
    </xf>
    <xf numFmtId="0" fontId="10" fillId="0" borderId="6" xfId="0" applyFont="1" applyBorder="1" applyAlignment="1">
      <alignment horizontal="left" vertical="top" wrapText="1"/>
    </xf>
    <xf numFmtId="0" fontId="0" fillId="2" borderId="0" xfId="0" applyFill="1" applyAlignment="1">
      <alignment horizontal="center" wrapText="1"/>
    </xf>
    <xf numFmtId="0" fontId="0" fillId="2" borderId="22" xfId="0" applyFill="1" applyBorder="1" applyAlignment="1">
      <alignment horizontal="center" wrapText="1"/>
    </xf>
    <xf numFmtId="0" fontId="10" fillId="0" borderId="9" xfId="0" applyFont="1" applyBorder="1" applyAlignment="1">
      <alignment horizontal="left" vertical="top" wrapText="1"/>
    </xf>
    <xf numFmtId="0" fontId="11" fillId="0" borderId="10" xfId="0" applyFont="1" applyBorder="1" applyAlignment="1">
      <alignment horizontal="left" vertical="top" wrapText="1"/>
    </xf>
    <xf numFmtId="0" fontId="10" fillId="0" borderId="10" xfId="0" applyFont="1" applyBorder="1" applyAlignment="1">
      <alignment horizontal="left" vertical="top" wrapText="1"/>
    </xf>
    <xf numFmtId="0" fontId="10" fillId="0" borderId="7" xfId="0" applyFont="1" applyBorder="1" applyAlignment="1">
      <alignment horizontal="left" vertical="top" wrapText="1"/>
    </xf>
    <xf numFmtId="0" fontId="8" fillId="0" borderId="8" xfId="0" applyFont="1" applyBorder="1" applyAlignment="1">
      <alignment horizontal="left" vertical="top" wrapText="1"/>
    </xf>
    <xf numFmtId="0" fontId="11" fillId="0" borderId="13" xfId="0" applyFont="1" applyBorder="1" applyAlignment="1">
      <alignment horizontal="left" vertical="top" wrapText="1"/>
    </xf>
    <xf numFmtId="0" fontId="10" fillId="0" borderId="13" xfId="0" applyFont="1" applyBorder="1" applyAlignment="1">
      <alignment horizontal="left" vertical="top" wrapText="1"/>
    </xf>
    <xf numFmtId="0" fontId="10" fillId="0" borderId="14" xfId="0" applyFont="1" applyBorder="1" applyAlignment="1">
      <alignment horizontal="left" vertical="center" wrapText="1"/>
    </xf>
    <xf numFmtId="0" fontId="10" fillId="0" borderId="11" xfId="0" applyFont="1" applyBorder="1" applyAlignment="1">
      <alignment horizontal="left" vertical="top" wrapText="1"/>
    </xf>
    <xf numFmtId="0" fontId="10" fillId="0" borderId="17" xfId="0" applyFont="1" applyBorder="1" applyAlignment="1">
      <alignment horizontal="left" vertical="center" wrapText="1"/>
    </xf>
    <xf numFmtId="166" fontId="21" fillId="0" borderId="16" xfId="0" applyNumberFormat="1" applyFont="1" applyBorder="1" applyAlignment="1">
      <alignment horizontal="left" vertical="top" wrapText="1"/>
    </xf>
    <xf numFmtId="0" fontId="10" fillId="0" borderId="15" xfId="0" applyFont="1" applyBorder="1" applyAlignment="1">
      <alignment horizontal="left" vertical="top" wrapText="1"/>
    </xf>
    <xf numFmtId="0" fontId="10" fillId="0" borderId="16" xfId="0" applyFont="1" applyBorder="1" applyAlignment="1">
      <alignment horizontal="left" vertical="top" wrapText="1"/>
    </xf>
    <xf numFmtId="0" fontId="0" fillId="0" borderId="18" xfId="0" applyBorder="1" applyAlignment="1">
      <alignment wrapText="1"/>
    </xf>
    <xf numFmtId="0" fontId="0" fillId="0" borderId="18" xfId="0" applyBorder="1"/>
    <xf numFmtId="0" fontId="22" fillId="0" borderId="0" xfId="0" applyFont="1"/>
    <xf numFmtId="1" fontId="4" fillId="0" borderId="0" xfId="3" applyNumberFormat="1" applyFont="1" applyAlignment="1">
      <alignment horizontal="center"/>
    </xf>
    <xf numFmtId="0" fontId="0" fillId="0" borderId="0" xfId="0" applyAlignment="1">
      <alignment vertical="center"/>
    </xf>
    <xf numFmtId="0" fontId="0" fillId="0" borderId="0" xfId="0" applyAlignment="1">
      <alignment vertical="center" wrapText="1"/>
    </xf>
    <xf numFmtId="0" fontId="4" fillId="0" borderId="23" xfId="0" applyFont="1" applyBorder="1" applyAlignment="1">
      <alignment vertical="center" wrapText="1"/>
    </xf>
    <xf numFmtId="0" fontId="4" fillId="0" borderId="24" xfId="0" applyFont="1" applyBorder="1" applyAlignment="1">
      <alignment vertical="center"/>
    </xf>
    <xf numFmtId="0" fontId="4" fillId="0" borderId="25" xfId="0" applyFont="1" applyBorder="1" applyAlignment="1">
      <alignment vertical="center"/>
    </xf>
  </cellXfs>
  <cellStyles count="4">
    <cellStyle name="Currency" xfId="2" builtinId="4"/>
    <cellStyle name="Normal" xfId="0" builtinId="0"/>
    <cellStyle name="Normál 2" xfId="1" xr:uid="{00000000-0005-0000-0000-000001000000}"/>
    <cellStyle name="Percent" xfId="3" builtin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171450</xdr:rowOff>
    </xdr:from>
    <xdr:to>
      <xdr:col>5</xdr:col>
      <xdr:colOff>19050</xdr:colOff>
      <xdr:row>20</xdr:row>
      <xdr:rowOff>171450</xdr:rowOff>
    </xdr:to>
    <xdr:sp macro="" textlink="">
      <xdr:nvSpPr>
        <xdr:cNvPr id="2" name="TextBox 1">
          <a:extLst>
            <a:ext uri="{FF2B5EF4-FFF2-40B4-BE49-F238E27FC236}">
              <a16:creationId xmlns:a16="http://schemas.microsoft.com/office/drawing/2014/main" id="{9C6F1E89-B531-C726-5032-1A00F7838E7F}"/>
            </a:ext>
          </a:extLst>
        </xdr:cNvPr>
        <xdr:cNvSpPr txBox="1"/>
      </xdr:nvSpPr>
      <xdr:spPr>
        <a:xfrm>
          <a:off x="209550" y="171450"/>
          <a:ext cx="5981700" cy="381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1"/>
            <a:t>Question</a:t>
          </a:r>
          <a:r>
            <a:rPr lang="en-US" sz="1100" b="1" i="1" baseline="0"/>
            <a:t> 1. </a:t>
          </a:r>
          <a:r>
            <a:rPr lang="en-US" sz="1100" b="1">
              <a:solidFill>
                <a:schemeClr val="dk1"/>
              </a:solidFill>
              <a:effectLst/>
              <a:latin typeface="+mn-lt"/>
              <a:ea typeface="+mn-ea"/>
              <a:cs typeface="+mn-cs"/>
            </a:rPr>
            <a:t>What are the differences between the IFE and the IRP?</a:t>
          </a:r>
          <a:endParaRPr lang="en-US" sz="1100">
            <a:solidFill>
              <a:schemeClr val="dk1"/>
            </a:solidFill>
            <a:effectLst/>
            <a:latin typeface="+mn-lt"/>
            <a:ea typeface="+mn-ea"/>
            <a:cs typeface="+mn-cs"/>
          </a:endParaRPr>
        </a:p>
        <a:p>
          <a:endParaRPr lang="en-US" sz="1100" i="1" baseline="0"/>
        </a:p>
        <a:p>
          <a:endParaRPr lang="en-US" sz="1100" i="1" baseline="0"/>
        </a:p>
        <a:p>
          <a:r>
            <a:rPr lang="en-US" sz="1100" b="1"/>
            <a:t>Answer: </a:t>
          </a:r>
        </a:p>
        <a:p>
          <a:pPr lvl="0"/>
          <a:r>
            <a:rPr lang="en-US" sz="1100">
              <a:solidFill>
                <a:schemeClr val="dk1"/>
              </a:solidFill>
              <a:effectLst/>
              <a:latin typeface="+mn-lt"/>
              <a:ea typeface="+mn-ea"/>
              <a:cs typeface="+mn-cs"/>
            </a:rPr>
            <a:t>The international Fisher effect (IFE) theory suggests that currencies with higher interest rates will depreciate because higher nominal rates reflect higher expected inflation. It focuses on the spot rate, spot market.</a:t>
          </a:r>
        </a:p>
        <a:p>
          <a:r>
            <a:rPr lang="en-US" sz="1100">
              <a:solidFill>
                <a:schemeClr val="dk1"/>
              </a:solidFill>
              <a:effectLst/>
              <a:latin typeface="+mn-lt"/>
              <a:ea typeface="+mn-ea"/>
              <a:cs typeface="+mn-cs"/>
            </a:rPr>
            <a:t>Under the international rate parity theory, the forward rate of one currency with respect to another will contain a premium (or discount) determined by the differential in interest rates between two countries. It focuses on the forward market.</a:t>
          </a:r>
          <a:endParaRPr lang="en-US" sz="1100" b="1"/>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544833</xdr:colOff>
      <xdr:row>9</xdr:row>
      <xdr:rowOff>94846</xdr:rowOff>
    </xdr:to>
    <xdr:sp macro="" textlink="">
      <xdr:nvSpPr>
        <xdr:cNvPr id="2" name="TextBox 1">
          <a:extLst>
            <a:ext uri="{FF2B5EF4-FFF2-40B4-BE49-F238E27FC236}">
              <a16:creationId xmlns:a16="http://schemas.microsoft.com/office/drawing/2014/main" id="{13C66890-9B44-4021-BCD5-D0F936FB2C82}"/>
            </a:ext>
          </a:extLst>
        </xdr:cNvPr>
        <xdr:cNvSpPr txBox="1"/>
      </xdr:nvSpPr>
      <xdr:spPr>
        <a:xfrm>
          <a:off x="609600" y="184150"/>
          <a:ext cx="10298433" cy="1568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Question 3.</a:t>
          </a:r>
          <a:endParaRPr lang="en-GB" sz="1300" b="1"/>
        </a:p>
        <a:p>
          <a:r>
            <a:rPr lang="en-US" sz="1300" b="0">
              <a:solidFill>
                <a:schemeClr val="dk1"/>
              </a:solidFill>
              <a:effectLst/>
              <a:latin typeface="+mn-lt"/>
              <a:ea typeface="+mn-ea"/>
              <a:cs typeface="+mn-cs"/>
            </a:rPr>
            <a:t>Consider two securities that pay risk-free cash flows over the next two years and have the current market prices shown </a:t>
          </a:r>
          <a:r>
            <a:rPr lang="hu-HU" sz="1300" b="0">
              <a:solidFill>
                <a:schemeClr val="dk1"/>
              </a:solidFill>
              <a:effectLst/>
              <a:latin typeface="+mn-lt"/>
              <a:ea typeface="+mn-ea"/>
              <a:cs typeface="+mn-cs"/>
            </a:rPr>
            <a:t>in the table below.</a:t>
          </a:r>
        </a:p>
        <a:p>
          <a:r>
            <a:rPr lang="en-US" sz="1300" b="0">
              <a:solidFill>
                <a:schemeClr val="dk1"/>
              </a:solidFill>
              <a:effectLst/>
              <a:latin typeface="+mn-lt"/>
              <a:ea typeface="+mn-ea"/>
              <a:cs typeface="+mn-cs"/>
            </a:rPr>
            <a:t>a.</a:t>
          </a:r>
          <a:r>
            <a:rPr lang="hu-HU" sz="1300" b="0" baseline="0">
              <a:solidFill>
                <a:schemeClr val="dk1"/>
              </a:solidFill>
              <a:effectLst/>
              <a:latin typeface="+mn-lt"/>
              <a:ea typeface="+mn-ea"/>
              <a:cs typeface="+mn-cs"/>
            </a:rPr>
            <a:t> </a:t>
          </a:r>
          <a:r>
            <a:rPr lang="en-US" sz="1300" b="0">
              <a:solidFill>
                <a:schemeClr val="dk1"/>
              </a:solidFill>
              <a:effectLst/>
              <a:latin typeface="+mn-lt"/>
              <a:ea typeface="+mn-ea"/>
              <a:cs typeface="+mn-cs"/>
            </a:rPr>
            <a:t>What is the no-arbitrage price of a security that pays cash flows of $</a:t>
          </a:r>
          <a:r>
            <a:rPr lang="hu-HU" sz="1300" b="0">
              <a:solidFill>
                <a:schemeClr val="dk1"/>
              </a:solidFill>
              <a:effectLst/>
              <a:latin typeface="+mn-lt"/>
              <a:ea typeface="+mn-ea"/>
              <a:cs typeface="+mn-cs"/>
            </a:rPr>
            <a:t>4</a:t>
          </a:r>
          <a:r>
            <a:rPr lang="en-US" sz="1300" b="0">
              <a:solidFill>
                <a:schemeClr val="dk1"/>
              </a:solidFill>
              <a:effectLst/>
              <a:latin typeface="+mn-lt"/>
              <a:ea typeface="+mn-ea"/>
              <a:cs typeface="+mn-cs"/>
            </a:rPr>
            <a:t>00 in one year and $</a:t>
          </a:r>
          <a:r>
            <a:rPr lang="hu-HU" sz="1300" b="0">
              <a:solidFill>
                <a:schemeClr val="dk1"/>
              </a:solidFill>
              <a:effectLst/>
              <a:latin typeface="+mn-lt"/>
              <a:ea typeface="+mn-ea"/>
              <a:cs typeface="+mn-cs"/>
            </a:rPr>
            <a:t>4</a:t>
          </a:r>
          <a:r>
            <a:rPr lang="en-US" sz="1300" b="0">
              <a:solidFill>
                <a:schemeClr val="dk1"/>
              </a:solidFill>
              <a:effectLst/>
              <a:latin typeface="+mn-lt"/>
              <a:ea typeface="+mn-ea"/>
              <a:cs typeface="+mn-cs"/>
            </a:rPr>
            <a:t>00 in two years?</a:t>
          </a:r>
          <a:endParaRPr lang="hu-HU" sz="1300" b="0">
            <a:solidFill>
              <a:schemeClr val="dk1"/>
            </a:solidFill>
            <a:effectLst/>
            <a:latin typeface="+mn-lt"/>
            <a:ea typeface="+mn-ea"/>
            <a:cs typeface="+mn-cs"/>
          </a:endParaRPr>
        </a:p>
        <a:p>
          <a:r>
            <a:rPr lang="en-US" sz="1300" b="0">
              <a:solidFill>
                <a:schemeClr val="dk1"/>
              </a:solidFill>
              <a:effectLst/>
              <a:latin typeface="+mn-lt"/>
              <a:ea typeface="+mn-ea"/>
              <a:cs typeface="+mn-cs"/>
            </a:rPr>
            <a:t>b.</a:t>
          </a:r>
          <a:r>
            <a:rPr lang="hu-HU" sz="1300" b="0">
              <a:solidFill>
                <a:schemeClr val="dk1"/>
              </a:solidFill>
              <a:effectLst/>
              <a:latin typeface="+mn-lt"/>
              <a:ea typeface="+mn-ea"/>
              <a:cs typeface="+mn-cs"/>
            </a:rPr>
            <a:t> </a:t>
          </a:r>
          <a:r>
            <a:rPr lang="en-US" sz="1300" b="0">
              <a:solidFill>
                <a:schemeClr val="dk1"/>
              </a:solidFill>
              <a:effectLst/>
              <a:latin typeface="+mn-lt"/>
              <a:ea typeface="+mn-ea"/>
              <a:cs typeface="+mn-cs"/>
            </a:rPr>
            <a:t>What is the no-arbitrage price of a security that pays cash flows of $</a:t>
          </a:r>
          <a:r>
            <a:rPr lang="hu-HU" sz="1300" b="0">
              <a:solidFill>
                <a:schemeClr val="dk1"/>
              </a:solidFill>
              <a:effectLst/>
              <a:latin typeface="+mn-lt"/>
              <a:ea typeface="+mn-ea"/>
              <a:cs typeface="+mn-cs"/>
            </a:rPr>
            <a:t>4</a:t>
          </a:r>
          <a:r>
            <a:rPr lang="en-US" sz="1300" b="0">
              <a:solidFill>
                <a:schemeClr val="dk1"/>
              </a:solidFill>
              <a:effectLst/>
              <a:latin typeface="+mn-lt"/>
              <a:ea typeface="+mn-ea"/>
              <a:cs typeface="+mn-cs"/>
            </a:rPr>
            <a:t>00 in one year and $</a:t>
          </a:r>
          <a:r>
            <a:rPr lang="hu-HU" sz="1300" b="0">
              <a:solidFill>
                <a:schemeClr val="dk1"/>
              </a:solidFill>
              <a:effectLst/>
              <a:latin typeface="+mn-lt"/>
              <a:ea typeface="+mn-ea"/>
              <a:cs typeface="+mn-cs"/>
            </a:rPr>
            <a:t>32</a:t>
          </a:r>
          <a:r>
            <a:rPr lang="en-US" sz="1300" b="0">
              <a:solidFill>
                <a:schemeClr val="dk1"/>
              </a:solidFill>
              <a:effectLst/>
              <a:latin typeface="+mn-lt"/>
              <a:ea typeface="+mn-ea"/>
              <a:cs typeface="+mn-cs"/>
            </a:rPr>
            <a:t>00 in two years?</a:t>
          </a:r>
          <a:endParaRPr lang="hu-HU" sz="1300" b="0">
            <a:solidFill>
              <a:schemeClr val="dk1"/>
            </a:solidFill>
            <a:effectLst/>
            <a:latin typeface="+mn-lt"/>
            <a:ea typeface="+mn-ea"/>
            <a:cs typeface="+mn-cs"/>
          </a:endParaRPr>
        </a:p>
        <a:p>
          <a:r>
            <a:rPr lang="en-US" sz="1300" b="0">
              <a:solidFill>
                <a:schemeClr val="dk1"/>
              </a:solidFill>
              <a:effectLst/>
              <a:latin typeface="+mn-lt"/>
              <a:ea typeface="+mn-ea"/>
              <a:cs typeface="+mn-cs"/>
            </a:rPr>
            <a:t>c.</a:t>
          </a:r>
          <a:r>
            <a:rPr lang="hu-HU" sz="1300" b="0">
              <a:solidFill>
                <a:schemeClr val="dk1"/>
              </a:solidFill>
              <a:effectLst/>
              <a:latin typeface="+mn-lt"/>
              <a:ea typeface="+mn-ea"/>
              <a:cs typeface="+mn-cs"/>
            </a:rPr>
            <a:t> </a:t>
          </a:r>
          <a:r>
            <a:rPr lang="en-US" sz="1300" b="0">
              <a:solidFill>
                <a:schemeClr val="dk1"/>
              </a:solidFill>
              <a:effectLst/>
              <a:latin typeface="+mn-lt"/>
              <a:ea typeface="+mn-ea"/>
              <a:cs typeface="+mn-cs"/>
            </a:rPr>
            <a:t>Suppose a security with cash flows of $</a:t>
          </a:r>
          <a:r>
            <a:rPr lang="hu-HU" sz="1300" b="0">
              <a:solidFill>
                <a:schemeClr val="dk1"/>
              </a:solidFill>
              <a:effectLst/>
              <a:latin typeface="+mn-lt"/>
              <a:ea typeface="+mn-ea"/>
              <a:cs typeface="+mn-cs"/>
            </a:rPr>
            <a:t>20</a:t>
          </a:r>
          <a:r>
            <a:rPr lang="en-US" sz="1300" b="0">
              <a:solidFill>
                <a:schemeClr val="dk1"/>
              </a:solidFill>
              <a:effectLst/>
              <a:latin typeface="+mn-lt"/>
              <a:ea typeface="+mn-ea"/>
              <a:cs typeface="+mn-cs"/>
            </a:rPr>
            <a:t>0 in one year and $</a:t>
          </a:r>
          <a:r>
            <a:rPr lang="hu-HU" sz="1300" b="0">
              <a:solidFill>
                <a:schemeClr val="dk1"/>
              </a:solidFill>
              <a:effectLst/>
              <a:latin typeface="+mn-lt"/>
              <a:ea typeface="+mn-ea"/>
              <a:cs typeface="+mn-cs"/>
            </a:rPr>
            <a:t>4</a:t>
          </a:r>
          <a:r>
            <a:rPr lang="en-US" sz="1300" b="0">
              <a:solidFill>
                <a:schemeClr val="dk1"/>
              </a:solidFill>
              <a:effectLst/>
              <a:latin typeface="+mn-lt"/>
              <a:ea typeface="+mn-ea"/>
              <a:cs typeface="+mn-cs"/>
            </a:rPr>
            <a:t>00 in two years is trading for a price of $</a:t>
          </a:r>
          <a:r>
            <a:rPr lang="hu-HU" sz="1300" b="0">
              <a:solidFill>
                <a:schemeClr val="dk1"/>
              </a:solidFill>
              <a:effectLst/>
              <a:latin typeface="+mn-lt"/>
              <a:ea typeface="+mn-ea"/>
              <a:cs typeface="+mn-cs"/>
            </a:rPr>
            <a:t>52</a:t>
          </a:r>
          <a:r>
            <a:rPr lang="en-US" sz="1300" b="0">
              <a:solidFill>
                <a:schemeClr val="dk1"/>
              </a:solidFill>
              <a:effectLst/>
              <a:latin typeface="+mn-lt"/>
              <a:ea typeface="+mn-ea"/>
              <a:cs typeface="+mn-cs"/>
            </a:rPr>
            <a:t>0. What arbitrage opportunity is available?</a:t>
          </a:r>
          <a:endParaRPr lang="hu-HU" sz="1300" b="0">
            <a:solidFill>
              <a:schemeClr val="dk1"/>
            </a:solidFill>
            <a:effectLst/>
            <a:latin typeface="+mn-lt"/>
            <a:ea typeface="+mn-ea"/>
            <a:cs typeface="+mn-cs"/>
          </a:endParaRPr>
        </a:p>
        <a:p>
          <a:endParaRPr lang="en-GB" sz="1300" b="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2"/>
  <sheetViews>
    <sheetView workbookViewId="0">
      <selection activeCell="C25" sqref="C25"/>
    </sheetView>
  </sheetViews>
  <sheetFormatPr defaultRowHeight="14.5" x14ac:dyDescent="0.35"/>
  <sheetData>
    <row r="2" spans="2:2" x14ac:dyDescent="0.35">
      <c r="B2" t="s">
        <v>0</v>
      </c>
    </row>
    <row r="4" spans="2:2" x14ac:dyDescent="0.35">
      <c r="B4" t="s">
        <v>1</v>
      </c>
    </row>
    <row r="6" spans="2:2" x14ac:dyDescent="0.35">
      <c r="B6" t="s">
        <v>2</v>
      </c>
    </row>
    <row r="8" spans="2:2" x14ac:dyDescent="0.35">
      <c r="B8" t="s">
        <v>3</v>
      </c>
    </row>
    <row r="10" spans="2:2" x14ac:dyDescent="0.35">
      <c r="B10" t="s">
        <v>4</v>
      </c>
    </row>
    <row r="12" spans="2:2" x14ac:dyDescent="0.35">
      <c r="B1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169E-7D75-42A2-8F02-0B84EBBA80B4}">
  <dimension ref="B24:E31"/>
  <sheetViews>
    <sheetView workbookViewId="0">
      <selection activeCell="B30" sqref="B30"/>
    </sheetView>
  </sheetViews>
  <sheetFormatPr defaultRowHeight="14.5" x14ac:dyDescent="0.35"/>
  <cols>
    <col min="1" max="1" width="24.54296875" bestFit="1" customWidth="1"/>
    <col min="2" max="2" width="10.81640625" bestFit="1" customWidth="1"/>
    <col min="4" max="4" width="37.1796875" bestFit="1" customWidth="1"/>
    <col min="5" max="5" width="10.81640625" style="4" bestFit="1" customWidth="1"/>
  </cols>
  <sheetData>
    <row r="24" spans="2:5" x14ac:dyDescent="0.35">
      <c r="B24" s="2"/>
      <c r="E24" s="5"/>
    </row>
    <row r="25" spans="2:5" x14ac:dyDescent="0.35">
      <c r="B25" s="2"/>
      <c r="E25" s="5"/>
    </row>
    <row r="26" spans="2:5" x14ac:dyDescent="0.35">
      <c r="B26" s="2"/>
      <c r="E26" s="5"/>
    </row>
    <row r="27" spans="2:5" x14ac:dyDescent="0.35">
      <c r="B27" s="2"/>
      <c r="E27" s="5"/>
    </row>
    <row r="28" spans="2:5" x14ac:dyDescent="0.35">
      <c r="B28" s="2"/>
      <c r="D28" s="3"/>
      <c r="E28" s="5"/>
    </row>
    <row r="29" spans="2:5" x14ac:dyDescent="0.35">
      <c r="B29" s="2"/>
      <c r="D29" s="3"/>
      <c r="E29" s="5"/>
    </row>
    <row r="30" spans="2:5" x14ac:dyDescent="0.35">
      <c r="B30" s="2"/>
      <c r="E30" s="5"/>
    </row>
    <row r="31" spans="2:5" x14ac:dyDescent="0.35">
      <c r="B31"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R58"/>
  <sheetViews>
    <sheetView topLeftCell="A2" zoomScale="72" workbookViewId="0">
      <selection activeCell="H15" sqref="H15"/>
    </sheetView>
  </sheetViews>
  <sheetFormatPr defaultRowHeight="14.5" x14ac:dyDescent="0.35"/>
  <cols>
    <col min="3" max="3" width="31.7265625" customWidth="1"/>
    <col min="10" max="10" width="16.36328125" customWidth="1"/>
    <col min="11" max="11" width="64.54296875" bestFit="1" customWidth="1"/>
  </cols>
  <sheetData>
    <row r="2" spans="2:18" ht="41.65" customHeight="1" x14ac:dyDescent="0.35">
      <c r="B2" s="1"/>
    </row>
    <row r="3" spans="2:18" ht="14.5" customHeight="1" x14ac:dyDescent="0.45">
      <c r="B3" s="84" t="s">
        <v>70</v>
      </c>
      <c r="K3" s="67" t="s">
        <v>63</v>
      </c>
      <c r="L3" s="67"/>
      <c r="M3" s="67"/>
      <c r="N3" s="67"/>
      <c r="O3" s="67"/>
      <c r="P3" s="67"/>
      <c r="Q3" s="67"/>
      <c r="R3" s="67"/>
    </row>
    <row r="4" spans="2:18" x14ac:dyDescent="0.35">
      <c r="K4" s="68"/>
      <c r="L4" s="68"/>
      <c r="M4" s="68"/>
      <c r="N4" s="68"/>
      <c r="O4" s="68"/>
      <c r="P4" s="68"/>
      <c r="Q4" s="68"/>
      <c r="R4" s="68"/>
    </row>
    <row r="5" spans="2:18" ht="15" x14ac:dyDescent="0.35">
      <c r="K5" s="43" t="s">
        <v>8</v>
      </c>
      <c r="L5" s="6">
        <v>2019</v>
      </c>
      <c r="M5" s="6">
        <v>2018</v>
      </c>
      <c r="N5" s="61" t="s">
        <v>9</v>
      </c>
      <c r="O5" s="61"/>
      <c r="P5" s="61"/>
      <c r="Q5" s="6">
        <v>2019</v>
      </c>
      <c r="R5" s="6">
        <v>2018</v>
      </c>
    </row>
    <row r="6" spans="2:18" ht="15.75" customHeight="1" x14ac:dyDescent="0.35">
      <c r="K6" s="44" t="s">
        <v>10</v>
      </c>
      <c r="L6" s="8"/>
      <c r="M6" s="8"/>
      <c r="N6" s="62" t="s">
        <v>11</v>
      </c>
      <c r="O6" s="62"/>
      <c r="P6" s="62"/>
      <c r="Q6" s="7"/>
      <c r="R6" s="7"/>
    </row>
    <row r="7" spans="2:18" ht="15.75" customHeight="1" x14ac:dyDescent="0.35">
      <c r="C7" s="85">
        <v>2019</v>
      </c>
      <c r="D7" s="85"/>
      <c r="E7" s="85"/>
      <c r="K7" s="45" t="s">
        <v>12</v>
      </c>
      <c r="L7" s="9">
        <v>63.6</v>
      </c>
      <c r="M7" s="9">
        <v>58.5</v>
      </c>
      <c r="N7" s="63" t="s">
        <v>13</v>
      </c>
      <c r="O7" s="63"/>
      <c r="P7" s="63"/>
      <c r="Q7" s="9">
        <v>87.6</v>
      </c>
      <c r="R7" s="9">
        <v>73.5</v>
      </c>
    </row>
    <row r="8" spans="2:18" ht="16.5" customHeight="1" x14ac:dyDescent="0.35">
      <c r="C8" s="86" t="s">
        <v>6</v>
      </c>
      <c r="D8" s="86">
        <v>10.6</v>
      </c>
      <c r="E8" s="86"/>
      <c r="K8" s="46" t="s">
        <v>14</v>
      </c>
      <c r="L8" s="10">
        <v>55.5</v>
      </c>
      <c r="M8" s="10">
        <v>39.6</v>
      </c>
      <c r="N8" s="64" t="s">
        <v>15</v>
      </c>
      <c r="O8" s="64"/>
      <c r="P8" s="64"/>
      <c r="Q8" s="10">
        <v>10.5</v>
      </c>
      <c r="R8" s="10">
        <v>9.6</v>
      </c>
    </row>
    <row r="9" spans="2:18" ht="16.5" customHeight="1" x14ac:dyDescent="0.35">
      <c r="C9" s="87" t="s">
        <v>71</v>
      </c>
      <c r="D9" s="86">
        <v>3.6</v>
      </c>
      <c r="E9" s="86"/>
      <c r="K9" s="47" t="s">
        <v>16</v>
      </c>
      <c r="L9" s="11">
        <v>45.9</v>
      </c>
      <c r="M9" s="11">
        <v>42.9</v>
      </c>
      <c r="N9" s="65" t="s">
        <v>17</v>
      </c>
      <c r="O9" s="65"/>
      <c r="P9" s="65"/>
      <c r="Q9" s="11">
        <v>39.9</v>
      </c>
      <c r="R9" s="11">
        <v>36.9</v>
      </c>
    </row>
    <row r="10" spans="2:18" ht="15.75" customHeight="1" x14ac:dyDescent="0.35">
      <c r="C10" s="86" t="s">
        <v>72</v>
      </c>
      <c r="D10" s="86"/>
      <c r="E10" s="86"/>
      <c r="K10" s="48" t="s">
        <v>18</v>
      </c>
      <c r="L10" s="12">
        <v>6</v>
      </c>
      <c r="M10" s="12">
        <v>3</v>
      </c>
      <c r="N10" s="66" t="s">
        <v>19</v>
      </c>
      <c r="O10" s="66"/>
      <c r="P10" s="66"/>
      <c r="Q10" s="12">
        <v>6</v>
      </c>
      <c r="R10" s="12">
        <v>12</v>
      </c>
    </row>
    <row r="11" spans="2:18" ht="15.5" x14ac:dyDescent="0.35">
      <c r="C11" s="87" t="s">
        <v>73</v>
      </c>
      <c r="D11" s="86">
        <f>39.6-55.5</f>
        <v>-15.899999999999999</v>
      </c>
      <c r="E11" s="86"/>
      <c r="K11" s="49" t="s">
        <v>20</v>
      </c>
      <c r="L11" s="13">
        <v>171</v>
      </c>
      <c r="M11" s="13">
        <v>144</v>
      </c>
      <c r="N11" s="72" t="s">
        <v>21</v>
      </c>
      <c r="O11" s="72"/>
      <c r="P11" s="72"/>
      <c r="Q11" s="13">
        <v>144</v>
      </c>
      <c r="R11" s="13">
        <v>132</v>
      </c>
    </row>
    <row r="12" spans="2:18" ht="15.75" customHeight="1" x14ac:dyDescent="0.35">
      <c r="C12" s="87" t="s">
        <v>74</v>
      </c>
      <c r="D12" s="86">
        <f>87.6-73.5</f>
        <v>14.099999999999994</v>
      </c>
      <c r="E12" s="86"/>
      <c r="K12" s="52" t="s">
        <v>22</v>
      </c>
      <c r="L12" s="14"/>
      <c r="M12" s="14"/>
      <c r="N12" s="73" t="s">
        <v>23</v>
      </c>
      <c r="O12" s="73"/>
      <c r="P12" s="73"/>
      <c r="Q12" s="60"/>
      <c r="R12" s="60"/>
    </row>
    <row r="13" spans="2:18" ht="15.75" customHeight="1" thickBot="1" x14ac:dyDescent="0.4">
      <c r="C13" s="87" t="s">
        <v>75</v>
      </c>
      <c r="D13" s="86">
        <f>42.9-45.9</f>
        <v>-3</v>
      </c>
      <c r="E13" s="86"/>
      <c r="K13" s="50" t="s">
        <v>24</v>
      </c>
      <c r="L13" s="15">
        <v>66.599999999999994</v>
      </c>
      <c r="M13" s="15">
        <v>62.1</v>
      </c>
      <c r="N13" s="69" t="s">
        <v>25</v>
      </c>
      <c r="O13" s="69"/>
      <c r="P13" s="69"/>
      <c r="Q13" s="15">
        <v>239.7</v>
      </c>
      <c r="R13" s="15">
        <v>168.9</v>
      </c>
    </row>
    <row r="14" spans="2:18" ht="30" customHeight="1" thickBot="1" x14ac:dyDescent="0.4">
      <c r="C14" s="88" t="s">
        <v>76</v>
      </c>
      <c r="D14" s="89">
        <f>SUM(D8:D13)</f>
        <v>9.399999999999995</v>
      </c>
      <c r="E14" s="90"/>
      <c r="K14" s="51" t="s">
        <v>26</v>
      </c>
      <c r="L14" s="16">
        <v>109.5</v>
      </c>
      <c r="M14" s="16">
        <v>91.5</v>
      </c>
      <c r="N14" s="70" t="s">
        <v>40</v>
      </c>
      <c r="O14" s="71"/>
      <c r="P14" s="71"/>
      <c r="Q14" s="24"/>
      <c r="R14" s="24"/>
    </row>
    <row r="15" spans="2:18" ht="15.75" customHeight="1" x14ac:dyDescent="0.35">
      <c r="K15" s="54" t="s">
        <v>27</v>
      </c>
      <c r="L15" s="17">
        <v>119.1</v>
      </c>
      <c r="M15" s="17">
        <v>99.6</v>
      </c>
      <c r="N15" s="77" t="s">
        <v>28</v>
      </c>
      <c r="O15" s="77"/>
      <c r="P15" s="77"/>
      <c r="Q15" s="17">
        <v>239.7</v>
      </c>
      <c r="R15" s="17">
        <v>168.9</v>
      </c>
    </row>
    <row r="16" spans="2:18" ht="15.5" x14ac:dyDescent="0.35">
      <c r="K16" s="55" t="s">
        <v>37</v>
      </c>
      <c r="L16" s="18">
        <v>-56.1</v>
      </c>
      <c r="M16" s="18">
        <v>-52.5</v>
      </c>
      <c r="N16" s="74" t="s">
        <v>42</v>
      </c>
      <c r="O16" s="75"/>
      <c r="P16" s="75"/>
      <c r="Q16" s="25">
        <v>22.8</v>
      </c>
      <c r="R16" s="25">
        <v>22.2</v>
      </c>
    </row>
    <row r="17" spans="11:18" ht="15.5" x14ac:dyDescent="0.35">
      <c r="K17" s="53" t="s">
        <v>38</v>
      </c>
      <c r="L17" s="19">
        <v>239.1</v>
      </c>
      <c r="M17" s="19">
        <v>200.7</v>
      </c>
      <c r="N17" s="76" t="s">
        <v>29</v>
      </c>
      <c r="O17" s="76"/>
      <c r="P17" s="76"/>
      <c r="Q17" s="26"/>
      <c r="R17" s="26"/>
    </row>
    <row r="18" spans="11:18" ht="15.5" x14ac:dyDescent="0.35">
      <c r="K18" s="57" t="s">
        <v>30</v>
      </c>
      <c r="L18" s="20">
        <v>60</v>
      </c>
      <c r="M18" s="21" t="s">
        <v>41</v>
      </c>
      <c r="N18" s="80" t="s">
        <v>31</v>
      </c>
      <c r="O18" s="80"/>
      <c r="P18" s="80"/>
      <c r="Q18" s="20">
        <v>262.5</v>
      </c>
      <c r="R18" s="20">
        <v>191.1</v>
      </c>
    </row>
    <row r="19" spans="11:18" ht="15.5" x14ac:dyDescent="0.35">
      <c r="K19" s="58" t="s">
        <v>32</v>
      </c>
      <c r="L19" s="22">
        <v>63</v>
      </c>
      <c r="M19" s="22">
        <v>42</v>
      </c>
      <c r="N19" s="81" t="s">
        <v>33</v>
      </c>
      <c r="O19" s="81"/>
      <c r="P19" s="81"/>
      <c r="Q19" s="22">
        <v>406.5</v>
      </c>
      <c r="R19" s="22">
        <v>323.10000000000002</v>
      </c>
    </row>
    <row r="20" spans="11:18" ht="15.5" customHeight="1" x14ac:dyDescent="0.35">
      <c r="K20" s="56" t="s">
        <v>34</v>
      </c>
      <c r="L20" s="23">
        <v>362.1</v>
      </c>
      <c r="M20" s="23">
        <v>242.7</v>
      </c>
      <c r="N20" s="78" t="s">
        <v>35</v>
      </c>
      <c r="O20" s="78"/>
      <c r="P20" s="78"/>
      <c r="Q20" s="23">
        <v>126.6</v>
      </c>
      <c r="R20" s="23">
        <v>63.6</v>
      </c>
    </row>
    <row r="21" spans="11:18" ht="31.5" customHeight="1" x14ac:dyDescent="0.35">
      <c r="K21" s="59" t="s">
        <v>36</v>
      </c>
      <c r="L21" s="22">
        <v>533.1</v>
      </c>
      <c r="M21" s="22">
        <v>386.7</v>
      </c>
      <c r="N21" s="79" t="s">
        <v>39</v>
      </c>
      <c r="O21" s="79"/>
      <c r="P21" s="79"/>
      <c r="Q21" s="22">
        <v>531.1</v>
      </c>
      <c r="R21" s="22">
        <v>386.7</v>
      </c>
    </row>
    <row r="23" spans="11:18" x14ac:dyDescent="0.35">
      <c r="K23" s="29" t="s">
        <v>43</v>
      </c>
      <c r="L23" s="30"/>
      <c r="M23" s="30"/>
      <c r="N23" s="27"/>
      <c r="O23" s="27"/>
      <c r="P23" s="27"/>
      <c r="Q23" s="27"/>
    </row>
    <row r="24" spans="11:18" x14ac:dyDescent="0.35">
      <c r="K24" s="29" t="s">
        <v>44</v>
      </c>
      <c r="L24" s="30"/>
      <c r="M24" s="30"/>
      <c r="N24" s="27"/>
      <c r="O24" s="27"/>
      <c r="P24" s="27"/>
      <c r="Q24" s="27"/>
    </row>
    <row r="25" spans="11:18" ht="15" x14ac:dyDescent="0.35">
      <c r="K25" s="39"/>
      <c r="L25" s="35"/>
      <c r="M25" s="31" t="s">
        <v>45</v>
      </c>
      <c r="N25" s="27"/>
      <c r="O25" s="27"/>
      <c r="P25" s="27"/>
      <c r="Q25" s="27"/>
    </row>
    <row r="26" spans="11:18" x14ac:dyDescent="0.35">
      <c r="K26" s="40" t="s">
        <v>47</v>
      </c>
      <c r="L26" s="36">
        <v>610.1</v>
      </c>
      <c r="M26" s="32">
        <v>578.29999999999995</v>
      </c>
      <c r="P26" s="27"/>
      <c r="Q26" s="27"/>
    </row>
    <row r="27" spans="11:18" x14ac:dyDescent="0.35">
      <c r="K27" s="40" t="s">
        <v>48</v>
      </c>
      <c r="L27" s="37">
        <v>-500.2</v>
      </c>
      <c r="M27" s="33">
        <v>-481.9</v>
      </c>
      <c r="N27" s="27"/>
      <c r="O27" s="27"/>
      <c r="P27" s="27"/>
      <c r="Q27" s="27"/>
    </row>
    <row r="28" spans="11:18" x14ac:dyDescent="0.35">
      <c r="K28" s="40" t="s">
        <v>49</v>
      </c>
      <c r="L28" s="37">
        <v>109.9</v>
      </c>
      <c r="M28" s="33">
        <v>96.4</v>
      </c>
      <c r="N28" s="27"/>
      <c r="O28" s="27"/>
      <c r="P28" s="27"/>
      <c r="Q28" s="27"/>
    </row>
    <row r="29" spans="11:18" x14ac:dyDescent="0.35">
      <c r="K29" s="41" t="s">
        <v>51</v>
      </c>
      <c r="L29" s="37">
        <v>-40.5</v>
      </c>
      <c r="M29" s="33">
        <v>-39</v>
      </c>
      <c r="N29" s="27"/>
      <c r="O29" s="27"/>
      <c r="P29" s="27"/>
      <c r="Q29" s="27"/>
    </row>
    <row r="30" spans="11:18" x14ac:dyDescent="0.35">
      <c r="K30" s="40" t="s">
        <v>50</v>
      </c>
      <c r="L30" s="37">
        <v>-24.6</v>
      </c>
      <c r="M30" s="33">
        <v>-22.8</v>
      </c>
      <c r="N30" s="27"/>
      <c r="O30" s="27"/>
      <c r="P30" s="27"/>
      <c r="Q30" s="27"/>
    </row>
    <row r="31" spans="11:18" x14ac:dyDescent="0.35">
      <c r="K31" s="40" t="s">
        <v>52</v>
      </c>
      <c r="L31" s="37">
        <v>-3.6</v>
      </c>
      <c r="M31" s="33">
        <v>-3.3</v>
      </c>
      <c r="N31" s="27"/>
      <c r="O31" s="27"/>
      <c r="P31" s="27"/>
      <c r="Q31" s="27"/>
    </row>
    <row r="32" spans="11:18" x14ac:dyDescent="0.35">
      <c r="K32" s="40" t="s">
        <v>54</v>
      </c>
      <c r="L32" s="37">
        <v>41.2</v>
      </c>
      <c r="M32" s="33">
        <v>31.3</v>
      </c>
      <c r="N32" s="27"/>
      <c r="O32" s="27"/>
      <c r="P32" s="27"/>
      <c r="Q32" s="27"/>
    </row>
    <row r="33" spans="11:18" x14ac:dyDescent="0.35">
      <c r="K33" s="42" t="s">
        <v>46</v>
      </c>
      <c r="L33" s="36" t="s">
        <v>53</v>
      </c>
      <c r="M33" s="32" t="s">
        <v>53</v>
      </c>
      <c r="N33" s="27"/>
      <c r="O33" s="27"/>
      <c r="P33" s="27"/>
      <c r="Q33" s="27"/>
      <c r="R33" s="27"/>
    </row>
    <row r="34" spans="11:18" x14ac:dyDescent="0.35">
      <c r="K34" s="40" t="s">
        <v>55</v>
      </c>
      <c r="L34" s="37">
        <f>L32</f>
        <v>41.2</v>
      </c>
      <c r="M34" s="33">
        <f>M32</f>
        <v>31.3</v>
      </c>
      <c r="N34" s="27"/>
      <c r="O34" s="27"/>
      <c r="P34" s="27"/>
      <c r="Q34" s="27"/>
      <c r="R34" s="27"/>
    </row>
    <row r="35" spans="11:18" x14ac:dyDescent="0.35">
      <c r="K35" s="40" t="s">
        <v>56</v>
      </c>
      <c r="L35" s="37">
        <v>-25.1</v>
      </c>
      <c r="M35" s="33">
        <v>-15.8</v>
      </c>
      <c r="N35" s="27"/>
      <c r="O35" s="27"/>
      <c r="P35" s="27"/>
      <c r="Q35" s="27"/>
      <c r="R35" s="27"/>
    </row>
    <row r="36" spans="11:18" x14ac:dyDescent="0.35">
      <c r="K36" s="40" t="s">
        <v>57</v>
      </c>
      <c r="L36" s="37">
        <v>16.100000000000001</v>
      </c>
      <c r="M36" s="33">
        <v>15.5</v>
      </c>
      <c r="N36" s="27"/>
      <c r="O36" s="27"/>
      <c r="P36" s="27"/>
      <c r="Q36" s="27"/>
      <c r="R36" s="27"/>
    </row>
    <row r="37" spans="11:18" x14ac:dyDescent="0.35">
      <c r="K37" s="40" t="s">
        <v>7</v>
      </c>
      <c r="L37" s="37">
        <v>-5.5</v>
      </c>
      <c r="M37" s="33">
        <v>-5.3</v>
      </c>
      <c r="N37" s="27"/>
      <c r="O37" s="27"/>
      <c r="P37" s="27"/>
      <c r="Q37" s="27"/>
      <c r="R37" s="27"/>
    </row>
    <row r="38" spans="11:18" x14ac:dyDescent="0.35">
      <c r="K38" s="40" t="s">
        <v>6</v>
      </c>
      <c r="L38" s="37">
        <v>10.6</v>
      </c>
      <c r="M38" s="33">
        <v>10.199999999999999</v>
      </c>
      <c r="O38" s="27"/>
      <c r="P38" s="27"/>
      <c r="Q38" s="27"/>
      <c r="R38" s="27"/>
    </row>
    <row r="39" spans="11:18" x14ac:dyDescent="0.35">
      <c r="K39" s="40" t="s">
        <v>58</v>
      </c>
      <c r="L39" s="38">
        <v>16</v>
      </c>
      <c r="M39" s="34">
        <v>15</v>
      </c>
      <c r="N39" s="27"/>
      <c r="O39" s="27"/>
      <c r="P39" s="27"/>
      <c r="Q39" s="27"/>
      <c r="R39" s="27"/>
    </row>
    <row r="40" spans="11:18" x14ac:dyDescent="0.35">
      <c r="K40" s="40" t="s">
        <v>59</v>
      </c>
      <c r="L40" s="37">
        <v>10.199999999999999</v>
      </c>
      <c r="M40" s="33">
        <v>8</v>
      </c>
      <c r="N40" s="27"/>
      <c r="O40" s="27"/>
      <c r="P40" s="27"/>
      <c r="Q40" s="27"/>
      <c r="R40" s="27"/>
    </row>
    <row r="41" spans="11:18" x14ac:dyDescent="0.35">
      <c r="K41" s="40" t="s">
        <v>60</v>
      </c>
      <c r="L41" s="37">
        <v>0.3</v>
      </c>
      <c r="M41" s="33">
        <v>0.2</v>
      </c>
      <c r="N41" s="27"/>
      <c r="O41" s="27"/>
      <c r="P41" s="27"/>
      <c r="Q41" s="27"/>
      <c r="R41" s="27"/>
    </row>
    <row r="42" spans="11:18" x14ac:dyDescent="0.35">
      <c r="K42" s="40" t="s">
        <v>61</v>
      </c>
      <c r="L42" s="37">
        <v>126.6</v>
      </c>
      <c r="M42" s="33">
        <v>63.6</v>
      </c>
      <c r="N42" s="27"/>
      <c r="O42" s="27"/>
      <c r="P42" s="27"/>
      <c r="Q42" s="27"/>
      <c r="R42" s="27"/>
    </row>
    <row r="43" spans="11:18" x14ac:dyDescent="0.35">
      <c r="K43" s="40" t="s">
        <v>62</v>
      </c>
      <c r="L43" s="37">
        <v>533.1</v>
      </c>
      <c r="M43" s="33">
        <v>386.7</v>
      </c>
      <c r="N43" s="27"/>
      <c r="O43" s="27"/>
      <c r="P43" s="27"/>
      <c r="Q43" s="27"/>
      <c r="R43" s="27"/>
    </row>
    <row r="44" spans="11:18" x14ac:dyDescent="0.35">
      <c r="K44" s="28"/>
      <c r="L44" s="27"/>
      <c r="M44" s="27"/>
      <c r="N44" s="27"/>
      <c r="O44" s="27"/>
      <c r="P44" s="27"/>
      <c r="Q44" s="27"/>
      <c r="R44" s="27"/>
    </row>
    <row r="45" spans="11:18" x14ac:dyDescent="0.35">
      <c r="K45" s="28"/>
      <c r="L45" s="27"/>
      <c r="M45" s="27"/>
      <c r="N45" s="27"/>
      <c r="O45" s="27"/>
      <c r="P45" s="27"/>
      <c r="Q45" s="27"/>
      <c r="R45" s="27"/>
    </row>
    <row r="46" spans="11:18" x14ac:dyDescent="0.35">
      <c r="L46" s="27"/>
      <c r="M46" s="27"/>
      <c r="N46" s="27"/>
      <c r="O46" s="27"/>
      <c r="P46" s="27"/>
      <c r="Q46" s="27"/>
      <c r="R46" s="27"/>
    </row>
    <row r="47" spans="11:18" x14ac:dyDescent="0.35">
      <c r="L47" s="27"/>
      <c r="M47" s="27"/>
      <c r="N47" s="27"/>
      <c r="O47" s="27"/>
      <c r="P47" s="27"/>
      <c r="Q47" s="27"/>
      <c r="R47" s="27"/>
    </row>
    <row r="48" spans="11:18" x14ac:dyDescent="0.35">
      <c r="N48" s="27"/>
      <c r="O48" s="27"/>
      <c r="P48" s="27"/>
      <c r="Q48" s="27"/>
      <c r="R48" s="27"/>
    </row>
    <row r="49" spans="18:18" x14ac:dyDescent="0.35">
      <c r="R49" s="27"/>
    </row>
    <row r="50" spans="18:18" x14ac:dyDescent="0.35">
      <c r="R50" s="27"/>
    </row>
    <row r="51" spans="18:18" x14ac:dyDescent="0.35">
      <c r="R51" s="27"/>
    </row>
    <row r="52" spans="18:18" x14ac:dyDescent="0.35">
      <c r="R52" s="27"/>
    </row>
    <row r="53" spans="18:18" x14ac:dyDescent="0.35">
      <c r="R53" s="27"/>
    </row>
    <row r="54" spans="18:18" x14ac:dyDescent="0.35">
      <c r="R54" s="27"/>
    </row>
    <row r="55" spans="18:18" x14ac:dyDescent="0.35">
      <c r="R55" s="27"/>
    </row>
    <row r="56" spans="18:18" x14ac:dyDescent="0.35">
      <c r="R56" s="27"/>
    </row>
    <row r="57" spans="18:18" x14ac:dyDescent="0.35">
      <c r="R57" s="27"/>
    </row>
    <row r="58" spans="18:18" x14ac:dyDescent="0.35">
      <c r="R58" s="27"/>
    </row>
  </sheetData>
  <mergeCells count="20">
    <mergeCell ref="C7:E7"/>
    <mergeCell ref="N16:P16"/>
    <mergeCell ref="N17:P17"/>
    <mergeCell ref="N15:P15"/>
    <mergeCell ref="N20:P20"/>
    <mergeCell ref="N21:P21"/>
    <mergeCell ref="N18:P18"/>
    <mergeCell ref="N19:P19"/>
    <mergeCell ref="K3:R4"/>
    <mergeCell ref="N13:P13"/>
    <mergeCell ref="N14:P14"/>
    <mergeCell ref="N11:P11"/>
    <mergeCell ref="N12:P12"/>
    <mergeCell ref="Q12:R12"/>
    <mergeCell ref="N5:P5"/>
    <mergeCell ref="N6:P6"/>
    <mergeCell ref="N7:P7"/>
    <mergeCell ref="N8:P8"/>
    <mergeCell ref="N9:P9"/>
    <mergeCell ref="N10:P1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3A10-B45E-491F-98CF-D8A1FD3CF9A4}">
  <dimension ref="B12:E22"/>
  <sheetViews>
    <sheetView tabSelected="1" workbookViewId="0">
      <selection activeCell="E21" sqref="E21"/>
    </sheetView>
  </sheetViews>
  <sheetFormatPr defaultRowHeight="14.5" x14ac:dyDescent="0.35"/>
  <cols>
    <col min="3" max="3" width="30.90625" bestFit="1" customWidth="1"/>
  </cols>
  <sheetData>
    <row r="12" spans="2:5" ht="58" x14ac:dyDescent="0.35">
      <c r="B12" s="82" t="s">
        <v>64</v>
      </c>
      <c r="C12" s="82" t="s">
        <v>65</v>
      </c>
      <c r="D12" s="82" t="s">
        <v>66</v>
      </c>
      <c r="E12" s="82" t="s">
        <v>67</v>
      </c>
    </row>
    <row r="13" spans="2:5" x14ac:dyDescent="0.35">
      <c r="B13" s="83" t="s">
        <v>68</v>
      </c>
      <c r="C13" s="83">
        <v>384</v>
      </c>
      <c r="D13" s="83">
        <v>400</v>
      </c>
      <c r="E13" s="83">
        <v>0</v>
      </c>
    </row>
    <row r="14" spans="2:5" x14ac:dyDescent="0.35">
      <c r="B14" s="83" t="s">
        <v>69</v>
      </c>
      <c r="C14" s="83">
        <v>352</v>
      </c>
      <c r="D14" s="83">
        <v>0</v>
      </c>
      <c r="E14" s="83">
        <v>400</v>
      </c>
    </row>
    <row r="16" spans="2:5" x14ac:dyDescent="0.35">
      <c r="B16" t="s">
        <v>77</v>
      </c>
      <c r="C16">
        <f>C13+C14</f>
        <v>736</v>
      </c>
    </row>
    <row r="17" spans="2:5" x14ac:dyDescent="0.35">
      <c r="B17" t="s">
        <v>78</v>
      </c>
      <c r="C17">
        <f>C13+8*C14</f>
        <v>3200</v>
      </c>
    </row>
    <row r="18" spans="2:5" x14ac:dyDescent="0.35">
      <c r="B18" t="s">
        <v>79</v>
      </c>
      <c r="C18" t="s">
        <v>80</v>
      </c>
      <c r="E18">
        <f>0.5*C13+C14</f>
        <v>544</v>
      </c>
    </row>
    <row r="19" spans="2:5" x14ac:dyDescent="0.35">
      <c r="C19" t="s">
        <v>83</v>
      </c>
      <c r="E19">
        <f>520</f>
        <v>520</v>
      </c>
    </row>
    <row r="20" spans="2:5" x14ac:dyDescent="0.35">
      <c r="C20" t="s">
        <v>84</v>
      </c>
      <c r="E20">
        <f>E18-E19</f>
        <v>24</v>
      </c>
    </row>
    <row r="21" spans="2:5" x14ac:dyDescent="0.35">
      <c r="C21" t="s">
        <v>81</v>
      </c>
    </row>
    <row r="22" spans="2:5" x14ac:dyDescent="0.35">
      <c r="C22" t="s">
        <v>82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um" ma:contentTypeID="0x010100EC02C9D5DF5C9E47A2774FE470211D92" ma:contentTypeVersion="4" ma:contentTypeDescription="Új dokumentum létrehozása." ma:contentTypeScope="" ma:versionID="d6787339aeff37df14fd1a97466a5d43">
  <xsd:schema xmlns:xsd="http://www.w3.org/2001/XMLSchema" xmlns:xs="http://www.w3.org/2001/XMLSchema" xmlns:p="http://schemas.microsoft.com/office/2006/metadata/properties" xmlns:ns2="fd979beb-4d01-4756-ae2d-e0c85a60ae1d" targetNamespace="http://schemas.microsoft.com/office/2006/metadata/properties" ma:root="true" ma:fieldsID="f0f47fa13bf47b2909687e53a3809231" ns2:_="">
    <xsd:import namespace="fd979beb-4d01-4756-ae2d-e0c85a60ae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979beb-4d01-4756-ae2d-e0c85a60ae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E2A2D8-1443-44C5-810C-9E7D1049E558}">
  <ds:schemaRefs>
    <ds:schemaRef ds:uri="http://schemas.microsoft.com/sharepoint/v3/contenttype/forms"/>
  </ds:schemaRefs>
</ds:datastoreItem>
</file>

<file path=customXml/itemProps2.xml><?xml version="1.0" encoding="utf-8"?>
<ds:datastoreItem xmlns:ds="http://schemas.openxmlformats.org/officeDocument/2006/customXml" ds:itemID="{69EB0AF1-1263-4608-99D1-8532D5560BE1}">
  <ds:schemaRefs>
    <ds:schemaRef ds:uri="http://schemas.microsoft.com/office/2006/documentManagement/types"/>
    <ds:schemaRef ds:uri="http://purl.org/dc/elements/1.1/"/>
    <ds:schemaRef ds:uri="http://www.w3.org/XML/1998/namespace"/>
    <ds:schemaRef ds:uri="http://purl.org/dc/terms/"/>
    <ds:schemaRef ds:uri="http://purl.org/dc/dcmitype/"/>
    <ds:schemaRef ds:uri="http://schemas.openxmlformats.org/package/2006/metadata/core-properties"/>
    <ds:schemaRef ds:uri="http://schemas.microsoft.com/office/infopath/2007/PartnerControls"/>
    <ds:schemaRef ds:uri="fd979beb-4d01-4756-ae2d-e0c85a60ae1d"/>
    <ds:schemaRef ds:uri="http://schemas.microsoft.com/office/2006/metadata/properties"/>
  </ds:schemaRefs>
</ds:datastoreItem>
</file>

<file path=customXml/itemProps3.xml><?xml version="1.0" encoding="utf-8"?>
<ds:datastoreItem xmlns:ds="http://schemas.openxmlformats.org/officeDocument/2006/customXml" ds:itemID="{585216C4-BF8E-4107-8B4B-D96B4AD25F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979beb-4d01-4756-ae2d-e0c85a60a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1</vt:lpstr>
      <vt:lpstr>2</vt:lpstr>
      <vt:lpstr>3</vt:lpstr>
    </vt:vector>
  </TitlesOfParts>
  <Manager/>
  <Company>Budapesti Corvinus Egyetem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dc:creator>
  <cp:keywords/>
  <dc:description/>
  <cp:lastModifiedBy>Yusifzada Leyla</cp:lastModifiedBy>
  <cp:revision/>
  <dcterms:created xsi:type="dcterms:W3CDTF">2019-09-18T18:26:36Z</dcterms:created>
  <dcterms:modified xsi:type="dcterms:W3CDTF">2024-09-16T12:06:15Z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0x010100EC02C9D5DF5C9E47A2774FE470211D92</vt:lpwstr>
  </property>
</Properties>
</file>