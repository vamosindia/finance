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corvinus-my.sharepoint.com/personal/leyla_yusifzada_uni-corvinus_hu/Documents/icf_2024/seminars/week 2/"/>
    </mc:Choice>
  </mc:AlternateContent>
  <xr:revisionPtr revIDLastSave="978" documentId="8_{E305D8F3-961D-4429-8EEC-137BFFD3FA79}" xr6:coauthVersionLast="47" xr6:coauthVersionMax="47" xr10:uidLastSave="{E59E0608-8763-4593-85B1-74FC520F70BE}"/>
  <bookViews>
    <workbookView xWindow="-110" yWindow="-110" windowWidth="19420" windowHeight="10420" activeTab="3" xr2:uid="{00000000-000D-0000-FFFF-FFFF00000000}"/>
  </bookViews>
  <sheets>
    <sheet name="possible" sheetId="1" r:id="rId1"/>
    <sheet name="frontier" sheetId="6" r:id="rId2"/>
    <sheet name="ch_frontier" sheetId="7" r:id="rId3"/>
    <sheet name="frontier2" sheetId="12" r:id="rId4"/>
    <sheet name="ch_frontier2" sheetId="13" r:id="rId5"/>
    <sheet name="efficient1" sheetId="8" r:id="rId6"/>
    <sheet name="ch_efficient1" sheetId="9" r:id="rId7"/>
    <sheet name="efficient2" sheetId="10" r:id="rId8"/>
    <sheet name="ch_efficient2" sheetId="11" r:id="rId9"/>
  </sheets>
  <definedNames>
    <definedName name="solver_adj" localSheetId="5" hidden="1">efficient1!$B$11:$D$11</definedName>
    <definedName name="solver_adj" localSheetId="7" hidden="1">efficient2!$B$12:$E$12</definedName>
    <definedName name="solver_adj" localSheetId="1" hidden="1">frontier!$B$11:$D$11</definedName>
    <definedName name="solver_adj" localSheetId="3" hidden="1">frontier2!$B$12:$E$12</definedName>
    <definedName name="solver_cvg" localSheetId="5" hidden="1">0.0001</definedName>
    <definedName name="solver_cvg" localSheetId="7" hidden="1">0.0001</definedName>
    <definedName name="solver_cvg" localSheetId="1" hidden="1">0.0001</definedName>
    <definedName name="solver_cvg" localSheetId="3" hidden="1">0.0001</definedName>
    <definedName name="solver_drv" localSheetId="5" hidden="1">1</definedName>
    <definedName name="solver_drv" localSheetId="7" hidden="1">1</definedName>
    <definedName name="solver_drv" localSheetId="1" hidden="1">1</definedName>
    <definedName name="solver_drv" localSheetId="3" hidden="1">1</definedName>
    <definedName name="solver_eng" localSheetId="5" hidden="1">1</definedName>
    <definedName name="solver_eng" localSheetId="7" hidden="1">1</definedName>
    <definedName name="solver_eng" localSheetId="1" hidden="1">1</definedName>
    <definedName name="solver_eng" localSheetId="3" hidden="1">1</definedName>
    <definedName name="solver_est" localSheetId="5" hidden="1">1</definedName>
    <definedName name="solver_est" localSheetId="7" hidden="1">1</definedName>
    <definedName name="solver_est" localSheetId="1" hidden="1">1</definedName>
    <definedName name="solver_est" localSheetId="3" hidden="1">1</definedName>
    <definedName name="solver_itr" localSheetId="5" hidden="1">100</definedName>
    <definedName name="solver_itr" localSheetId="7" hidden="1">100</definedName>
    <definedName name="solver_itr" localSheetId="1" hidden="1">100</definedName>
    <definedName name="solver_itr" localSheetId="3" hidden="1">100</definedName>
    <definedName name="solver_lhs1" localSheetId="5" hidden="1">efficient1!$E$11</definedName>
    <definedName name="solver_lhs1" localSheetId="7" hidden="1">efficient2!$F$12</definedName>
    <definedName name="solver_lhs1" localSheetId="1" hidden="1">frontier!$E$11</definedName>
    <definedName name="solver_lhs1" localSheetId="3" hidden="1">frontier2!$F$12</definedName>
    <definedName name="solver_lhs2" localSheetId="5" hidden="1">efficient1!$I$11</definedName>
    <definedName name="solver_lhs2" localSheetId="7" hidden="1">efficient2!$J$12</definedName>
    <definedName name="solver_lhs2" localSheetId="1" hidden="1">frontier!$G$11</definedName>
    <definedName name="solver_lhs2" localSheetId="3" hidden="1">frontier2!$H$12</definedName>
    <definedName name="solver_lin" localSheetId="5" hidden="1">2</definedName>
    <definedName name="solver_lin" localSheetId="7" hidden="1">2</definedName>
    <definedName name="solver_lin" localSheetId="1" hidden="1">2</definedName>
    <definedName name="solver_lin" localSheetId="3" hidden="1">2</definedName>
    <definedName name="solver_mip" localSheetId="5" hidden="1">2147483647</definedName>
    <definedName name="solver_mip" localSheetId="7" hidden="1">2147483647</definedName>
    <definedName name="solver_mip" localSheetId="1" hidden="1">2147483647</definedName>
    <definedName name="solver_mip" localSheetId="3" hidden="1">2147483647</definedName>
    <definedName name="solver_mni" localSheetId="5" hidden="1">30</definedName>
    <definedName name="solver_mni" localSheetId="7" hidden="1">30</definedName>
    <definedName name="solver_mni" localSheetId="1" hidden="1">30</definedName>
    <definedName name="solver_mni" localSheetId="3" hidden="1">30</definedName>
    <definedName name="solver_mrt" localSheetId="5" hidden="1">"""0,075"""</definedName>
    <definedName name="solver_mrt" localSheetId="7" hidden="1">"""0,075"""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3" hidden="1">"""""""0,075"""""""</definedName>
    <definedName name="solver_msl" localSheetId="5" hidden="1">2</definedName>
    <definedName name="solver_msl" localSheetId="7" hidden="1">2</definedName>
    <definedName name="solver_msl" localSheetId="1" hidden="1">2</definedName>
    <definedName name="solver_msl" localSheetId="3" hidden="1">2</definedName>
    <definedName name="solver_neg" localSheetId="5" hidden="1">2</definedName>
    <definedName name="solver_neg" localSheetId="7" hidden="1">2</definedName>
    <definedName name="solver_neg" localSheetId="1" hidden="1">2</definedName>
    <definedName name="solver_neg" localSheetId="3" hidden="1">2</definedName>
    <definedName name="solver_nod" localSheetId="5" hidden="1">2147483647</definedName>
    <definedName name="solver_nod" localSheetId="7" hidden="1">2147483647</definedName>
    <definedName name="solver_nod" localSheetId="1" hidden="1">2147483647</definedName>
    <definedName name="solver_nod" localSheetId="3" hidden="1">2147483647</definedName>
    <definedName name="solver_num" localSheetId="5" hidden="1">2</definedName>
    <definedName name="solver_num" localSheetId="7" hidden="1">2</definedName>
    <definedName name="solver_num" localSheetId="1" hidden="1">2</definedName>
    <definedName name="solver_num" localSheetId="3" hidden="1">2</definedName>
    <definedName name="solver_nwt" localSheetId="5" hidden="1">1</definedName>
    <definedName name="solver_nwt" localSheetId="7" hidden="1">1</definedName>
    <definedName name="solver_nwt" localSheetId="1" hidden="1">1</definedName>
    <definedName name="solver_nwt" localSheetId="3" hidden="1">1</definedName>
    <definedName name="solver_opt" localSheetId="5" hidden="1">efficient1!$G$11</definedName>
    <definedName name="solver_opt" localSheetId="7" hidden="1">efficient2!$H$12</definedName>
    <definedName name="solver_opt" localSheetId="1" hidden="1">frontier!$I$11</definedName>
    <definedName name="solver_opt" localSheetId="3" hidden="1">frontier2!$J$12</definedName>
    <definedName name="solver_pre" localSheetId="5" hidden="1">0.000001</definedName>
    <definedName name="solver_pre" localSheetId="7" hidden="1">0.000001</definedName>
    <definedName name="solver_pre" localSheetId="1" hidden="1">0.000001</definedName>
    <definedName name="solver_pre" localSheetId="3" hidden="1">0.000001</definedName>
    <definedName name="solver_rbv" localSheetId="5" hidden="1">1</definedName>
    <definedName name="solver_rbv" localSheetId="7" hidden="1">1</definedName>
    <definedName name="solver_rbv" localSheetId="1" hidden="1">1</definedName>
    <definedName name="solver_rbv" localSheetId="3" hidden="1">1</definedName>
    <definedName name="solver_rel1" localSheetId="5" hidden="1">2</definedName>
    <definedName name="solver_rel1" localSheetId="7" hidden="1">2</definedName>
    <definedName name="solver_rel1" localSheetId="1" hidden="1">2</definedName>
    <definedName name="solver_rel1" localSheetId="3" hidden="1">2</definedName>
    <definedName name="solver_rel2" localSheetId="5" hidden="1">2</definedName>
    <definedName name="solver_rel2" localSheetId="7" hidden="1">2</definedName>
    <definedName name="solver_rel2" localSheetId="1" hidden="1">2</definedName>
    <definedName name="solver_rel2" localSheetId="3" hidden="1">2</definedName>
    <definedName name="solver_rhs1" localSheetId="5" hidden="1">1</definedName>
    <definedName name="solver_rhs1" localSheetId="7" hidden="1">1</definedName>
    <definedName name="solver_rhs1" localSheetId="1" hidden="1">1</definedName>
    <definedName name="solver_rhs1" localSheetId="3" hidden="1">1</definedName>
    <definedName name="solver_rhs2" localSheetId="5" hidden="1">0.4</definedName>
    <definedName name="solver_rhs2" localSheetId="7" hidden="1">0.3</definedName>
    <definedName name="solver_rhs2" localSheetId="1" hidden="1">0.4</definedName>
    <definedName name="solver_rhs2" localSheetId="3" hidden="1">0.2</definedName>
    <definedName name="solver_rlx" localSheetId="5" hidden="1">1</definedName>
    <definedName name="solver_rlx" localSheetId="7" hidden="1">1</definedName>
    <definedName name="solver_rlx" localSheetId="1" hidden="1">1</definedName>
    <definedName name="solver_rlx" localSheetId="3" hidden="1">1</definedName>
    <definedName name="solver_rsd" localSheetId="5" hidden="1">0</definedName>
    <definedName name="solver_rsd" localSheetId="7" hidden="1">0</definedName>
    <definedName name="solver_rsd" localSheetId="1" hidden="1">0</definedName>
    <definedName name="solver_rsd" localSheetId="3" hidden="1">0</definedName>
    <definedName name="solver_scl" localSheetId="5" hidden="1">2</definedName>
    <definedName name="solver_scl" localSheetId="7" hidden="1">2</definedName>
    <definedName name="solver_scl" localSheetId="1" hidden="1">2</definedName>
    <definedName name="solver_scl" localSheetId="3" hidden="1">2</definedName>
    <definedName name="solver_sho" localSheetId="5" hidden="1">2</definedName>
    <definedName name="solver_sho" localSheetId="7" hidden="1">2</definedName>
    <definedName name="solver_sho" localSheetId="1" hidden="1">2</definedName>
    <definedName name="solver_sho" localSheetId="3" hidden="1">2</definedName>
    <definedName name="solver_ssz" localSheetId="5" hidden="1">100</definedName>
    <definedName name="solver_ssz" localSheetId="7" hidden="1">100</definedName>
    <definedName name="solver_ssz" localSheetId="1" hidden="1">100</definedName>
    <definedName name="solver_ssz" localSheetId="3" hidden="1">100</definedName>
    <definedName name="solver_tim" localSheetId="5" hidden="1">100</definedName>
    <definedName name="solver_tim" localSheetId="7" hidden="1">100</definedName>
    <definedName name="solver_tim" localSheetId="1" hidden="1">100</definedName>
    <definedName name="solver_tim" localSheetId="3" hidden="1">100</definedName>
    <definedName name="solver_tmp" localSheetId="5" hidden="1">0.2</definedName>
    <definedName name="solver_tmp" localSheetId="7" hidden="1">0.2</definedName>
    <definedName name="solver_tmp" localSheetId="1" hidden="1">0.2</definedName>
    <definedName name="solver_tmp" localSheetId="3" hidden="1">0.2</definedName>
    <definedName name="solver_tol" localSheetId="5" hidden="1">0.01</definedName>
    <definedName name="solver_tol" localSheetId="7" hidden="1">0.01</definedName>
    <definedName name="solver_tol" localSheetId="1" hidden="1">0.01</definedName>
    <definedName name="solver_tol" localSheetId="3" hidden="1">0.01</definedName>
    <definedName name="solver_typ" localSheetId="5" hidden="1">1</definedName>
    <definedName name="solver_typ" localSheetId="7" hidden="1">1</definedName>
    <definedName name="solver_typ" localSheetId="1" hidden="1">2</definedName>
    <definedName name="solver_typ" localSheetId="3" hidden="1">2</definedName>
    <definedName name="solver_val" localSheetId="5" hidden="1">0</definedName>
    <definedName name="solver_val" localSheetId="7" hidden="1">0</definedName>
    <definedName name="solver_val" localSheetId="1" hidden="1">0</definedName>
    <definedName name="solver_val" localSheetId="3" hidden="1">0</definedName>
    <definedName name="solver_ver" localSheetId="5" hidden="1">3</definedName>
    <definedName name="solver_ver" localSheetId="7" hidden="1">3</definedName>
    <definedName name="solver_ver" localSheetId="1" hidden="1">3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6" l="1"/>
  <c r="H15" i="6" a="1"/>
  <c r="H15" i="6" s="1"/>
  <c r="G15" i="6" a="1"/>
  <c r="G15" i="6" s="1"/>
  <c r="H10" i="6" a="1"/>
  <c r="H10" i="6" s="1"/>
  <c r="H5" i="6"/>
  <c r="B16" i="10"/>
  <c r="H16" i="10" a="1"/>
  <c r="H16" i="10"/>
  <c r="I11" i="10" a="1"/>
  <c r="I11" i="10"/>
  <c r="G10" i="6" a="1"/>
  <c r="G10" i="6" s="1"/>
  <c r="J12" i="12"/>
  <c r="I8" i="10"/>
  <c r="I7" i="10"/>
  <c r="I6" i="10"/>
  <c r="I5" i="10"/>
  <c r="B17" i="10"/>
  <c r="C17" i="10"/>
  <c r="D17" i="10"/>
  <c r="E17" i="10"/>
  <c r="B18" i="10"/>
  <c r="C18" i="10"/>
  <c r="D18" i="10"/>
  <c r="E18" i="10"/>
  <c r="B19" i="10"/>
  <c r="C19" i="10"/>
  <c r="D19" i="10"/>
  <c r="E19" i="10"/>
  <c r="B20" i="10"/>
  <c r="C20" i="10"/>
  <c r="D20" i="10"/>
  <c r="E20" i="10"/>
  <c r="B21" i="10"/>
  <c r="C21" i="10"/>
  <c r="D21" i="10"/>
  <c r="E21" i="10"/>
  <c r="B22" i="10"/>
  <c r="C22" i="10"/>
  <c r="D22" i="10"/>
  <c r="E22" i="10"/>
  <c r="B23" i="10"/>
  <c r="C23" i="10"/>
  <c r="D23" i="10"/>
  <c r="E23" i="10"/>
  <c r="B24" i="10"/>
  <c r="C24" i="10"/>
  <c r="D24" i="10"/>
  <c r="E24" i="10"/>
  <c r="B25" i="10"/>
  <c r="C25" i="10"/>
  <c r="D25" i="10"/>
  <c r="E25" i="10"/>
  <c r="B26" i="10"/>
  <c r="C26" i="10"/>
  <c r="D26" i="10"/>
  <c r="E26" i="10"/>
  <c r="B27" i="10"/>
  <c r="C27" i="10"/>
  <c r="D27" i="10"/>
  <c r="E27" i="10"/>
  <c r="B28" i="10"/>
  <c r="C28" i="10"/>
  <c r="D28" i="10"/>
  <c r="E28" i="10"/>
  <c r="B29" i="10"/>
  <c r="C29" i="10"/>
  <c r="D29" i="10"/>
  <c r="E29" i="10"/>
  <c r="B30" i="10"/>
  <c r="C30" i="10"/>
  <c r="D30" i="10"/>
  <c r="E30" i="10"/>
  <c r="B31" i="10"/>
  <c r="C31" i="10"/>
  <c r="D31" i="10"/>
  <c r="E31" i="10"/>
  <c r="B32" i="10"/>
  <c r="C32" i="10"/>
  <c r="D32" i="10"/>
  <c r="E32" i="10"/>
  <c r="B33" i="10"/>
  <c r="C33" i="10"/>
  <c r="D33" i="10"/>
  <c r="E33" i="10"/>
  <c r="B34" i="10"/>
  <c r="C34" i="10"/>
  <c r="D34" i="10"/>
  <c r="E34" i="10"/>
  <c r="B35" i="10"/>
  <c r="C35" i="10"/>
  <c r="D35" i="10"/>
  <c r="E35" i="10"/>
  <c r="B36" i="10"/>
  <c r="C36" i="10"/>
  <c r="D36" i="10"/>
  <c r="E36" i="10"/>
  <c r="B37" i="10"/>
  <c r="C37" i="10"/>
  <c r="D37" i="10"/>
  <c r="E37" i="10"/>
  <c r="B38" i="10"/>
  <c r="C38" i="10"/>
  <c r="D38" i="10"/>
  <c r="E38" i="10"/>
  <c r="B39" i="10"/>
  <c r="C39" i="10"/>
  <c r="D39" i="10"/>
  <c r="E39" i="10"/>
  <c r="B40" i="10"/>
  <c r="C40" i="10"/>
  <c r="D40" i="10"/>
  <c r="E40" i="10"/>
  <c r="B41" i="10"/>
  <c r="C41" i="10"/>
  <c r="D41" i="10"/>
  <c r="E41" i="10"/>
  <c r="E16" i="10"/>
  <c r="D16" i="10"/>
  <c r="C16" i="10"/>
  <c r="I12" i="10" a="1"/>
  <c r="I12" i="10" s="1"/>
  <c r="J12" i="10" s="1"/>
  <c r="H12" i="10" a="1"/>
  <c r="H12" i="10" s="1"/>
  <c r="J11" i="10"/>
  <c r="H11" i="10" a="1"/>
  <c r="H11" i="10" s="1"/>
  <c r="B16" i="8"/>
  <c r="C16" i="8"/>
  <c r="G16" i="8" s="1" a="1"/>
  <c r="G16" i="8" s="1"/>
  <c r="D16" i="8"/>
  <c r="B17" i="8"/>
  <c r="C17" i="8"/>
  <c r="D17" i="8"/>
  <c r="B18" i="8"/>
  <c r="G18" i="8" s="1" a="1"/>
  <c r="G18" i="8" s="1"/>
  <c r="C18" i="8"/>
  <c r="D18" i="8"/>
  <c r="B19" i="8"/>
  <c r="C19" i="8"/>
  <c r="D19" i="8"/>
  <c r="G19" i="8" s="1" a="1"/>
  <c r="G19" i="8" s="1"/>
  <c r="B20" i="8"/>
  <c r="C20" i="8"/>
  <c r="G20" i="8" s="1" a="1"/>
  <c r="G20" i="8" s="1"/>
  <c r="D20" i="8"/>
  <c r="B21" i="8"/>
  <c r="C21" i="8"/>
  <c r="D21" i="8"/>
  <c r="B22" i="8"/>
  <c r="C22" i="8"/>
  <c r="H22" i="8" s="1" a="1"/>
  <c r="H22" i="8" s="1"/>
  <c r="I22" i="8" s="1"/>
  <c r="D22" i="8"/>
  <c r="B23" i="8"/>
  <c r="C23" i="8"/>
  <c r="D23" i="8"/>
  <c r="H23" i="8" s="1" a="1"/>
  <c r="H23" i="8" s="1"/>
  <c r="I23" i="8" s="1"/>
  <c r="B24" i="8"/>
  <c r="H24" i="8" s="1" a="1"/>
  <c r="H24" i="8" s="1"/>
  <c r="I24" i="8" s="1"/>
  <c r="C24" i="8"/>
  <c r="D24" i="8"/>
  <c r="B25" i="8"/>
  <c r="C25" i="8"/>
  <c r="D25" i="8"/>
  <c r="B26" i="8"/>
  <c r="C26" i="8"/>
  <c r="H26" i="8" s="1" a="1"/>
  <c r="H26" i="8" s="1"/>
  <c r="I26" i="8" s="1"/>
  <c r="D26" i="8"/>
  <c r="B27" i="8"/>
  <c r="G27" i="8" s="1" a="1"/>
  <c r="G27" i="8" s="1"/>
  <c r="C27" i="8"/>
  <c r="D27" i="8"/>
  <c r="B28" i="8"/>
  <c r="H28" i="8" s="1" a="1"/>
  <c r="H28" i="8" s="1"/>
  <c r="I28" i="8" s="1"/>
  <c r="C28" i="8"/>
  <c r="D28" i="8"/>
  <c r="B29" i="8"/>
  <c r="C29" i="8"/>
  <c r="D29" i="8"/>
  <c r="B30" i="8"/>
  <c r="C30" i="8"/>
  <c r="H30" i="8" s="1" a="1"/>
  <c r="H30" i="8" s="1"/>
  <c r="I30" i="8" s="1"/>
  <c r="D30" i="8"/>
  <c r="B31" i="8"/>
  <c r="C31" i="8"/>
  <c r="D31" i="8"/>
  <c r="G31" i="8" s="1" a="1"/>
  <c r="G31" i="8" s="1"/>
  <c r="B32" i="8"/>
  <c r="C32" i="8"/>
  <c r="G32" i="8" s="1" a="1"/>
  <c r="G32" i="8" s="1"/>
  <c r="D32" i="8"/>
  <c r="B33" i="8"/>
  <c r="C33" i="8"/>
  <c r="D33" i="8"/>
  <c r="B34" i="8"/>
  <c r="C34" i="8"/>
  <c r="G34" i="8" s="1" a="1"/>
  <c r="G34" i="8" s="1"/>
  <c r="D34" i="8"/>
  <c r="B35" i="8"/>
  <c r="C35" i="8"/>
  <c r="D35" i="8"/>
  <c r="G35" i="8" s="1" a="1"/>
  <c r="G35" i="8" s="1"/>
  <c r="B36" i="8"/>
  <c r="C36" i="8"/>
  <c r="H36" i="8" s="1" a="1"/>
  <c r="H36" i="8" s="1"/>
  <c r="I36" i="8" s="1"/>
  <c r="D36" i="8"/>
  <c r="B37" i="8"/>
  <c r="C37" i="8"/>
  <c r="D37" i="8"/>
  <c r="B38" i="8"/>
  <c r="C38" i="8"/>
  <c r="H38" i="8" s="1" a="1"/>
  <c r="H38" i="8" s="1"/>
  <c r="I38" i="8" s="1"/>
  <c r="D38" i="8"/>
  <c r="B39" i="8"/>
  <c r="C39" i="8"/>
  <c r="D39" i="8"/>
  <c r="G39" i="8" s="1" a="1"/>
  <c r="G39" i="8" s="1"/>
  <c r="B40" i="8"/>
  <c r="C40" i="8"/>
  <c r="G40" i="8" s="1" a="1"/>
  <c r="G40" i="8" s="1"/>
  <c r="D40" i="8"/>
  <c r="B41" i="8"/>
  <c r="C41" i="8"/>
  <c r="D41" i="8"/>
  <c r="B42" i="8"/>
  <c r="C42" i="8"/>
  <c r="H42" i="8" s="1" a="1"/>
  <c r="H42" i="8" s="1"/>
  <c r="I42" i="8" s="1"/>
  <c r="D42" i="8"/>
  <c r="B43" i="8"/>
  <c r="C43" i="8"/>
  <c r="D43" i="8"/>
  <c r="G43" i="8" s="1" a="1"/>
  <c r="G43" i="8" s="1"/>
  <c r="B44" i="8"/>
  <c r="C44" i="8"/>
  <c r="G44" i="8" s="1" a="1"/>
  <c r="G44" i="8" s="1"/>
  <c r="D44" i="8"/>
  <c r="B45" i="8"/>
  <c r="C45" i="8"/>
  <c r="D45" i="8"/>
  <c r="B46" i="8"/>
  <c r="C46" i="8"/>
  <c r="G46" i="8" s="1" a="1"/>
  <c r="G46" i="8" s="1"/>
  <c r="D46" i="8"/>
  <c r="B47" i="8"/>
  <c r="C47" i="8"/>
  <c r="D47" i="8"/>
  <c r="G47" i="8" s="1" a="1"/>
  <c r="G47" i="8" s="1"/>
  <c r="B48" i="8"/>
  <c r="C48" i="8"/>
  <c r="G48" i="8" s="1" a="1"/>
  <c r="G48" i="8" s="1"/>
  <c r="D48" i="8"/>
  <c r="B49" i="8"/>
  <c r="C49" i="8"/>
  <c r="D49" i="8"/>
  <c r="B50" i="8"/>
  <c r="C50" i="8"/>
  <c r="G50" i="8" s="1" a="1"/>
  <c r="G50" i="8" s="1"/>
  <c r="D50" i="8"/>
  <c r="D15" i="8"/>
  <c r="C15" i="8"/>
  <c r="B15" i="8"/>
  <c r="H16" i="8" a="1"/>
  <c r="H16" i="8" s="1"/>
  <c r="I16" i="8" s="1"/>
  <c r="G17" i="8" a="1"/>
  <c r="G17" i="8" s="1"/>
  <c r="H17" i="8" a="1"/>
  <c r="H17" i="8" s="1"/>
  <c r="I17" i="8" s="1"/>
  <c r="H18" i="8" a="1"/>
  <c r="H18" i="8" s="1"/>
  <c r="I18" i="8" s="1"/>
  <c r="H20" i="8" a="1"/>
  <c r="H20" i="8" s="1"/>
  <c r="I20" i="8" s="1"/>
  <c r="G21" i="8" a="1"/>
  <c r="G21" i="8" s="1"/>
  <c r="H21" i="8" a="1"/>
  <c r="H21" i="8" s="1"/>
  <c r="I21" i="8" s="1"/>
  <c r="G22" i="8" a="1"/>
  <c r="G22" i="8" s="1"/>
  <c r="G24" i="8" a="1"/>
  <c r="G24" i="8" s="1"/>
  <c r="G25" i="8" a="1"/>
  <c r="G25" i="8"/>
  <c r="H25" i="8" a="1"/>
  <c r="H25" i="8" s="1"/>
  <c r="I25" i="8" s="1"/>
  <c r="G26" i="8" a="1"/>
  <c r="G26" i="8" s="1"/>
  <c r="G28" i="8" a="1"/>
  <c r="G28" i="8" s="1"/>
  <c r="G29" i="8" a="1"/>
  <c r="G29" i="8" s="1"/>
  <c r="H29" i="8" a="1"/>
  <c r="H29" i="8" s="1"/>
  <c r="I29" i="8" s="1"/>
  <c r="G30" i="8" a="1"/>
  <c r="G30" i="8" s="1"/>
  <c r="H32" i="8" a="1"/>
  <c r="H32" i="8" s="1"/>
  <c r="I32" i="8" s="1"/>
  <c r="G33" i="8" a="1"/>
  <c r="G33" i="8" s="1"/>
  <c r="H33" i="8" a="1"/>
  <c r="H33" i="8" s="1"/>
  <c r="I33" i="8" s="1"/>
  <c r="G37" i="8" a="1"/>
  <c r="G37" i="8"/>
  <c r="H37" i="8" a="1"/>
  <c r="H37" i="8"/>
  <c r="I37" i="8"/>
  <c r="G38" i="8" a="1"/>
  <c r="G38" i="8" s="1"/>
  <c r="G41" i="8" a="1"/>
  <c r="G41" i="8"/>
  <c r="H41" i="8" a="1"/>
  <c r="H41" i="8" s="1"/>
  <c r="I41" i="8" s="1"/>
  <c r="H44" i="8" a="1"/>
  <c r="H44" i="8" s="1"/>
  <c r="I44" i="8" s="1"/>
  <c r="G45" i="8" a="1"/>
  <c r="G45" i="8" s="1"/>
  <c r="H45" i="8" a="1"/>
  <c r="H45" i="8" s="1"/>
  <c r="I45" i="8" s="1"/>
  <c r="H46" i="8" a="1"/>
  <c r="H46" i="8" s="1"/>
  <c r="I46" i="8" s="1"/>
  <c r="H48" i="8" a="1"/>
  <c r="H48" i="8" s="1"/>
  <c r="I48" i="8" s="1"/>
  <c r="G49" i="8" a="1"/>
  <c r="G49" i="8" s="1"/>
  <c r="H49" i="8" a="1"/>
  <c r="H49" i="8" s="1"/>
  <c r="I49" i="8" s="1"/>
  <c r="H15" i="8" a="1"/>
  <c r="H15" i="8" s="1"/>
  <c r="I15" i="8" s="1"/>
  <c r="G15" i="8" a="1"/>
  <c r="G15" i="8" s="1"/>
  <c r="G11" i="8" a="1"/>
  <c r="G11" i="8" s="1"/>
  <c r="H11" i="8" a="1"/>
  <c r="H11" i="8" s="1"/>
  <c r="I11" i="8" s="1"/>
  <c r="H10" i="8" a="1"/>
  <c r="H10" i="8" s="1"/>
  <c r="I10" i="8" s="1"/>
  <c r="G10" i="8" a="1"/>
  <c r="G10" i="8" s="1"/>
  <c r="H7" i="8"/>
  <c r="H6" i="8"/>
  <c r="H5" i="8"/>
  <c r="B16" i="12"/>
  <c r="B17" i="12"/>
  <c r="C17" i="12"/>
  <c r="I17" i="12" s="1" a="1"/>
  <c r="I17" i="12" s="1"/>
  <c r="J17" i="12" s="1"/>
  <c r="D17" i="12"/>
  <c r="E17" i="12"/>
  <c r="H17" i="12" s="1" a="1"/>
  <c r="H17" i="12" s="1"/>
  <c r="B18" i="12"/>
  <c r="C18" i="12"/>
  <c r="D18" i="12"/>
  <c r="E18" i="12"/>
  <c r="H18" i="12" s="1" a="1"/>
  <c r="H18" i="12" s="1"/>
  <c r="B19" i="12"/>
  <c r="H19" i="12" s="1" a="1"/>
  <c r="H19" i="12" s="1"/>
  <c r="C19" i="12"/>
  <c r="D19" i="12"/>
  <c r="E19" i="12"/>
  <c r="B20" i="12"/>
  <c r="C20" i="12"/>
  <c r="I20" i="12" s="1" a="1"/>
  <c r="I20" i="12" s="1"/>
  <c r="J20" i="12" s="1"/>
  <c r="D20" i="12"/>
  <c r="E20" i="12"/>
  <c r="B21" i="12"/>
  <c r="C21" i="12"/>
  <c r="D21" i="12"/>
  <c r="E21" i="12"/>
  <c r="B22" i="12"/>
  <c r="I22" i="12" s="1" a="1"/>
  <c r="I22" i="12" s="1"/>
  <c r="J22" i="12" s="1"/>
  <c r="C22" i="12"/>
  <c r="D22" i="12"/>
  <c r="E22" i="12"/>
  <c r="B23" i="12"/>
  <c r="C23" i="12"/>
  <c r="H23" i="12" s="1" a="1"/>
  <c r="H23" i="12" s="1"/>
  <c r="D23" i="12"/>
  <c r="E23" i="12"/>
  <c r="I23" i="12" s="1" a="1"/>
  <c r="I23" i="12" s="1"/>
  <c r="J23" i="12" s="1"/>
  <c r="B24" i="12"/>
  <c r="C24" i="12"/>
  <c r="D24" i="12"/>
  <c r="E24" i="12"/>
  <c r="H24" i="12" s="1" a="1"/>
  <c r="H24" i="12" s="1"/>
  <c r="B25" i="12"/>
  <c r="I25" i="12" s="1" a="1"/>
  <c r="I25" i="12" s="1"/>
  <c r="J25" i="12" s="1"/>
  <c r="C25" i="12"/>
  <c r="H25" i="12" s="1" a="1"/>
  <c r="H25" i="12" s="1"/>
  <c r="D25" i="12"/>
  <c r="E25" i="12"/>
  <c r="B26" i="12"/>
  <c r="C26" i="12"/>
  <c r="D26" i="12"/>
  <c r="H26" i="12" s="1" a="1"/>
  <c r="H26" i="12" s="1"/>
  <c r="E26" i="12"/>
  <c r="I26" i="12" s="1" a="1"/>
  <c r="I26" i="12" s="1"/>
  <c r="J26" i="12" s="1"/>
  <c r="B27" i="12"/>
  <c r="C27" i="12"/>
  <c r="D27" i="12"/>
  <c r="E27" i="12"/>
  <c r="B28" i="12"/>
  <c r="C28" i="12"/>
  <c r="H28" i="12" s="1" a="1"/>
  <c r="H28" i="12" s="1"/>
  <c r="D28" i="12"/>
  <c r="E28" i="12"/>
  <c r="B29" i="12"/>
  <c r="C29" i="12"/>
  <c r="H29" i="12" s="1" a="1"/>
  <c r="H29" i="12" s="1"/>
  <c r="D29" i="12"/>
  <c r="E29" i="12"/>
  <c r="B30" i="12"/>
  <c r="C30" i="12"/>
  <c r="D30" i="12"/>
  <c r="E30" i="12"/>
  <c r="B31" i="12"/>
  <c r="H31" i="12" s="1" a="1"/>
  <c r="H31" i="12" s="1"/>
  <c r="C31" i="12"/>
  <c r="I31" i="12" s="1" a="1"/>
  <c r="I31" i="12" s="1"/>
  <c r="J31" i="12" s="1"/>
  <c r="D31" i="12"/>
  <c r="E31" i="12"/>
  <c r="B32" i="12"/>
  <c r="C32" i="12"/>
  <c r="H32" i="12" s="1" a="1"/>
  <c r="H32" i="12" s="1"/>
  <c r="D32" i="12"/>
  <c r="E32" i="12"/>
  <c r="B33" i="12"/>
  <c r="C33" i="12"/>
  <c r="D33" i="12"/>
  <c r="E33" i="12"/>
  <c r="B34" i="12"/>
  <c r="C34" i="12"/>
  <c r="I34" i="12" s="1" a="1"/>
  <c r="I34" i="12" s="1"/>
  <c r="J34" i="12" s="1"/>
  <c r="D34" i="12"/>
  <c r="E34" i="12"/>
  <c r="B35" i="12"/>
  <c r="C35" i="12"/>
  <c r="I35" i="12" s="1" a="1"/>
  <c r="I35" i="12" s="1"/>
  <c r="J35" i="12" s="1"/>
  <c r="D35" i="12"/>
  <c r="E35" i="12"/>
  <c r="H35" i="12" s="1" a="1"/>
  <c r="H35" i="12" s="1"/>
  <c r="B36" i="12"/>
  <c r="C36" i="12"/>
  <c r="D36" i="12"/>
  <c r="E36" i="12"/>
  <c r="H36" i="12" s="1" a="1"/>
  <c r="H36" i="12" s="1"/>
  <c r="B37" i="12"/>
  <c r="I37" i="12" s="1" a="1"/>
  <c r="I37" i="12" s="1"/>
  <c r="J37" i="12" s="1"/>
  <c r="C37" i="12"/>
  <c r="D37" i="12"/>
  <c r="E37" i="12"/>
  <c r="B38" i="12"/>
  <c r="C38" i="12"/>
  <c r="I38" i="12" s="1" a="1"/>
  <c r="I38" i="12" s="1"/>
  <c r="J38" i="12" s="1"/>
  <c r="D38" i="12"/>
  <c r="E38" i="12"/>
  <c r="B39" i="12"/>
  <c r="C39" i="12"/>
  <c r="D39" i="12"/>
  <c r="E39" i="12"/>
  <c r="H39" i="12" s="1" a="1"/>
  <c r="H39" i="12" s="1"/>
  <c r="B40" i="12"/>
  <c r="C40" i="12"/>
  <c r="I40" i="12" s="1" a="1"/>
  <c r="I40" i="12" s="1"/>
  <c r="J40" i="12" s="1"/>
  <c r="D40" i="12"/>
  <c r="E40" i="12"/>
  <c r="B41" i="12"/>
  <c r="C41" i="12"/>
  <c r="H41" i="12" s="1" a="1"/>
  <c r="H41" i="12" s="1"/>
  <c r="D41" i="12"/>
  <c r="E41" i="12"/>
  <c r="I41" i="12" s="1" a="1"/>
  <c r="I41" i="12" s="1"/>
  <c r="J41" i="12" s="1"/>
  <c r="B42" i="12"/>
  <c r="C42" i="12"/>
  <c r="D42" i="12"/>
  <c r="E42" i="12"/>
  <c r="H42" i="12" s="1" a="1"/>
  <c r="H42" i="12" s="1"/>
  <c r="B43" i="12"/>
  <c r="I43" i="12" s="1" a="1"/>
  <c r="I43" i="12" s="1"/>
  <c r="J43" i="12" s="1"/>
  <c r="C43" i="12"/>
  <c r="H43" i="12" s="1" a="1"/>
  <c r="H43" i="12" s="1"/>
  <c r="D43" i="12"/>
  <c r="E43" i="12"/>
  <c r="B44" i="12"/>
  <c r="C44" i="12"/>
  <c r="D44" i="12"/>
  <c r="E44" i="12"/>
  <c r="H44" i="12" s="1" a="1"/>
  <c r="H44" i="12" s="1"/>
  <c r="C16" i="12"/>
  <c r="I16" i="12" s="1" a="1"/>
  <c r="I16" i="12" s="1"/>
  <c r="J16" i="12" s="1"/>
  <c r="D16" i="12"/>
  <c r="E16" i="12"/>
  <c r="I18" i="12" a="1"/>
  <c r="I18" i="12" s="1"/>
  <c r="J18" i="12" s="1"/>
  <c r="H20" i="12" a="1"/>
  <c r="H20" i="12" s="1"/>
  <c r="H21" i="12" a="1"/>
  <c r="H21" i="12" s="1"/>
  <c r="I21" i="12" a="1"/>
  <c r="I21" i="12" s="1"/>
  <c r="J21" i="12" s="1"/>
  <c r="H22" i="12" a="1"/>
  <c r="H22" i="12" s="1"/>
  <c r="I24" i="12" a="1"/>
  <c r="I24" i="12" s="1"/>
  <c r="J24" i="12" s="1"/>
  <c r="H27" i="12" a="1"/>
  <c r="H27" i="12" s="1"/>
  <c r="I27" i="12" a="1"/>
  <c r="I27" i="12" s="1"/>
  <c r="J27" i="12" s="1"/>
  <c r="I28" i="12" a="1"/>
  <c r="I28" i="12" s="1"/>
  <c r="J28" i="12" s="1"/>
  <c r="H30" i="12" a="1"/>
  <c r="H30" i="12" s="1"/>
  <c r="I30" i="12" a="1"/>
  <c r="I30" i="12" s="1"/>
  <c r="J30" i="12" s="1"/>
  <c r="H33" i="12" a="1"/>
  <c r="H33" i="12"/>
  <c r="I33" i="12" a="1"/>
  <c r="I33" i="12" s="1"/>
  <c r="J33" i="12" s="1"/>
  <c r="I36" i="12" a="1"/>
  <c r="I36" i="12"/>
  <c r="J36" i="12"/>
  <c r="H38" i="12" a="1"/>
  <c r="H38" i="12" s="1"/>
  <c r="I39" i="12" a="1"/>
  <c r="I39" i="12"/>
  <c r="J39" i="12" s="1"/>
  <c r="H40" i="12" a="1"/>
  <c r="H40" i="12" s="1"/>
  <c r="H12" i="12" a="1"/>
  <c r="H12" i="12" s="1"/>
  <c r="I12" i="12" a="1"/>
  <c r="I12" i="12" s="1"/>
  <c r="I11" i="12" a="1"/>
  <c r="I11" i="12" s="1"/>
  <c r="J11" i="12" s="1"/>
  <c r="H11" i="12" a="1"/>
  <c r="H11" i="12" s="1"/>
  <c r="I8" i="12"/>
  <c r="I7" i="12"/>
  <c r="I6" i="12"/>
  <c r="I5" i="12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C15" i="6"/>
  <c r="D15" i="6"/>
  <c r="G19" i="6" l="1" a="1"/>
  <c r="G19" i="6" s="1"/>
  <c r="G35" i="6" a="1"/>
  <c r="G35" i="6" s="1"/>
  <c r="G31" i="6" a="1"/>
  <c r="G31" i="6" s="1"/>
  <c r="H23" i="6" a="1"/>
  <c r="H23" i="6" s="1"/>
  <c r="I23" i="6" s="1"/>
  <c r="G27" i="6" a="1"/>
  <c r="G27" i="6" s="1"/>
  <c r="G20" i="6" a="1"/>
  <c r="G20" i="6" s="1"/>
  <c r="G21" i="6" a="1"/>
  <c r="G21" i="6" s="1"/>
  <c r="H34" i="6" a="1"/>
  <c r="H34" i="6" s="1"/>
  <c r="I34" i="6" s="1"/>
  <c r="G28" i="6" a="1"/>
  <c r="G28" i="6" s="1"/>
  <c r="G24" i="6" a="1"/>
  <c r="G24" i="6" s="1"/>
  <c r="H32" i="6" a="1"/>
  <c r="H32" i="6" s="1"/>
  <c r="I32" i="6" s="1"/>
  <c r="G32" i="6" a="1"/>
  <c r="G32" i="6" s="1"/>
  <c r="H28" i="6" a="1"/>
  <c r="H28" i="6" s="1"/>
  <c r="I28" i="6" s="1"/>
  <c r="G34" i="6" a="1"/>
  <c r="G34" i="6" s="1"/>
  <c r="H26" i="6" a="1"/>
  <c r="H26" i="6" s="1"/>
  <c r="I26" i="6" s="1"/>
  <c r="H24" i="6" a="1"/>
  <c r="H24" i="6" s="1"/>
  <c r="I24" i="6" s="1"/>
  <c r="G30" i="6" a="1"/>
  <c r="G30" i="6" s="1"/>
  <c r="H22" i="6" a="1"/>
  <c r="H22" i="6" s="1"/>
  <c r="I22" i="6" s="1"/>
  <c r="H18" i="6" a="1"/>
  <c r="H18" i="6" s="1"/>
  <c r="I18" i="6" s="1"/>
  <c r="G29" i="6" a="1"/>
  <c r="G29" i="6" s="1"/>
  <c r="G17" i="6" a="1"/>
  <c r="G17" i="6" s="1"/>
  <c r="H33" i="6" a="1"/>
  <c r="H33" i="6" s="1"/>
  <c r="I33" i="6" s="1"/>
  <c r="G25" i="6" a="1"/>
  <c r="G25" i="6" s="1"/>
  <c r="I15" i="6"/>
  <c r="H21" i="6" a="1"/>
  <c r="H21" i="6" s="1"/>
  <c r="I21" i="6" s="1"/>
  <c r="G16" i="6" a="1"/>
  <c r="G16" i="6" s="1"/>
  <c r="G22" i="6" a="1"/>
  <c r="G22" i="6" s="1"/>
  <c r="H35" i="6" a="1"/>
  <c r="H35" i="6" s="1"/>
  <c r="I35" i="6" s="1"/>
  <c r="H17" i="6" a="1"/>
  <c r="H17" i="6" s="1"/>
  <c r="I17" i="6" s="1"/>
  <c r="H31" i="6" a="1"/>
  <c r="H31" i="6" s="1"/>
  <c r="I31" i="6" s="1"/>
  <c r="H27" i="6" a="1"/>
  <c r="H27" i="6" s="1"/>
  <c r="I27" i="6" s="1"/>
  <c r="G26" i="6" a="1"/>
  <c r="G26" i="6" s="1"/>
  <c r="G18" i="6" a="1"/>
  <c r="G18" i="6" s="1"/>
  <c r="G33" i="6" a="1"/>
  <c r="G33" i="6" s="1"/>
  <c r="H25" i="6" a="1"/>
  <c r="H25" i="6" s="1"/>
  <c r="I25" i="6" s="1"/>
  <c r="H29" i="6" a="1"/>
  <c r="H29" i="6" s="1"/>
  <c r="I29" i="6" s="1"/>
  <c r="H16" i="6" a="1"/>
  <c r="H16" i="6" s="1"/>
  <c r="I16" i="6" s="1"/>
  <c r="H20" i="6" a="1"/>
  <c r="H20" i="6" s="1"/>
  <c r="I20" i="6" s="1"/>
  <c r="H19" i="6" a="1"/>
  <c r="H19" i="6" s="1"/>
  <c r="I19" i="6" s="1"/>
  <c r="G23" i="6" a="1"/>
  <c r="G23" i="6" s="1"/>
  <c r="H30" i="6" a="1"/>
  <c r="H30" i="6" s="1"/>
  <c r="I30" i="6" s="1"/>
  <c r="H26" i="10" a="1"/>
  <c r="H26" i="10" s="1"/>
  <c r="I23" i="10" a="1"/>
  <c r="I23" i="10" s="1"/>
  <c r="J23" i="10" s="1"/>
  <c r="H17" i="10" a="1"/>
  <c r="H17" i="10" s="1"/>
  <c r="I17" i="10" a="1"/>
  <c r="I17" i="10" s="1"/>
  <c r="J17" i="10" s="1"/>
  <c r="H30" i="10" a="1"/>
  <c r="H30" i="10" s="1"/>
  <c r="I38" i="10" a="1"/>
  <c r="I38" i="10" s="1"/>
  <c r="J38" i="10" s="1"/>
  <c r="I30" i="10" a="1"/>
  <c r="I30" i="10" s="1"/>
  <c r="J30" i="10" s="1"/>
  <c r="I21" i="10" a="1"/>
  <c r="I21" i="10" s="1"/>
  <c r="J21" i="10" s="1"/>
  <c r="H38" i="10" a="1"/>
  <c r="H38" i="10" s="1"/>
  <c r="I26" i="10" a="1"/>
  <c r="I26" i="10" s="1"/>
  <c r="J26" i="10" s="1"/>
  <c r="I36" i="10" a="1"/>
  <c r="I36" i="10" s="1"/>
  <c r="J36" i="10" s="1"/>
  <c r="I41" i="10" a="1"/>
  <c r="I41" i="10" s="1"/>
  <c r="J41" i="10" s="1"/>
  <c r="H23" i="10" a="1"/>
  <c r="H23" i="10" s="1"/>
  <c r="I40" i="10" a="1"/>
  <c r="I40" i="10" s="1"/>
  <c r="J40" i="10" s="1"/>
  <c r="H37" i="10" a="1"/>
  <c r="H37" i="10" s="1"/>
  <c r="H34" i="10" a="1"/>
  <c r="H34" i="10" s="1"/>
  <c r="H31" i="10" a="1"/>
  <c r="H31" i="10" s="1"/>
  <c r="I28" i="10" a="1"/>
  <c r="I28" i="10" s="1"/>
  <c r="J28" i="10" s="1"/>
  <c r="H25" i="10" a="1"/>
  <c r="H25" i="10" s="1"/>
  <c r="H22" i="10" a="1"/>
  <c r="H22" i="10" s="1"/>
  <c r="I19" i="10" a="1"/>
  <c r="I19" i="10" s="1"/>
  <c r="J19" i="10" s="1"/>
  <c r="H36" i="10" a="1"/>
  <c r="H36" i="10" s="1"/>
  <c r="I33" i="10" a="1"/>
  <c r="I33" i="10" s="1"/>
  <c r="J33" i="10" s="1"/>
  <c r="I27" i="10" a="1"/>
  <c r="I27" i="10" s="1"/>
  <c r="J27" i="10" s="1"/>
  <c r="H24" i="10" a="1"/>
  <c r="H24" i="10" s="1"/>
  <c r="H21" i="10" a="1"/>
  <c r="H21" i="10" s="1"/>
  <c r="H18" i="10" a="1"/>
  <c r="H18" i="10" s="1"/>
  <c r="H39" i="10" a="1"/>
  <c r="H39" i="10" s="1"/>
  <c r="H33" i="10" a="1"/>
  <c r="H33" i="10" s="1"/>
  <c r="H41" i="10" a="1"/>
  <c r="H41" i="10" s="1"/>
  <c r="H35" i="10" a="1"/>
  <c r="H35" i="10" s="1"/>
  <c r="H32" i="10" a="1"/>
  <c r="H32" i="10" s="1"/>
  <c r="H29" i="10" a="1"/>
  <c r="H29" i="10" s="1"/>
  <c r="H20" i="10" a="1"/>
  <c r="H20" i="10" s="1"/>
  <c r="I29" i="10" a="1"/>
  <c r="I29" i="10" s="1"/>
  <c r="J29" i="10" s="1"/>
  <c r="I20" i="10" a="1"/>
  <c r="I20" i="10" s="1"/>
  <c r="J20" i="10" s="1"/>
  <c r="I18" i="10" a="1"/>
  <c r="I18" i="10" s="1"/>
  <c r="J18" i="10" s="1"/>
  <c r="I35" i="10" a="1"/>
  <c r="I35" i="10" s="1"/>
  <c r="J35" i="10" s="1"/>
  <c r="I16" i="10" a="1"/>
  <c r="I16" i="10" s="1"/>
  <c r="J16" i="10" s="1"/>
  <c r="H27" i="10" a="1"/>
  <c r="H27" i="10" s="1"/>
  <c r="I39" i="10" a="1"/>
  <c r="I39" i="10" s="1"/>
  <c r="J39" i="10" s="1"/>
  <c r="I32" i="10" a="1"/>
  <c r="I32" i="10" s="1"/>
  <c r="J32" i="10" s="1"/>
  <c r="I24" i="10" a="1"/>
  <c r="I24" i="10" s="1"/>
  <c r="J24" i="10" s="1"/>
  <c r="H40" i="10" a="1"/>
  <c r="H40" i="10" s="1"/>
  <c r="I31" i="10" a="1"/>
  <c r="I31" i="10" s="1"/>
  <c r="J31" i="10" s="1"/>
  <c r="H28" i="10" a="1"/>
  <c r="H28" i="10" s="1"/>
  <c r="I34" i="10" a="1"/>
  <c r="I34" i="10" s="1"/>
  <c r="J34" i="10" s="1"/>
  <c r="H19" i="10" a="1"/>
  <c r="H19" i="10" s="1"/>
  <c r="I22" i="10" a="1"/>
  <c r="I22" i="10" s="1"/>
  <c r="J22" i="10" s="1"/>
  <c r="I37" i="10" a="1"/>
  <c r="I37" i="10" s="1"/>
  <c r="J37" i="10" s="1"/>
  <c r="I25" i="10" a="1"/>
  <c r="I25" i="10" s="1"/>
  <c r="J25" i="10" s="1"/>
  <c r="G42" i="8" a="1"/>
  <c r="G42" i="8" s="1"/>
  <c r="G36" i="8" a="1"/>
  <c r="G36" i="8" s="1"/>
  <c r="G23" i="8" a="1"/>
  <c r="G23" i="8" s="1"/>
  <c r="H35" i="8" a="1"/>
  <c r="H35" i="8" s="1"/>
  <c r="I35" i="8" s="1"/>
  <c r="H19" i="8" a="1"/>
  <c r="H19" i="8" s="1"/>
  <c r="I19" i="8" s="1"/>
  <c r="H31" i="8" a="1"/>
  <c r="H31" i="8" s="1"/>
  <c r="I31" i="8" s="1"/>
  <c r="H34" i="8" a="1"/>
  <c r="H34" i="8" s="1"/>
  <c r="I34" i="8" s="1"/>
  <c r="H50" i="8" a="1"/>
  <c r="H50" i="8" s="1"/>
  <c r="I50" i="8" s="1"/>
  <c r="H47" i="8" a="1"/>
  <c r="H47" i="8" s="1"/>
  <c r="I47" i="8" s="1"/>
  <c r="H40" i="8" a="1"/>
  <c r="H40" i="8" s="1"/>
  <c r="I40" i="8" s="1"/>
  <c r="H27" i="8" a="1"/>
  <c r="H27" i="8" s="1"/>
  <c r="I27" i="8" s="1"/>
  <c r="H43" i="8" a="1"/>
  <c r="H43" i="8" s="1"/>
  <c r="I43" i="8" s="1"/>
  <c r="H39" i="8" a="1"/>
  <c r="H39" i="8" s="1"/>
  <c r="I39" i="8" s="1"/>
  <c r="H34" i="12" a="1"/>
  <c r="H34" i="12" s="1"/>
  <c r="H37" i="12" a="1"/>
  <c r="H37" i="12" s="1"/>
  <c r="I32" i="12" a="1"/>
  <c r="I32" i="12" s="1"/>
  <c r="J32" i="12" s="1"/>
  <c r="I29" i="12" a="1"/>
  <c r="I29" i="12" s="1"/>
  <c r="J29" i="12" s="1"/>
  <c r="I19" i="12" a="1"/>
  <c r="I19" i="12" s="1"/>
  <c r="J19" i="12" s="1"/>
  <c r="I42" i="12" a="1"/>
  <c r="I42" i="12" s="1"/>
  <c r="J42" i="12" s="1"/>
  <c r="I44" i="12" a="1"/>
  <c r="I44" i="12" s="1"/>
  <c r="J44" i="12" s="1"/>
  <c r="H16" i="12" a="1"/>
  <c r="H16" i="12" s="1"/>
  <c r="H11" i="6" l="1" a="1"/>
  <c r="H11" i="6" s="1"/>
  <c r="I11" i="6" s="1"/>
  <c r="I10" i="6"/>
  <c r="G11" i="6" a="1"/>
  <c r="G11" i="6" s="1"/>
  <c r="E10" i="6"/>
  <c r="H7" i="6"/>
  <c r="H6" i="6"/>
  <c r="F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F102" i="1"/>
  <c r="G102" i="1"/>
  <c r="H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F109" i="1"/>
  <c r="G109" i="1"/>
  <c r="H109" i="1"/>
  <c r="G9" i="1"/>
  <c r="H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9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0" i="1"/>
  <c r="B9" i="1"/>
  <c r="F42" i="12"/>
  <c r="F43" i="12"/>
  <c r="F44" i="12"/>
  <c r="C5" i="12"/>
  <c r="D5" i="12"/>
  <c r="E5" i="12"/>
  <c r="H5" i="12"/>
  <c r="C6" i="12"/>
  <c r="D6" i="12"/>
  <c r="E6" i="12"/>
  <c r="H6" i="12"/>
  <c r="C7" i="12"/>
  <c r="D7" i="12"/>
  <c r="E7" i="12"/>
  <c r="H7" i="12"/>
  <c r="H8" i="12"/>
  <c r="F11" i="12"/>
  <c r="F12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E15" i="6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C5" i="10"/>
  <c r="D5" i="10"/>
  <c r="E5" i="10"/>
  <c r="C6" i="10"/>
  <c r="D6" i="10"/>
  <c r="E6" i="10"/>
  <c r="C7" i="10"/>
  <c r="D7" i="10"/>
  <c r="E7" i="10"/>
  <c r="E7" i="8"/>
  <c r="D6" i="8"/>
  <c r="C5" i="8"/>
  <c r="G6" i="8"/>
  <c r="G7" i="8"/>
  <c r="G5" i="8"/>
  <c r="H6" i="10"/>
  <c r="H7" i="10"/>
  <c r="H8" i="10"/>
  <c r="H5" i="10"/>
  <c r="F12" i="10"/>
  <c r="F11" i="10"/>
  <c r="E46" i="8"/>
  <c r="D5" i="8"/>
  <c r="E5" i="8"/>
  <c r="C6" i="8"/>
  <c r="E6" i="8"/>
  <c r="C7" i="8"/>
  <c r="D7" i="8"/>
  <c r="E47" i="8"/>
  <c r="E48" i="8"/>
  <c r="E49" i="8"/>
  <c r="E50" i="8"/>
  <c r="E36" i="8"/>
  <c r="E37" i="8"/>
  <c r="E38" i="8"/>
  <c r="E39" i="8"/>
  <c r="E40" i="8"/>
  <c r="E41" i="8"/>
  <c r="E42" i="8"/>
  <c r="E43" i="8"/>
  <c r="E44" i="8"/>
  <c r="E45" i="8"/>
  <c r="E10" i="8"/>
  <c r="E11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C5" i="6"/>
  <c r="D5" i="6"/>
  <c r="E5" i="6"/>
  <c r="G5" i="6"/>
  <c r="C6" i="6"/>
  <c r="D6" i="6"/>
  <c r="E6" i="6"/>
  <c r="G6" i="6"/>
  <c r="C7" i="6"/>
  <c r="D7" i="6"/>
  <c r="E7" i="6"/>
  <c r="G7" i="6"/>
  <c r="E11" i="6"/>
  <c r="A16" i="6"/>
  <c r="A17" i="6" s="1"/>
  <c r="A18" i="6" s="1"/>
  <c r="A19" i="6" s="1"/>
  <c r="E16" i="6"/>
  <c r="E17" i="6"/>
  <c r="E18" i="6"/>
  <c r="E19" i="6"/>
  <c r="E20" i="6"/>
  <c r="A21" i="6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<sst xmlns="http://schemas.openxmlformats.org/spreadsheetml/2006/main" count="131" uniqueCount="36">
  <si>
    <t>Possible portfolios in the case of two assets</t>
  </si>
  <si>
    <t>Assets</t>
  </si>
  <si>
    <t>return</t>
  </si>
  <si>
    <t>st.dev.</t>
  </si>
  <si>
    <t>A</t>
  </si>
  <si>
    <t>B</t>
  </si>
  <si>
    <t>correlation</t>
  </si>
  <si>
    <t>weight A</t>
  </si>
  <si>
    <t>weight B</t>
  </si>
  <si>
    <t>Cell(F9)=SQRT($A9^2*$C$4^2+$B9^2*$C$5^2+2*$A9*$B9*$C$4*$C$5*F$7)</t>
  </si>
  <si>
    <t>Frontier portfolios in the case of three risky assets.</t>
  </si>
  <si>
    <t>Mszorzat=MMULT</t>
  </si>
  <si>
    <t>Transzponálás = TRANSPOSE</t>
  </si>
  <si>
    <t>Covariance matrix</t>
  </si>
  <si>
    <t>st.dev</t>
  </si>
  <si>
    <t>C</t>
  </si>
  <si>
    <t>weight C</t>
  </si>
  <si>
    <t>Sum</t>
  </si>
  <si>
    <t>variance</t>
  </si>
  <si>
    <t>Frontier I.</t>
  </si>
  <si>
    <t>Ctrl+Shift+Enter</t>
  </si>
  <si>
    <t>Solver: File/Options/Add-ins/Go…</t>
  </si>
  <si>
    <t>Frontier II.</t>
  </si>
  <si>
    <t>Data/Solver</t>
  </si>
  <si>
    <t>weight of Frontier I.</t>
  </si>
  <si>
    <t>Frontier portfolios in the case of three risky assets and the risk free investment</t>
  </si>
  <si>
    <t>Return</t>
  </si>
  <si>
    <t>F</t>
  </si>
  <si>
    <t>weight F</t>
  </si>
  <si>
    <t>MINIMIZE</t>
  </si>
  <si>
    <t>Efficient portfolios in case of three risky assets</t>
  </si>
  <si>
    <t>Efficient I.</t>
  </si>
  <si>
    <t>Efficient II.</t>
  </si>
  <si>
    <t xml:space="preserve">weight Efficient I. </t>
  </si>
  <si>
    <t>Efficient portfolios in the case of three risky assets and the risk free investment</t>
  </si>
  <si>
    <t>MAXIMIZE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</si>
</sst>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"/>
    <numFmt numFmtId="166" formatCode="0.000"/>
    <numFmt numFmtId="167" formatCode="0.0"/>
  </numFmts>
  <fonts count="9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Symbol"/>
      <family val="1"/>
      <charset val="2"/>
    </font>
    <font>
      <sz val="10"/>
      <name val="MS Sans Serif"/>
      <charset val="238"/>
    </font>
    <font>
      <sz val="8"/>
      <name val="MS Sans Serif"/>
      <charset val="238"/>
    </font>
    <font>
      <b/>
      <sz val="10"/>
      <name val="MS Sans Serif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164" fontId="0" fillId="0" borderId="0" xfId="2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1"/>
    <xf numFmtId="9" fontId="6" fillId="0" borderId="0" xfId="2" applyFont="1"/>
    <xf numFmtId="166" fontId="6" fillId="0" borderId="0" xfId="1" applyNumberFormat="1"/>
    <xf numFmtId="9" fontId="6" fillId="0" borderId="0" xfId="1" applyNumberFormat="1"/>
    <xf numFmtId="165" fontId="6" fillId="0" borderId="0" xfId="1" applyNumberFormat="1"/>
    <xf numFmtId="167" fontId="6" fillId="0" borderId="0" xfId="1" applyNumberFormat="1"/>
    <xf numFmtId="2" fontId="6" fillId="0" borderId="0" xfId="1" applyNumberFormat="1"/>
    <xf numFmtId="10" fontId="6" fillId="0" borderId="0" xfId="1" applyNumberFormat="1"/>
    <xf numFmtId="0" fontId="8" fillId="0" borderId="0" xfId="1" applyFont="1" applyAlignment="1">
      <alignment horizontal="center"/>
    </xf>
    <xf numFmtId="0" fontId="8" fillId="0" borderId="0" xfId="1" applyFont="1"/>
    <xf numFmtId="9" fontId="6" fillId="2" borderId="0" xfId="2" applyFont="1" applyFill="1"/>
    <xf numFmtId="9" fontId="6" fillId="2" borderId="0" xfId="1" applyNumberFormat="1" applyFill="1"/>
    <xf numFmtId="10" fontId="0" fillId="0" borderId="0" xfId="2" applyNumberFormat="1" applyFont="1" applyAlignment="1">
      <alignment horizontal="center"/>
    </xf>
    <xf numFmtId="1" fontId="6" fillId="0" borderId="0" xfId="1" applyNumberFormat="1"/>
    <xf numFmtId="166" fontId="6" fillId="3" borderId="0" xfId="1" applyNumberFormat="1" applyFill="1"/>
    <xf numFmtId="1" fontId="6" fillId="3" borderId="0" xfId="1" applyNumberFormat="1" applyFill="1"/>
    <xf numFmtId="0" fontId="6" fillId="3" borderId="0" xfId="1" applyFill="1"/>
    <xf numFmtId="9" fontId="6" fillId="4" borderId="0" xfId="2" applyFont="1" applyFill="1"/>
    <xf numFmtId="166" fontId="6" fillId="4" borderId="0" xfId="1" applyNumberFormat="1" applyFill="1"/>
    <xf numFmtId="9" fontId="1" fillId="2" borderId="0" xfId="2" applyFont="1" applyFill="1"/>
    <xf numFmtId="0" fontId="1" fillId="2" borderId="0" xfId="0" applyFont="1" applyFill="1"/>
    <xf numFmtId="0" fontId="1" fillId="0" borderId="0" xfId="0" quotePrefix="1" applyFont="1"/>
    <xf numFmtId="0" fontId="4" fillId="0" borderId="0" xfId="0" applyFont="1" applyAlignment="1">
      <alignment horizontal="center"/>
    </xf>
    <xf numFmtId="0" fontId="8" fillId="0" borderId="0" xfId="1" applyFont="1" applyAlignment="1">
      <alignment horizontal="center"/>
    </xf>
  </cellXfs>
  <cellStyles count="3">
    <cellStyle name="Normal" xfId="0" builtinId="0"/>
    <cellStyle name="Normál_1hportfm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heetMetadata" Target="metadata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tyles" Target="styles.xml"/><Relationship Id="rId5" Type="http://schemas.openxmlformats.org/officeDocument/2006/relationships/chartsheet" Target="chartsheets/sheet2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4.xml"/><Relationship Id="rId14" Type="http://schemas.microsoft.com/office/2017/10/relationships/person" Target="persons/perso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31673149479653"/>
          <c:y val="0.10763925387659327"/>
          <c:w val="0.79806201886707617"/>
          <c:h val="0.69097456520780842"/>
        </c:manualLayout>
      </c:layout>
      <c:scatterChart>
        <c:scatterStyle val="smoothMarker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lgDash"/>
            </a:ln>
          </c:spPr>
          <c:marker>
            <c:symbol val="none"/>
          </c:marker>
          <c:xVal>
            <c:numRef>
              <c:f>possible!$F$9:$F$109</c:f>
              <c:numCache>
                <c:formatCode>0.00%</c:formatCode>
                <c:ptCount val="101"/>
                <c:pt idx="0">
                  <c:v>0.2</c:v>
                </c:pt>
                <c:pt idx="1">
                  <c:v>0.19570000000000001</c:v>
                </c:pt>
                <c:pt idx="2">
                  <c:v>0.19139999999999999</c:v>
                </c:pt>
                <c:pt idx="3">
                  <c:v>0.18710000000000002</c:v>
                </c:pt>
                <c:pt idx="4">
                  <c:v>0.18280000000000002</c:v>
                </c:pt>
                <c:pt idx="5">
                  <c:v>0.17849999999999999</c:v>
                </c:pt>
                <c:pt idx="6">
                  <c:v>0.17420000000000002</c:v>
                </c:pt>
                <c:pt idx="7">
                  <c:v>0.16990000000000005</c:v>
                </c:pt>
                <c:pt idx="8">
                  <c:v>0.16560000000000005</c:v>
                </c:pt>
                <c:pt idx="9">
                  <c:v>0.16130000000000003</c:v>
                </c:pt>
                <c:pt idx="10">
                  <c:v>0.15700000000000003</c:v>
                </c:pt>
                <c:pt idx="11">
                  <c:v>0.1527</c:v>
                </c:pt>
                <c:pt idx="12">
                  <c:v>0.1484</c:v>
                </c:pt>
                <c:pt idx="13">
                  <c:v>0.14410000000000003</c:v>
                </c:pt>
                <c:pt idx="14">
                  <c:v>0.13980000000000001</c:v>
                </c:pt>
                <c:pt idx="15">
                  <c:v>0.13550000000000001</c:v>
                </c:pt>
                <c:pt idx="16">
                  <c:v>0.13120000000000001</c:v>
                </c:pt>
                <c:pt idx="17">
                  <c:v>0.12690000000000001</c:v>
                </c:pt>
                <c:pt idx="18">
                  <c:v>0.12259999999999999</c:v>
                </c:pt>
                <c:pt idx="19">
                  <c:v>0.11830000000000004</c:v>
                </c:pt>
                <c:pt idx="20">
                  <c:v>0.11400000000000006</c:v>
                </c:pt>
                <c:pt idx="21">
                  <c:v>0.10970000000000005</c:v>
                </c:pt>
                <c:pt idx="22">
                  <c:v>0.10540000000000005</c:v>
                </c:pt>
                <c:pt idx="23">
                  <c:v>0.10110000000000001</c:v>
                </c:pt>
                <c:pt idx="24">
                  <c:v>9.6800000000000011E-2</c:v>
                </c:pt>
                <c:pt idx="25">
                  <c:v>9.2500000000000013E-2</c:v>
                </c:pt>
                <c:pt idx="26">
                  <c:v>8.8200000000000001E-2</c:v>
                </c:pt>
                <c:pt idx="27">
                  <c:v>8.3900000000000002E-2</c:v>
                </c:pt>
                <c:pt idx="28">
                  <c:v>7.9600000000000018E-2</c:v>
                </c:pt>
                <c:pt idx="29">
                  <c:v>7.5299999999999992E-2</c:v>
                </c:pt>
                <c:pt idx="30">
                  <c:v>7.1000000000000008E-2</c:v>
                </c:pt>
                <c:pt idx="31">
                  <c:v>6.6700000000000009E-2</c:v>
                </c:pt>
                <c:pt idx="32">
                  <c:v>6.2400000000000025E-2</c:v>
                </c:pt>
                <c:pt idx="33">
                  <c:v>5.8100000000000041E-2</c:v>
                </c:pt>
                <c:pt idx="34">
                  <c:v>5.3800000000000014E-2</c:v>
                </c:pt>
                <c:pt idx="35">
                  <c:v>4.9500000000000044E-2</c:v>
                </c:pt>
                <c:pt idx="36">
                  <c:v>4.5200000000000032E-2</c:v>
                </c:pt>
                <c:pt idx="37">
                  <c:v>4.0900000000000047E-2</c:v>
                </c:pt>
                <c:pt idx="38">
                  <c:v>3.6600000000000049E-2</c:v>
                </c:pt>
                <c:pt idx="39">
                  <c:v>3.2300000000000037E-2</c:v>
                </c:pt>
                <c:pt idx="40">
                  <c:v>2.8000000000000063E-2</c:v>
                </c:pt>
                <c:pt idx="41">
                  <c:v>2.3699999999999929E-2</c:v>
                </c:pt>
                <c:pt idx="42">
                  <c:v>1.940000000000007E-2</c:v>
                </c:pt>
                <c:pt idx="43">
                  <c:v>1.5099999999999909E-2</c:v>
                </c:pt>
                <c:pt idx="44">
                  <c:v>1.0800000000000216E-2</c:v>
                </c:pt>
                <c:pt idx="45">
                  <c:v>6.5000000000000474E-3</c:v>
                </c:pt>
                <c:pt idx="46">
                  <c:v>2.1999999999989871E-3</c:v>
                </c:pt>
                <c:pt idx="47">
                  <c:v>2.0999999999999595E-3</c:v>
                </c:pt>
                <c:pt idx="48">
                  <c:v>6.4000000000002406E-3</c:v>
                </c:pt>
                <c:pt idx="49">
                  <c:v>1.0699999999999923E-2</c:v>
                </c:pt>
                <c:pt idx="50">
                  <c:v>1.4999999999999984E-2</c:v>
                </c:pt>
                <c:pt idx="51">
                  <c:v>1.9299999999999991E-2</c:v>
                </c:pt>
                <c:pt idx="52">
                  <c:v>2.3600000000000121E-2</c:v>
                </c:pt>
                <c:pt idx="53">
                  <c:v>2.7900000000000067E-2</c:v>
                </c:pt>
                <c:pt idx="54">
                  <c:v>3.2199999999999958E-2</c:v>
                </c:pt>
                <c:pt idx="55">
                  <c:v>3.6500000000000005E-2</c:v>
                </c:pt>
                <c:pt idx="56">
                  <c:v>4.0799999999999982E-2</c:v>
                </c:pt>
                <c:pt idx="57">
                  <c:v>4.5099999999999994E-2</c:v>
                </c:pt>
                <c:pt idx="58">
                  <c:v>4.9400000000000027E-2</c:v>
                </c:pt>
                <c:pt idx="59">
                  <c:v>5.3700000000000012E-2</c:v>
                </c:pt>
                <c:pt idx="60">
                  <c:v>5.8000000000000024E-2</c:v>
                </c:pt>
                <c:pt idx="61">
                  <c:v>6.2300000000000022E-2</c:v>
                </c:pt>
                <c:pt idx="62">
                  <c:v>6.6599999999999993E-2</c:v>
                </c:pt>
                <c:pt idx="63">
                  <c:v>7.0900000000000019E-2</c:v>
                </c:pt>
                <c:pt idx="64">
                  <c:v>7.5200000000000003E-2</c:v>
                </c:pt>
                <c:pt idx="65">
                  <c:v>7.9500000000000015E-2</c:v>
                </c:pt>
                <c:pt idx="66">
                  <c:v>8.3799999999999972E-2</c:v>
                </c:pt>
                <c:pt idx="67">
                  <c:v>8.8099999999999998E-2</c:v>
                </c:pt>
                <c:pt idx="68">
                  <c:v>9.2399999999999996E-2</c:v>
                </c:pt>
                <c:pt idx="69">
                  <c:v>9.669999999999998E-2</c:v>
                </c:pt>
                <c:pt idx="70">
                  <c:v>0.10099999999999999</c:v>
                </c:pt>
                <c:pt idx="71">
                  <c:v>0.1053</c:v>
                </c:pt>
                <c:pt idx="72">
                  <c:v>0.10959999999999999</c:v>
                </c:pt>
                <c:pt idx="73">
                  <c:v>0.1139</c:v>
                </c:pt>
                <c:pt idx="74">
                  <c:v>0.11819999999999999</c:v>
                </c:pt>
                <c:pt idx="75">
                  <c:v>0.12249999999999998</c:v>
                </c:pt>
                <c:pt idx="76">
                  <c:v>0.12680000000000002</c:v>
                </c:pt>
                <c:pt idx="77">
                  <c:v>0.13109999999999999</c:v>
                </c:pt>
                <c:pt idx="78">
                  <c:v>0.13539999999999999</c:v>
                </c:pt>
                <c:pt idx="79">
                  <c:v>0.13970000000000002</c:v>
                </c:pt>
                <c:pt idx="80">
                  <c:v>0.14400000000000004</c:v>
                </c:pt>
                <c:pt idx="81">
                  <c:v>0.14830000000000002</c:v>
                </c:pt>
                <c:pt idx="82">
                  <c:v>0.15260000000000001</c:v>
                </c:pt>
                <c:pt idx="83">
                  <c:v>0.15689999999999998</c:v>
                </c:pt>
                <c:pt idx="84">
                  <c:v>0.16119999999999998</c:v>
                </c:pt>
                <c:pt idx="85">
                  <c:v>0.16549999999999998</c:v>
                </c:pt>
                <c:pt idx="86">
                  <c:v>0.16979999999999998</c:v>
                </c:pt>
                <c:pt idx="87">
                  <c:v>0.1741</c:v>
                </c:pt>
                <c:pt idx="88">
                  <c:v>0.1784</c:v>
                </c:pt>
                <c:pt idx="89">
                  <c:v>0.1827</c:v>
                </c:pt>
                <c:pt idx="90">
                  <c:v>0.187</c:v>
                </c:pt>
                <c:pt idx="91">
                  <c:v>0.1913</c:v>
                </c:pt>
                <c:pt idx="92">
                  <c:v>0.19560000000000002</c:v>
                </c:pt>
                <c:pt idx="93">
                  <c:v>0.19989999999999999</c:v>
                </c:pt>
                <c:pt idx="94">
                  <c:v>0.20419999999999999</c:v>
                </c:pt>
                <c:pt idx="95">
                  <c:v>0.20850000000000002</c:v>
                </c:pt>
                <c:pt idx="96">
                  <c:v>0.21279999999999999</c:v>
                </c:pt>
                <c:pt idx="97">
                  <c:v>0.21710000000000002</c:v>
                </c:pt>
                <c:pt idx="98">
                  <c:v>0.22139999999999999</c:v>
                </c:pt>
                <c:pt idx="99">
                  <c:v>0.22569999999999998</c:v>
                </c:pt>
                <c:pt idx="100">
                  <c:v>0.23</c:v>
                </c:pt>
              </c:numCache>
            </c:numRef>
          </c:xVal>
          <c:yVal>
            <c:numRef>
              <c:f>possible!$D$9:$D$109</c:f>
              <c:numCache>
                <c:formatCode>0.00%</c:formatCode>
                <c:ptCount val="101"/>
                <c:pt idx="0">
                  <c:v>0.1</c:v>
                </c:pt>
                <c:pt idx="1">
                  <c:v>0.10050000000000001</c:v>
                </c:pt>
                <c:pt idx="2">
                  <c:v>0.10100000000000001</c:v>
                </c:pt>
                <c:pt idx="3">
                  <c:v>0.10150000000000001</c:v>
                </c:pt>
                <c:pt idx="4">
                  <c:v>0.10200000000000001</c:v>
                </c:pt>
                <c:pt idx="5">
                  <c:v>0.10250000000000001</c:v>
                </c:pt>
                <c:pt idx="6">
                  <c:v>0.10300000000000001</c:v>
                </c:pt>
                <c:pt idx="7">
                  <c:v>0.10350000000000001</c:v>
                </c:pt>
                <c:pt idx="8">
                  <c:v>0.10400000000000001</c:v>
                </c:pt>
                <c:pt idx="9">
                  <c:v>0.10450000000000001</c:v>
                </c:pt>
                <c:pt idx="10">
                  <c:v>0.10500000000000001</c:v>
                </c:pt>
                <c:pt idx="11">
                  <c:v>0.10550000000000001</c:v>
                </c:pt>
                <c:pt idx="12">
                  <c:v>0.10600000000000001</c:v>
                </c:pt>
                <c:pt idx="13">
                  <c:v>0.10650000000000001</c:v>
                </c:pt>
                <c:pt idx="14">
                  <c:v>0.10700000000000001</c:v>
                </c:pt>
                <c:pt idx="15">
                  <c:v>0.10750000000000001</c:v>
                </c:pt>
                <c:pt idx="16">
                  <c:v>0.10800000000000001</c:v>
                </c:pt>
                <c:pt idx="17">
                  <c:v>0.10850000000000001</c:v>
                </c:pt>
                <c:pt idx="18">
                  <c:v>0.10900000000000001</c:v>
                </c:pt>
                <c:pt idx="19">
                  <c:v>0.10950000000000001</c:v>
                </c:pt>
                <c:pt idx="20">
                  <c:v>0.11000000000000001</c:v>
                </c:pt>
                <c:pt idx="21">
                  <c:v>0.11050000000000001</c:v>
                </c:pt>
                <c:pt idx="22">
                  <c:v>0.11100000000000002</c:v>
                </c:pt>
                <c:pt idx="23">
                  <c:v>0.11150000000000002</c:v>
                </c:pt>
                <c:pt idx="24">
                  <c:v>0.11200000000000002</c:v>
                </c:pt>
                <c:pt idx="25">
                  <c:v>0.11250000000000002</c:v>
                </c:pt>
                <c:pt idx="26">
                  <c:v>0.11299999999999999</c:v>
                </c:pt>
                <c:pt idx="27">
                  <c:v>0.11349999999999999</c:v>
                </c:pt>
                <c:pt idx="28">
                  <c:v>0.11399999999999999</c:v>
                </c:pt>
                <c:pt idx="29">
                  <c:v>0.11449999999999999</c:v>
                </c:pt>
                <c:pt idx="30">
                  <c:v>0.11499999999999999</c:v>
                </c:pt>
                <c:pt idx="31">
                  <c:v>0.11549999999999999</c:v>
                </c:pt>
                <c:pt idx="32">
                  <c:v>0.11599999999999999</c:v>
                </c:pt>
                <c:pt idx="33">
                  <c:v>0.11649999999999999</c:v>
                </c:pt>
                <c:pt idx="34">
                  <c:v>0.11699999999999999</c:v>
                </c:pt>
                <c:pt idx="35">
                  <c:v>0.11749999999999999</c:v>
                </c:pt>
                <c:pt idx="36">
                  <c:v>0.11799999999999999</c:v>
                </c:pt>
                <c:pt idx="37">
                  <c:v>0.11849999999999999</c:v>
                </c:pt>
                <c:pt idx="38">
                  <c:v>0.11899999999999999</c:v>
                </c:pt>
                <c:pt idx="39">
                  <c:v>0.1195</c:v>
                </c:pt>
                <c:pt idx="40">
                  <c:v>0.12</c:v>
                </c:pt>
                <c:pt idx="41">
                  <c:v>0.1205</c:v>
                </c:pt>
                <c:pt idx="42">
                  <c:v>0.121</c:v>
                </c:pt>
                <c:pt idx="43">
                  <c:v>0.1215</c:v>
                </c:pt>
                <c:pt idx="44">
                  <c:v>0.122</c:v>
                </c:pt>
                <c:pt idx="45">
                  <c:v>0.1225</c:v>
                </c:pt>
                <c:pt idx="46">
                  <c:v>0.123</c:v>
                </c:pt>
                <c:pt idx="47">
                  <c:v>0.1235</c:v>
                </c:pt>
                <c:pt idx="48">
                  <c:v>0.124</c:v>
                </c:pt>
                <c:pt idx="49">
                  <c:v>0.1245</c:v>
                </c:pt>
                <c:pt idx="50">
                  <c:v>0.125</c:v>
                </c:pt>
                <c:pt idx="51">
                  <c:v>0.1255</c:v>
                </c:pt>
                <c:pt idx="52">
                  <c:v>0.126</c:v>
                </c:pt>
                <c:pt idx="53">
                  <c:v>0.1265</c:v>
                </c:pt>
                <c:pt idx="54">
                  <c:v>0.127</c:v>
                </c:pt>
                <c:pt idx="55">
                  <c:v>0.1275</c:v>
                </c:pt>
                <c:pt idx="56">
                  <c:v>0.128</c:v>
                </c:pt>
                <c:pt idx="57">
                  <c:v>0.1285</c:v>
                </c:pt>
                <c:pt idx="58">
                  <c:v>0.129</c:v>
                </c:pt>
                <c:pt idx="59">
                  <c:v>0.1295</c:v>
                </c:pt>
                <c:pt idx="60">
                  <c:v>0.13</c:v>
                </c:pt>
                <c:pt idx="61">
                  <c:v>0.1305</c:v>
                </c:pt>
                <c:pt idx="62">
                  <c:v>0.13100000000000001</c:v>
                </c:pt>
                <c:pt idx="63">
                  <c:v>0.13150000000000001</c:v>
                </c:pt>
                <c:pt idx="64">
                  <c:v>0.13200000000000001</c:v>
                </c:pt>
                <c:pt idx="65">
                  <c:v>0.13250000000000001</c:v>
                </c:pt>
                <c:pt idx="66">
                  <c:v>0.13300000000000001</c:v>
                </c:pt>
                <c:pt idx="67">
                  <c:v>0.13350000000000001</c:v>
                </c:pt>
                <c:pt idx="68">
                  <c:v>0.13400000000000001</c:v>
                </c:pt>
                <c:pt idx="69">
                  <c:v>0.13450000000000001</c:v>
                </c:pt>
                <c:pt idx="70">
                  <c:v>0.13500000000000001</c:v>
                </c:pt>
                <c:pt idx="71">
                  <c:v>0.13550000000000001</c:v>
                </c:pt>
                <c:pt idx="72">
                  <c:v>0.13600000000000001</c:v>
                </c:pt>
                <c:pt idx="73">
                  <c:v>0.13650000000000001</c:v>
                </c:pt>
                <c:pt idx="74">
                  <c:v>0.13700000000000001</c:v>
                </c:pt>
                <c:pt idx="75">
                  <c:v>0.13749999999999998</c:v>
                </c:pt>
                <c:pt idx="76">
                  <c:v>0.13799999999999998</c:v>
                </c:pt>
                <c:pt idx="77">
                  <c:v>0.13849999999999998</c:v>
                </c:pt>
                <c:pt idx="78">
                  <c:v>0.13899999999999998</c:v>
                </c:pt>
                <c:pt idx="79">
                  <c:v>0.13949999999999999</c:v>
                </c:pt>
                <c:pt idx="80">
                  <c:v>0.14000000000000001</c:v>
                </c:pt>
                <c:pt idx="81">
                  <c:v>0.14050000000000001</c:v>
                </c:pt>
                <c:pt idx="82">
                  <c:v>0.14099999999999999</c:v>
                </c:pt>
                <c:pt idx="83">
                  <c:v>0.14149999999999999</c:v>
                </c:pt>
                <c:pt idx="84">
                  <c:v>0.14200000000000002</c:v>
                </c:pt>
                <c:pt idx="85">
                  <c:v>0.14250000000000002</c:v>
                </c:pt>
                <c:pt idx="86">
                  <c:v>0.14300000000000002</c:v>
                </c:pt>
                <c:pt idx="87">
                  <c:v>0.14350000000000002</c:v>
                </c:pt>
                <c:pt idx="88">
                  <c:v>0.14400000000000002</c:v>
                </c:pt>
                <c:pt idx="89">
                  <c:v>0.14450000000000002</c:v>
                </c:pt>
                <c:pt idx="90">
                  <c:v>0.14500000000000002</c:v>
                </c:pt>
                <c:pt idx="91">
                  <c:v>0.14550000000000002</c:v>
                </c:pt>
                <c:pt idx="92">
                  <c:v>0.14600000000000002</c:v>
                </c:pt>
                <c:pt idx="93">
                  <c:v>0.14649999999999999</c:v>
                </c:pt>
                <c:pt idx="94">
                  <c:v>0.14699999999999999</c:v>
                </c:pt>
                <c:pt idx="95">
                  <c:v>0.14749999999999999</c:v>
                </c:pt>
                <c:pt idx="96">
                  <c:v>0.14799999999999999</c:v>
                </c:pt>
                <c:pt idx="97">
                  <c:v>0.14849999999999999</c:v>
                </c:pt>
                <c:pt idx="98">
                  <c:v>0.14899999999999999</c:v>
                </c:pt>
                <c:pt idx="99">
                  <c:v>0.14949999999999999</c:v>
                </c:pt>
                <c:pt idx="100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03-43CE-A3A9-165C68C33F48}"/>
            </c:ext>
          </c:extLst>
        </c:ser>
        <c:ser>
          <c:idx val="1"/>
          <c:order val="1"/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possible!$G$9:$G$109</c:f>
              <c:numCache>
                <c:formatCode>0.00%</c:formatCode>
                <c:ptCount val="101"/>
                <c:pt idx="0">
                  <c:v>0.2</c:v>
                </c:pt>
                <c:pt idx="1">
                  <c:v>0.20030000000000003</c:v>
                </c:pt>
                <c:pt idx="2">
                  <c:v>0.20060000000000003</c:v>
                </c:pt>
                <c:pt idx="3">
                  <c:v>0.20090000000000002</c:v>
                </c:pt>
                <c:pt idx="4">
                  <c:v>0.20120000000000002</c:v>
                </c:pt>
                <c:pt idx="5">
                  <c:v>0.20150000000000004</c:v>
                </c:pt>
                <c:pt idx="6">
                  <c:v>0.20180000000000003</c:v>
                </c:pt>
                <c:pt idx="7">
                  <c:v>0.20210000000000003</c:v>
                </c:pt>
                <c:pt idx="8">
                  <c:v>0.20240000000000002</c:v>
                </c:pt>
                <c:pt idx="9">
                  <c:v>0.20269999999999999</c:v>
                </c:pt>
                <c:pt idx="10">
                  <c:v>0.20300000000000001</c:v>
                </c:pt>
                <c:pt idx="11">
                  <c:v>0.20330000000000001</c:v>
                </c:pt>
                <c:pt idx="12">
                  <c:v>0.2036</c:v>
                </c:pt>
                <c:pt idx="13">
                  <c:v>0.20390000000000003</c:v>
                </c:pt>
                <c:pt idx="14">
                  <c:v>0.20420000000000002</c:v>
                </c:pt>
                <c:pt idx="15">
                  <c:v>0.20450000000000002</c:v>
                </c:pt>
                <c:pt idx="16">
                  <c:v>0.20480000000000001</c:v>
                </c:pt>
                <c:pt idx="17">
                  <c:v>0.20510000000000003</c:v>
                </c:pt>
                <c:pt idx="18">
                  <c:v>0.2054</c:v>
                </c:pt>
                <c:pt idx="19">
                  <c:v>0.20570000000000002</c:v>
                </c:pt>
                <c:pt idx="20">
                  <c:v>0.20600000000000002</c:v>
                </c:pt>
                <c:pt idx="21">
                  <c:v>0.20630000000000004</c:v>
                </c:pt>
                <c:pt idx="22">
                  <c:v>0.20660000000000003</c:v>
                </c:pt>
                <c:pt idx="23">
                  <c:v>0.2069</c:v>
                </c:pt>
                <c:pt idx="24">
                  <c:v>0.20720000000000002</c:v>
                </c:pt>
                <c:pt idx="25">
                  <c:v>0.20750000000000002</c:v>
                </c:pt>
                <c:pt idx="26">
                  <c:v>0.20780000000000001</c:v>
                </c:pt>
                <c:pt idx="27">
                  <c:v>0.20810000000000001</c:v>
                </c:pt>
                <c:pt idx="28">
                  <c:v>0.20840000000000003</c:v>
                </c:pt>
                <c:pt idx="29">
                  <c:v>0.20870000000000002</c:v>
                </c:pt>
                <c:pt idx="30">
                  <c:v>0.20900000000000002</c:v>
                </c:pt>
                <c:pt idx="31">
                  <c:v>0.20930000000000001</c:v>
                </c:pt>
                <c:pt idx="32">
                  <c:v>0.20960000000000001</c:v>
                </c:pt>
                <c:pt idx="33">
                  <c:v>0.20990000000000003</c:v>
                </c:pt>
                <c:pt idx="34">
                  <c:v>0.21020000000000003</c:v>
                </c:pt>
                <c:pt idx="35">
                  <c:v>0.21050000000000002</c:v>
                </c:pt>
                <c:pt idx="36">
                  <c:v>0.21080000000000002</c:v>
                </c:pt>
                <c:pt idx="37">
                  <c:v>0.21110000000000001</c:v>
                </c:pt>
                <c:pt idx="38">
                  <c:v>0.2114</c:v>
                </c:pt>
                <c:pt idx="39">
                  <c:v>0.2117</c:v>
                </c:pt>
                <c:pt idx="40">
                  <c:v>0.21200000000000002</c:v>
                </c:pt>
                <c:pt idx="41">
                  <c:v>0.21230000000000002</c:v>
                </c:pt>
                <c:pt idx="42">
                  <c:v>0.21260000000000001</c:v>
                </c:pt>
                <c:pt idx="43">
                  <c:v>0.21290000000000003</c:v>
                </c:pt>
                <c:pt idx="44">
                  <c:v>0.21320000000000003</c:v>
                </c:pt>
                <c:pt idx="45">
                  <c:v>0.21350000000000002</c:v>
                </c:pt>
                <c:pt idx="46">
                  <c:v>0.21380000000000002</c:v>
                </c:pt>
                <c:pt idx="47">
                  <c:v>0.21410000000000001</c:v>
                </c:pt>
                <c:pt idx="48">
                  <c:v>0.21440000000000001</c:v>
                </c:pt>
                <c:pt idx="49">
                  <c:v>0.2147</c:v>
                </c:pt>
                <c:pt idx="50">
                  <c:v>0.215</c:v>
                </c:pt>
                <c:pt idx="51">
                  <c:v>0.21529999999999999</c:v>
                </c:pt>
                <c:pt idx="52">
                  <c:v>0.21560000000000001</c:v>
                </c:pt>
                <c:pt idx="53">
                  <c:v>0.21590000000000001</c:v>
                </c:pt>
                <c:pt idx="54">
                  <c:v>0.21620000000000003</c:v>
                </c:pt>
                <c:pt idx="55">
                  <c:v>0.21650000000000003</c:v>
                </c:pt>
                <c:pt idx="56">
                  <c:v>0.21680000000000002</c:v>
                </c:pt>
                <c:pt idx="57">
                  <c:v>0.21710000000000004</c:v>
                </c:pt>
                <c:pt idx="58">
                  <c:v>0.21740000000000001</c:v>
                </c:pt>
                <c:pt idx="59">
                  <c:v>0.21770000000000003</c:v>
                </c:pt>
                <c:pt idx="60">
                  <c:v>0.21800000000000003</c:v>
                </c:pt>
                <c:pt idx="61">
                  <c:v>0.21830000000000002</c:v>
                </c:pt>
                <c:pt idx="62">
                  <c:v>0.21860000000000002</c:v>
                </c:pt>
                <c:pt idx="63">
                  <c:v>0.21890000000000001</c:v>
                </c:pt>
                <c:pt idx="64">
                  <c:v>0.21920000000000001</c:v>
                </c:pt>
                <c:pt idx="65">
                  <c:v>0.21950000000000003</c:v>
                </c:pt>
                <c:pt idx="66">
                  <c:v>0.2198</c:v>
                </c:pt>
                <c:pt idx="67">
                  <c:v>0.22009999999999999</c:v>
                </c:pt>
                <c:pt idx="68">
                  <c:v>0.22040000000000001</c:v>
                </c:pt>
                <c:pt idx="69">
                  <c:v>0.22069999999999998</c:v>
                </c:pt>
                <c:pt idx="70">
                  <c:v>0.221</c:v>
                </c:pt>
                <c:pt idx="71">
                  <c:v>0.2213</c:v>
                </c:pt>
                <c:pt idx="72">
                  <c:v>0.22160000000000002</c:v>
                </c:pt>
                <c:pt idx="73">
                  <c:v>0.22190000000000001</c:v>
                </c:pt>
                <c:pt idx="74">
                  <c:v>0.22220000000000001</c:v>
                </c:pt>
                <c:pt idx="75">
                  <c:v>0.2225</c:v>
                </c:pt>
                <c:pt idx="76">
                  <c:v>0.2228</c:v>
                </c:pt>
                <c:pt idx="77">
                  <c:v>0.22309999999999999</c:v>
                </c:pt>
                <c:pt idx="78">
                  <c:v>0.22340000000000002</c:v>
                </c:pt>
                <c:pt idx="79">
                  <c:v>0.22370000000000001</c:v>
                </c:pt>
                <c:pt idx="80">
                  <c:v>0.22400000000000003</c:v>
                </c:pt>
                <c:pt idx="81">
                  <c:v>0.22430000000000003</c:v>
                </c:pt>
                <c:pt idx="82">
                  <c:v>0.22459999999999999</c:v>
                </c:pt>
                <c:pt idx="83">
                  <c:v>0.22489999999999999</c:v>
                </c:pt>
                <c:pt idx="84">
                  <c:v>0.22519999999999998</c:v>
                </c:pt>
                <c:pt idx="85">
                  <c:v>0.22550000000000001</c:v>
                </c:pt>
                <c:pt idx="86">
                  <c:v>0.2258</c:v>
                </c:pt>
                <c:pt idx="87">
                  <c:v>0.22610000000000002</c:v>
                </c:pt>
                <c:pt idx="88">
                  <c:v>0.22640000000000002</c:v>
                </c:pt>
                <c:pt idx="89">
                  <c:v>0.22670000000000001</c:v>
                </c:pt>
                <c:pt idx="90">
                  <c:v>0.22700000000000001</c:v>
                </c:pt>
                <c:pt idx="91">
                  <c:v>0.2273</c:v>
                </c:pt>
                <c:pt idx="92">
                  <c:v>0.2276</c:v>
                </c:pt>
                <c:pt idx="93">
                  <c:v>0.22789999999999999</c:v>
                </c:pt>
                <c:pt idx="94">
                  <c:v>0.22819999999999999</c:v>
                </c:pt>
                <c:pt idx="95">
                  <c:v>0.22850000000000001</c:v>
                </c:pt>
                <c:pt idx="96">
                  <c:v>0.2288</c:v>
                </c:pt>
                <c:pt idx="97">
                  <c:v>0.2291</c:v>
                </c:pt>
                <c:pt idx="98">
                  <c:v>0.22939999999999999</c:v>
                </c:pt>
                <c:pt idx="99">
                  <c:v>0.22970000000000002</c:v>
                </c:pt>
                <c:pt idx="100">
                  <c:v>0.23</c:v>
                </c:pt>
              </c:numCache>
            </c:numRef>
          </c:xVal>
          <c:yVal>
            <c:numRef>
              <c:f>possible!$D$9:$D$109</c:f>
              <c:numCache>
                <c:formatCode>0.00%</c:formatCode>
                <c:ptCount val="101"/>
                <c:pt idx="0">
                  <c:v>0.1</c:v>
                </c:pt>
                <c:pt idx="1">
                  <c:v>0.10050000000000001</c:v>
                </c:pt>
                <c:pt idx="2">
                  <c:v>0.10100000000000001</c:v>
                </c:pt>
                <c:pt idx="3">
                  <c:v>0.10150000000000001</c:v>
                </c:pt>
                <c:pt idx="4">
                  <c:v>0.10200000000000001</c:v>
                </c:pt>
                <c:pt idx="5">
                  <c:v>0.10250000000000001</c:v>
                </c:pt>
                <c:pt idx="6">
                  <c:v>0.10300000000000001</c:v>
                </c:pt>
                <c:pt idx="7">
                  <c:v>0.10350000000000001</c:v>
                </c:pt>
                <c:pt idx="8">
                  <c:v>0.10400000000000001</c:v>
                </c:pt>
                <c:pt idx="9">
                  <c:v>0.10450000000000001</c:v>
                </c:pt>
                <c:pt idx="10">
                  <c:v>0.10500000000000001</c:v>
                </c:pt>
                <c:pt idx="11">
                  <c:v>0.10550000000000001</c:v>
                </c:pt>
                <c:pt idx="12">
                  <c:v>0.10600000000000001</c:v>
                </c:pt>
                <c:pt idx="13">
                  <c:v>0.10650000000000001</c:v>
                </c:pt>
                <c:pt idx="14">
                  <c:v>0.10700000000000001</c:v>
                </c:pt>
                <c:pt idx="15">
                  <c:v>0.10750000000000001</c:v>
                </c:pt>
                <c:pt idx="16">
                  <c:v>0.10800000000000001</c:v>
                </c:pt>
                <c:pt idx="17">
                  <c:v>0.10850000000000001</c:v>
                </c:pt>
                <c:pt idx="18">
                  <c:v>0.10900000000000001</c:v>
                </c:pt>
                <c:pt idx="19">
                  <c:v>0.10950000000000001</c:v>
                </c:pt>
                <c:pt idx="20">
                  <c:v>0.11000000000000001</c:v>
                </c:pt>
                <c:pt idx="21">
                  <c:v>0.11050000000000001</c:v>
                </c:pt>
                <c:pt idx="22">
                  <c:v>0.11100000000000002</c:v>
                </c:pt>
                <c:pt idx="23">
                  <c:v>0.11150000000000002</c:v>
                </c:pt>
                <c:pt idx="24">
                  <c:v>0.11200000000000002</c:v>
                </c:pt>
                <c:pt idx="25">
                  <c:v>0.11250000000000002</c:v>
                </c:pt>
                <c:pt idx="26">
                  <c:v>0.11299999999999999</c:v>
                </c:pt>
                <c:pt idx="27">
                  <c:v>0.11349999999999999</c:v>
                </c:pt>
                <c:pt idx="28">
                  <c:v>0.11399999999999999</c:v>
                </c:pt>
                <c:pt idx="29">
                  <c:v>0.11449999999999999</c:v>
                </c:pt>
                <c:pt idx="30">
                  <c:v>0.11499999999999999</c:v>
                </c:pt>
                <c:pt idx="31">
                  <c:v>0.11549999999999999</c:v>
                </c:pt>
                <c:pt idx="32">
                  <c:v>0.11599999999999999</c:v>
                </c:pt>
                <c:pt idx="33">
                  <c:v>0.11649999999999999</c:v>
                </c:pt>
                <c:pt idx="34">
                  <c:v>0.11699999999999999</c:v>
                </c:pt>
                <c:pt idx="35">
                  <c:v>0.11749999999999999</c:v>
                </c:pt>
                <c:pt idx="36">
                  <c:v>0.11799999999999999</c:v>
                </c:pt>
                <c:pt idx="37">
                  <c:v>0.11849999999999999</c:v>
                </c:pt>
                <c:pt idx="38">
                  <c:v>0.11899999999999999</c:v>
                </c:pt>
                <c:pt idx="39">
                  <c:v>0.1195</c:v>
                </c:pt>
                <c:pt idx="40">
                  <c:v>0.12</c:v>
                </c:pt>
                <c:pt idx="41">
                  <c:v>0.1205</c:v>
                </c:pt>
                <c:pt idx="42">
                  <c:v>0.121</c:v>
                </c:pt>
                <c:pt idx="43">
                  <c:v>0.1215</c:v>
                </c:pt>
                <c:pt idx="44">
                  <c:v>0.122</c:v>
                </c:pt>
                <c:pt idx="45">
                  <c:v>0.1225</c:v>
                </c:pt>
                <c:pt idx="46">
                  <c:v>0.123</c:v>
                </c:pt>
                <c:pt idx="47">
                  <c:v>0.1235</c:v>
                </c:pt>
                <c:pt idx="48">
                  <c:v>0.124</c:v>
                </c:pt>
                <c:pt idx="49">
                  <c:v>0.1245</c:v>
                </c:pt>
                <c:pt idx="50">
                  <c:v>0.125</c:v>
                </c:pt>
                <c:pt idx="51">
                  <c:v>0.1255</c:v>
                </c:pt>
                <c:pt idx="52">
                  <c:v>0.126</c:v>
                </c:pt>
                <c:pt idx="53">
                  <c:v>0.1265</c:v>
                </c:pt>
                <c:pt idx="54">
                  <c:v>0.127</c:v>
                </c:pt>
                <c:pt idx="55">
                  <c:v>0.1275</c:v>
                </c:pt>
                <c:pt idx="56">
                  <c:v>0.128</c:v>
                </c:pt>
                <c:pt idx="57">
                  <c:v>0.1285</c:v>
                </c:pt>
                <c:pt idx="58">
                  <c:v>0.129</c:v>
                </c:pt>
                <c:pt idx="59">
                  <c:v>0.1295</c:v>
                </c:pt>
                <c:pt idx="60">
                  <c:v>0.13</c:v>
                </c:pt>
                <c:pt idx="61">
                  <c:v>0.1305</c:v>
                </c:pt>
                <c:pt idx="62">
                  <c:v>0.13100000000000001</c:v>
                </c:pt>
                <c:pt idx="63">
                  <c:v>0.13150000000000001</c:v>
                </c:pt>
                <c:pt idx="64">
                  <c:v>0.13200000000000001</c:v>
                </c:pt>
                <c:pt idx="65">
                  <c:v>0.13250000000000001</c:v>
                </c:pt>
                <c:pt idx="66">
                  <c:v>0.13300000000000001</c:v>
                </c:pt>
                <c:pt idx="67">
                  <c:v>0.13350000000000001</c:v>
                </c:pt>
                <c:pt idx="68">
                  <c:v>0.13400000000000001</c:v>
                </c:pt>
                <c:pt idx="69">
                  <c:v>0.13450000000000001</c:v>
                </c:pt>
                <c:pt idx="70">
                  <c:v>0.13500000000000001</c:v>
                </c:pt>
                <c:pt idx="71">
                  <c:v>0.13550000000000001</c:v>
                </c:pt>
                <c:pt idx="72">
                  <c:v>0.13600000000000001</c:v>
                </c:pt>
                <c:pt idx="73">
                  <c:v>0.13650000000000001</c:v>
                </c:pt>
                <c:pt idx="74">
                  <c:v>0.13700000000000001</c:v>
                </c:pt>
                <c:pt idx="75">
                  <c:v>0.13749999999999998</c:v>
                </c:pt>
                <c:pt idx="76">
                  <c:v>0.13799999999999998</c:v>
                </c:pt>
                <c:pt idx="77">
                  <c:v>0.13849999999999998</c:v>
                </c:pt>
                <c:pt idx="78">
                  <c:v>0.13899999999999998</c:v>
                </c:pt>
                <c:pt idx="79">
                  <c:v>0.13949999999999999</c:v>
                </c:pt>
                <c:pt idx="80">
                  <c:v>0.14000000000000001</c:v>
                </c:pt>
                <c:pt idx="81">
                  <c:v>0.14050000000000001</c:v>
                </c:pt>
                <c:pt idx="82">
                  <c:v>0.14099999999999999</c:v>
                </c:pt>
                <c:pt idx="83">
                  <c:v>0.14149999999999999</c:v>
                </c:pt>
                <c:pt idx="84">
                  <c:v>0.14200000000000002</c:v>
                </c:pt>
                <c:pt idx="85">
                  <c:v>0.14250000000000002</c:v>
                </c:pt>
                <c:pt idx="86">
                  <c:v>0.14300000000000002</c:v>
                </c:pt>
                <c:pt idx="87">
                  <c:v>0.14350000000000002</c:v>
                </c:pt>
                <c:pt idx="88">
                  <c:v>0.14400000000000002</c:v>
                </c:pt>
                <c:pt idx="89">
                  <c:v>0.14450000000000002</c:v>
                </c:pt>
                <c:pt idx="90">
                  <c:v>0.14500000000000002</c:v>
                </c:pt>
                <c:pt idx="91">
                  <c:v>0.14550000000000002</c:v>
                </c:pt>
                <c:pt idx="92">
                  <c:v>0.14600000000000002</c:v>
                </c:pt>
                <c:pt idx="93">
                  <c:v>0.14649999999999999</c:v>
                </c:pt>
                <c:pt idx="94">
                  <c:v>0.14699999999999999</c:v>
                </c:pt>
                <c:pt idx="95">
                  <c:v>0.14749999999999999</c:v>
                </c:pt>
                <c:pt idx="96">
                  <c:v>0.14799999999999999</c:v>
                </c:pt>
                <c:pt idx="97">
                  <c:v>0.14849999999999999</c:v>
                </c:pt>
                <c:pt idx="98">
                  <c:v>0.14899999999999999</c:v>
                </c:pt>
                <c:pt idx="99">
                  <c:v>0.14949999999999999</c:v>
                </c:pt>
                <c:pt idx="100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03-43CE-A3A9-165C68C33F48}"/>
            </c:ext>
          </c:extLst>
        </c:ser>
        <c:ser>
          <c:idx val="2"/>
          <c:order val="2"/>
          <c:spPr>
            <a:ln w="381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possible!$H$9:$H$109</c:f>
              <c:numCache>
                <c:formatCode>0.00%</c:formatCode>
                <c:ptCount val="101"/>
                <c:pt idx="0">
                  <c:v>0.2</c:v>
                </c:pt>
                <c:pt idx="1">
                  <c:v>0.19893116900073757</c:v>
                </c:pt>
                <c:pt idx="2">
                  <c:v>0.19788491604970804</c:v>
                </c:pt>
                <c:pt idx="3">
                  <c:v>0.1968616011313532</c:v>
                </c:pt>
                <c:pt idx="4">
                  <c:v>0.19586158377793234</c:v>
                </c:pt>
                <c:pt idx="5">
                  <c:v>0.19488522263116823</c:v>
                </c:pt>
                <c:pt idx="6">
                  <c:v>0.19393287498513503</c:v>
                </c:pt>
                <c:pt idx="7">
                  <c:v>0.19300489631094858</c:v>
                </c:pt>
                <c:pt idx="8">
                  <c:v>0.19210163976395414</c:v>
                </c:pt>
                <c:pt idx="9">
                  <c:v>0.19122345567424515</c:v>
                </c:pt>
                <c:pt idx="10">
                  <c:v>0.19037069102149104</c:v>
                </c:pt>
                <c:pt idx="11">
                  <c:v>0.18954368889519904</c:v>
                </c:pt>
                <c:pt idx="12">
                  <c:v>0.18874278794168534</c:v>
                </c:pt>
                <c:pt idx="13">
                  <c:v>0.1879683217991798</c:v>
                </c:pt>
                <c:pt idx="14">
                  <c:v>0.1872206185226403</c:v>
                </c:pt>
                <c:pt idx="15">
                  <c:v>0.1865</c:v>
                </c:pt>
                <c:pt idx="16">
                  <c:v>0.18580678136171458</c:v>
                </c:pt>
                <c:pt idx="17">
                  <c:v>0.18514127038561665</c:v>
                </c:pt>
                <c:pt idx="18">
                  <c:v>0.18450376689921538</c:v>
                </c:pt>
                <c:pt idx="19">
                  <c:v>0.18389456218170239</c:v>
                </c:pt>
                <c:pt idx="20">
                  <c:v>0.18331393836803575</c:v>
                </c:pt>
                <c:pt idx="21">
                  <c:v>0.18276216785757388</c:v>
                </c:pt>
                <c:pt idx="22">
                  <c:v>0.18223951272981392</c:v>
                </c:pt>
                <c:pt idx="23">
                  <c:v>0.18174622416985725</c:v>
                </c:pt>
                <c:pt idx="24">
                  <c:v>0.18128254190627405</c:v>
                </c:pt>
                <c:pt idx="25">
                  <c:v>0.18084869366406828</c:v>
                </c:pt>
                <c:pt idx="26">
                  <c:v>0.18044489463545374</c:v>
                </c:pt>
                <c:pt idx="27">
                  <c:v>0.18007134697113811</c:v>
                </c:pt>
                <c:pt idx="28">
                  <c:v>0.1797282392947753</c:v>
                </c:pt>
                <c:pt idx="29">
                  <c:v>0.17941574624318793</c:v>
                </c:pt>
                <c:pt idx="30">
                  <c:v>0.17913402803487674</c:v>
                </c:pt>
                <c:pt idx="31">
                  <c:v>0.17888323006922702</c:v>
                </c:pt>
                <c:pt idx="32">
                  <c:v>0.17866348255869191</c:v>
                </c:pt>
                <c:pt idx="33">
                  <c:v>0.17847490019607801</c:v>
                </c:pt>
                <c:pt idx="34">
                  <c:v>0.17831758185888458</c:v>
                </c:pt>
                <c:pt idx="35">
                  <c:v>0.17819161035245182</c:v>
                </c:pt>
                <c:pt idx="36">
                  <c:v>0.17809705219345998</c:v>
                </c:pt>
                <c:pt idx="37">
                  <c:v>0.17803395743509159</c:v>
                </c:pt>
                <c:pt idx="38">
                  <c:v>0.17800235953492305</c:v>
                </c:pt>
                <c:pt idx="39">
                  <c:v>0.17800227526635723</c:v>
                </c:pt>
                <c:pt idx="40">
                  <c:v>0.17803370467414312</c:v>
                </c:pt>
                <c:pt idx="41">
                  <c:v>0.17809663107425699</c:v>
                </c:pt>
                <c:pt idx="42">
                  <c:v>0.17819102109814627</c:v>
                </c:pt>
                <c:pt idx="43">
                  <c:v>0.17831682478106212</c:v>
                </c:pt>
                <c:pt idx="44">
                  <c:v>0.17847397569393697</c:v>
                </c:pt>
                <c:pt idx="45">
                  <c:v>0.17866239111799664</c:v>
                </c:pt>
                <c:pt idx="46">
                  <c:v>0.17888197226104144</c:v>
                </c:pt>
                <c:pt idx="47">
                  <c:v>0.17913260451408616</c:v>
                </c:pt>
                <c:pt idx="48">
                  <c:v>0.17941415774681774</c:v>
                </c:pt>
                <c:pt idx="49">
                  <c:v>0.17972648664011656</c:v>
                </c:pt>
                <c:pt idx="50">
                  <c:v>0.18006943105369108</c:v>
                </c:pt>
                <c:pt idx="51">
                  <c:v>0.18044281642670068</c:v>
                </c:pt>
                <c:pt idx="52">
                  <c:v>0.18084645420908865</c:v>
                </c:pt>
                <c:pt idx="53">
                  <c:v>0.18128014232121512</c:v>
                </c:pt>
                <c:pt idx="54">
                  <c:v>0.18174366563927341</c:v>
                </c:pt>
                <c:pt idx="55">
                  <c:v>0.18223679650388944</c:v>
                </c:pt>
                <c:pt idx="56">
                  <c:v>0.18275929524924309</c:v>
                </c:pt>
                <c:pt idx="57">
                  <c:v>0.18331091075001513</c:v>
                </c:pt>
                <c:pt idx="58">
                  <c:v>0.18389138098344904</c:v>
                </c:pt>
                <c:pt idx="59">
                  <c:v>0.18450043360382654</c:v>
                </c:pt>
                <c:pt idx="60">
                  <c:v>0.18513778652668397</c:v>
                </c:pt>
                <c:pt idx="61">
                  <c:v>0.18580314852014754</c:v>
                </c:pt>
                <c:pt idx="62">
                  <c:v>0.18649621980083136</c:v>
                </c:pt>
                <c:pt idx="63">
                  <c:v>0.18721669263182705</c:v>
                </c:pt>
                <c:pt idx="64">
                  <c:v>0.18796425192041172</c:v>
                </c:pt>
                <c:pt idx="65">
                  <c:v>0.18873857581321316</c:v>
                </c:pt>
                <c:pt idx="66">
                  <c:v>0.18953933628669273</c:v>
                </c:pt>
                <c:pt idx="67">
                  <c:v>0.19036619973093963</c:v>
                </c:pt>
                <c:pt idx="68">
                  <c:v>0.19121882752490665</c:v>
                </c:pt>
                <c:pt idx="69">
                  <c:v>0.19209687660136485</c:v>
                </c:pt>
                <c:pt idx="70">
                  <c:v>0.193</c:v>
                </c:pt>
                <c:pt idx="71">
                  <c:v>0.19392784740722513</c:v>
                </c:pt>
                <c:pt idx="72">
                  <c:v>0.19488006568143393</c:v>
                </c:pt>
                <c:pt idx="73">
                  <c:v>0.19585629936256838</c:v>
                </c:pt>
                <c:pt idx="74">
                  <c:v>0.19685619116502279</c:v>
                </c:pt>
                <c:pt idx="75">
                  <c:v>0.19787938245304892</c:v>
                </c:pt>
                <c:pt idx="76">
                  <c:v>0.19892551369796688</c:v>
                </c:pt>
                <c:pt idx="77">
                  <c:v>0.19999422491662103</c:v>
                </c:pt>
                <c:pt idx="78">
                  <c:v>0.20108515609064734</c:v>
                </c:pt>
                <c:pt idx="79">
                  <c:v>0.20219794756624015</c:v>
                </c:pt>
                <c:pt idx="80">
                  <c:v>0.20333224043422141</c:v>
                </c:pt>
                <c:pt idx="81">
                  <c:v>0.20448767689032024</c:v>
                </c:pt>
                <c:pt idx="82">
                  <c:v>0.20566390057567227</c:v>
                </c:pt>
                <c:pt idx="83">
                  <c:v>0.20686055689763574</c:v>
                </c:pt>
                <c:pt idx="84">
                  <c:v>0.20807729333110808</c:v>
                </c:pt>
                <c:pt idx="85">
                  <c:v>0.20931375970059876</c:v>
                </c:pt>
                <c:pt idx="86">
                  <c:v>0.21056960844338388</c:v>
                </c:pt>
                <c:pt idx="87">
                  <c:v>0.21184449485412643</c:v>
                </c:pt>
                <c:pt idx="88">
                  <c:v>0.21313807731139925</c:v>
                </c:pt>
                <c:pt idx="89">
                  <c:v>0.2144500174865929</c:v>
                </c:pt>
                <c:pt idx="90">
                  <c:v>0.21577998053572997</c:v>
                </c:pt>
                <c:pt idx="91">
                  <c:v>0.21712763527473883</c:v>
                </c:pt>
                <c:pt idx="92">
                  <c:v>0.21849265433876719</c:v>
                </c:pt>
                <c:pt idx="93">
                  <c:v>0.2198747143261362</c:v>
                </c:pt>
                <c:pt idx="94">
                  <c:v>0.22127349592755113</c:v>
                </c:pt>
                <c:pt idx="95">
                  <c:v>0.22268868404119685</c:v>
                </c:pt>
                <c:pt idx="96">
                  <c:v>0.22411996787435071</c:v>
                </c:pt>
                <c:pt idx="97">
                  <c:v>0.22556704103215081</c:v>
                </c:pt>
                <c:pt idx="98">
                  <c:v>0.22702960159415334</c:v>
                </c:pt>
                <c:pt idx="99">
                  <c:v>0.22850735217931173</c:v>
                </c:pt>
                <c:pt idx="100">
                  <c:v>0.23</c:v>
                </c:pt>
              </c:numCache>
            </c:numRef>
          </c:xVal>
          <c:yVal>
            <c:numRef>
              <c:f>possible!$D$9:$D$109</c:f>
              <c:numCache>
                <c:formatCode>0.00%</c:formatCode>
                <c:ptCount val="101"/>
                <c:pt idx="0">
                  <c:v>0.1</c:v>
                </c:pt>
                <c:pt idx="1">
                  <c:v>0.10050000000000001</c:v>
                </c:pt>
                <c:pt idx="2">
                  <c:v>0.10100000000000001</c:v>
                </c:pt>
                <c:pt idx="3">
                  <c:v>0.10150000000000001</c:v>
                </c:pt>
                <c:pt idx="4">
                  <c:v>0.10200000000000001</c:v>
                </c:pt>
                <c:pt idx="5">
                  <c:v>0.10250000000000001</c:v>
                </c:pt>
                <c:pt idx="6">
                  <c:v>0.10300000000000001</c:v>
                </c:pt>
                <c:pt idx="7">
                  <c:v>0.10350000000000001</c:v>
                </c:pt>
                <c:pt idx="8">
                  <c:v>0.10400000000000001</c:v>
                </c:pt>
                <c:pt idx="9">
                  <c:v>0.10450000000000001</c:v>
                </c:pt>
                <c:pt idx="10">
                  <c:v>0.10500000000000001</c:v>
                </c:pt>
                <c:pt idx="11">
                  <c:v>0.10550000000000001</c:v>
                </c:pt>
                <c:pt idx="12">
                  <c:v>0.10600000000000001</c:v>
                </c:pt>
                <c:pt idx="13">
                  <c:v>0.10650000000000001</c:v>
                </c:pt>
                <c:pt idx="14">
                  <c:v>0.10700000000000001</c:v>
                </c:pt>
                <c:pt idx="15">
                  <c:v>0.10750000000000001</c:v>
                </c:pt>
                <c:pt idx="16">
                  <c:v>0.10800000000000001</c:v>
                </c:pt>
                <c:pt idx="17">
                  <c:v>0.10850000000000001</c:v>
                </c:pt>
                <c:pt idx="18">
                  <c:v>0.10900000000000001</c:v>
                </c:pt>
                <c:pt idx="19">
                  <c:v>0.10950000000000001</c:v>
                </c:pt>
                <c:pt idx="20">
                  <c:v>0.11000000000000001</c:v>
                </c:pt>
                <c:pt idx="21">
                  <c:v>0.11050000000000001</c:v>
                </c:pt>
                <c:pt idx="22">
                  <c:v>0.11100000000000002</c:v>
                </c:pt>
                <c:pt idx="23">
                  <c:v>0.11150000000000002</c:v>
                </c:pt>
                <c:pt idx="24">
                  <c:v>0.11200000000000002</c:v>
                </c:pt>
                <c:pt idx="25">
                  <c:v>0.11250000000000002</c:v>
                </c:pt>
                <c:pt idx="26">
                  <c:v>0.11299999999999999</c:v>
                </c:pt>
                <c:pt idx="27">
                  <c:v>0.11349999999999999</c:v>
                </c:pt>
                <c:pt idx="28">
                  <c:v>0.11399999999999999</c:v>
                </c:pt>
                <c:pt idx="29">
                  <c:v>0.11449999999999999</c:v>
                </c:pt>
                <c:pt idx="30">
                  <c:v>0.11499999999999999</c:v>
                </c:pt>
                <c:pt idx="31">
                  <c:v>0.11549999999999999</c:v>
                </c:pt>
                <c:pt idx="32">
                  <c:v>0.11599999999999999</c:v>
                </c:pt>
                <c:pt idx="33">
                  <c:v>0.11649999999999999</c:v>
                </c:pt>
                <c:pt idx="34">
                  <c:v>0.11699999999999999</c:v>
                </c:pt>
                <c:pt idx="35">
                  <c:v>0.11749999999999999</c:v>
                </c:pt>
                <c:pt idx="36">
                  <c:v>0.11799999999999999</c:v>
                </c:pt>
                <c:pt idx="37">
                  <c:v>0.11849999999999999</c:v>
                </c:pt>
                <c:pt idx="38">
                  <c:v>0.11899999999999999</c:v>
                </c:pt>
                <c:pt idx="39">
                  <c:v>0.1195</c:v>
                </c:pt>
                <c:pt idx="40">
                  <c:v>0.12</c:v>
                </c:pt>
                <c:pt idx="41">
                  <c:v>0.1205</c:v>
                </c:pt>
                <c:pt idx="42">
                  <c:v>0.121</c:v>
                </c:pt>
                <c:pt idx="43">
                  <c:v>0.1215</c:v>
                </c:pt>
                <c:pt idx="44">
                  <c:v>0.122</c:v>
                </c:pt>
                <c:pt idx="45">
                  <c:v>0.1225</c:v>
                </c:pt>
                <c:pt idx="46">
                  <c:v>0.123</c:v>
                </c:pt>
                <c:pt idx="47">
                  <c:v>0.1235</c:v>
                </c:pt>
                <c:pt idx="48">
                  <c:v>0.124</c:v>
                </c:pt>
                <c:pt idx="49">
                  <c:v>0.1245</c:v>
                </c:pt>
                <c:pt idx="50">
                  <c:v>0.125</c:v>
                </c:pt>
                <c:pt idx="51">
                  <c:v>0.1255</c:v>
                </c:pt>
                <c:pt idx="52">
                  <c:v>0.126</c:v>
                </c:pt>
                <c:pt idx="53">
                  <c:v>0.1265</c:v>
                </c:pt>
                <c:pt idx="54">
                  <c:v>0.127</c:v>
                </c:pt>
                <c:pt idx="55">
                  <c:v>0.1275</c:v>
                </c:pt>
                <c:pt idx="56">
                  <c:v>0.128</c:v>
                </c:pt>
                <c:pt idx="57">
                  <c:v>0.1285</c:v>
                </c:pt>
                <c:pt idx="58">
                  <c:v>0.129</c:v>
                </c:pt>
                <c:pt idx="59">
                  <c:v>0.1295</c:v>
                </c:pt>
                <c:pt idx="60">
                  <c:v>0.13</c:v>
                </c:pt>
                <c:pt idx="61">
                  <c:v>0.1305</c:v>
                </c:pt>
                <c:pt idx="62">
                  <c:v>0.13100000000000001</c:v>
                </c:pt>
                <c:pt idx="63">
                  <c:v>0.13150000000000001</c:v>
                </c:pt>
                <c:pt idx="64">
                  <c:v>0.13200000000000001</c:v>
                </c:pt>
                <c:pt idx="65">
                  <c:v>0.13250000000000001</c:v>
                </c:pt>
                <c:pt idx="66">
                  <c:v>0.13300000000000001</c:v>
                </c:pt>
                <c:pt idx="67">
                  <c:v>0.13350000000000001</c:v>
                </c:pt>
                <c:pt idx="68">
                  <c:v>0.13400000000000001</c:v>
                </c:pt>
                <c:pt idx="69">
                  <c:v>0.13450000000000001</c:v>
                </c:pt>
                <c:pt idx="70">
                  <c:v>0.13500000000000001</c:v>
                </c:pt>
                <c:pt idx="71">
                  <c:v>0.13550000000000001</c:v>
                </c:pt>
                <c:pt idx="72">
                  <c:v>0.13600000000000001</c:v>
                </c:pt>
                <c:pt idx="73">
                  <c:v>0.13650000000000001</c:v>
                </c:pt>
                <c:pt idx="74">
                  <c:v>0.13700000000000001</c:v>
                </c:pt>
                <c:pt idx="75">
                  <c:v>0.13749999999999998</c:v>
                </c:pt>
                <c:pt idx="76">
                  <c:v>0.13799999999999998</c:v>
                </c:pt>
                <c:pt idx="77">
                  <c:v>0.13849999999999998</c:v>
                </c:pt>
                <c:pt idx="78">
                  <c:v>0.13899999999999998</c:v>
                </c:pt>
                <c:pt idx="79">
                  <c:v>0.13949999999999999</c:v>
                </c:pt>
                <c:pt idx="80">
                  <c:v>0.14000000000000001</c:v>
                </c:pt>
                <c:pt idx="81">
                  <c:v>0.14050000000000001</c:v>
                </c:pt>
                <c:pt idx="82">
                  <c:v>0.14099999999999999</c:v>
                </c:pt>
                <c:pt idx="83">
                  <c:v>0.14149999999999999</c:v>
                </c:pt>
                <c:pt idx="84">
                  <c:v>0.14200000000000002</c:v>
                </c:pt>
                <c:pt idx="85">
                  <c:v>0.14250000000000002</c:v>
                </c:pt>
                <c:pt idx="86">
                  <c:v>0.14300000000000002</c:v>
                </c:pt>
                <c:pt idx="87">
                  <c:v>0.14350000000000002</c:v>
                </c:pt>
                <c:pt idx="88">
                  <c:v>0.14400000000000002</c:v>
                </c:pt>
                <c:pt idx="89">
                  <c:v>0.14450000000000002</c:v>
                </c:pt>
                <c:pt idx="90">
                  <c:v>0.14500000000000002</c:v>
                </c:pt>
                <c:pt idx="91">
                  <c:v>0.14550000000000002</c:v>
                </c:pt>
                <c:pt idx="92">
                  <c:v>0.14600000000000002</c:v>
                </c:pt>
                <c:pt idx="93">
                  <c:v>0.14649999999999999</c:v>
                </c:pt>
                <c:pt idx="94">
                  <c:v>0.14699999999999999</c:v>
                </c:pt>
                <c:pt idx="95">
                  <c:v>0.14749999999999999</c:v>
                </c:pt>
                <c:pt idx="96">
                  <c:v>0.14799999999999999</c:v>
                </c:pt>
                <c:pt idx="97">
                  <c:v>0.14849999999999999</c:v>
                </c:pt>
                <c:pt idx="98">
                  <c:v>0.14899999999999999</c:v>
                </c:pt>
                <c:pt idx="99">
                  <c:v>0.14949999999999999</c:v>
                </c:pt>
                <c:pt idx="100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03-43CE-A3A9-165C68C33F48}"/>
            </c:ext>
          </c:extLst>
        </c:ser>
        <c:ser>
          <c:idx val="3"/>
          <c:order val="3"/>
          <c:spPr>
            <a:ln w="19050">
              <a:noFill/>
            </a:ln>
          </c:spPr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possible!$C$4:$C$5</c:f>
              <c:numCache>
                <c:formatCode>0%</c:formatCode>
                <c:ptCount val="2"/>
                <c:pt idx="0">
                  <c:v>0.2</c:v>
                </c:pt>
                <c:pt idx="1">
                  <c:v>0.23</c:v>
                </c:pt>
              </c:numCache>
            </c:numRef>
          </c:xVal>
          <c:yVal>
            <c:numRef>
              <c:f>possible!$B$4:$B$5</c:f>
              <c:numCache>
                <c:formatCode>0%</c:formatCode>
                <c:ptCount val="2"/>
                <c:pt idx="0">
                  <c:v>0.1</c:v>
                </c:pt>
                <c:pt idx="1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03-43CE-A3A9-165C68C33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46447"/>
        <c:axId val="1"/>
      </c:scatterChart>
      <c:valAx>
        <c:axId val="64846447"/>
        <c:scaling>
          <c:orientation val="minMax"/>
        </c:scaling>
        <c:delete val="0"/>
        <c:axPos val="b"/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.0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846447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verticalDpi="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2396694214876"/>
          <c:y val="4.3993231810490696E-2"/>
          <c:w val="0.75103305785123964"/>
          <c:h val="0.81387478849407779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frontier!$I$15:$I$35</c:f>
              <c:numCache>
                <c:formatCode>0.000</c:formatCode>
                <c:ptCount val="21"/>
                <c:pt idx="0">
                  <c:v>1.5981885833202136</c:v>
                </c:pt>
                <c:pt idx="1">
                  <c:v>1.513469750567241</c:v>
                </c:pt>
                <c:pt idx="2">
                  <c:v>1.4288603442244809</c:v>
                </c:pt>
                <c:pt idx="3">
                  <c:v>1.3443810248961314</c:v>
                </c:pt>
                <c:pt idx="4">
                  <c:v>1.260057957513258</c:v>
                </c:pt>
                <c:pt idx="5">
                  <c:v>1.175924756041997</c:v>
                </c:pt>
                <c:pt idx="6">
                  <c:v>1.0920253050367534</c:v>
                </c:pt>
                <c:pt idx="7">
                  <c:v>1.008417949660277</c:v>
                </c:pt>
                <c:pt idx="8">
                  <c:v>0.9251818820868124</c:v>
                </c:pt>
                <c:pt idx="9">
                  <c:v>0.84242716484844815</c:v>
                </c:pt>
                <c:pt idx="10">
                  <c:v>0.76031098939560893</c:v>
                </c:pt>
                <c:pt idx="11">
                  <c:v>0.6790650429120193</c:v>
                </c:pt>
                <c:pt idx="12">
                  <c:v>0.59904350743724222</c:v>
                </c:pt>
                <c:pt idx="13">
                  <c:v>0.52081107370001412</c:v>
                </c:pt>
                <c:pt idx="14">
                  <c:v>0.44531167126255233</c:v>
                </c:pt>
                <c:pt idx="15">
                  <c:v>0.37420322556729924</c:v>
                </c:pt>
                <c:pt idx="16">
                  <c:v>0.31051712171075568</c:v>
                </c:pt>
                <c:pt idx="17">
                  <c:v>0.2597709974464647</c:v>
                </c:pt>
                <c:pt idx="18">
                  <c:v>0.2306692843474564</c:v>
                </c:pt>
                <c:pt idx="19">
                  <c:v>0.23152305664154044</c:v>
                </c:pt>
                <c:pt idx="20">
                  <c:v>0.26203967669067574</c:v>
                </c:pt>
              </c:numCache>
            </c:numRef>
          </c:xVal>
          <c:yVal>
            <c:numRef>
              <c:f>frontier!$G$15:$G$35</c:f>
              <c:numCache>
                <c:formatCode>0%</c:formatCode>
                <c:ptCount val="21"/>
                <c:pt idx="0">
                  <c:v>0.50000001292381024</c:v>
                </c:pt>
                <c:pt idx="1">
                  <c:v>0.48000001212456372</c:v>
                </c:pt>
                <c:pt idx="2">
                  <c:v>0.46000001132531776</c:v>
                </c:pt>
                <c:pt idx="3">
                  <c:v>0.44000001052607129</c:v>
                </c:pt>
                <c:pt idx="4">
                  <c:v>0.42000000972682516</c:v>
                </c:pt>
                <c:pt idx="5">
                  <c:v>0.40000000892757892</c:v>
                </c:pt>
                <c:pt idx="6">
                  <c:v>0.38000000812833262</c:v>
                </c:pt>
                <c:pt idx="7">
                  <c:v>0.36000000732908644</c:v>
                </c:pt>
                <c:pt idx="8">
                  <c:v>0.34000000652983997</c:v>
                </c:pt>
                <c:pt idx="9">
                  <c:v>0.32000000573059378</c:v>
                </c:pt>
                <c:pt idx="10">
                  <c:v>0.3000000049313476</c:v>
                </c:pt>
                <c:pt idx="11">
                  <c:v>0.2800000041321013</c:v>
                </c:pt>
                <c:pt idx="12">
                  <c:v>0.26000000333285506</c:v>
                </c:pt>
                <c:pt idx="13">
                  <c:v>0.24000000253360876</c:v>
                </c:pt>
                <c:pt idx="14">
                  <c:v>0.22000000173436246</c:v>
                </c:pt>
                <c:pt idx="15">
                  <c:v>0.20000000093511622</c:v>
                </c:pt>
                <c:pt idx="16">
                  <c:v>0.18000000013586995</c:v>
                </c:pt>
                <c:pt idx="17">
                  <c:v>0.15999999933662365</c:v>
                </c:pt>
                <c:pt idx="18">
                  <c:v>0.13999999853737735</c:v>
                </c:pt>
                <c:pt idx="19">
                  <c:v>0.11999999773813107</c:v>
                </c:pt>
                <c:pt idx="20">
                  <c:v>9.9999996938884783E-2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BB-4D65-8E61-922D863D0097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frontier!$H$5:$H$7</c:f>
              <c:numCache>
                <c:formatCode>0%</c:formatCode>
                <c:ptCount val="3"/>
                <c:pt idx="0">
                  <c:v>0.28000000000000003</c:v>
                </c:pt>
                <c:pt idx="1">
                  <c:v>0.32</c:v>
                </c:pt>
                <c:pt idx="2">
                  <c:v>0.38</c:v>
                </c:pt>
              </c:numCache>
            </c:numRef>
          </c:xVal>
          <c:yVal>
            <c:numRef>
              <c:f>frontier!$G$5:$G$7</c:f>
              <c:numCache>
                <c:formatCode>0%</c:formatCode>
                <c:ptCount val="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BB-4D65-8E61-922D863D0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63983"/>
        <c:axId val="1"/>
      </c:scatterChart>
      <c:valAx>
        <c:axId val="59363983"/>
        <c:scaling>
          <c:orientation val="minMax"/>
        </c:scaling>
        <c:delete val="0"/>
        <c:axPos val="b"/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363983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2396694214876"/>
          <c:y val="4.3993231810490696E-2"/>
          <c:w val="0.75"/>
          <c:h val="0.81387478849407779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3366FF"/>
              </a:solidFill>
              <a:prstDash val="sysDash"/>
            </a:ln>
          </c:spPr>
          <c:marker>
            <c:symbol val="none"/>
          </c:marker>
          <c:xVal>
            <c:numRef>
              <c:f>frontier!$I$15:$I$35</c:f>
              <c:numCache>
                <c:formatCode>0.000</c:formatCode>
                <c:ptCount val="21"/>
                <c:pt idx="0">
                  <c:v>1.5981885833202136</c:v>
                </c:pt>
                <c:pt idx="1">
                  <c:v>1.513469750567241</c:v>
                </c:pt>
                <c:pt idx="2">
                  <c:v>1.4288603442244809</c:v>
                </c:pt>
                <c:pt idx="3">
                  <c:v>1.3443810248961314</c:v>
                </c:pt>
                <c:pt idx="4">
                  <c:v>1.260057957513258</c:v>
                </c:pt>
                <c:pt idx="5">
                  <c:v>1.175924756041997</c:v>
                </c:pt>
                <c:pt idx="6">
                  <c:v>1.0920253050367534</c:v>
                </c:pt>
                <c:pt idx="7">
                  <c:v>1.008417949660277</c:v>
                </c:pt>
                <c:pt idx="8">
                  <c:v>0.9251818820868124</c:v>
                </c:pt>
                <c:pt idx="9">
                  <c:v>0.84242716484844815</c:v>
                </c:pt>
                <c:pt idx="10">
                  <c:v>0.76031098939560893</c:v>
                </c:pt>
                <c:pt idx="11">
                  <c:v>0.6790650429120193</c:v>
                </c:pt>
                <c:pt idx="12">
                  <c:v>0.59904350743724222</c:v>
                </c:pt>
                <c:pt idx="13">
                  <c:v>0.52081107370001412</c:v>
                </c:pt>
                <c:pt idx="14">
                  <c:v>0.44531167126255233</c:v>
                </c:pt>
                <c:pt idx="15">
                  <c:v>0.37420322556729924</c:v>
                </c:pt>
                <c:pt idx="16">
                  <c:v>0.31051712171075568</c:v>
                </c:pt>
                <c:pt idx="17">
                  <c:v>0.2597709974464647</c:v>
                </c:pt>
                <c:pt idx="18">
                  <c:v>0.2306692843474564</c:v>
                </c:pt>
                <c:pt idx="19">
                  <c:v>0.23152305664154044</c:v>
                </c:pt>
                <c:pt idx="20">
                  <c:v>0.26203967669067574</c:v>
                </c:pt>
              </c:numCache>
            </c:numRef>
          </c:xVal>
          <c:yVal>
            <c:numRef>
              <c:f>frontier!$G$15:$G$35</c:f>
              <c:numCache>
                <c:formatCode>0%</c:formatCode>
                <c:ptCount val="21"/>
                <c:pt idx="0">
                  <c:v>0.50000001292381024</c:v>
                </c:pt>
                <c:pt idx="1">
                  <c:v>0.48000001212456372</c:v>
                </c:pt>
                <c:pt idx="2">
                  <c:v>0.46000001132531776</c:v>
                </c:pt>
                <c:pt idx="3">
                  <c:v>0.44000001052607129</c:v>
                </c:pt>
                <c:pt idx="4">
                  <c:v>0.42000000972682516</c:v>
                </c:pt>
                <c:pt idx="5">
                  <c:v>0.40000000892757892</c:v>
                </c:pt>
                <c:pt idx="6">
                  <c:v>0.38000000812833262</c:v>
                </c:pt>
                <c:pt idx="7">
                  <c:v>0.36000000732908644</c:v>
                </c:pt>
                <c:pt idx="8">
                  <c:v>0.34000000652983997</c:v>
                </c:pt>
                <c:pt idx="9">
                  <c:v>0.32000000573059378</c:v>
                </c:pt>
                <c:pt idx="10">
                  <c:v>0.3000000049313476</c:v>
                </c:pt>
                <c:pt idx="11">
                  <c:v>0.2800000041321013</c:v>
                </c:pt>
                <c:pt idx="12">
                  <c:v>0.26000000333285506</c:v>
                </c:pt>
                <c:pt idx="13">
                  <c:v>0.24000000253360876</c:v>
                </c:pt>
                <c:pt idx="14">
                  <c:v>0.22000000173436246</c:v>
                </c:pt>
                <c:pt idx="15">
                  <c:v>0.20000000093511622</c:v>
                </c:pt>
                <c:pt idx="16">
                  <c:v>0.18000000013586995</c:v>
                </c:pt>
                <c:pt idx="17">
                  <c:v>0.15999999933662365</c:v>
                </c:pt>
                <c:pt idx="18">
                  <c:v>0.13999999853737735</c:v>
                </c:pt>
                <c:pt idx="19">
                  <c:v>0.11999999773813107</c:v>
                </c:pt>
                <c:pt idx="20">
                  <c:v>9.9999996938884783E-2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D2-4596-BA79-A0B01C242BB9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frontier!$H$5:$H$7</c:f>
              <c:numCache>
                <c:formatCode>0%</c:formatCode>
                <c:ptCount val="3"/>
                <c:pt idx="0">
                  <c:v>0.28000000000000003</c:v>
                </c:pt>
                <c:pt idx="1">
                  <c:v>0.32</c:v>
                </c:pt>
                <c:pt idx="2">
                  <c:v>0.38</c:v>
                </c:pt>
              </c:numCache>
            </c:numRef>
          </c:xVal>
          <c:yVal>
            <c:numRef>
              <c:f>frontier!$G$5:$G$7</c:f>
              <c:numCache>
                <c:formatCode>0%</c:formatCode>
                <c:ptCount val="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D2-4596-BA79-A0B01C242BB9}"/>
            </c:ext>
          </c:extLst>
        </c:ser>
        <c:ser>
          <c:idx val="2"/>
          <c:order val="2"/>
          <c:spPr>
            <a:ln w="38100">
              <a:solidFill>
                <a:srgbClr val="FFCC00"/>
              </a:solidFill>
              <a:prstDash val="solid"/>
            </a:ln>
          </c:spPr>
          <c:marker>
            <c:symbol val="x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frontier2!$J$16:$J$44</c:f>
              <c:numCache>
                <c:formatCode>0.000</c:formatCode>
                <c:ptCount val="29"/>
                <c:pt idx="0">
                  <c:v>0.88308269852955157</c:v>
                </c:pt>
                <c:pt idx="1">
                  <c:v>0.84775939053019167</c:v>
                </c:pt>
                <c:pt idx="2">
                  <c:v>0.81243608253083166</c:v>
                </c:pt>
                <c:pt idx="3">
                  <c:v>0.77711277453147209</c:v>
                </c:pt>
                <c:pt idx="4">
                  <c:v>0.74178946653211231</c:v>
                </c:pt>
                <c:pt idx="5">
                  <c:v>0.70646615853275252</c:v>
                </c:pt>
                <c:pt idx="6">
                  <c:v>0.67114285053339273</c:v>
                </c:pt>
                <c:pt idx="7">
                  <c:v>0.63581954253403339</c:v>
                </c:pt>
                <c:pt idx="8">
                  <c:v>0.60049623453467416</c:v>
                </c:pt>
                <c:pt idx="9">
                  <c:v>0.56517292653531537</c:v>
                </c:pt>
                <c:pt idx="10">
                  <c:v>0.52984961853595713</c:v>
                </c:pt>
                <c:pt idx="11">
                  <c:v>0.49452631053659879</c:v>
                </c:pt>
                <c:pt idx="12">
                  <c:v>0.45920300253724089</c:v>
                </c:pt>
                <c:pt idx="13">
                  <c:v>0.42387969453788349</c:v>
                </c:pt>
                <c:pt idx="14">
                  <c:v>0.38855638653852675</c:v>
                </c:pt>
                <c:pt idx="15">
                  <c:v>0.3532330785391708</c:v>
                </c:pt>
                <c:pt idx="16">
                  <c:v>0.31790977053981595</c:v>
                </c:pt>
                <c:pt idx="17">
                  <c:v>0.2825864625404626</c:v>
                </c:pt>
                <c:pt idx="18">
                  <c:v>0.24726315454111147</c:v>
                </c:pt>
                <c:pt idx="19">
                  <c:v>0.21193984654176359</c:v>
                </c:pt>
                <c:pt idx="20">
                  <c:v>0.1766165385424209</c:v>
                </c:pt>
                <c:pt idx="21">
                  <c:v>0.14129323054308729</c:v>
                </c:pt>
                <c:pt idx="22">
                  <c:v>0.10596992254377195</c:v>
                </c:pt>
                <c:pt idx="23">
                  <c:v>7.0646614544502107E-2</c:v>
                </c:pt>
                <c:pt idx="24">
                  <c:v>3.5323306545414483E-2</c:v>
                </c:pt>
                <c:pt idx="25">
                  <c:v>1.9650734842148645E-7</c:v>
                </c:pt>
                <c:pt idx="26">
                  <c:v>3.5323309454400494E-2</c:v>
                </c:pt>
                <c:pt idx="27">
                  <c:v>7.0646617453488075E-2</c:v>
                </c:pt>
                <c:pt idx="28">
                  <c:v>0.10596992545275792</c:v>
                </c:pt>
              </c:numCache>
            </c:numRef>
          </c:xVal>
          <c:yVal>
            <c:numRef>
              <c:f>frontier2!$H$16:$H$44</c:f>
              <c:numCache>
                <c:formatCode>0%</c:formatCode>
                <c:ptCount val="29"/>
                <c:pt idx="0">
                  <c:v>0.42500250082928825</c:v>
                </c:pt>
                <c:pt idx="1">
                  <c:v>0.41000240077128047</c:v>
                </c:pt>
                <c:pt idx="2">
                  <c:v>0.39500230071327258</c:v>
                </c:pt>
                <c:pt idx="3">
                  <c:v>0.38000220065526485</c:v>
                </c:pt>
                <c:pt idx="4">
                  <c:v>0.36500210059725707</c:v>
                </c:pt>
                <c:pt idx="5">
                  <c:v>0.35000200053924924</c:v>
                </c:pt>
                <c:pt idx="6">
                  <c:v>0.33500190048124123</c:v>
                </c:pt>
                <c:pt idx="7">
                  <c:v>0.3200018004232334</c:v>
                </c:pt>
                <c:pt idx="8">
                  <c:v>0.30500170036522556</c:v>
                </c:pt>
                <c:pt idx="9">
                  <c:v>0.29000160030721789</c:v>
                </c:pt>
                <c:pt idx="10">
                  <c:v>0.27500150024921022</c:v>
                </c:pt>
                <c:pt idx="11">
                  <c:v>0.26000140019120238</c:v>
                </c:pt>
                <c:pt idx="12">
                  <c:v>0.2450013001331946</c:v>
                </c:pt>
                <c:pt idx="13">
                  <c:v>0.23000120007518682</c:v>
                </c:pt>
                <c:pt idx="14">
                  <c:v>0.21500110001717898</c:v>
                </c:pt>
                <c:pt idx="15">
                  <c:v>0.20000099995917114</c:v>
                </c:pt>
                <c:pt idx="16">
                  <c:v>0.18500089990116339</c:v>
                </c:pt>
                <c:pt idx="17">
                  <c:v>0.17000079984315558</c:v>
                </c:pt>
                <c:pt idx="18">
                  <c:v>0.15500069978514774</c:v>
                </c:pt>
                <c:pt idx="19">
                  <c:v>0.14000059972713996</c:v>
                </c:pt>
                <c:pt idx="20">
                  <c:v>0.12500049966913218</c:v>
                </c:pt>
                <c:pt idx="21">
                  <c:v>0.11000039961112434</c:v>
                </c:pt>
                <c:pt idx="22">
                  <c:v>9.5000299553116563E-2</c:v>
                </c:pt>
                <c:pt idx="23">
                  <c:v>8.0000199495108754E-2</c:v>
                </c:pt>
                <c:pt idx="24">
                  <c:v>6.5000099437100944E-2</c:v>
                </c:pt>
                <c:pt idx="25">
                  <c:v>4.9999999379093142E-2</c:v>
                </c:pt>
                <c:pt idx="26">
                  <c:v>3.4999899321085333E-2</c:v>
                </c:pt>
                <c:pt idx="27">
                  <c:v>1.9999799263077545E-2</c:v>
                </c:pt>
                <c:pt idx="28">
                  <c:v>4.9996992050697076E-3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D2-4596-BA79-A0B01C242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65231"/>
        <c:axId val="1"/>
      </c:scatterChart>
      <c:valAx>
        <c:axId val="59365231"/>
        <c:scaling>
          <c:orientation val="minMax"/>
        </c:scaling>
        <c:delete val="0"/>
        <c:axPos val="b"/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36523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2396694214876"/>
          <c:y val="4.3993231810490696E-2"/>
          <c:w val="0.75"/>
          <c:h val="0.81387478849407779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efficient1!$I$15:$I$50</c:f>
              <c:numCache>
                <c:formatCode>0.000</c:formatCode>
                <c:ptCount val="36"/>
                <c:pt idx="0">
                  <c:v>0.57583246114089781</c:v>
                </c:pt>
                <c:pt idx="1">
                  <c:v>0.56361197236554539</c:v>
                </c:pt>
                <c:pt idx="2">
                  <c:v>0.5514426472686319</c:v>
                </c:pt>
                <c:pt idx="3">
                  <c:v>0.53932794921286364</c:v>
                </c:pt>
                <c:pt idx="4">
                  <c:v>0.52727164357694167</c:v>
                </c:pt>
                <c:pt idx="5">
                  <c:v>0.51527782911858855</c:v>
                </c:pt>
                <c:pt idx="6">
                  <c:v>0.50335097296484987</c:v>
                </c:pt>
                <c:pt idx="7">
                  <c:v>0.49149594965860782</c:v>
                </c:pt>
                <c:pt idx="8">
                  <c:v>0.47971808473272326</c:v>
                </c:pt>
                <c:pt idx="9">
                  <c:v>0.46802320332554859</c:v>
                </c:pt>
                <c:pt idx="10">
                  <c:v>0.45641768439143893</c:v>
                </c:pt>
                <c:pt idx="11">
                  <c:v>0.44490852109398638</c:v>
                </c:pt>
                <c:pt idx="12">
                  <c:v>0.43350338799309646</c:v>
                </c:pt>
                <c:pt idx="13">
                  <c:v>0.42221071564280305</c:v>
                </c:pt>
                <c:pt idx="14">
                  <c:v>0.41103977319522567</c:v>
                </c:pt>
                <c:pt idx="15">
                  <c:v>0.40000075954405018</c:v>
                </c:pt>
                <c:pt idx="16">
                  <c:v>0.3891049034205446</c:v>
                </c:pt>
                <c:pt idx="17">
                  <c:v>0.3783645726527069</c:v>
                </c:pt>
                <c:pt idx="18">
                  <c:v>0.36779339248289861</c:v>
                </c:pt>
                <c:pt idx="19">
                  <c:v>0.35740637237205686</c:v>
                </c:pt>
                <c:pt idx="20">
                  <c:v>0.34722004005081142</c:v>
                </c:pt>
                <c:pt idx="21">
                  <c:v>0.33725258065177294</c:v>
                </c:pt>
                <c:pt idx="22">
                  <c:v>0.32752397750750101</c:v>
                </c:pt>
                <c:pt idx="23">
                  <c:v>0.31805614955703537</c:v>
                </c:pt>
                <c:pt idx="24">
                  <c:v>0.30887307820918986</c:v>
                </c:pt>
                <c:pt idx="25">
                  <c:v>0.30000091392603001</c:v>
                </c:pt>
                <c:pt idx="26">
                  <c:v>0.29146804972954754</c:v>
                </c:pt>
                <c:pt idx="27">
                  <c:v>0.28330514540420659</c:v>
                </c:pt>
                <c:pt idx="28">
                  <c:v>0.27554508261718463</c:v>
                </c:pt>
                <c:pt idx="29">
                  <c:v>0.26822282796060326</c:v>
                </c:pt>
                <c:pt idx="30">
                  <c:v>0.26137517874984911</c:v>
                </c:pt>
                <c:pt idx="31">
                  <c:v>0.25504036628837318</c:v>
                </c:pt>
                <c:pt idx="32">
                  <c:v>0.24925749446939285</c:v>
                </c:pt>
                <c:pt idx="33">
                  <c:v>0.24406579933384986</c:v>
                </c:pt>
                <c:pt idx="34">
                  <c:v>0.23950372857732852</c:v>
                </c:pt>
                <c:pt idx="35">
                  <c:v>0.23560785925574301</c:v>
                </c:pt>
              </c:numCache>
            </c:numRef>
          </c:xVal>
          <c:yVal>
            <c:numRef>
              <c:f>efficient1!$G$15:$G$50</c:f>
              <c:numCache>
                <c:formatCode>0%</c:formatCode>
                <c:ptCount val="36"/>
                <c:pt idx="0">
                  <c:v>0.25412138011166346</c:v>
                </c:pt>
                <c:pt idx="1">
                  <c:v>0.25100946086504278</c:v>
                </c:pt>
                <c:pt idx="2">
                  <c:v>0.24789754161842198</c:v>
                </c:pt>
                <c:pt idx="3">
                  <c:v>0.24478562237180129</c:v>
                </c:pt>
                <c:pt idx="4">
                  <c:v>0.24167370312518061</c:v>
                </c:pt>
                <c:pt idx="5">
                  <c:v>0.23856178387855981</c:v>
                </c:pt>
                <c:pt idx="6">
                  <c:v>0.23544986463193904</c:v>
                </c:pt>
                <c:pt idx="7">
                  <c:v>0.23233794538531827</c:v>
                </c:pt>
                <c:pt idx="8">
                  <c:v>0.2292260261386975</c:v>
                </c:pt>
                <c:pt idx="9">
                  <c:v>0.22611410689207678</c:v>
                </c:pt>
                <c:pt idx="10">
                  <c:v>0.2230021876454561</c:v>
                </c:pt>
                <c:pt idx="11">
                  <c:v>0.21989026839883524</c:v>
                </c:pt>
                <c:pt idx="12">
                  <c:v>0.21677834915221458</c:v>
                </c:pt>
                <c:pt idx="13">
                  <c:v>0.21366642990559384</c:v>
                </c:pt>
                <c:pt idx="14">
                  <c:v>0.2105545106589731</c:v>
                </c:pt>
                <c:pt idx="15">
                  <c:v>0.20744259141235236</c:v>
                </c:pt>
                <c:pt idx="16">
                  <c:v>0.20433067216573161</c:v>
                </c:pt>
                <c:pt idx="17">
                  <c:v>0.20121875291911087</c:v>
                </c:pt>
                <c:pt idx="18">
                  <c:v>0.1981068336724901</c:v>
                </c:pt>
                <c:pt idx="19">
                  <c:v>0.19499491442586936</c:v>
                </c:pt>
                <c:pt idx="20">
                  <c:v>0.19188299517924862</c:v>
                </c:pt>
                <c:pt idx="21">
                  <c:v>0.18877107593262787</c:v>
                </c:pt>
                <c:pt idx="22">
                  <c:v>0.18565915668600713</c:v>
                </c:pt>
                <c:pt idx="23">
                  <c:v>0.18254723743938639</c:v>
                </c:pt>
                <c:pt idx="24">
                  <c:v>0.17943531819276565</c:v>
                </c:pt>
                <c:pt idx="25">
                  <c:v>0.1763233989461449</c:v>
                </c:pt>
                <c:pt idx="26">
                  <c:v>0.17321147969952411</c:v>
                </c:pt>
                <c:pt idx="27">
                  <c:v>0.17009956045290342</c:v>
                </c:pt>
                <c:pt idx="28">
                  <c:v>0.16698764120628262</c:v>
                </c:pt>
                <c:pt idx="29">
                  <c:v>0.16387572195966188</c:v>
                </c:pt>
                <c:pt idx="30">
                  <c:v>0.16076380271304119</c:v>
                </c:pt>
                <c:pt idx="31">
                  <c:v>0.15765188346642042</c:v>
                </c:pt>
                <c:pt idx="32">
                  <c:v>0.15453996421979965</c:v>
                </c:pt>
                <c:pt idx="33">
                  <c:v>0.15142804497317888</c:v>
                </c:pt>
                <c:pt idx="34">
                  <c:v>0.14831612572655817</c:v>
                </c:pt>
                <c:pt idx="35">
                  <c:v>0.14520420647993743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49-4146-8433-B3C99CC62AA4}"/>
            </c:ext>
          </c:extLst>
        </c:ser>
        <c:ser>
          <c:idx val="2"/>
          <c:order val="1"/>
          <c:spPr>
            <a:ln w="38100">
              <a:solidFill>
                <a:srgbClr val="3366FF"/>
              </a:solidFill>
              <a:prstDash val="sysDash"/>
            </a:ln>
          </c:spPr>
          <c:marker>
            <c:symbol val="none"/>
          </c:marker>
          <c:xVal>
            <c:numRef>
              <c:f>frontier!$I$15:$I$35</c:f>
              <c:numCache>
                <c:formatCode>0.000</c:formatCode>
                <c:ptCount val="21"/>
                <c:pt idx="0">
                  <c:v>1.5981885833202136</c:v>
                </c:pt>
                <c:pt idx="1">
                  <c:v>1.513469750567241</c:v>
                </c:pt>
                <c:pt idx="2">
                  <c:v>1.4288603442244809</c:v>
                </c:pt>
                <c:pt idx="3">
                  <c:v>1.3443810248961314</c:v>
                </c:pt>
                <c:pt idx="4">
                  <c:v>1.260057957513258</c:v>
                </c:pt>
                <c:pt idx="5">
                  <c:v>1.175924756041997</c:v>
                </c:pt>
                <c:pt idx="6">
                  <c:v>1.0920253050367534</c:v>
                </c:pt>
                <c:pt idx="7">
                  <c:v>1.008417949660277</c:v>
                </c:pt>
                <c:pt idx="8">
                  <c:v>0.9251818820868124</c:v>
                </c:pt>
                <c:pt idx="9">
                  <c:v>0.84242716484844815</c:v>
                </c:pt>
                <c:pt idx="10">
                  <c:v>0.76031098939560893</c:v>
                </c:pt>
                <c:pt idx="11">
                  <c:v>0.6790650429120193</c:v>
                </c:pt>
                <c:pt idx="12">
                  <c:v>0.59904350743724222</c:v>
                </c:pt>
                <c:pt idx="13">
                  <c:v>0.52081107370001412</c:v>
                </c:pt>
                <c:pt idx="14">
                  <c:v>0.44531167126255233</c:v>
                </c:pt>
                <c:pt idx="15">
                  <c:v>0.37420322556729924</c:v>
                </c:pt>
                <c:pt idx="16">
                  <c:v>0.31051712171075568</c:v>
                </c:pt>
                <c:pt idx="17">
                  <c:v>0.2597709974464647</c:v>
                </c:pt>
                <c:pt idx="18">
                  <c:v>0.2306692843474564</c:v>
                </c:pt>
                <c:pt idx="19">
                  <c:v>0.23152305664154044</c:v>
                </c:pt>
                <c:pt idx="20">
                  <c:v>0.26203967669067574</c:v>
                </c:pt>
              </c:numCache>
            </c:numRef>
          </c:xVal>
          <c:yVal>
            <c:numRef>
              <c:f>frontier!$G$15:$G$35</c:f>
              <c:numCache>
                <c:formatCode>0%</c:formatCode>
                <c:ptCount val="21"/>
                <c:pt idx="0">
                  <c:v>0.50000001292381024</c:v>
                </c:pt>
                <c:pt idx="1">
                  <c:v>0.48000001212456372</c:v>
                </c:pt>
                <c:pt idx="2">
                  <c:v>0.46000001132531776</c:v>
                </c:pt>
                <c:pt idx="3">
                  <c:v>0.44000001052607129</c:v>
                </c:pt>
                <c:pt idx="4">
                  <c:v>0.42000000972682516</c:v>
                </c:pt>
                <c:pt idx="5">
                  <c:v>0.40000000892757892</c:v>
                </c:pt>
                <c:pt idx="6">
                  <c:v>0.38000000812833262</c:v>
                </c:pt>
                <c:pt idx="7">
                  <c:v>0.36000000732908644</c:v>
                </c:pt>
                <c:pt idx="8">
                  <c:v>0.34000000652983997</c:v>
                </c:pt>
                <c:pt idx="9">
                  <c:v>0.32000000573059378</c:v>
                </c:pt>
                <c:pt idx="10">
                  <c:v>0.3000000049313476</c:v>
                </c:pt>
                <c:pt idx="11">
                  <c:v>0.2800000041321013</c:v>
                </c:pt>
                <c:pt idx="12">
                  <c:v>0.26000000333285506</c:v>
                </c:pt>
                <c:pt idx="13">
                  <c:v>0.24000000253360876</c:v>
                </c:pt>
                <c:pt idx="14">
                  <c:v>0.22000000173436246</c:v>
                </c:pt>
                <c:pt idx="15">
                  <c:v>0.20000000093511622</c:v>
                </c:pt>
                <c:pt idx="16">
                  <c:v>0.18000000013586995</c:v>
                </c:pt>
                <c:pt idx="17">
                  <c:v>0.15999999933662365</c:v>
                </c:pt>
                <c:pt idx="18">
                  <c:v>0.13999999853737735</c:v>
                </c:pt>
                <c:pt idx="19">
                  <c:v>0.11999999773813107</c:v>
                </c:pt>
                <c:pt idx="20">
                  <c:v>9.9999996938884783E-2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49-4146-8433-B3C99CC62AA4}"/>
            </c:ext>
          </c:extLst>
        </c:ser>
        <c:ser>
          <c:idx val="1"/>
          <c:order val="2"/>
          <c:spPr>
            <a:ln w="19050">
              <a:noFill/>
            </a:ln>
          </c:spPr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efficient1!$H$5:$H$7</c:f>
              <c:numCache>
                <c:formatCode>0%</c:formatCode>
                <c:ptCount val="3"/>
                <c:pt idx="0">
                  <c:v>0.28000000000000003</c:v>
                </c:pt>
                <c:pt idx="1">
                  <c:v>0.32</c:v>
                </c:pt>
                <c:pt idx="2">
                  <c:v>0.38</c:v>
                </c:pt>
              </c:numCache>
            </c:numRef>
          </c:xVal>
          <c:yVal>
            <c:numRef>
              <c:f>efficient1!$G$5:$G$7</c:f>
              <c:numCache>
                <c:formatCode>0%</c:formatCode>
                <c:ptCount val="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49-4146-8433-B3C99CC62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61071"/>
        <c:axId val="1"/>
      </c:scatterChart>
      <c:valAx>
        <c:axId val="59361071"/>
        <c:scaling>
          <c:orientation val="minMax"/>
        </c:scaling>
        <c:delete val="0"/>
        <c:axPos val="b"/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36107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2396694214876"/>
          <c:y val="4.3993231810490696E-2"/>
          <c:w val="0.75"/>
          <c:h val="0.81387478849407779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efficient2!$J$16:$J$41</c:f>
              <c:numCache>
                <c:formatCode>0.000</c:formatCode>
                <c:ptCount val="26"/>
                <c:pt idx="0">
                  <c:v>0.75000010799141825</c:v>
                </c:pt>
                <c:pt idx="1">
                  <c:v>0.72000014326716577</c:v>
                </c:pt>
                <c:pt idx="2">
                  <c:v>0.69000017854291329</c:v>
                </c:pt>
                <c:pt idx="3">
                  <c:v>0.66000021381866092</c:v>
                </c:pt>
                <c:pt idx="4">
                  <c:v>0.63000024909440855</c:v>
                </c:pt>
                <c:pt idx="5">
                  <c:v>0.60000028437015607</c:v>
                </c:pt>
                <c:pt idx="6">
                  <c:v>0.57000031964590359</c:v>
                </c:pt>
                <c:pt idx="7">
                  <c:v>0.5400003549216511</c:v>
                </c:pt>
                <c:pt idx="8">
                  <c:v>0.51000039019739896</c:v>
                </c:pt>
                <c:pt idx="9">
                  <c:v>0.48000042547314675</c:v>
                </c:pt>
                <c:pt idx="10">
                  <c:v>0.45000046074889494</c:v>
                </c:pt>
                <c:pt idx="11">
                  <c:v>0.42000049602464296</c:v>
                </c:pt>
                <c:pt idx="12">
                  <c:v>0.39000053130039103</c:v>
                </c:pt>
                <c:pt idx="13">
                  <c:v>0.36000056657613921</c:v>
                </c:pt>
                <c:pt idx="14">
                  <c:v>0.33000060185188762</c:v>
                </c:pt>
                <c:pt idx="15">
                  <c:v>0.30000063712763614</c:v>
                </c:pt>
                <c:pt idx="16">
                  <c:v>0.2700006724033851</c:v>
                </c:pt>
                <c:pt idx="17">
                  <c:v>0.24000070767913434</c:v>
                </c:pt>
                <c:pt idx="18">
                  <c:v>0.21000074295488422</c:v>
                </c:pt>
                <c:pt idx="19">
                  <c:v>0.18000077823063496</c:v>
                </c:pt>
                <c:pt idx="20">
                  <c:v>0.15000081350638705</c:v>
                </c:pt>
                <c:pt idx="21">
                  <c:v>0.12000084878214158</c:v>
                </c:pt>
                <c:pt idx="22">
                  <c:v>9.0000884057900965E-2</c:v>
                </c:pt>
                <c:pt idx="23">
                  <c:v>6.0000919333672374E-2</c:v>
                </c:pt>
                <c:pt idx="24">
                  <c:v>3.0000954609492144E-2</c:v>
                </c:pt>
                <c:pt idx="25">
                  <c:v>9.9426901771135384E-7</c:v>
                </c:pt>
              </c:numCache>
            </c:numRef>
          </c:xVal>
          <c:yVal>
            <c:numRef>
              <c:f>efficient2!$H$16:$H$41</c:f>
              <c:numCache>
                <c:formatCode>0%</c:formatCode>
                <c:ptCount val="26"/>
                <c:pt idx="0">
                  <c:v>0.36848873730144716</c:v>
                </c:pt>
                <c:pt idx="1">
                  <c:v>0.35574920462386256</c:v>
                </c:pt>
                <c:pt idx="2">
                  <c:v>0.34300967194627774</c:v>
                </c:pt>
                <c:pt idx="3">
                  <c:v>0.3302701392686932</c:v>
                </c:pt>
                <c:pt idx="4">
                  <c:v>0.31753060659110843</c:v>
                </c:pt>
                <c:pt idx="5">
                  <c:v>0.30479107391352384</c:v>
                </c:pt>
                <c:pt idx="6">
                  <c:v>0.29205154123593902</c:v>
                </c:pt>
                <c:pt idx="7">
                  <c:v>0.27931200855835425</c:v>
                </c:pt>
                <c:pt idx="8">
                  <c:v>0.2665724758807696</c:v>
                </c:pt>
                <c:pt idx="9">
                  <c:v>0.25383294320318495</c:v>
                </c:pt>
                <c:pt idx="10">
                  <c:v>0.24109341052560046</c:v>
                </c:pt>
                <c:pt idx="11">
                  <c:v>0.2283538778480157</c:v>
                </c:pt>
                <c:pt idx="12">
                  <c:v>0.2156143451704311</c:v>
                </c:pt>
                <c:pt idx="13">
                  <c:v>0.20287481249284636</c:v>
                </c:pt>
                <c:pt idx="14">
                  <c:v>0.19013527981526171</c:v>
                </c:pt>
                <c:pt idx="15">
                  <c:v>0.177395747137677</c:v>
                </c:pt>
                <c:pt idx="16">
                  <c:v>0.16465621446009235</c:v>
                </c:pt>
                <c:pt idx="17">
                  <c:v>0.15191668178250767</c:v>
                </c:pt>
                <c:pt idx="18">
                  <c:v>0.13917714910492299</c:v>
                </c:pt>
                <c:pt idx="19">
                  <c:v>0.12643761642733831</c:v>
                </c:pt>
                <c:pt idx="20">
                  <c:v>0.11369808374975363</c:v>
                </c:pt>
                <c:pt idx="21">
                  <c:v>0.10095855107216894</c:v>
                </c:pt>
                <c:pt idx="22">
                  <c:v>8.8219018394584264E-2</c:v>
                </c:pt>
                <c:pt idx="23">
                  <c:v>7.5479485716999584E-2</c:v>
                </c:pt>
                <c:pt idx="24">
                  <c:v>6.2739953039414917E-2</c:v>
                </c:pt>
                <c:pt idx="25">
                  <c:v>5.0000420361830243E-2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5-4B50-9352-1CEEA3A9F1E9}"/>
            </c:ext>
          </c:extLst>
        </c:ser>
        <c:ser>
          <c:idx val="2"/>
          <c:order val="1"/>
          <c:spPr>
            <a:ln w="38100">
              <a:solidFill>
                <a:srgbClr val="3366FF"/>
              </a:solidFill>
              <a:prstDash val="sysDash"/>
            </a:ln>
          </c:spPr>
          <c:marker>
            <c:symbol val="none"/>
          </c:marker>
          <c:xVal>
            <c:numRef>
              <c:f>frontier!$I$15:$I$35</c:f>
              <c:numCache>
                <c:formatCode>0.000</c:formatCode>
                <c:ptCount val="21"/>
                <c:pt idx="0">
                  <c:v>1.5981885833202136</c:v>
                </c:pt>
                <c:pt idx="1">
                  <c:v>1.513469750567241</c:v>
                </c:pt>
                <c:pt idx="2">
                  <c:v>1.4288603442244809</c:v>
                </c:pt>
                <c:pt idx="3">
                  <c:v>1.3443810248961314</c:v>
                </c:pt>
                <c:pt idx="4">
                  <c:v>1.260057957513258</c:v>
                </c:pt>
                <c:pt idx="5">
                  <c:v>1.175924756041997</c:v>
                </c:pt>
                <c:pt idx="6">
                  <c:v>1.0920253050367534</c:v>
                </c:pt>
                <c:pt idx="7">
                  <c:v>1.008417949660277</c:v>
                </c:pt>
                <c:pt idx="8">
                  <c:v>0.9251818820868124</c:v>
                </c:pt>
                <c:pt idx="9">
                  <c:v>0.84242716484844815</c:v>
                </c:pt>
                <c:pt idx="10">
                  <c:v>0.76031098939560893</c:v>
                </c:pt>
                <c:pt idx="11">
                  <c:v>0.6790650429120193</c:v>
                </c:pt>
                <c:pt idx="12">
                  <c:v>0.59904350743724222</c:v>
                </c:pt>
                <c:pt idx="13">
                  <c:v>0.52081107370001412</c:v>
                </c:pt>
                <c:pt idx="14">
                  <c:v>0.44531167126255233</c:v>
                </c:pt>
                <c:pt idx="15">
                  <c:v>0.37420322556729924</c:v>
                </c:pt>
                <c:pt idx="16">
                  <c:v>0.31051712171075568</c:v>
                </c:pt>
                <c:pt idx="17">
                  <c:v>0.2597709974464647</c:v>
                </c:pt>
                <c:pt idx="18">
                  <c:v>0.2306692843474564</c:v>
                </c:pt>
                <c:pt idx="19">
                  <c:v>0.23152305664154044</c:v>
                </c:pt>
                <c:pt idx="20">
                  <c:v>0.26203967669067574</c:v>
                </c:pt>
              </c:numCache>
            </c:numRef>
          </c:xVal>
          <c:yVal>
            <c:numRef>
              <c:f>frontier!$G$15:$G$35</c:f>
              <c:numCache>
                <c:formatCode>0%</c:formatCode>
                <c:ptCount val="21"/>
                <c:pt idx="0">
                  <c:v>0.50000001292381024</c:v>
                </c:pt>
                <c:pt idx="1">
                  <c:v>0.48000001212456372</c:v>
                </c:pt>
                <c:pt idx="2">
                  <c:v>0.46000001132531776</c:v>
                </c:pt>
                <c:pt idx="3">
                  <c:v>0.44000001052607129</c:v>
                </c:pt>
                <c:pt idx="4">
                  <c:v>0.42000000972682516</c:v>
                </c:pt>
                <c:pt idx="5">
                  <c:v>0.40000000892757892</c:v>
                </c:pt>
                <c:pt idx="6">
                  <c:v>0.38000000812833262</c:v>
                </c:pt>
                <c:pt idx="7">
                  <c:v>0.36000000732908644</c:v>
                </c:pt>
                <c:pt idx="8">
                  <c:v>0.34000000652983997</c:v>
                </c:pt>
                <c:pt idx="9">
                  <c:v>0.32000000573059378</c:v>
                </c:pt>
                <c:pt idx="10">
                  <c:v>0.3000000049313476</c:v>
                </c:pt>
                <c:pt idx="11">
                  <c:v>0.2800000041321013</c:v>
                </c:pt>
                <c:pt idx="12">
                  <c:v>0.26000000333285506</c:v>
                </c:pt>
                <c:pt idx="13">
                  <c:v>0.24000000253360876</c:v>
                </c:pt>
                <c:pt idx="14">
                  <c:v>0.22000000173436246</c:v>
                </c:pt>
                <c:pt idx="15">
                  <c:v>0.20000000093511622</c:v>
                </c:pt>
                <c:pt idx="16">
                  <c:v>0.18000000013586995</c:v>
                </c:pt>
                <c:pt idx="17">
                  <c:v>0.15999999933662365</c:v>
                </c:pt>
                <c:pt idx="18">
                  <c:v>0.13999999853737735</c:v>
                </c:pt>
                <c:pt idx="19">
                  <c:v>0.11999999773813107</c:v>
                </c:pt>
                <c:pt idx="20">
                  <c:v>9.9999996938884783E-2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A5-4B50-9352-1CEEA3A9F1E9}"/>
            </c:ext>
          </c:extLst>
        </c:ser>
        <c:ser>
          <c:idx val="1"/>
          <c:order val="2"/>
          <c:spPr>
            <a:ln w="19050">
              <a:noFill/>
            </a:ln>
          </c:spPr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efficient2!$I$5:$I$7</c:f>
              <c:numCache>
                <c:formatCode>0%</c:formatCode>
                <c:ptCount val="3"/>
                <c:pt idx="0">
                  <c:v>0.28000000000000003</c:v>
                </c:pt>
                <c:pt idx="1">
                  <c:v>0.32</c:v>
                </c:pt>
                <c:pt idx="2">
                  <c:v>0.38</c:v>
                </c:pt>
              </c:numCache>
            </c:numRef>
          </c:xVal>
          <c:yVal>
            <c:numRef>
              <c:f>efficient2!$H$5:$H$7</c:f>
              <c:numCache>
                <c:formatCode>0%</c:formatCode>
                <c:ptCount val="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A5-4B50-9352-1CEEA3A9F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63151"/>
        <c:axId val="1"/>
      </c:scatterChart>
      <c:valAx>
        <c:axId val="59363151"/>
        <c:scaling>
          <c:orientation val="minMax"/>
        </c:scaling>
        <c:delete val="0"/>
        <c:axPos val="b"/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36315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Diagram3"/>
  <sheetViews>
    <sheetView zoomScale="55" workbookViewId="0"/>
  </sheetViews>
  <pageMargins left="0.75" right="0.75" top="1" bottom="1" header="0.5" footer="0.5"/>
  <pageSetup paperSize="9" orientation="landscape" verticalDpi="200" r:id="rId1"/>
  <headerFooter alignWithMargins="0">
    <oddHeader>&amp;A</oddHeader>
    <oddFooter>&amp;P. oldal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Diagram5"/>
  <sheetViews>
    <sheetView zoomScale="130" workbookViewId="0"/>
  </sheetViews>
  <pageMargins left="0.75" right="0.75" top="1" bottom="1" header="0.5" footer="0.5"/>
  <pageSetup paperSize="9" orientation="landscape" verticalDpi="200" r:id="rId1"/>
  <headerFooter alignWithMargins="0">
    <oddHeader>&amp;A</oddHeader>
    <oddFooter>&amp;P. oldal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Diagram7"/>
  <sheetViews>
    <sheetView zoomScale="75" workbookViewId="0"/>
  </sheetViews>
  <pageMargins left="0.75" right="0.75" top="1" bottom="1" header="0.5" footer="0.5"/>
  <pageSetup paperSize="9" orientation="landscape" verticalDpi="200" r:id="rId1"/>
  <headerFooter alignWithMargins="0">
    <oddHeader>&amp;A</oddHeader>
    <oddFooter>&amp;P. oldal</oddFoot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Diagram9"/>
  <sheetViews>
    <sheetView zoomScale="115" workbookViewId="0"/>
  </sheetViews>
  <pageMargins left="0.75" right="0.75" top="1" bottom="1" header="0.5" footer="0.5"/>
  <pageSetup paperSize="9" orientation="landscape" verticalDpi="200" r:id="rId1"/>
  <headerFooter alignWithMargins="0">
    <oddHeader>&amp;A</oddHeader>
    <oddFooter>&amp;P. oldal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tmp"/><Relationship Id="rId2" Type="http://schemas.openxmlformats.org/officeDocument/2006/relationships/image" Target="../media/image1.tmp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90487</xdr:colOff>
      <xdr:row>9</xdr:row>
      <xdr:rowOff>66675</xdr:rowOff>
    </xdr:from>
    <xdr:to>
      <xdr:col>17</xdr:col>
      <xdr:colOff>500062</xdr:colOff>
      <xdr:row>26</xdr:row>
      <xdr:rowOff>57149</xdr:rowOff>
    </xdr:to>
    <xdr:graphicFrame macro="">
      <xdr:nvGraphicFramePr>
        <xdr:cNvPr id="1029" name="Diagram 1">
          <a:extLst>
            <a:ext uri="{FF2B5EF4-FFF2-40B4-BE49-F238E27FC236}">
              <a16:creationId xmlns:a16="http://schemas.microsoft.com/office/drawing/2014/main" id="{FB4950A2-5608-438E-8324-6804B5E52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416720</xdr:colOff>
      <xdr:row>5</xdr:row>
      <xdr:rowOff>107156</xdr:rowOff>
    </xdr:from>
    <xdr:to>
      <xdr:col>4</xdr:col>
      <xdr:colOff>410766</xdr:colOff>
      <xdr:row>6</xdr:row>
      <xdr:rowOff>111165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1BE92-D7DB-4A13-B2CA-1ADB06E07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20" y="952500"/>
          <a:ext cx="2422921" cy="164743"/>
        </a:xfrm>
        <a:prstGeom prst="rect">
          <a:avLst/>
        </a:prstGeom>
      </xdr:spPr>
    </xdr:pic>
    <xdr:clientData/>
  </xdr:twoCellAnchor>
  <xdr:twoCellAnchor editAs="oneCell">
    <xdr:from>
      <xdr:col>4</xdr:col>
      <xdr:colOff>303610</xdr:colOff>
      <xdr:row>2</xdr:row>
      <xdr:rowOff>41672</xdr:rowOff>
    </xdr:from>
    <xdr:to>
      <xdr:col>9</xdr:col>
      <xdr:colOff>410766</xdr:colOff>
      <xdr:row>4</xdr:row>
      <xdr:rowOff>100256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05FD83-B108-4EB7-B392-3E6D6CA51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2485" y="404813"/>
          <a:ext cx="3143250" cy="3800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3819909" cy="843395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3E96A-6AE8-4AF3-A590-3C723F0A3E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818577" cy="84259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44AD2-4DD8-4CDD-B888-37E464DE86C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0.10103</cdr:x>
      <cdr:y>0.14993</cdr:y>
    </cdr:from>
    <cdr:to>
      <cdr:x>0.70559</cdr:x>
      <cdr:y>0.76532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421747E3-A227-4BE1-9790-B5F1B3AA0EC8}"/>
            </a:ext>
          </a:extLst>
        </cdr:cNvPr>
        <cdr:cNvCxnSpPr/>
      </cdr:nvCxnSpPr>
      <cdr:spPr>
        <a:xfrm xmlns:a="http://schemas.openxmlformats.org/drawingml/2006/main" flipV="1">
          <a:off x="930519" y="842596"/>
          <a:ext cx="5568462" cy="345830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0.30944</cdr:x>
      <cdr:y>0.35593</cdr:y>
    </cdr:from>
    <cdr:to>
      <cdr:x>0.30944</cdr:x>
      <cdr:y>0.8605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FD88F0A9-38C9-4B72-BE70-6C90950058D8}"/>
            </a:ext>
          </a:extLst>
        </cdr:cNvPr>
        <cdr:cNvCxnSpPr/>
      </cdr:nvCxnSpPr>
      <cdr:spPr>
        <a:xfrm xmlns:a="http://schemas.openxmlformats.org/drawingml/2006/main" flipV="1">
          <a:off x="2850173" y="2000250"/>
          <a:ext cx="0" cy="283551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11733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97D6B-96B0-449B-8DC1-EF3C943CFE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10261" cy="56156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DD71C4-43A8-4562-A59A-C7DBC0F7FF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9681819-C31E-437E-A658-CCD174A333E1}">
  <we:reference id="wa104100404" version="3.0.0.1" store="en-US" storeType="omex"/>
  <we:alternateReferences>
    <we:reference id="wa104100404" version="3.0.0.1" store="en-US" storeType="omex"/>
  </we:alternateReferences>
  <we:properties>
    <we:property name="UniqueID" value="&quot;20248161726511461126&quot;"/>
    <we:property name="Bwko" value="&quot;&quot;"/>
  </we:properties>
  <we:bindings>
    <we:binding id="refEdit" type="matrix" appref="{DCBD56BB-D409-46F9-B594-D78D2F4C7F8F}"/>
    <we:binding id="Worker" type="matrix" appref="{06FB1405-7582-4C1D-9BCC-0CCB73EA2A9E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/>
  <dimension ref="A1:I109"/>
  <sheetViews>
    <sheetView topLeftCell="A92" zoomScale="126" zoomScaleNormal="160" workbookViewId="0">
      <selection activeCell="F57" sqref="F57"/>
    </sheetView>
  </sheetViews>
  <sheetFormatPr defaultRowHeight="12.5" x14ac:dyDescent="0.25"/>
  <sheetData>
    <row r="1" spans="1:9" ht="15.5" x14ac:dyDescent="0.35">
      <c r="A1" s="4" t="s">
        <v>0</v>
      </c>
    </row>
    <row r="3" spans="1:9" ht="13" x14ac:dyDescent="0.3">
      <c r="A3" s="15" t="s">
        <v>1</v>
      </c>
      <c r="B3" s="15" t="s">
        <v>2</v>
      </c>
      <c r="C3" s="15" t="s">
        <v>3</v>
      </c>
    </row>
    <row r="4" spans="1:9" ht="13" x14ac:dyDescent="0.3">
      <c r="A4" s="16" t="s">
        <v>4</v>
      </c>
      <c r="B4" s="26">
        <v>0.1</v>
      </c>
      <c r="C4" s="26">
        <v>0.2</v>
      </c>
    </row>
    <row r="5" spans="1:9" ht="13" x14ac:dyDescent="0.3">
      <c r="A5" s="16" t="s">
        <v>5</v>
      </c>
      <c r="B5" s="26">
        <v>0.15</v>
      </c>
      <c r="C5" s="26">
        <v>0.23</v>
      </c>
    </row>
    <row r="6" spans="1:9" ht="13" x14ac:dyDescent="0.3">
      <c r="B6" s="2"/>
      <c r="C6" s="2"/>
      <c r="F6" s="29" t="s">
        <v>6</v>
      </c>
      <c r="G6" s="29"/>
      <c r="H6" s="29"/>
    </row>
    <row r="7" spans="1:9" x14ac:dyDescent="0.25">
      <c r="E7" s="6"/>
      <c r="F7" s="27">
        <v>-1</v>
      </c>
      <c r="G7" s="27">
        <v>1</v>
      </c>
      <c r="H7" s="27">
        <v>0.4</v>
      </c>
    </row>
    <row r="8" spans="1:9" ht="13" x14ac:dyDescent="0.3">
      <c r="A8" s="16" t="s">
        <v>7</v>
      </c>
      <c r="B8" s="16" t="s">
        <v>8</v>
      </c>
      <c r="D8" s="5" t="s">
        <v>2</v>
      </c>
      <c r="E8" s="1"/>
      <c r="F8" s="5" t="s">
        <v>3</v>
      </c>
      <c r="G8" s="5" t="s">
        <v>3</v>
      </c>
      <c r="H8" s="5" t="s">
        <v>3</v>
      </c>
    </row>
    <row r="9" spans="1:9" x14ac:dyDescent="0.25">
      <c r="A9">
        <v>1</v>
      </c>
      <c r="B9" s="1">
        <f>1-A9</f>
        <v>0</v>
      </c>
      <c r="D9" s="19">
        <f>A9*$B$4+B9*$B$5</f>
        <v>0.1</v>
      </c>
      <c r="E9" s="3"/>
      <c r="F9" s="19">
        <f>SQRT($A9^2*$C$4^2+$B9^2*$C$5^2+2*$A9*$B9*$C$4*$C$5*F$7)</f>
        <v>0.2</v>
      </c>
      <c r="G9" s="19">
        <f t="shared" ref="G9:H24" si="0">SQRT($A9^2*$C$4^2+$B9^2*$C$5^2+2*$A9*$B9*$C$4*$C$5*G$7)</f>
        <v>0.2</v>
      </c>
      <c r="H9" s="19">
        <f t="shared" si="0"/>
        <v>0.2</v>
      </c>
      <c r="I9" s="28" t="s">
        <v>9</v>
      </c>
    </row>
    <row r="10" spans="1:9" x14ac:dyDescent="0.25">
      <c r="A10">
        <v>0.99</v>
      </c>
      <c r="B10" s="1">
        <f>1-A10</f>
        <v>1.0000000000000009E-2</v>
      </c>
      <c r="D10" s="19">
        <f t="shared" ref="D10:D73" si="1">A10*$B$4+B10*$B$5</f>
        <v>0.10050000000000001</v>
      </c>
      <c r="E10" s="3"/>
      <c r="F10" s="19">
        <f t="shared" ref="F10:H41" si="2">SQRT($A10^2*$C$4^2+$B10^2*$C$5^2+2*$A10*$B10*$C$4*$C$5*F$7)</f>
        <v>0.19570000000000001</v>
      </c>
      <c r="G10" s="19">
        <f t="shared" si="0"/>
        <v>0.20030000000000003</v>
      </c>
      <c r="H10" s="19">
        <f t="shared" si="0"/>
        <v>0.19893116900073757</v>
      </c>
    </row>
    <row r="11" spans="1:9" x14ac:dyDescent="0.25">
      <c r="A11">
        <v>0.98</v>
      </c>
      <c r="B11" s="1">
        <f>1-A11</f>
        <v>2.0000000000000018E-2</v>
      </c>
      <c r="D11" s="19">
        <f t="shared" si="1"/>
        <v>0.10100000000000001</v>
      </c>
      <c r="E11" s="3"/>
      <c r="F11" s="19">
        <f t="shared" si="2"/>
        <v>0.19139999999999999</v>
      </c>
      <c r="G11" s="19">
        <f t="shared" si="0"/>
        <v>0.20060000000000003</v>
      </c>
      <c r="H11" s="19">
        <f t="shared" si="0"/>
        <v>0.19788491604970804</v>
      </c>
    </row>
    <row r="12" spans="1:9" x14ac:dyDescent="0.25">
      <c r="A12">
        <v>0.97</v>
      </c>
      <c r="B12" s="1">
        <f t="shared" ref="B12:B74" si="3">1-A12</f>
        <v>3.0000000000000027E-2</v>
      </c>
      <c r="D12" s="19">
        <f t="shared" si="1"/>
        <v>0.10150000000000001</v>
      </c>
      <c r="E12" s="3"/>
      <c r="F12" s="19">
        <f t="shared" si="2"/>
        <v>0.18710000000000002</v>
      </c>
      <c r="G12" s="19">
        <f t="shared" si="0"/>
        <v>0.20090000000000002</v>
      </c>
      <c r="H12" s="19">
        <f t="shared" si="0"/>
        <v>0.1968616011313532</v>
      </c>
    </row>
    <row r="13" spans="1:9" x14ac:dyDescent="0.25">
      <c r="A13">
        <v>0.96</v>
      </c>
      <c r="B13" s="1">
        <f t="shared" si="3"/>
        <v>4.0000000000000036E-2</v>
      </c>
      <c r="D13" s="19">
        <f t="shared" si="1"/>
        <v>0.10200000000000001</v>
      </c>
      <c r="E13" s="3"/>
      <c r="F13" s="19">
        <f t="shared" si="2"/>
        <v>0.18280000000000002</v>
      </c>
      <c r="G13" s="19">
        <f t="shared" si="0"/>
        <v>0.20120000000000002</v>
      </c>
      <c r="H13" s="19">
        <f t="shared" si="0"/>
        <v>0.19586158377793234</v>
      </c>
    </row>
    <row r="14" spans="1:9" x14ac:dyDescent="0.25">
      <c r="A14">
        <v>0.95</v>
      </c>
      <c r="B14" s="1">
        <f t="shared" si="3"/>
        <v>5.0000000000000044E-2</v>
      </c>
      <c r="D14" s="19">
        <f t="shared" si="1"/>
        <v>0.10250000000000001</v>
      </c>
      <c r="E14" s="3"/>
      <c r="F14" s="19">
        <f t="shared" si="2"/>
        <v>0.17849999999999999</v>
      </c>
      <c r="G14" s="19">
        <f t="shared" si="0"/>
        <v>0.20150000000000004</v>
      </c>
      <c r="H14" s="19">
        <f t="shared" si="0"/>
        <v>0.19488522263116823</v>
      </c>
    </row>
    <row r="15" spans="1:9" x14ac:dyDescent="0.25">
      <c r="A15">
        <v>0.94</v>
      </c>
      <c r="B15" s="1">
        <f t="shared" si="3"/>
        <v>6.0000000000000053E-2</v>
      </c>
      <c r="D15" s="19">
        <f t="shared" si="1"/>
        <v>0.10300000000000001</v>
      </c>
      <c r="E15" s="3"/>
      <c r="F15" s="19">
        <f t="shared" si="2"/>
        <v>0.17420000000000002</v>
      </c>
      <c r="G15" s="19">
        <f t="shared" si="0"/>
        <v>0.20180000000000003</v>
      </c>
      <c r="H15" s="19">
        <f t="shared" si="0"/>
        <v>0.19393287498513503</v>
      </c>
    </row>
    <row r="16" spans="1:9" x14ac:dyDescent="0.25">
      <c r="A16">
        <v>0.93</v>
      </c>
      <c r="B16" s="1">
        <f t="shared" si="3"/>
        <v>6.9999999999999951E-2</v>
      </c>
      <c r="D16" s="19">
        <f t="shared" si="1"/>
        <v>0.10350000000000001</v>
      </c>
      <c r="E16" s="3"/>
      <c r="F16" s="19">
        <f t="shared" si="2"/>
        <v>0.16990000000000005</v>
      </c>
      <c r="G16" s="19">
        <f t="shared" si="0"/>
        <v>0.20210000000000003</v>
      </c>
      <c r="H16" s="19">
        <f t="shared" si="0"/>
        <v>0.19300489631094858</v>
      </c>
    </row>
    <row r="17" spans="1:8" x14ac:dyDescent="0.25">
      <c r="A17">
        <v>0.92</v>
      </c>
      <c r="B17" s="1">
        <f t="shared" si="3"/>
        <v>7.999999999999996E-2</v>
      </c>
      <c r="D17" s="19">
        <f t="shared" si="1"/>
        <v>0.10400000000000001</v>
      </c>
      <c r="E17" s="3"/>
      <c r="F17" s="19">
        <f t="shared" si="2"/>
        <v>0.16560000000000005</v>
      </c>
      <c r="G17" s="19">
        <f t="shared" si="0"/>
        <v>0.20240000000000002</v>
      </c>
      <c r="H17" s="19">
        <f t="shared" si="0"/>
        <v>0.19210163976395414</v>
      </c>
    </row>
    <row r="18" spans="1:8" x14ac:dyDescent="0.25">
      <c r="A18">
        <v>0.91</v>
      </c>
      <c r="B18" s="1">
        <f t="shared" si="3"/>
        <v>8.9999999999999969E-2</v>
      </c>
      <c r="D18" s="19">
        <f t="shared" si="1"/>
        <v>0.10450000000000001</v>
      </c>
      <c r="E18" s="3"/>
      <c r="F18" s="19">
        <f t="shared" si="2"/>
        <v>0.16130000000000003</v>
      </c>
      <c r="G18" s="19">
        <f t="shared" si="0"/>
        <v>0.20269999999999999</v>
      </c>
      <c r="H18" s="19">
        <f t="shared" si="0"/>
        <v>0.19122345567424515</v>
      </c>
    </row>
    <row r="19" spans="1:8" x14ac:dyDescent="0.25">
      <c r="A19">
        <v>0.9</v>
      </c>
      <c r="B19" s="1">
        <f t="shared" si="3"/>
        <v>9.9999999999999978E-2</v>
      </c>
      <c r="D19" s="19">
        <f t="shared" si="1"/>
        <v>0.10500000000000001</v>
      </c>
      <c r="E19" s="3"/>
      <c r="F19" s="19">
        <f t="shared" si="2"/>
        <v>0.15700000000000003</v>
      </c>
      <c r="G19" s="19">
        <f t="shared" si="0"/>
        <v>0.20300000000000001</v>
      </c>
      <c r="H19" s="19">
        <f t="shared" si="0"/>
        <v>0.19037069102149104</v>
      </c>
    </row>
    <row r="20" spans="1:8" x14ac:dyDescent="0.25">
      <c r="A20">
        <v>0.89</v>
      </c>
      <c r="B20" s="1">
        <f t="shared" si="3"/>
        <v>0.10999999999999999</v>
      </c>
      <c r="D20" s="19">
        <f t="shared" si="1"/>
        <v>0.10550000000000001</v>
      </c>
      <c r="E20" s="3"/>
      <c r="F20" s="19">
        <f t="shared" si="2"/>
        <v>0.1527</v>
      </c>
      <c r="G20" s="19">
        <f t="shared" si="0"/>
        <v>0.20330000000000001</v>
      </c>
      <c r="H20" s="19">
        <f t="shared" si="0"/>
        <v>0.18954368889519904</v>
      </c>
    </row>
    <row r="21" spans="1:8" x14ac:dyDescent="0.25">
      <c r="A21">
        <v>0.88</v>
      </c>
      <c r="B21" s="1">
        <f t="shared" si="3"/>
        <v>0.12</v>
      </c>
      <c r="D21" s="19">
        <f t="shared" si="1"/>
        <v>0.10600000000000001</v>
      </c>
      <c r="E21" s="3"/>
      <c r="F21" s="19">
        <f t="shared" si="2"/>
        <v>0.1484</v>
      </c>
      <c r="G21" s="19">
        <f t="shared" si="0"/>
        <v>0.2036</v>
      </c>
      <c r="H21" s="19">
        <f t="shared" si="0"/>
        <v>0.18874278794168534</v>
      </c>
    </row>
    <row r="22" spans="1:8" x14ac:dyDescent="0.25">
      <c r="A22">
        <v>0.87</v>
      </c>
      <c r="B22" s="1">
        <f t="shared" si="3"/>
        <v>0.13</v>
      </c>
      <c r="D22" s="19">
        <f t="shared" si="1"/>
        <v>0.10650000000000001</v>
      </c>
      <c r="E22" s="3"/>
      <c r="F22" s="19">
        <f t="shared" si="2"/>
        <v>0.14410000000000003</v>
      </c>
      <c r="G22" s="19">
        <f t="shared" si="0"/>
        <v>0.20390000000000003</v>
      </c>
      <c r="H22" s="19">
        <f t="shared" si="0"/>
        <v>0.1879683217991798</v>
      </c>
    </row>
    <row r="23" spans="1:8" x14ac:dyDescent="0.25">
      <c r="A23">
        <v>0.86</v>
      </c>
      <c r="B23" s="1">
        <f t="shared" si="3"/>
        <v>0.14000000000000001</v>
      </c>
      <c r="D23" s="19">
        <f t="shared" si="1"/>
        <v>0.10700000000000001</v>
      </c>
      <c r="E23" s="3"/>
      <c r="F23" s="19">
        <f t="shared" si="2"/>
        <v>0.13980000000000001</v>
      </c>
      <c r="G23" s="19">
        <f t="shared" si="0"/>
        <v>0.20420000000000002</v>
      </c>
      <c r="H23" s="19">
        <f t="shared" si="0"/>
        <v>0.1872206185226403</v>
      </c>
    </row>
    <row r="24" spans="1:8" x14ac:dyDescent="0.25">
      <c r="A24">
        <v>0.85</v>
      </c>
      <c r="B24" s="1">
        <f t="shared" si="3"/>
        <v>0.15000000000000002</v>
      </c>
      <c r="D24" s="19">
        <f t="shared" si="1"/>
        <v>0.10750000000000001</v>
      </c>
      <c r="E24" s="3"/>
      <c r="F24" s="19">
        <f t="shared" si="2"/>
        <v>0.13550000000000001</v>
      </c>
      <c r="G24" s="19">
        <f t="shared" si="0"/>
        <v>0.20450000000000002</v>
      </c>
      <c r="H24" s="19">
        <f t="shared" si="0"/>
        <v>0.1865</v>
      </c>
    </row>
    <row r="25" spans="1:8" x14ac:dyDescent="0.25">
      <c r="A25">
        <v>0.84</v>
      </c>
      <c r="B25" s="1">
        <f t="shared" si="3"/>
        <v>0.16000000000000003</v>
      </c>
      <c r="D25" s="19">
        <f t="shared" si="1"/>
        <v>0.10800000000000001</v>
      </c>
      <c r="E25" s="3"/>
      <c r="F25" s="19">
        <f t="shared" si="2"/>
        <v>0.13120000000000001</v>
      </c>
      <c r="G25" s="19">
        <f t="shared" si="2"/>
        <v>0.20480000000000001</v>
      </c>
      <c r="H25" s="19">
        <f t="shared" si="2"/>
        <v>0.18580678136171458</v>
      </c>
    </row>
    <row r="26" spans="1:8" x14ac:dyDescent="0.25">
      <c r="A26">
        <v>0.83</v>
      </c>
      <c r="B26" s="1">
        <f t="shared" si="3"/>
        <v>0.17000000000000004</v>
      </c>
      <c r="D26" s="19">
        <f t="shared" si="1"/>
        <v>0.10850000000000001</v>
      </c>
      <c r="E26" s="3"/>
      <c r="F26" s="19">
        <f t="shared" si="2"/>
        <v>0.12690000000000001</v>
      </c>
      <c r="G26" s="19">
        <f t="shared" si="2"/>
        <v>0.20510000000000003</v>
      </c>
      <c r="H26" s="19">
        <f t="shared" si="2"/>
        <v>0.18514127038561665</v>
      </c>
    </row>
    <row r="27" spans="1:8" x14ac:dyDescent="0.25">
      <c r="A27">
        <v>0.82</v>
      </c>
      <c r="B27" s="1">
        <f t="shared" si="3"/>
        <v>0.18000000000000005</v>
      </c>
      <c r="D27" s="19">
        <f t="shared" si="1"/>
        <v>0.10900000000000001</v>
      </c>
      <c r="E27" s="3"/>
      <c r="F27" s="19">
        <f t="shared" si="2"/>
        <v>0.12259999999999999</v>
      </c>
      <c r="G27" s="19">
        <f t="shared" si="2"/>
        <v>0.2054</v>
      </c>
      <c r="H27" s="19">
        <f t="shared" si="2"/>
        <v>0.18450376689921538</v>
      </c>
    </row>
    <row r="28" spans="1:8" x14ac:dyDescent="0.25">
      <c r="A28">
        <v>0.81</v>
      </c>
      <c r="B28" s="1">
        <f t="shared" si="3"/>
        <v>0.18999999999999995</v>
      </c>
      <c r="D28" s="19">
        <f t="shared" si="1"/>
        <v>0.10950000000000001</v>
      </c>
      <c r="E28" s="3"/>
      <c r="F28" s="19">
        <f t="shared" si="2"/>
        <v>0.11830000000000004</v>
      </c>
      <c r="G28" s="19">
        <f t="shared" si="2"/>
        <v>0.20570000000000002</v>
      </c>
      <c r="H28" s="19">
        <f t="shared" si="2"/>
        <v>0.18389456218170239</v>
      </c>
    </row>
    <row r="29" spans="1:8" x14ac:dyDescent="0.25">
      <c r="A29">
        <v>0.8</v>
      </c>
      <c r="B29" s="1">
        <f t="shared" si="3"/>
        <v>0.19999999999999996</v>
      </c>
      <c r="D29" s="19">
        <f t="shared" si="1"/>
        <v>0.11000000000000001</v>
      </c>
      <c r="E29" s="3"/>
      <c r="F29" s="19">
        <f t="shared" si="2"/>
        <v>0.11400000000000006</v>
      </c>
      <c r="G29" s="19">
        <f t="shared" si="2"/>
        <v>0.20600000000000002</v>
      </c>
      <c r="H29" s="19">
        <f t="shared" si="2"/>
        <v>0.18331393836803575</v>
      </c>
    </row>
    <row r="30" spans="1:8" x14ac:dyDescent="0.25">
      <c r="A30">
        <v>0.79</v>
      </c>
      <c r="B30" s="1">
        <f t="shared" si="3"/>
        <v>0.20999999999999996</v>
      </c>
      <c r="D30" s="19">
        <f t="shared" si="1"/>
        <v>0.11050000000000001</v>
      </c>
      <c r="E30" s="3"/>
      <c r="F30" s="19">
        <f t="shared" si="2"/>
        <v>0.10970000000000005</v>
      </c>
      <c r="G30" s="19">
        <f t="shared" si="2"/>
        <v>0.20630000000000004</v>
      </c>
      <c r="H30" s="19">
        <f t="shared" si="2"/>
        <v>0.18276216785757388</v>
      </c>
    </row>
    <row r="31" spans="1:8" x14ac:dyDescent="0.25">
      <c r="A31">
        <v>0.78</v>
      </c>
      <c r="B31" s="1">
        <f t="shared" si="3"/>
        <v>0.21999999999999997</v>
      </c>
      <c r="D31" s="19">
        <f t="shared" si="1"/>
        <v>0.11100000000000002</v>
      </c>
      <c r="E31" s="3"/>
      <c r="F31" s="19">
        <f t="shared" si="2"/>
        <v>0.10540000000000005</v>
      </c>
      <c r="G31" s="19">
        <f t="shared" si="2"/>
        <v>0.20660000000000003</v>
      </c>
      <c r="H31" s="19">
        <f t="shared" si="2"/>
        <v>0.18223951272981392</v>
      </c>
    </row>
    <row r="32" spans="1:8" x14ac:dyDescent="0.25">
      <c r="A32">
        <v>0.77</v>
      </c>
      <c r="B32" s="1">
        <f t="shared" si="3"/>
        <v>0.22999999999999998</v>
      </c>
      <c r="D32" s="19">
        <f t="shared" si="1"/>
        <v>0.11150000000000002</v>
      </c>
      <c r="E32" s="3"/>
      <c r="F32" s="19">
        <f t="shared" si="2"/>
        <v>0.10110000000000001</v>
      </c>
      <c r="G32" s="19">
        <f t="shared" si="2"/>
        <v>0.2069</v>
      </c>
      <c r="H32" s="19">
        <f t="shared" si="2"/>
        <v>0.18174622416985725</v>
      </c>
    </row>
    <row r="33" spans="1:8" x14ac:dyDescent="0.25">
      <c r="A33">
        <v>0.76</v>
      </c>
      <c r="B33" s="1">
        <f t="shared" si="3"/>
        <v>0.24</v>
      </c>
      <c r="D33" s="19">
        <f t="shared" si="1"/>
        <v>0.11200000000000002</v>
      </c>
      <c r="E33" s="3"/>
      <c r="F33" s="19">
        <f t="shared" si="2"/>
        <v>9.6800000000000011E-2</v>
      </c>
      <c r="G33" s="19">
        <f t="shared" si="2"/>
        <v>0.20720000000000002</v>
      </c>
      <c r="H33" s="19">
        <f t="shared" si="2"/>
        <v>0.18128254190627405</v>
      </c>
    </row>
    <row r="34" spans="1:8" x14ac:dyDescent="0.25">
      <c r="A34">
        <v>0.75</v>
      </c>
      <c r="B34" s="1">
        <f t="shared" si="3"/>
        <v>0.25</v>
      </c>
      <c r="D34" s="19">
        <f t="shared" si="1"/>
        <v>0.11250000000000002</v>
      </c>
      <c r="E34" s="3"/>
      <c r="F34" s="19">
        <f t="shared" si="2"/>
        <v>9.2500000000000013E-2</v>
      </c>
      <c r="G34" s="19">
        <f t="shared" si="2"/>
        <v>0.20750000000000002</v>
      </c>
      <c r="H34" s="19">
        <f t="shared" si="2"/>
        <v>0.18084869366406828</v>
      </c>
    </row>
    <row r="35" spans="1:8" x14ac:dyDescent="0.25">
      <c r="A35">
        <v>0.74</v>
      </c>
      <c r="B35" s="1">
        <f t="shared" si="3"/>
        <v>0.26</v>
      </c>
      <c r="D35" s="19">
        <f t="shared" si="1"/>
        <v>0.11299999999999999</v>
      </c>
      <c r="E35" s="3"/>
      <c r="F35" s="19">
        <f t="shared" si="2"/>
        <v>8.8200000000000001E-2</v>
      </c>
      <c r="G35" s="19">
        <f t="shared" si="2"/>
        <v>0.20780000000000001</v>
      </c>
      <c r="H35" s="19">
        <f t="shared" si="2"/>
        <v>0.18044489463545374</v>
      </c>
    </row>
    <row r="36" spans="1:8" x14ac:dyDescent="0.25">
      <c r="A36">
        <v>0.73</v>
      </c>
      <c r="B36" s="1">
        <f t="shared" si="3"/>
        <v>0.27</v>
      </c>
      <c r="D36" s="19">
        <f t="shared" si="1"/>
        <v>0.11349999999999999</v>
      </c>
      <c r="E36" s="3"/>
      <c r="F36" s="19">
        <f t="shared" si="2"/>
        <v>8.3900000000000002E-2</v>
      </c>
      <c r="G36" s="19">
        <f t="shared" si="2"/>
        <v>0.20810000000000001</v>
      </c>
      <c r="H36" s="19">
        <f t="shared" si="2"/>
        <v>0.18007134697113811</v>
      </c>
    </row>
    <row r="37" spans="1:8" x14ac:dyDescent="0.25">
      <c r="A37">
        <v>0.72</v>
      </c>
      <c r="B37" s="1">
        <f t="shared" si="3"/>
        <v>0.28000000000000003</v>
      </c>
      <c r="D37" s="19">
        <f t="shared" si="1"/>
        <v>0.11399999999999999</v>
      </c>
      <c r="E37" s="3"/>
      <c r="F37" s="19">
        <f t="shared" si="2"/>
        <v>7.9600000000000018E-2</v>
      </c>
      <c r="G37" s="19">
        <f t="shared" si="2"/>
        <v>0.20840000000000003</v>
      </c>
      <c r="H37" s="19">
        <f t="shared" si="2"/>
        <v>0.1797282392947753</v>
      </c>
    </row>
    <row r="38" spans="1:8" x14ac:dyDescent="0.25">
      <c r="A38">
        <v>0.71</v>
      </c>
      <c r="B38" s="1">
        <f t="shared" si="3"/>
        <v>0.29000000000000004</v>
      </c>
      <c r="D38" s="19">
        <f t="shared" si="1"/>
        <v>0.11449999999999999</v>
      </c>
      <c r="E38" s="3"/>
      <c r="F38" s="19">
        <f t="shared" si="2"/>
        <v>7.5299999999999992E-2</v>
      </c>
      <c r="G38" s="19">
        <f t="shared" si="2"/>
        <v>0.20870000000000002</v>
      </c>
      <c r="H38" s="19">
        <f t="shared" si="2"/>
        <v>0.17941574624318793</v>
      </c>
    </row>
    <row r="39" spans="1:8" x14ac:dyDescent="0.25">
      <c r="A39">
        <v>0.7</v>
      </c>
      <c r="B39" s="1">
        <f t="shared" si="3"/>
        <v>0.30000000000000004</v>
      </c>
      <c r="D39" s="19">
        <f t="shared" si="1"/>
        <v>0.11499999999999999</v>
      </c>
      <c r="E39" s="3"/>
      <c r="F39" s="19">
        <f t="shared" si="2"/>
        <v>7.1000000000000008E-2</v>
      </c>
      <c r="G39" s="19">
        <f t="shared" si="2"/>
        <v>0.20900000000000002</v>
      </c>
      <c r="H39" s="19">
        <f t="shared" si="2"/>
        <v>0.17913402803487674</v>
      </c>
    </row>
    <row r="40" spans="1:8" x14ac:dyDescent="0.25">
      <c r="A40">
        <v>0.69</v>
      </c>
      <c r="B40" s="1">
        <f t="shared" si="3"/>
        <v>0.31000000000000005</v>
      </c>
      <c r="D40" s="19">
        <f t="shared" si="1"/>
        <v>0.11549999999999999</v>
      </c>
      <c r="E40" s="3"/>
      <c r="F40" s="19">
        <f t="shared" si="2"/>
        <v>6.6700000000000009E-2</v>
      </c>
      <c r="G40" s="19">
        <f t="shared" si="2"/>
        <v>0.20930000000000001</v>
      </c>
      <c r="H40" s="19">
        <f t="shared" si="2"/>
        <v>0.17888323006922702</v>
      </c>
    </row>
    <row r="41" spans="1:8" x14ac:dyDescent="0.25">
      <c r="A41">
        <v>0.68</v>
      </c>
      <c r="B41" s="1">
        <f t="shared" si="3"/>
        <v>0.31999999999999995</v>
      </c>
      <c r="D41" s="19">
        <f t="shared" si="1"/>
        <v>0.11599999999999999</v>
      </c>
      <c r="E41" s="3"/>
      <c r="F41" s="19">
        <f t="shared" si="2"/>
        <v>6.2400000000000025E-2</v>
      </c>
      <c r="G41" s="19">
        <f t="shared" si="2"/>
        <v>0.20960000000000001</v>
      </c>
      <c r="H41" s="19">
        <f t="shared" si="2"/>
        <v>0.17866348255869191</v>
      </c>
    </row>
    <row r="42" spans="1:8" x14ac:dyDescent="0.25">
      <c r="A42">
        <v>0.67</v>
      </c>
      <c r="B42" s="1">
        <f t="shared" si="3"/>
        <v>0.32999999999999996</v>
      </c>
      <c r="D42" s="19">
        <f t="shared" si="1"/>
        <v>0.11649999999999999</v>
      </c>
      <c r="E42" s="3"/>
      <c r="F42" s="19">
        <f t="shared" ref="F42:H73" si="4">SQRT($A42^2*$C$4^2+$B42^2*$C$5^2+2*$A42*$B42*$C$4*$C$5*F$7)</f>
        <v>5.8100000000000041E-2</v>
      </c>
      <c r="G42" s="19">
        <f t="shared" si="4"/>
        <v>0.20990000000000003</v>
      </c>
      <c r="H42" s="19">
        <f t="shared" si="4"/>
        <v>0.17847490019607801</v>
      </c>
    </row>
    <row r="43" spans="1:8" x14ac:dyDescent="0.25">
      <c r="A43">
        <v>0.66</v>
      </c>
      <c r="B43" s="1">
        <f t="shared" si="3"/>
        <v>0.33999999999999997</v>
      </c>
      <c r="D43" s="19">
        <f t="shared" si="1"/>
        <v>0.11699999999999999</v>
      </c>
      <c r="E43" s="3"/>
      <c r="F43" s="19">
        <f t="shared" si="4"/>
        <v>5.3800000000000014E-2</v>
      </c>
      <c r="G43" s="19">
        <f t="shared" si="4"/>
        <v>0.21020000000000003</v>
      </c>
      <c r="H43" s="19">
        <f t="shared" si="4"/>
        <v>0.17831758185888458</v>
      </c>
    </row>
    <row r="44" spans="1:8" x14ac:dyDescent="0.25">
      <c r="A44">
        <v>0.65</v>
      </c>
      <c r="B44" s="1">
        <f t="shared" si="3"/>
        <v>0.35</v>
      </c>
      <c r="D44" s="19">
        <f t="shared" si="1"/>
        <v>0.11749999999999999</v>
      </c>
      <c r="E44" s="3"/>
      <c r="F44" s="19">
        <f t="shared" si="4"/>
        <v>4.9500000000000044E-2</v>
      </c>
      <c r="G44" s="19">
        <f t="shared" si="4"/>
        <v>0.21050000000000002</v>
      </c>
      <c r="H44" s="19">
        <f t="shared" si="4"/>
        <v>0.17819161035245182</v>
      </c>
    </row>
    <row r="45" spans="1:8" x14ac:dyDescent="0.25">
      <c r="A45">
        <v>0.64</v>
      </c>
      <c r="B45" s="1">
        <f t="shared" si="3"/>
        <v>0.36</v>
      </c>
      <c r="D45" s="19">
        <f t="shared" si="1"/>
        <v>0.11799999999999999</v>
      </c>
      <c r="E45" s="3"/>
      <c r="F45" s="19">
        <f t="shared" si="4"/>
        <v>4.5200000000000032E-2</v>
      </c>
      <c r="G45" s="19">
        <f t="shared" si="4"/>
        <v>0.21080000000000002</v>
      </c>
      <c r="H45" s="19">
        <f t="shared" si="4"/>
        <v>0.17809705219345998</v>
      </c>
    </row>
    <row r="46" spans="1:8" x14ac:dyDescent="0.25">
      <c r="A46">
        <v>0.63</v>
      </c>
      <c r="B46" s="1">
        <f t="shared" si="3"/>
        <v>0.37</v>
      </c>
      <c r="D46" s="19">
        <f t="shared" si="1"/>
        <v>0.11849999999999999</v>
      </c>
      <c r="E46" s="3"/>
      <c r="F46" s="19">
        <f t="shared" si="4"/>
        <v>4.0900000000000047E-2</v>
      </c>
      <c r="G46" s="19">
        <f t="shared" si="4"/>
        <v>0.21110000000000001</v>
      </c>
      <c r="H46" s="19">
        <f t="shared" si="4"/>
        <v>0.17803395743509159</v>
      </c>
    </row>
    <row r="47" spans="1:8" x14ac:dyDescent="0.25">
      <c r="A47">
        <v>0.62</v>
      </c>
      <c r="B47" s="1">
        <f t="shared" si="3"/>
        <v>0.38</v>
      </c>
      <c r="D47" s="19">
        <f t="shared" si="1"/>
        <v>0.11899999999999999</v>
      </c>
      <c r="E47" s="3"/>
      <c r="F47" s="19">
        <f t="shared" si="4"/>
        <v>3.6600000000000049E-2</v>
      </c>
      <c r="G47" s="19">
        <f t="shared" si="4"/>
        <v>0.2114</v>
      </c>
      <c r="H47" s="19">
        <f t="shared" si="4"/>
        <v>0.17800235953492305</v>
      </c>
    </row>
    <row r="48" spans="1:8" x14ac:dyDescent="0.25">
      <c r="A48">
        <v>0.61</v>
      </c>
      <c r="B48" s="1">
        <f t="shared" si="3"/>
        <v>0.39</v>
      </c>
      <c r="D48" s="19">
        <f t="shared" si="1"/>
        <v>0.1195</v>
      </c>
      <c r="E48" s="3"/>
      <c r="F48" s="19">
        <f t="shared" si="4"/>
        <v>3.2300000000000037E-2</v>
      </c>
      <c r="G48" s="19">
        <f t="shared" si="4"/>
        <v>0.2117</v>
      </c>
      <c r="H48" s="19">
        <f t="shared" si="4"/>
        <v>0.17800227526635723</v>
      </c>
    </row>
    <row r="49" spans="1:8" x14ac:dyDescent="0.25">
      <c r="A49">
        <v>0.6</v>
      </c>
      <c r="B49" s="1">
        <f t="shared" si="3"/>
        <v>0.4</v>
      </c>
      <c r="D49" s="19">
        <f t="shared" si="1"/>
        <v>0.12</v>
      </c>
      <c r="E49" s="3"/>
      <c r="F49" s="19">
        <f t="shared" si="4"/>
        <v>2.8000000000000063E-2</v>
      </c>
      <c r="G49" s="19">
        <f t="shared" si="4"/>
        <v>0.21200000000000002</v>
      </c>
      <c r="H49" s="19">
        <f t="shared" si="4"/>
        <v>0.17803370467414312</v>
      </c>
    </row>
    <row r="50" spans="1:8" x14ac:dyDescent="0.25">
      <c r="A50">
        <v>0.59</v>
      </c>
      <c r="B50" s="1">
        <f t="shared" si="3"/>
        <v>0.41000000000000003</v>
      </c>
      <c r="D50" s="19">
        <f t="shared" si="1"/>
        <v>0.1205</v>
      </c>
      <c r="E50" s="3"/>
      <c r="F50" s="19">
        <f t="shared" si="4"/>
        <v>2.3699999999999929E-2</v>
      </c>
      <c r="G50" s="19">
        <f t="shared" si="4"/>
        <v>0.21230000000000002</v>
      </c>
      <c r="H50" s="19">
        <f t="shared" si="4"/>
        <v>0.17809663107425699</v>
      </c>
    </row>
    <row r="51" spans="1:8" x14ac:dyDescent="0.25">
      <c r="A51">
        <v>0.57999999999999996</v>
      </c>
      <c r="B51" s="1">
        <f t="shared" si="3"/>
        <v>0.42000000000000004</v>
      </c>
      <c r="D51" s="19">
        <f t="shared" si="1"/>
        <v>0.121</v>
      </c>
      <c r="E51" s="3"/>
      <c r="F51" s="19">
        <f t="shared" si="4"/>
        <v>1.940000000000007E-2</v>
      </c>
      <c r="G51" s="19">
        <f t="shared" si="4"/>
        <v>0.21260000000000001</v>
      </c>
      <c r="H51" s="19">
        <f t="shared" si="4"/>
        <v>0.17819102109814627</v>
      </c>
    </row>
    <row r="52" spans="1:8" x14ac:dyDescent="0.25">
      <c r="A52">
        <v>0.56999999999999995</v>
      </c>
      <c r="B52" s="1">
        <f t="shared" si="3"/>
        <v>0.43000000000000005</v>
      </c>
      <c r="D52" s="19">
        <f t="shared" si="1"/>
        <v>0.1215</v>
      </c>
      <c r="E52" s="3"/>
      <c r="F52" s="19">
        <f t="shared" si="4"/>
        <v>1.5099999999999909E-2</v>
      </c>
      <c r="G52" s="19">
        <f t="shared" si="4"/>
        <v>0.21290000000000003</v>
      </c>
      <c r="H52" s="19">
        <f t="shared" si="4"/>
        <v>0.17831682478106212</v>
      </c>
    </row>
    <row r="53" spans="1:8" x14ac:dyDescent="0.25">
      <c r="A53">
        <v>0.56000000000000005</v>
      </c>
      <c r="B53" s="1">
        <f t="shared" si="3"/>
        <v>0.43999999999999995</v>
      </c>
      <c r="D53" s="19">
        <f t="shared" si="1"/>
        <v>0.122</v>
      </c>
      <c r="E53" s="3"/>
      <c r="F53" s="19">
        <f t="shared" si="4"/>
        <v>1.0800000000000216E-2</v>
      </c>
      <c r="G53" s="19">
        <f t="shared" si="4"/>
        <v>0.21320000000000003</v>
      </c>
      <c r="H53" s="19">
        <f t="shared" si="4"/>
        <v>0.17847397569393697</v>
      </c>
    </row>
    <row r="54" spans="1:8" x14ac:dyDescent="0.25">
      <c r="A54">
        <v>0.55000000000000004</v>
      </c>
      <c r="B54" s="1">
        <f t="shared" si="3"/>
        <v>0.44999999999999996</v>
      </c>
      <c r="D54" s="19">
        <f t="shared" si="1"/>
        <v>0.1225</v>
      </c>
      <c r="E54" s="3"/>
      <c r="F54" s="19">
        <f t="shared" si="4"/>
        <v>6.5000000000000474E-3</v>
      </c>
      <c r="G54" s="19">
        <f t="shared" si="4"/>
        <v>0.21350000000000002</v>
      </c>
      <c r="H54" s="19">
        <f t="shared" si="4"/>
        <v>0.17866239111799664</v>
      </c>
    </row>
    <row r="55" spans="1:8" x14ac:dyDescent="0.25">
      <c r="A55">
        <v>0.54</v>
      </c>
      <c r="B55" s="1">
        <f t="shared" si="3"/>
        <v>0.45999999999999996</v>
      </c>
      <c r="D55" s="19">
        <f t="shared" si="1"/>
        <v>0.123</v>
      </c>
      <c r="E55" s="3"/>
      <c r="F55" s="19">
        <f t="shared" si="4"/>
        <v>2.1999999999989871E-3</v>
      </c>
      <c r="G55" s="19">
        <f t="shared" si="4"/>
        <v>0.21380000000000002</v>
      </c>
      <c r="H55" s="19">
        <f t="shared" si="4"/>
        <v>0.17888197226104144</v>
      </c>
    </row>
    <row r="56" spans="1:8" x14ac:dyDescent="0.25">
      <c r="A56">
        <v>0.53</v>
      </c>
      <c r="B56" s="1">
        <f t="shared" si="3"/>
        <v>0.47</v>
      </c>
      <c r="D56" s="19">
        <f t="shared" si="1"/>
        <v>0.1235</v>
      </c>
      <c r="E56" s="3"/>
      <c r="F56" s="19">
        <f t="shared" si="4"/>
        <v>2.0999999999999595E-3</v>
      </c>
      <c r="G56" s="19">
        <f t="shared" si="4"/>
        <v>0.21410000000000001</v>
      </c>
      <c r="H56" s="19">
        <f t="shared" si="4"/>
        <v>0.17913260451408616</v>
      </c>
    </row>
    <row r="57" spans="1:8" x14ac:dyDescent="0.25">
      <c r="A57">
        <v>0.52</v>
      </c>
      <c r="B57" s="1">
        <f t="shared" si="3"/>
        <v>0.48</v>
      </c>
      <c r="D57" s="19">
        <f t="shared" si="1"/>
        <v>0.124</v>
      </c>
      <c r="E57" s="3"/>
      <c r="F57" s="19">
        <f t="shared" si="4"/>
        <v>6.4000000000002406E-3</v>
      </c>
      <c r="G57" s="19">
        <f t="shared" si="4"/>
        <v>0.21440000000000001</v>
      </c>
      <c r="H57" s="19">
        <f t="shared" si="4"/>
        <v>0.17941415774681774</v>
      </c>
    </row>
    <row r="58" spans="1:8" x14ac:dyDescent="0.25">
      <c r="A58">
        <v>0.51</v>
      </c>
      <c r="B58" s="1">
        <f t="shared" si="3"/>
        <v>0.49</v>
      </c>
      <c r="D58" s="19">
        <f t="shared" si="1"/>
        <v>0.1245</v>
      </c>
      <c r="E58" s="3"/>
      <c r="F58" s="19">
        <f t="shared" si="4"/>
        <v>1.0699999999999923E-2</v>
      </c>
      <c r="G58" s="19">
        <f t="shared" si="4"/>
        <v>0.2147</v>
      </c>
      <c r="H58" s="19">
        <f t="shared" si="4"/>
        <v>0.17972648664011656</v>
      </c>
    </row>
    <row r="59" spans="1:8" x14ac:dyDescent="0.25">
      <c r="A59">
        <v>0.5</v>
      </c>
      <c r="B59" s="1">
        <f t="shared" si="3"/>
        <v>0.5</v>
      </c>
      <c r="D59" s="19">
        <f t="shared" si="1"/>
        <v>0.125</v>
      </c>
      <c r="E59" s="3"/>
      <c r="F59" s="19">
        <f t="shared" si="4"/>
        <v>1.4999999999999984E-2</v>
      </c>
      <c r="G59" s="19">
        <f t="shared" si="4"/>
        <v>0.215</v>
      </c>
      <c r="H59" s="19">
        <f t="shared" si="4"/>
        <v>0.18006943105369108</v>
      </c>
    </row>
    <row r="60" spans="1:8" x14ac:dyDescent="0.25">
      <c r="A60">
        <v>0.49</v>
      </c>
      <c r="B60" s="1">
        <f t="shared" si="3"/>
        <v>0.51</v>
      </c>
      <c r="D60" s="19">
        <f t="shared" si="1"/>
        <v>0.1255</v>
      </c>
      <c r="E60" s="3"/>
      <c r="F60" s="19">
        <f t="shared" si="4"/>
        <v>1.9299999999999991E-2</v>
      </c>
      <c r="G60" s="19">
        <f t="shared" si="4"/>
        <v>0.21529999999999999</v>
      </c>
      <c r="H60" s="19">
        <f t="shared" si="4"/>
        <v>0.18044281642670068</v>
      </c>
    </row>
    <row r="61" spans="1:8" x14ac:dyDescent="0.25">
      <c r="A61">
        <v>0.48</v>
      </c>
      <c r="B61" s="1">
        <f t="shared" si="3"/>
        <v>0.52</v>
      </c>
      <c r="D61" s="19">
        <f t="shared" si="1"/>
        <v>0.126</v>
      </c>
      <c r="E61" s="3"/>
      <c r="F61" s="19">
        <f t="shared" si="4"/>
        <v>2.3600000000000121E-2</v>
      </c>
      <c r="G61" s="19">
        <f t="shared" si="4"/>
        <v>0.21560000000000001</v>
      </c>
      <c r="H61" s="19">
        <f t="shared" si="4"/>
        <v>0.18084645420908865</v>
      </c>
    </row>
    <row r="62" spans="1:8" x14ac:dyDescent="0.25">
      <c r="A62">
        <v>0.47</v>
      </c>
      <c r="B62" s="1">
        <f t="shared" si="3"/>
        <v>0.53</v>
      </c>
      <c r="D62" s="19">
        <f t="shared" si="1"/>
        <v>0.1265</v>
      </c>
      <c r="E62" s="3"/>
      <c r="F62" s="19">
        <f t="shared" si="4"/>
        <v>2.7900000000000067E-2</v>
      </c>
      <c r="G62" s="19">
        <f t="shared" si="4"/>
        <v>0.21590000000000001</v>
      </c>
      <c r="H62" s="19">
        <f t="shared" si="4"/>
        <v>0.18128014232121512</v>
      </c>
    </row>
    <row r="63" spans="1:8" x14ac:dyDescent="0.25">
      <c r="A63">
        <v>0.46</v>
      </c>
      <c r="B63" s="1">
        <f t="shared" si="3"/>
        <v>0.54</v>
      </c>
      <c r="D63" s="19">
        <f t="shared" si="1"/>
        <v>0.127</v>
      </c>
      <c r="E63" s="3"/>
      <c r="F63" s="19">
        <f t="shared" si="4"/>
        <v>3.2199999999999958E-2</v>
      </c>
      <c r="G63" s="19">
        <f t="shared" si="4"/>
        <v>0.21620000000000003</v>
      </c>
      <c r="H63" s="19">
        <f t="shared" si="4"/>
        <v>0.18174366563927341</v>
      </c>
    </row>
    <row r="64" spans="1:8" x14ac:dyDescent="0.25">
      <c r="A64">
        <v>0.45</v>
      </c>
      <c r="B64" s="1">
        <f t="shared" si="3"/>
        <v>0.55000000000000004</v>
      </c>
      <c r="D64" s="19">
        <f t="shared" si="1"/>
        <v>0.1275</v>
      </c>
      <c r="E64" s="3"/>
      <c r="F64" s="19">
        <f t="shared" si="4"/>
        <v>3.6500000000000005E-2</v>
      </c>
      <c r="G64" s="19">
        <f t="shared" si="4"/>
        <v>0.21650000000000003</v>
      </c>
      <c r="H64" s="19">
        <f t="shared" si="4"/>
        <v>0.18223679650388944</v>
      </c>
    </row>
    <row r="65" spans="1:8" x14ac:dyDescent="0.25">
      <c r="A65">
        <v>0.44</v>
      </c>
      <c r="B65" s="1">
        <f t="shared" si="3"/>
        <v>0.56000000000000005</v>
      </c>
      <c r="D65" s="19">
        <f t="shared" si="1"/>
        <v>0.128</v>
      </c>
      <c r="E65" s="3"/>
      <c r="F65" s="19">
        <f t="shared" si="4"/>
        <v>4.0799999999999982E-2</v>
      </c>
      <c r="G65" s="19">
        <f t="shared" si="4"/>
        <v>0.21680000000000002</v>
      </c>
      <c r="H65" s="19">
        <f t="shared" si="4"/>
        <v>0.18275929524924309</v>
      </c>
    </row>
    <row r="66" spans="1:8" x14ac:dyDescent="0.25">
      <c r="A66">
        <v>0.43</v>
      </c>
      <c r="B66" s="1">
        <f t="shared" si="3"/>
        <v>0.57000000000000006</v>
      </c>
      <c r="D66" s="19">
        <f t="shared" si="1"/>
        <v>0.1285</v>
      </c>
      <c r="E66" s="3"/>
      <c r="F66" s="19">
        <f t="shared" si="4"/>
        <v>4.5099999999999994E-2</v>
      </c>
      <c r="G66" s="19">
        <f t="shared" si="4"/>
        <v>0.21710000000000004</v>
      </c>
      <c r="H66" s="19">
        <f t="shared" si="4"/>
        <v>0.18331091075001513</v>
      </c>
    </row>
    <row r="67" spans="1:8" x14ac:dyDescent="0.25">
      <c r="A67">
        <v>0.42</v>
      </c>
      <c r="B67" s="1">
        <f t="shared" si="3"/>
        <v>0.58000000000000007</v>
      </c>
      <c r="D67" s="19">
        <f t="shared" si="1"/>
        <v>0.129</v>
      </c>
      <c r="E67" s="3"/>
      <c r="F67" s="19">
        <f t="shared" si="4"/>
        <v>4.9400000000000027E-2</v>
      </c>
      <c r="G67" s="19">
        <f t="shared" si="4"/>
        <v>0.21740000000000001</v>
      </c>
      <c r="H67" s="19">
        <f t="shared" si="4"/>
        <v>0.18389138098344904</v>
      </c>
    </row>
    <row r="68" spans="1:8" x14ac:dyDescent="0.25">
      <c r="A68">
        <v>0.41</v>
      </c>
      <c r="B68" s="1">
        <f t="shared" si="3"/>
        <v>0.59000000000000008</v>
      </c>
      <c r="D68" s="19">
        <f t="shared" si="1"/>
        <v>0.1295</v>
      </c>
      <c r="E68" s="3"/>
      <c r="F68" s="19">
        <f t="shared" si="4"/>
        <v>5.3700000000000012E-2</v>
      </c>
      <c r="G68" s="19">
        <f t="shared" si="4"/>
        <v>0.21770000000000003</v>
      </c>
      <c r="H68" s="19">
        <f t="shared" si="4"/>
        <v>0.18450043360382654</v>
      </c>
    </row>
    <row r="69" spans="1:8" x14ac:dyDescent="0.25">
      <c r="A69">
        <v>0.4</v>
      </c>
      <c r="B69" s="1">
        <f t="shared" si="3"/>
        <v>0.6</v>
      </c>
      <c r="D69" s="19">
        <f t="shared" si="1"/>
        <v>0.13</v>
      </c>
      <c r="E69" s="3"/>
      <c r="F69" s="19">
        <f t="shared" si="4"/>
        <v>5.8000000000000024E-2</v>
      </c>
      <c r="G69" s="19">
        <f t="shared" si="4"/>
        <v>0.21800000000000003</v>
      </c>
      <c r="H69" s="19">
        <f t="shared" si="4"/>
        <v>0.18513778652668397</v>
      </c>
    </row>
    <row r="70" spans="1:8" x14ac:dyDescent="0.25">
      <c r="A70">
        <v>0.39</v>
      </c>
      <c r="B70" s="1">
        <f t="shared" si="3"/>
        <v>0.61</v>
      </c>
      <c r="D70" s="19">
        <f t="shared" si="1"/>
        <v>0.1305</v>
      </c>
      <c r="E70" s="3"/>
      <c r="F70" s="19">
        <f t="shared" si="4"/>
        <v>6.2300000000000022E-2</v>
      </c>
      <c r="G70" s="19">
        <f t="shared" si="4"/>
        <v>0.21830000000000002</v>
      </c>
      <c r="H70" s="19">
        <f t="shared" si="4"/>
        <v>0.18580314852014754</v>
      </c>
    </row>
    <row r="71" spans="1:8" x14ac:dyDescent="0.25">
      <c r="A71">
        <v>0.38</v>
      </c>
      <c r="B71" s="1">
        <f t="shared" si="3"/>
        <v>0.62</v>
      </c>
      <c r="D71" s="19">
        <f t="shared" si="1"/>
        <v>0.13100000000000001</v>
      </c>
      <c r="E71" s="3"/>
      <c r="F71" s="19">
        <f t="shared" si="4"/>
        <v>6.6599999999999993E-2</v>
      </c>
      <c r="G71" s="19">
        <f t="shared" si="4"/>
        <v>0.21860000000000002</v>
      </c>
      <c r="H71" s="19">
        <f t="shared" si="4"/>
        <v>0.18649621980083136</v>
      </c>
    </row>
    <row r="72" spans="1:8" x14ac:dyDescent="0.25">
      <c r="A72">
        <v>0.37</v>
      </c>
      <c r="B72" s="1">
        <f t="shared" si="3"/>
        <v>0.63</v>
      </c>
      <c r="D72" s="19">
        <f t="shared" si="1"/>
        <v>0.13150000000000001</v>
      </c>
      <c r="E72" s="3"/>
      <c r="F72" s="19">
        <f t="shared" si="4"/>
        <v>7.0900000000000019E-2</v>
      </c>
      <c r="G72" s="19">
        <f t="shared" si="4"/>
        <v>0.21890000000000001</v>
      </c>
      <c r="H72" s="19">
        <f t="shared" si="4"/>
        <v>0.18721669263182705</v>
      </c>
    </row>
    <row r="73" spans="1:8" x14ac:dyDescent="0.25">
      <c r="A73">
        <v>0.36</v>
      </c>
      <c r="B73" s="1">
        <f t="shared" si="3"/>
        <v>0.64</v>
      </c>
      <c r="D73" s="19">
        <f t="shared" si="1"/>
        <v>0.13200000000000001</v>
      </c>
      <c r="E73" s="3"/>
      <c r="F73" s="19">
        <f t="shared" si="4"/>
        <v>7.5200000000000003E-2</v>
      </c>
      <c r="G73" s="19">
        <f t="shared" si="4"/>
        <v>0.21920000000000001</v>
      </c>
      <c r="H73" s="19">
        <f t="shared" si="4"/>
        <v>0.18796425192041172</v>
      </c>
    </row>
    <row r="74" spans="1:8" x14ac:dyDescent="0.25">
      <c r="A74">
        <v>0.35</v>
      </c>
      <c r="B74" s="1">
        <f t="shared" si="3"/>
        <v>0.65</v>
      </c>
      <c r="D74" s="19">
        <f t="shared" ref="D74:D109" si="5">A74*$B$4+B74*$B$5</f>
        <v>0.13250000000000001</v>
      </c>
      <c r="E74" s="3"/>
      <c r="F74" s="19">
        <f t="shared" ref="F74:H109" si="6">SQRT($A74^2*$C$4^2+$B74^2*$C$5^2+2*$A74*$B74*$C$4*$C$5*F$7)</f>
        <v>7.9500000000000015E-2</v>
      </c>
      <c r="G74" s="19">
        <f t="shared" si="6"/>
        <v>0.21950000000000003</v>
      </c>
      <c r="H74" s="19">
        <f t="shared" si="6"/>
        <v>0.18873857581321316</v>
      </c>
    </row>
    <row r="75" spans="1:8" x14ac:dyDescent="0.25">
      <c r="A75">
        <v>0.34</v>
      </c>
      <c r="B75" s="1">
        <f t="shared" ref="B75:B109" si="7">1-A75</f>
        <v>0.65999999999999992</v>
      </c>
      <c r="D75" s="19">
        <f t="shared" si="5"/>
        <v>0.13300000000000001</v>
      </c>
      <c r="E75" s="3"/>
      <c r="F75" s="19">
        <f t="shared" si="6"/>
        <v>8.3799999999999972E-2</v>
      </c>
      <c r="G75" s="19">
        <f t="shared" si="6"/>
        <v>0.2198</v>
      </c>
      <c r="H75" s="19">
        <f t="shared" si="6"/>
        <v>0.18953933628669273</v>
      </c>
    </row>
    <row r="76" spans="1:8" x14ac:dyDescent="0.25">
      <c r="A76">
        <v>0.33</v>
      </c>
      <c r="B76" s="1">
        <f t="shared" si="7"/>
        <v>0.66999999999999993</v>
      </c>
      <c r="D76" s="19">
        <f t="shared" si="5"/>
        <v>0.13350000000000001</v>
      </c>
      <c r="E76" s="3"/>
      <c r="F76" s="19">
        <f t="shared" si="6"/>
        <v>8.8099999999999998E-2</v>
      </c>
      <c r="G76" s="19">
        <f t="shared" si="6"/>
        <v>0.22009999999999999</v>
      </c>
      <c r="H76" s="19">
        <f t="shared" si="6"/>
        <v>0.19036619973093963</v>
      </c>
    </row>
    <row r="77" spans="1:8" x14ac:dyDescent="0.25">
      <c r="A77">
        <v>0.32</v>
      </c>
      <c r="B77" s="1">
        <f t="shared" si="7"/>
        <v>0.67999999999999994</v>
      </c>
      <c r="D77" s="19">
        <f t="shared" si="5"/>
        <v>0.13400000000000001</v>
      </c>
      <c r="E77" s="3"/>
      <c r="F77" s="19">
        <f t="shared" si="6"/>
        <v>9.2399999999999996E-2</v>
      </c>
      <c r="G77" s="19">
        <f t="shared" si="6"/>
        <v>0.22040000000000001</v>
      </c>
      <c r="H77" s="19">
        <f t="shared" si="6"/>
        <v>0.19121882752490665</v>
      </c>
    </row>
    <row r="78" spans="1:8" x14ac:dyDescent="0.25">
      <c r="A78">
        <v>0.31</v>
      </c>
      <c r="B78" s="1">
        <f t="shared" si="7"/>
        <v>0.69</v>
      </c>
      <c r="D78" s="19">
        <f t="shared" si="5"/>
        <v>0.13450000000000001</v>
      </c>
      <c r="E78" s="3"/>
      <c r="F78" s="19">
        <f t="shared" si="6"/>
        <v>9.669999999999998E-2</v>
      </c>
      <c r="G78" s="19">
        <f t="shared" si="6"/>
        <v>0.22069999999999998</v>
      </c>
      <c r="H78" s="19">
        <f t="shared" si="6"/>
        <v>0.19209687660136485</v>
      </c>
    </row>
    <row r="79" spans="1:8" x14ac:dyDescent="0.25">
      <c r="A79">
        <v>0.3</v>
      </c>
      <c r="B79" s="1">
        <f t="shared" si="7"/>
        <v>0.7</v>
      </c>
      <c r="D79" s="19">
        <f t="shared" si="5"/>
        <v>0.13500000000000001</v>
      </c>
      <c r="E79" s="3"/>
      <c r="F79" s="19">
        <f t="shared" si="6"/>
        <v>0.10099999999999999</v>
      </c>
      <c r="G79" s="19">
        <f t="shared" si="6"/>
        <v>0.221</v>
      </c>
      <c r="H79" s="19">
        <f t="shared" si="6"/>
        <v>0.193</v>
      </c>
    </row>
    <row r="80" spans="1:8" x14ac:dyDescent="0.25">
      <c r="A80">
        <v>0.28999999999999998</v>
      </c>
      <c r="B80" s="1">
        <f t="shared" si="7"/>
        <v>0.71</v>
      </c>
      <c r="D80" s="19">
        <f t="shared" si="5"/>
        <v>0.13550000000000001</v>
      </c>
      <c r="E80" s="3"/>
      <c r="F80" s="19">
        <f t="shared" si="6"/>
        <v>0.1053</v>
      </c>
      <c r="G80" s="19">
        <f t="shared" si="6"/>
        <v>0.2213</v>
      </c>
      <c r="H80" s="19">
        <f t="shared" si="6"/>
        <v>0.19392784740722513</v>
      </c>
    </row>
    <row r="81" spans="1:8" x14ac:dyDescent="0.25">
      <c r="A81">
        <v>0.28000000000000003</v>
      </c>
      <c r="B81" s="1">
        <f t="shared" si="7"/>
        <v>0.72</v>
      </c>
      <c r="D81" s="19">
        <f t="shared" si="5"/>
        <v>0.13600000000000001</v>
      </c>
      <c r="E81" s="3"/>
      <c r="F81" s="19">
        <f t="shared" si="6"/>
        <v>0.10959999999999999</v>
      </c>
      <c r="G81" s="19">
        <f t="shared" si="6"/>
        <v>0.22160000000000002</v>
      </c>
      <c r="H81" s="19">
        <f t="shared" si="6"/>
        <v>0.19488006568143393</v>
      </c>
    </row>
    <row r="82" spans="1:8" x14ac:dyDescent="0.25">
      <c r="A82">
        <v>0.27</v>
      </c>
      <c r="B82" s="1">
        <f t="shared" si="7"/>
        <v>0.73</v>
      </c>
      <c r="D82" s="19">
        <f t="shared" si="5"/>
        <v>0.13650000000000001</v>
      </c>
      <c r="E82" s="3"/>
      <c r="F82" s="19">
        <f t="shared" si="6"/>
        <v>0.1139</v>
      </c>
      <c r="G82" s="19">
        <f t="shared" si="6"/>
        <v>0.22190000000000001</v>
      </c>
      <c r="H82" s="19">
        <f t="shared" si="6"/>
        <v>0.19585629936256838</v>
      </c>
    </row>
    <row r="83" spans="1:8" x14ac:dyDescent="0.25">
      <c r="A83">
        <v>0.26</v>
      </c>
      <c r="B83" s="1">
        <f t="shared" si="7"/>
        <v>0.74</v>
      </c>
      <c r="D83" s="19">
        <f t="shared" si="5"/>
        <v>0.13700000000000001</v>
      </c>
      <c r="E83" s="3"/>
      <c r="F83" s="19">
        <f t="shared" si="6"/>
        <v>0.11819999999999999</v>
      </c>
      <c r="G83" s="19">
        <f t="shared" si="6"/>
        <v>0.22220000000000001</v>
      </c>
      <c r="H83" s="19">
        <f t="shared" si="6"/>
        <v>0.19685619116502279</v>
      </c>
    </row>
    <row r="84" spans="1:8" x14ac:dyDescent="0.25">
      <c r="A84">
        <v>0.25</v>
      </c>
      <c r="B84" s="1">
        <f t="shared" si="7"/>
        <v>0.75</v>
      </c>
      <c r="D84" s="19">
        <f t="shared" si="5"/>
        <v>0.13749999999999998</v>
      </c>
      <c r="E84" s="3"/>
      <c r="F84" s="19">
        <f t="shared" si="6"/>
        <v>0.12249999999999998</v>
      </c>
      <c r="G84" s="19">
        <f t="shared" si="6"/>
        <v>0.2225</v>
      </c>
      <c r="H84" s="19">
        <f t="shared" si="6"/>
        <v>0.19787938245304892</v>
      </c>
    </row>
    <row r="85" spans="1:8" x14ac:dyDescent="0.25">
      <c r="A85">
        <v>0.24</v>
      </c>
      <c r="B85" s="1">
        <f t="shared" si="7"/>
        <v>0.76</v>
      </c>
      <c r="D85" s="19">
        <f t="shared" si="5"/>
        <v>0.13799999999999998</v>
      </c>
      <c r="E85" s="3"/>
      <c r="F85" s="19">
        <f t="shared" si="6"/>
        <v>0.12680000000000002</v>
      </c>
      <c r="G85" s="19">
        <f t="shared" si="6"/>
        <v>0.2228</v>
      </c>
      <c r="H85" s="19">
        <f t="shared" si="6"/>
        <v>0.19892551369796688</v>
      </c>
    </row>
    <row r="86" spans="1:8" x14ac:dyDescent="0.25">
      <c r="A86">
        <v>0.23</v>
      </c>
      <c r="B86" s="1">
        <f t="shared" si="7"/>
        <v>0.77</v>
      </c>
      <c r="D86" s="19">
        <f t="shared" si="5"/>
        <v>0.13849999999999998</v>
      </c>
      <c r="E86" s="3"/>
      <c r="F86" s="19">
        <f t="shared" si="6"/>
        <v>0.13109999999999999</v>
      </c>
      <c r="G86" s="19">
        <f t="shared" si="6"/>
        <v>0.22309999999999999</v>
      </c>
      <c r="H86" s="19">
        <f t="shared" si="6"/>
        <v>0.19999422491662103</v>
      </c>
    </row>
    <row r="87" spans="1:8" x14ac:dyDescent="0.25">
      <c r="A87">
        <v>0.22</v>
      </c>
      <c r="B87" s="1">
        <f t="shared" si="7"/>
        <v>0.78</v>
      </c>
      <c r="D87" s="19">
        <f t="shared" si="5"/>
        <v>0.13899999999999998</v>
      </c>
      <c r="E87" s="3"/>
      <c r="F87" s="19">
        <f t="shared" si="6"/>
        <v>0.13539999999999999</v>
      </c>
      <c r="G87" s="19">
        <f t="shared" si="6"/>
        <v>0.22340000000000002</v>
      </c>
      <c r="H87" s="19">
        <f t="shared" si="6"/>
        <v>0.20108515609064734</v>
      </c>
    </row>
    <row r="88" spans="1:8" x14ac:dyDescent="0.25">
      <c r="A88">
        <v>0.21</v>
      </c>
      <c r="B88" s="1">
        <f t="shared" si="7"/>
        <v>0.79</v>
      </c>
      <c r="D88" s="19">
        <f t="shared" si="5"/>
        <v>0.13949999999999999</v>
      </c>
      <c r="E88" s="3"/>
      <c r="F88" s="19">
        <f t="shared" si="6"/>
        <v>0.13970000000000002</v>
      </c>
      <c r="G88" s="19">
        <f t="shared" si="6"/>
        <v>0.22370000000000001</v>
      </c>
      <c r="H88" s="19">
        <f t="shared" si="6"/>
        <v>0.20219794756624015</v>
      </c>
    </row>
    <row r="89" spans="1:8" x14ac:dyDescent="0.25">
      <c r="A89">
        <v>0.2</v>
      </c>
      <c r="B89" s="1">
        <f t="shared" si="7"/>
        <v>0.8</v>
      </c>
      <c r="D89" s="19">
        <f t="shared" si="5"/>
        <v>0.14000000000000001</v>
      </c>
      <c r="E89" s="3"/>
      <c r="F89" s="19">
        <f t="shared" si="6"/>
        <v>0.14400000000000004</v>
      </c>
      <c r="G89" s="19">
        <f t="shared" si="6"/>
        <v>0.22400000000000003</v>
      </c>
      <c r="H89" s="19">
        <f t="shared" si="6"/>
        <v>0.20333224043422141</v>
      </c>
    </row>
    <row r="90" spans="1:8" x14ac:dyDescent="0.25">
      <c r="A90">
        <v>0.19</v>
      </c>
      <c r="B90" s="1">
        <f t="shared" si="7"/>
        <v>0.81</v>
      </c>
      <c r="D90" s="19">
        <f t="shared" si="5"/>
        <v>0.14050000000000001</v>
      </c>
      <c r="E90" s="3"/>
      <c r="F90" s="19">
        <f t="shared" si="6"/>
        <v>0.14830000000000002</v>
      </c>
      <c r="G90" s="19">
        <f t="shared" si="6"/>
        <v>0.22430000000000003</v>
      </c>
      <c r="H90" s="19">
        <f t="shared" si="6"/>
        <v>0.20448767689032024</v>
      </c>
    </row>
    <row r="91" spans="1:8" x14ac:dyDescent="0.25">
      <c r="A91">
        <v>0.18</v>
      </c>
      <c r="B91" s="1">
        <f t="shared" si="7"/>
        <v>0.82000000000000006</v>
      </c>
      <c r="D91" s="19">
        <f t="shared" si="5"/>
        <v>0.14099999999999999</v>
      </c>
      <c r="E91" s="3"/>
      <c r="F91" s="19">
        <f t="shared" si="6"/>
        <v>0.15260000000000001</v>
      </c>
      <c r="G91" s="19">
        <f t="shared" si="6"/>
        <v>0.22459999999999999</v>
      </c>
      <c r="H91" s="19">
        <f t="shared" si="6"/>
        <v>0.20566390057567227</v>
      </c>
    </row>
    <row r="92" spans="1:8" x14ac:dyDescent="0.25">
      <c r="A92">
        <v>0.17</v>
      </c>
      <c r="B92" s="1">
        <f t="shared" si="7"/>
        <v>0.83</v>
      </c>
      <c r="D92" s="19">
        <f t="shared" si="5"/>
        <v>0.14149999999999999</v>
      </c>
      <c r="E92" s="3"/>
      <c r="F92" s="19">
        <f t="shared" si="6"/>
        <v>0.15689999999999998</v>
      </c>
      <c r="G92" s="19">
        <f t="shared" si="6"/>
        <v>0.22489999999999999</v>
      </c>
      <c r="H92" s="19">
        <f t="shared" si="6"/>
        <v>0.20686055689763574</v>
      </c>
    </row>
    <row r="93" spans="1:8" x14ac:dyDescent="0.25">
      <c r="A93">
        <v>0.16</v>
      </c>
      <c r="B93" s="1">
        <f t="shared" si="7"/>
        <v>0.84</v>
      </c>
      <c r="D93" s="19">
        <f t="shared" si="5"/>
        <v>0.14200000000000002</v>
      </c>
      <c r="E93" s="3"/>
      <c r="F93" s="19">
        <f t="shared" si="6"/>
        <v>0.16119999999999998</v>
      </c>
      <c r="G93" s="19">
        <f t="shared" si="6"/>
        <v>0.22519999999999998</v>
      </c>
      <c r="H93" s="19">
        <f t="shared" si="6"/>
        <v>0.20807729333110808</v>
      </c>
    </row>
    <row r="94" spans="1:8" x14ac:dyDescent="0.25">
      <c r="A94">
        <v>0.15</v>
      </c>
      <c r="B94" s="1">
        <f t="shared" si="7"/>
        <v>0.85</v>
      </c>
      <c r="D94" s="19">
        <f t="shared" si="5"/>
        <v>0.14250000000000002</v>
      </c>
      <c r="E94" s="3"/>
      <c r="F94" s="19">
        <f t="shared" si="6"/>
        <v>0.16549999999999998</v>
      </c>
      <c r="G94" s="19">
        <f t="shared" si="6"/>
        <v>0.22550000000000001</v>
      </c>
      <c r="H94" s="19">
        <f t="shared" si="6"/>
        <v>0.20931375970059876</v>
      </c>
    </row>
    <row r="95" spans="1:8" x14ac:dyDescent="0.25">
      <c r="A95">
        <v>0.14000000000000001</v>
      </c>
      <c r="B95" s="1">
        <f t="shared" si="7"/>
        <v>0.86</v>
      </c>
      <c r="D95" s="19">
        <f t="shared" si="5"/>
        <v>0.14300000000000002</v>
      </c>
      <c r="E95" s="3"/>
      <c r="F95" s="19">
        <f t="shared" si="6"/>
        <v>0.16979999999999998</v>
      </c>
      <c r="G95" s="19">
        <f t="shared" si="6"/>
        <v>0.2258</v>
      </c>
      <c r="H95" s="19">
        <f t="shared" si="6"/>
        <v>0.21056960844338388</v>
      </c>
    </row>
    <row r="96" spans="1:8" x14ac:dyDescent="0.25">
      <c r="A96">
        <v>0.13</v>
      </c>
      <c r="B96" s="1">
        <f t="shared" si="7"/>
        <v>0.87</v>
      </c>
      <c r="D96" s="19">
        <f t="shared" si="5"/>
        <v>0.14350000000000002</v>
      </c>
      <c r="E96" s="3"/>
      <c r="F96" s="19">
        <f t="shared" si="6"/>
        <v>0.1741</v>
      </c>
      <c r="G96" s="19">
        <f t="shared" si="6"/>
        <v>0.22610000000000002</v>
      </c>
      <c r="H96" s="19">
        <f t="shared" si="6"/>
        <v>0.21184449485412643</v>
      </c>
    </row>
    <row r="97" spans="1:8" x14ac:dyDescent="0.25">
      <c r="A97">
        <v>0.12</v>
      </c>
      <c r="B97" s="1">
        <f t="shared" si="7"/>
        <v>0.88</v>
      </c>
      <c r="D97" s="19">
        <f t="shared" si="5"/>
        <v>0.14400000000000002</v>
      </c>
      <c r="E97" s="3"/>
      <c r="F97" s="19">
        <f t="shared" si="6"/>
        <v>0.1784</v>
      </c>
      <c r="G97" s="19">
        <f t="shared" si="6"/>
        <v>0.22640000000000002</v>
      </c>
      <c r="H97" s="19">
        <f t="shared" si="6"/>
        <v>0.21313807731139925</v>
      </c>
    </row>
    <row r="98" spans="1:8" x14ac:dyDescent="0.25">
      <c r="A98">
        <v>0.11</v>
      </c>
      <c r="B98" s="1">
        <f t="shared" si="7"/>
        <v>0.89</v>
      </c>
      <c r="D98" s="19">
        <f t="shared" si="5"/>
        <v>0.14450000000000002</v>
      </c>
      <c r="E98" s="3"/>
      <c r="F98" s="19">
        <f t="shared" si="6"/>
        <v>0.1827</v>
      </c>
      <c r="G98" s="19">
        <f t="shared" si="6"/>
        <v>0.22670000000000001</v>
      </c>
      <c r="H98" s="19">
        <f t="shared" si="6"/>
        <v>0.2144500174865929</v>
      </c>
    </row>
    <row r="99" spans="1:8" x14ac:dyDescent="0.25">
      <c r="A99">
        <v>0.1</v>
      </c>
      <c r="B99" s="1">
        <f t="shared" si="7"/>
        <v>0.9</v>
      </c>
      <c r="D99" s="19">
        <f t="shared" si="5"/>
        <v>0.14500000000000002</v>
      </c>
      <c r="E99" s="3"/>
      <c r="F99" s="19">
        <f t="shared" si="6"/>
        <v>0.187</v>
      </c>
      <c r="G99" s="19">
        <f t="shared" si="6"/>
        <v>0.22700000000000001</v>
      </c>
      <c r="H99" s="19">
        <f t="shared" si="6"/>
        <v>0.21577998053572997</v>
      </c>
    </row>
    <row r="100" spans="1:8" x14ac:dyDescent="0.25">
      <c r="A100">
        <v>0.09</v>
      </c>
      <c r="B100" s="1">
        <f t="shared" si="7"/>
        <v>0.91</v>
      </c>
      <c r="D100" s="19">
        <f t="shared" si="5"/>
        <v>0.14550000000000002</v>
      </c>
      <c r="E100" s="3"/>
      <c r="F100" s="19">
        <f t="shared" si="6"/>
        <v>0.1913</v>
      </c>
      <c r="G100" s="19">
        <f t="shared" si="6"/>
        <v>0.2273</v>
      </c>
      <c r="H100" s="19">
        <f t="shared" si="6"/>
        <v>0.21712763527473883</v>
      </c>
    </row>
    <row r="101" spans="1:8" x14ac:dyDescent="0.25">
      <c r="A101">
        <v>0.08</v>
      </c>
      <c r="B101" s="1">
        <f t="shared" si="7"/>
        <v>0.92</v>
      </c>
      <c r="D101" s="19">
        <f t="shared" si="5"/>
        <v>0.14600000000000002</v>
      </c>
      <c r="E101" s="3"/>
      <c r="F101" s="19">
        <f t="shared" si="6"/>
        <v>0.19560000000000002</v>
      </c>
      <c r="G101" s="19">
        <f t="shared" si="6"/>
        <v>0.2276</v>
      </c>
      <c r="H101" s="19">
        <f t="shared" si="6"/>
        <v>0.21849265433876719</v>
      </c>
    </row>
    <row r="102" spans="1:8" x14ac:dyDescent="0.25">
      <c r="A102">
        <v>7.0000000000000007E-2</v>
      </c>
      <c r="B102" s="1">
        <f t="shared" si="7"/>
        <v>0.92999999999999994</v>
      </c>
      <c r="D102" s="19">
        <f t="shared" si="5"/>
        <v>0.14649999999999999</v>
      </c>
      <c r="E102" s="3"/>
      <c r="F102" s="19">
        <f t="shared" si="6"/>
        <v>0.19989999999999999</v>
      </c>
      <c r="G102" s="19">
        <f t="shared" si="6"/>
        <v>0.22789999999999999</v>
      </c>
      <c r="H102" s="19">
        <f t="shared" si="6"/>
        <v>0.2198747143261362</v>
      </c>
    </row>
    <row r="103" spans="1:8" x14ac:dyDescent="0.25">
      <c r="A103">
        <v>0.06</v>
      </c>
      <c r="B103" s="1">
        <f t="shared" si="7"/>
        <v>0.94</v>
      </c>
      <c r="D103" s="19">
        <f t="shared" si="5"/>
        <v>0.14699999999999999</v>
      </c>
      <c r="E103" s="3"/>
      <c r="F103" s="19">
        <f t="shared" si="6"/>
        <v>0.20419999999999999</v>
      </c>
      <c r="G103" s="19">
        <f t="shared" si="6"/>
        <v>0.22819999999999999</v>
      </c>
      <c r="H103" s="19">
        <f t="shared" si="6"/>
        <v>0.22127349592755113</v>
      </c>
    </row>
    <row r="104" spans="1:8" x14ac:dyDescent="0.25">
      <c r="A104">
        <v>0.05</v>
      </c>
      <c r="B104" s="1">
        <f t="shared" si="7"/>
        <v>0.95</v>
      </c>
      <c r="D104" s="19">
        <f t="shared" si="5"/>
        <v>0.14749999999999999</v>
      </c>
      <c r="E104" s="3"/>
      <c r="F104" s="19">
        <f t="shared" si="6"/>
        <v>0.20850000000000002</v>
      </c>
      <c r="G104" s="19">
        <f t="shared" si="6"/>
        <v>0.22850000000000001</v>
      </c>
      <c r="H104" s="19">
        <f t="shared" si="6"/>
        <v>0.22268868404119685</v>
      </c>
    </row>
    <row r="105" spans="1:8" x14ac:dyDescent="0.25">
      <c r="A105">
        <v>0.04</v>
      </c>
      <c r="B105" s="1">
        <f t="shared" si="7"/>
        <v>0.96</v>
      </c>
      <c r="D105" s="19">
        <f t="shared" si="5"/>
        <v>0.14799999999999999</v>
      </c>
      <c r="E105" s="3"/>
      <c r="F105" s="19">
        <f t="shared" si="6"/>
        <v>0.21279999999999999</v>
      </c>
      <c r="G105" s="19">
        <f t="shared" si="6"/>
        <v>0.2288</v>
      </c>
      <c r="H105" s="19">
        <f t="shared" si="6"/>
        <v>0.22411996787435071</v>
      </c>
    </row>
    <row r="106" spans="1:8" x14ac:dyDescent="0.25">
      <c r="A106">
        <v>0.03</v>
      </c>
      <c r="B106" s="1">
        <f t="shared" si="7"/>
        <v>0.97</v>
      </c>
      <c r="D106" s="19">
        <f t="shared" si="5"/>
        <v>0.14849999999999999</v>
      </c>
      <c r="E106" s="3"/>
      <c r="F106" s="19">
        <f t="shared" si="6"/>
        <v>0.21710000000000002</v>
      </c>
      <c r="G106" s="19">
        <f t="shared" si="6"/>
        <v>0.2291</v>
      </c>
      <c r="H106" s="19">
        <f t="shared" si="6"/>
        <v>0.22556704103215081</v>
      </c>
    </row>
    <row r="107" spans="1:8" x14ac:dyDescent="0.25">
      <c r="A107">
        <v>0.02</v>
      </c>
      <c r="B107" s="1">
        <f t="shared" si="7"/>
        <v>0.98</v>
      </c>
      <c r="D107" s="19">
        <f t="shared" si="5"/>
        <v>0.14899999999999999</v>
      </c>
      <c r="E107" s="3"/>
      <c r="F107" s="19">
        <f t="shared" si="6"/>
        <v>0.22139999999999999</v>
      </c>
      <c r="G107" s="19">
        <f t="shared" si="6"/>
        <v>0.22939999999999999</v>
      </c>
      <c r="H107" s="19">
        <f t="shared" si="6"/>
        <v>0.22702960159415334</v>
      </c>
    </row>
    <row r="108" spans="1:8" x14ac:dyDescent="0.25">
      <c r="A108">
        <v>0.01</v>
      </c>
      <c r="B108" s="1">
        <f t="shared" si="7"/>
        <v>0.99</v>
      </c>
      <c r="D108" s="19">
        <f t="shared" si="5"/>
        <v>0.14949999999999999</v>
      </c>
      <c r="E108" s="3"/>
      <c r="F108" s="19">
        <f t="shared" si="6"/>
        <v>0.22569999999999998</v>
      </c>
      <c r="G108" s="19">
        <f t="shared" si="6"/>
        <v>0.22970000000000002</v>
      </c>
      <c r="H108" s="19">
        <f t="shared" si="6"/>
        <v>0.22850735217931173</v>
      </c>
    </row>
    <row r="109" spans="1:8" x14ac:dyDescent="0.25">
      <c r="A109">
        <v>0</v>
      </c>
      <c r="B109" s="1">
        <f t="shared" si="7"/>
        <v>1</v>
      </c>
      <c r="D109" s="19">
        <f t="shared" si="5"/>
        <v>0.15</v>
      </c>
      <c r="E109" s="3"/>
      <c r="F109" s="19">
        <f t="shared" si="6"/>
        <v>0.23</v>
      </c>
      <c r="G109" s="19">
        <f t="shared" si="6"/>
        <v>0.23</v>
      </c>
      <c r="H109" s="19">
        <f t="shared" si="6"/>
        <v>0.23</v>
      </c>
    </row>
  </sheetData>
  <mergeCells count="1">
    <mergeCell ref="F6:H6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unka2"/>
  <dimension ref="A1:O80"/>
  <sheetViews>
    <sheetView topLeftCell="A3" zoomScale="171" zoomScaleNormal="145" workbookViewId="0">
      <selection activeCell="B16" sqref="B16"/>
    </sheetView>
  </sheetViews>
  <sheetFormatPr defaultColWidth="9.1796875" defaultRowHeight="13" x14ac:dyDescent="0.3"/>
  <cols>
    <col min="1" max="1" width="19.453125" style="7" customWidth="1"/>
    <col min="2" max="7" width="9.1796875" style="7"/>
    <col min="8" max="8" width="10.453125" style="7" bestFit="1" customWidth="1"/>
    <col min="9" max="16384" width="9.1796875" style="7"/>
  </cols>
  <sheetData>
    <row r="1" spans="1:15" ht="15.5" x14ac:dyDescent="0.35">
      <c r="A1" s="4" t="s">
        <v>10</v>
      </c>
      <c r="L1" s="7" t="s">
        <v>11</v>
      </c>
    </row>
    <row r="2" spans="1:15" x14ac:dyDescent="0.3">
      <c r="L2" s="7" t="s">
        <v>12</v>
      </c>
    </row>
    <row r="4" spans="1:15" x14ac:dyDescent="0.3">
      <c r="A4" s="15" t="s">
        <v>1</v>
      </c>
      <c r="B4" s="15" t="s">
        <v>2</v>
      </c>
      <c r="C4" s="30" t="s">
        <v>13</v>
      </c>
      <c r="D4" s="30"/>
      <c r="E4" s="30"/>
      <c r="F4" s="15"/>
      <c r="G4" s="15" t="s">
        <v>2</v>
      </c>
      <c r="H4" s="15" t="s">
        <v>14</v>
      </c>
    </row>
    <row r="5" spans="1:15" x14ac:dyDescent="0.3">
      <c r="A5" s="16" t="s">
        <v>4</v>
      </c>
      <c r="B5" s="17">
        <v>0.1</v>
      </c>
      <c r="C5" s="21">
        <f>0.28^2</f>
        <v>7.8400000000000011E-2</v>
      </c>
      <c r="D5" s="21">
        <f>0.1*0.2</f>
        <v>2.0000000000000004E-2</v>
      </c>
      <c r="E5" s="21">
        <f>0.12*0.16</f>
        <v>1.9199999999999998E-2</v>
      </c>
      <c r="F5" s="9"/>
      <c r="G5" s="10">
        <f>B5</f>
        <v>0.1</v>
      </c>
      <c r="H5" s="10">
        <f>SQRT(C5)</f>
        <v>0.28000000000000003</v>
      </c>
    </row>
    <row r="6" spans="1:15" x14ac:dyDescent="0.3">
      <c r="A6" s="16" t="s">
        <v>5</v>
      </c>
      <c r="B6" s="17">
        <v>0.15</v>
      </c>
      <c r="C6" s="21">
        <f>0.1*0.2</f>
        <v>2.0000000000000004E-2</v>
      </c>
      <c r="D6" s="21">
        <f>0.32^2</f>
        <v>0.1024</v>
      </c>
      <c r="E6" s="21">
        <f>0.25*0.25</f>
        <v>6.25E-2</v>
      </c>
      <c r="F6" s="9"/>
      <c r="G6" s="10">
        <f>B6</f>
        <v>0.15</v>
      </c>
      <c r="H6" s="10">
        <f>SQRT(D6)</f>
        <v>0.32</v>
      </c>
    </row>
    <row r="7" spans="1:15" x14ac:dyDescent="0.3">
      <c r="A7" s="16" t="s">
        <v>15</v>
      </c>
      <c r="B7" s="17">
        <v>0.2</v>
      </c>
      <c r="C7" s="21">
        <f>0.12*0.16</f>
        <v>1.9199999999999998E-2</v>
      </c>
      <c r="D7" s="21">
        <f>0.25*0.25</f>
        <v>6.25E-2</v>
      </c>
      <c r="E7" s="21">
        <f>0.38^2</f>
        <v>0.1444</v>
      </c>
      <c r="F7" s="9"/>
      <c r="G7" s="10">
        <f>B7</f>
        <v>0.2</v>
      </c>
      <c r="H7" s="10">
        <f>SQRT(E7)</f>
        <v>0.38</v>
      </c>
    </row>
    <row r="8" spans="1:15" x14ac:dyDescent="0.3">
      <c r="A8" s="16"/>
    </row>
    <row r="9" spans="1:15" x14ac:dyDescent="0.3">
      <c r="A9" s="16"/>
      <c r="B9" s="16" t="s">
        <v>7</v>
      </c>
      <c r="C9" s="16" t="s">
        <v>8</v>
      </c>
      <c r="D9" s="16" t="s">
        <v>16</v>
      </c>
      <c r="E9" s="16" t="s">
        <v>17</v>
      </c>
      <c r="F9" s="16"/>
      <c r="G9" s="16" t="s">
        <v>2</v>
      </c>
      <c r="H9" s="16" t="s">
        <v>18</v>
      </c>
      <c r="I9" s="16" t="s">
        <v>14</v>
      </c>
    </row>
    <row r="10" spans="1:15" x14ac:dyDescent="0.3">
      <c r="A10" s="16" t="s">
        <v>19</v>
      </c>
      <c r="B10" s="9">
        <v>-0.11326294746967375</v>
      </c>
      <c r="C10" s="9">
        <v>0.22652587623702386</v>
      </c>
      <c r="D10" s="9">
        <v>0.88673707123264989</v>
      </c>
      <c r="E10" s="20">
        <f>SUM(B10:D10)</f>
        <v>1</v>
      </c>
      <c r="G10" s="8" cm="1">
        <f t="array" ref="G10">MMULT(B10:D10,$B$5:$B$7)</f>
        <v>0.20000000093511619</v>
      </c>
      <c r="H10" s="11" cm="1">
        <f t="array" ref="H10">MMULT(MMULT(B10:D10,$C$5:$E$7),TRANSPOSE(B10:D10))</f>
        <v>0.14002805402497098</v>
      </c>
      <c r="I10" s="9">
        <f>SQRT(H10)</f>
        <v>0.37420322556729918</v>
      </c>
      <c r="K10" s="7" t="s">
        <v>20</v>
      </c>
      <c r="N10" s="7" t="s">
        <v>21</v>
      </c>
    </row>
    <row r="11" spans="1:15" x14ac:dyDescent="0.3">
      <c r="A11" s="16" t="s">
        <v>22</v>
      </c>
      <c r="B11" s="9">
        <v>-2.0017607556984487</v>
      </c>
      <c r="C11" s="9">
        <v>3.5213328453179275E-3</v>
      </c>
      <c r="D11" s="9">
        <v>2.9982394228531302</v>
      </c>
      <c r="E11" s="7">
        <f>SUM(B11:D11)</f>
        <v>0.99999999999999933</v>
      </c>
      <c r="G11" s="8" cm="1">
        <f t="array" ref="G11">MMULT(B11:D11,$B$5:$B$7)</f>
        <v>0.40000000892757892</v>
      </c>
      <c r="H11" s="11" cm="1">
        <f t="array" ref="H11">MMULT(MMULT(B11:D11,$C$5:$E$7),TRANSPOSE(B11:D11))</f>
        <v>1.3827990318724299</v>
      </c>
      <c r="I11" s="9">
        <f>SQRT(H11)</f>
        <v>1.175924756041997</v>
      </c>
      <c r="O11" s="7" t="s">
        <v>23</v>
      </c>
    </row>
    <row r="12" spans="1:15" x14ac:dyDescent="0.3">
      <c r="A12" s="16"/>
      <c r="B12" s="9"/>
      <c r="C12" s="9"/>
      <c r="D12" s="9"/>
      <c r="F12" s="9"/>
      <c r="G12" s="8"/>
      <c r="H12" s="11"/>
    </row>
    <row r="13" spans="1:15" x14ac:dyDescent="0.3">
      <c r="A13" s="16"/>
      <c r="F13" s="9"/>
    </row>
    <row r="14" spans="1:15" x14ac:dyDescent="0.3">
      <c r="A14" s="16" t="s">
        <v>24</v>
      </c>
      <c r="B14" s="16" t="s">
        <v>7</v>
      </c>
      <c r="C14" s="16" t="s">
        <v>8</v>
      </c>
      <c r="D14" s="16" t="s">
        <v>16</v>
      </c>
      <c r="E14" s="16" t="s">
        <v>17</v>
      </c>
      <c r="F14" s="16"/>
      <c r="G14" s="16" t="s">
        <v>2</v>
      </c>
      <c r="H14" s="16" t="s">
        <v>18</v>
      </c>
      <c r="I14" s="16" t="s">
        <v>14</v>
      </c>
    </row>
    <row r="15" spans="1:15" x14ac:dyDescent="0.3">
      <c r="A15" s="12">
        <v>-0.5</v>
      </c>
      <c r="B15" s="9">
        <f>$A15*B$10+(1-$A15)*B$11</f>
        <v>-2.946009659812836</v>
      </c>
      <c r="C15" s="9">
        <f t="shared" ref="C15:D30" si="0">$A15*C$10+(1-$A15)*C$11</f>
        <v>-0.10798093885053504</v>
      </c>
      <c r="D15" s="9">
        <f t="shared" si="0"/>
        <v>4.0539905986633702</v>
      </c>
      <c r="E15" s="7">
        <f>SUM(B15:D15)</f>
        <v>0.99999999999999911</v>
      </c>
      <c r="G15" s="8" cm="1">
        <f t="array" ref="G15">MMULT(B15:D15,$B$5:$B$7)</f>
        <v>0.50000001292381024</v>
      </c>
      <c r="H15" s="11" cm="1">
        <f t="array" ref="H15">MMULT(MMULT(B15:D15,$C$5:$E$7),TRANSPOSE(B15:D15))</f>
        <v>2.5542067478550714</v>
      </c>
      <c r="I15" s="9">
        <f>SQRT(H15)</f>
        <v>1.5981885833202136</v>
      </c>
    </row>
    <row r="16" spans="1:15" x14ac:dyDescent="0.3">
      <c r="A16" s="12">
        <f>A15+0.1</f>
        <v>-0.4</v>
      </c>
      <c r="B16" s="9">
        <f t="shared" ref="B16:D35" si="1">$A16*B$10+(1-$A16)*B$11</f>
        <v>-2.7571598789899587</v>
      </c>
      <c r="C16" s="9">
        <f t="shared" si="0"/>
        <v>-8.5680484511364452E-2</v>
      </c>
      <c r="D16" s="9">
        <f t="shared" si="0"/>
        <v>3.8428403635013213</v>
      </c>
      <c r="E16" s="7">
        <f t="shared" ref="E16:E35" si="2">SUM(B16:D16)</f>
        <v>0.99999999999999822</v>
      </c>
      <c r="G16" s="8" cm="1">
        <f t="array" ref="G16">MMULT(B16:D16,$B$5:$B$7)</f>
        <v>0.48000001212456372</v>
      </c>
      <c r="H16" s="11" cm="1">
        <f t="array" ref="H16">MMULT(MMULT(B16:D16,$C$5:$E$7),TRANSPOSE(B16:D16))</f>
        <v>2.2905906858820666</v>
      </c>
      <c r="I16" s="9">
        <f t="shared" ref="I16:I35" si="3">SQRT(H16)</f>
        <v>1.513469750567241</v>
      </c>
    </row>
    <row r="17" spans="1:9" x14ac:dyDescent="0.3">
      <c r="A17" s="12">
        <f>A16+0.1</f>
        <v>-0.30000000000000004</v>
      </c>
      <c r="B17" s="9">
        <f t="shared" si="1"/>
        <v>-2.5683100981670814</v>
      </c>
      <c r="C17" s="9">
        <f t="shared" si="0"/>
        <v>-6.338003017219386E-2</v>
      </c>
      <c r="D17" s="9">
        <f t="shared" si="0"/>
        <v>3.6316901283392746</v>
      </c>
      <c r="E17" s="7">
        <f t="shared" si="2"/>
        <v>0.99999999999999911</v>
      </c>
      <c r="G17" s="8" cm="1">
        <f t="array" ref="G17">MMULT(B17:D17,$B$5:$B$7)</f>
        <v>0.46000001132531776</v>
      </c>
      <c r="H17" s="11" cm="1">
        <f t="array" ref="H17">MMULT(MMULT(B17:D17,$C$5:$E$7),TRANSPOSE(B17:D17))</f>
        <v>2.0416418832973022</v>
      </c>
      <c r="I17" s="9">
        <f t="shared" si="3"/>
        <v>1.4288603442244809</v>
      </c>
    </row>
    <row r="18" spans="1:9" x14ac:dyDescent="0.3">
      <c r="A18" s="12">
        <f>A17+0.1</f>
        <v>-0.20000000000000004</v>
      </c>
      <c r="B18" s="9">
        <f t="shared" si="1"/>
        <v>-2.3794603173442033</v>
      </c>
      <c r="C18" s="9">
        <f t="shared" si="0"/>
        <v>-4.1079575833023269E-2</v>
      </c>
      <c r="D18" s="9">
        <f t="shared" si="0"/>
        <v>3.4205398931772257</v>
      </c>
      <c r="E18" s="7">
        <f t="shared" si="2"/>
        <v>0.99999999999999911</v>
      </c>
      <c r="G18" s="8" cm="1">
        <f t="array" ref="G18">MMULT(B18:D18,$B$5:$B$7)</f>
        <v>0.44000001052607129</v>
      </c>
      <c r="H18" s="11" cm="1">
        <f t="array" ref="H18">MMULT(MMULT(B18:D18,$C$5:$E$7),TRANSPOSE(B18:D18))</f>
        <v>1.8073603401007727</v>
      </c>
      <c r="I18" s="9">
        <f t="shared" si="3"/>
        <v>1.3443810248961314</v>
      </c>
    </row>
    <row r="19" spans="1:9" x14ac:dyDescent="0.3">
      <c r="A19" s="12">
        <f>A18+0.1</f>
        <v>-0.10000000000000003</v>
      </c>
      <c r="B19" s="9">
        <f t="shared" si="1"/>
        <v>-2.1906105365213264</v>
      </c>
      <c r="C19" s="9">
        <f t="shared" si="0"/>
        <v>-1.8779121493852673E-2</v>
      </c>
      <c r="D19" s="9">
        <f t="shared" si="0"/>
        <v>3.2093896580151786</v>
      </c>
      <c r="E19" s="7">
        <f t="shared" si="2"/>
        <v>0.99999999999999956</v>
      </c>
      <c r="G19" s="8" cm="1">
        <f t="array" ref="G19">MMULT(B19:D19,$B$5:$B$7)</f>
        <v>0.42000000972682516</v>
      </c>
      <c r="H19" s="11" cm="1">
        <f t="array" ref="H19">MMULT(MMULT(B19:D19,$C$5:$E$7),TRANSPOSE(B19:D19))</f>
        <v>1.5877460562924832</v>
      </c>
      <c r="I19" s="9">
        <f t="shared" si="3"/>
        <v>1.260057957513258</v>
      </c>
    </row>
    <row r="20" spans="1:9" x14ac:dyDescent="0.3">
      <c r="A20" s="12">
        <v>0</v>
      </c>
      <c r="B20" s="9">
        <f t="shared" si="1"/>
        <v>-2.0017607556984487</v>
      </c>
      <c r="C20" s="9">
        <f t="shared" si="0"/>
        <v>3.5213328453179275E-3</v>
      </c>
      <c r="D20" s="9">
        <f t="shared" si="0"/>
        <v>2.9982394228531302</v>
      </c>
      <c r="E20" s="7">
        <f t="shared" si="2"/>
        <v>0.99999999999999933</v>
      </c>
      <c r="G20" s="8" cm="1">
        <f t="array" ref="G20">MMULT(B20:D20,$B$5:$B$7)</f>
        <v>0.40000000892757892</v>
      </c>
      <c r="H20" s="11" cm="1">
        <f t="array" ref="H20">MMULT(MMULT(B20:D20,$C$5:$E$7),TRANSPOSE(B20:D20))</f>
        <v>1.3827990318724299</v>
      </c>
      <c r="I20" s="9">
        <f t="shared" si="3"/>
        <v>1.175924756041997</v>
      </c>
    </row>
    <row r="21" spans="1:9" x14ac:dyDescent="0.3">
      <c r="A21" s="12">
        <f t="shared" ref="A21:A35" si="4">A20+0.1</f>
        <v>0.1</v>
      </c>
      <c r="B21" s="9">
        <f t="shared" si="1"/>
        <v>-1.8129109748755714</v>
      </c>
      <c r="C21" s="9">
        <f t="shared" si="0"/>
        <v>2.5821787184488521E-2</v>
      </c>
      <c r="D21" s="9">
        <f t="shared" si="0"/>
        <v>2.7870891876910822</v>
      </c>
      <c r="E21" s="7">
        <f t="shared" si="2"/>
        <v>0.99999999999999933</v>
      </c>
      <c r="G21" s="8" cm="1">
        <f t="array" ref="G21">MMULT(B21:D21,$B$5:$B$7)</f>
        <v>0.38000000812833262</v>
      </c>
      <c r="H21" s="11" cm="1">
        <f t="array" ref="H21">MMULT(MMULT(B21:D21,$C$5:$E$7),TRANSPOSE(B21:D21))</f>
        <v>1.1925192668406144</v>
      </c>
      <c r="I21" s="9">
        <f t="shared" si="3"/>
        <v>1.0920253050367534</v>
      </c>
    </row>
    <row r="22" spans="1:9" x14ac:dyDescent="0.3">
      <c r="A22" s="12">
        <f t="shared" si="4"/>
        <v>0.2</v>
      </c>
      <c r="B22" s="9">
        <f t="shared" si="1"/>
        <v>-1.6240611940526937</v>
      </c>
      <c r="C22" s="9">
        <f t="shared" si="0"/>
        <v>4.8122241523659112E-2</v>
      </c>
      <c r="D22" s="9">
        <f t="shared" si="0"/>
        <v>2.5759389525290346</v>
      </c>
      <c r="E22" s="7">
        <f t="shared" si="2"/>
        <v>1</v>
      </c>
      <c r="G22" s="8" cm="1">
        <f t="array" ref="G22">MMULT(B22:D22,$B$5:$B$7)</f>
        <v>0.36000000732908644</v>
      </c>
      <c r="H22" s="11" cm="1">
        <f t="array" ref="H22">MMULT(MMULT(B22:D22,$C$5:$E$7),TRANSPOSE(B22:D22))</f>
        <v>1.016906761197037</v>
      </c>
      <c r="I22" s="9">
        <f t="shared" si="3"/>
        <v>1.008417949660277</v>
      </c>
    </row>
    <row r="23" spans="1:9" x14ac:dyDescent="0.3">
      <c r="A23" s="12">
        <f t="shared" si="4"/>
        <v>0.30000000000000004</v>
      </c>
      <c r="B23" s="9">
        <f t="shared" si="1"/>
        <v>-1.4352114132298162</v>
      </c>
      <c r="C23" s="9">
        <f t="shared" si="0"/>
        <v>7.0422695862829718E-2</v>
      </c>
      <c r="D23" s="9">
        <f t="shared" si="0"/>
        <v>2.3647887173669857</v>
      </c>
      <c r="E23" s="7">
        <f t="shared" si="2"/>
        <v>0.99999999999999933</v>
      </c>
      <c r="G23" s="8" cm="1">
        <f t="array" ref="G23">MMULT(B23:D23,$B$5:$B$7)</f>
        <v>0.34000000652983997</v>
      </c>
      <c r="H23" s="11" cm="1">
        <f t="array" ref="H23">MMULT(MMULT(B23:D23,$C$5:$E$7),TRANSPOSE(B23:D23))</f>
        <v>0.85596151494169648</v>
      </c>
      <c r="I23" s="9">
        <f t="shared" si="3"/>
        <v>0.9251818820868124</v>
      </c>
    </row>
    <row r="24" spans="1:9" x14ac:dyDescent="0.3">
      <c r="A24" s="12">
        <f t="shared" si="4"/>
        <v>0.4</v>
      </c>
      <c r="B24" s="9">
        <f t="shared" si="1"/>
        <v>-1.2463616324069386</v>
      </c>
      <c r="C24" s="9">
        <f t="shared" si="0"/>
        <v>9.272315020200031E-2</v>
      </c>
      <c r="D24" s="9">
        <f t="shared" si="0"/>
        <v>2.1536384822049381</v>
      </c>
      <c r="E24" s="7">
        <f t="shared" si="2"/>
        <v>0.99999999999999978</v>
      </c>
      <c r="G24" s="8" cm="1">
        <f t="array" ref="G24">MMULT(B24:D24,$B$5:$B$7)</f>
        <v>0.32000000573059378</v>
      </c>
      <c r="H24" s="11" cm="1">
        <f t="array" ref="H24">MMULT(MMULT(B24:D24,$C$5:$E$7),TRANSPOSE(B24:D24))</f>
        <v>0.70968352807459445</v>
      </c>
      <c r="I24" s="9">
        <f t="shared" si="3"/>
        <v>0.84242716484844815</v>
      </c>
    </row>
    <row r="25" spans="1:9" x14ac:dyDescent="0.3">
      <c r="A25" s="12">
        <f t="shared" si="4"/>
        <v>0.5</v>
      </c>
      <c r="B25" s="9">
        <f t="shared" si="1"/>
        <v>-1.0575118515840611</v>
      </c>
      <c r="C25" s="9">
        <f t="shared" si="0"/>
        <v>0.11502360454117089</v>
      </c>
      <c r="D25" s="9">
        <f t="shared" si="0"/>
        <v>1.9424882470428901</v>
      </c>
      <c r="E25" s="7">
        <f t="shared" si="2"/>
        <v>0.99999999999999989</v>
      </c>
      <c r="G25" s="8" cm="1">
        <f t="array" ref="G25">MMULT(B25:D25,$B$5:$B$7)</f>
        <v>0.3000000049313476</v>
      </c>
      <c r="H25" s="11" cm="1">
        <f t="array" ref="H25">MMULT(MMULT(B25:D25,$C$5:$E$7),TRANSPOSE(B25:D25))</f>
        <v>0.57807280059572974</v>
      </c>
      <c r="I25" s="9">
        <f t="shared" si="3"/>
        <v>0.76031098939560893</v>
      </c>
    </row>
    <row r="26" spans="1:9" x14ac:dyDescent="0.3">
      <c r="A26" s="12">
        <f t="shared" si="4"/>
        <v>0.6</v>
      </c>
      <c r="B26" s="9">
        <f t="shared" si="1"/>
        <v>-0.86866207076118374</v>
      </c>
      <c r="C26" s="9">
        <f t="shared" si="0"/>
        <v>0.13732405888034147</v>
      </c>
      <c r="D26" s="9">
        <f t="shared" si="0"/>
        <v>1.7313380118808421</v>
      </c>
      <c r="E26" s="7">
        <f t="shared" si="2"/>
        <v>0.99999999999999989</v>
      </c>
      <c r="G26" s="8" cm="1">
        <f t="array" ref="G26">MMULT(B26:D26,$B$5:$B$7)</f>
        <v>0.2800000041321013</v>
      </c>
      <c r="H26" s="11" cm="1">
        <f t="array" ref="H26">MMULT(MMULT(B26:D26,$C$5:$E$7),TRANSPOSE(B26:D26))</f>
        <v>0.46112933250510257</v>
      </c>
      <c r="I26" s="9">
        <f t="shared" si="3"/>
        <v>0.6790650429120193</v>
      </c>
    </row>
    <row r="27" spans="1:9" x14ac:dyDescent="0.3">
      <c r="A27" s="12">
        <f t="shared" si="4"/>
        <v>0.7</v>
      </c>
      <c r="B27" s="9">
        <f t="shared" si="1"/>
        <v>-0.67981228993830622</v>
      </c>
      <c r="C27" s="9">
        <f t="shared" si="0"/>
        <v>0.15962451321951207</v>
      </c>
      <c r="D27" s="9">
        <f t="shared" si="0"/>
        <v>1.5201877767187941</v>
      </c>
      <c r="E27" s="7">
        <f t="shared" si="2"/>
        <v>1</v>
      </c>
      <c r="G27" s="8" cm="1">
        <f t="array" ref="G27">MMULT(B27:D27,$B$5:$B$7)</f>
        <v>0.26000000333285506</v>
      </c>
      <c r="H27" s="11" cm="1">
        <f t="array" ref="H27">MMULT(MMULT(B27:D27,$C$5:$E$7),TRANSPOSE(B27:D27))</f>
        <v>0.35885312380271328</v>
      </c>
      <c r="I27" s="9">
        <f t="shared" si="3"/>
        <v>0.59904350743724222</v>
      </c>
    </row>
    <row r="28" spans="1:9" x14ac:dyDescent="0.3">
      <c r="A28" s="12">
        <f t="shared" si="4"/>
        <v>0.79999999999999993</v>
      </c>
      <c r="B28" s="9">
        <f t="shared" si="1"/>
        <v>-0.49096250911542882</v>
      </c>
      <c r="C28" s="9">
        <f t="shared" si="0"/>
        <v>0.18192496755868265</v>
      </c>
      <c r="D28" s="9">
        <f t="shared" si="0"/>
        <v>1.3090375415567461</v>
      </c>
      <c r="E28" s="7">
        <f t="shared" si="2"/>
        <v>1</v>
      </c>
      <c r="G28" s="8" cm="1">
        <f t="array" ref="G28">MMULT(B28:D28,$B$5:$B$7)</f>
        <v>0.24000000253360876</v>
      </c>
      <c r="H28" s="11" cm="1">
        <f t="array" ref="H28">MMULT(MMULT(B28:D28,$C$5:$E$7),TRANSPOSE(B28:D28))</f>
        <v>0.27124417448856153</v>
      </c>
      <c r="I28" s="9">
        <f t="shared" si="3"/>
        <v>0.52081107370001412</v>
      </c>
    </row>
    <row r="29" spans="1:9" x14ac:dyDescent="0.3">
      <c r="A29" s="12">
        <f t="shared" si="4"/>
        <v>0.89999999999999991</v>
      </c>
      <c r="B29" s="9">
        <f t="shared" si="1"/>
        <v>-0.30211272829255142</v>
      </c>
      <c r="C29" s="9">
        <f t="shared" si="0"/>
        <v>0.20422542189785325</v>
      </c>
      <c r="D29" s="9">
        <f t="shared" si="0"/>
        <v>1.0978873063946981</v>
      </c>
      <c r="E29" s="7">
        <f t="shared" si="2"/>
        <v>1</v>
      </c>
      <c r="G29" s="8" cm="1">
        <f t="array" ref="G29">MMULT(B29:D29,$B$5:$B$7)</f>
        <v>0.22000000173436246</v>
      </c>
      <c r="H29" s="11" cm="1">
        <f t="array" ref="H29">MMULT(MMULT(B29:D29,$C$5:$E$7),TRANSPOSE(B29:D29))</f>
        <v>0.19830248456264749</v>
      </c>
      <c r="I29" s="9">
        <f t="shared" si="3"/>
        <v>0.44531167126255233</v>
      </c>
    </row>
    <row r="30" spans="1:9" x14ac:dyDescent="0.3">
      <c r="A30" s="12">
        <f t="shared" si="4"/>
        <v>0.99999999999999989</v>
      </c>
      <c r="B30" s="9">
        <f t="shared" si="1"/>
        <v>-0.11326294746967396</v>
      </c>
      <c r="C30" s="9">
        <f t="shared" si="0"/>
        <v>0.22652587623702383</v>
      </c>
      <c r="D30" s="9">
        <f t="shared" si="0"/>
        <v>0.88673707123265011</v>
      </c>
      <c r="E30" s="7">
        <f t="shared" si="2"/>
        <v>1</v>
      </c>
      <c r="G30" s="8" cm="1">
        <f t="array" ref="G30">MMULT(B30:D30,$B$5:$B$7)</f>
        <v>0.20000000093511622</v>
      </c>
      <c r="H30" s="11" cm="1">
        <f t="array" ref="H30">MMULT(MMULT(B30:D30,$C$5:$E$7),TRANSPOSE(B30:D30))</f>
        <v>0.14002805402497104</v>
      </c>
      <c r="I30" s="9">
        <f t="shared" si="3"/>
        <v>0.37420322556729924</v>
      </c>
    </row>
    <row r="31" spans="1:9" x14ac:dyDescent="0.3">
      <c r="A31" s="12">
        <f t="shared" si="4"/>
        <v>1.0999999999999999</v>
      </c>
      <c r="B31" s="9">
        <f t="shared" si="1"/>
        <v>7.5586833353203486E-2</v>
      </c>
      <c r="C31" s="9">
        <f t="shared" si="1"/>
        <v>0.24882633057619444</v>
      </c>
      <c r="D31" s="9">
        <f t="shared" si="1"/>
        <v>0.6755868360706021</v>
      </c>
      <c r="E31" s="7">
        <f t="shared" si="2"/>
        <v>1</v>
      </c>
      <c r="G31" s="8" cm="1">
        <f t="array" ref="G31">MMULT(B31:D31,$B$5:$B$7)</f>
        <v>0.18000000013586995</v>
      </c>
      <c r="H31" s="11" cm="1">
        <f t="array" ref="H31">MMULT(MMULT(B31:D31,$C$5:$E$7),TRANSPOSE(B31:D31))</f>
        <v>9.6420882875532271E-2</v>
      </c>
      <c r="I31" s="9">
        <f t="shared" si="3"/>
        <v>0.31051712171075568</v>
      </c>
    </row>
    <row r="32" spans="1:9" x14ac:dyDescent="0.3">
      <c r="A32" s="12">
        <f t="shared" si="4"/>
        <v>1.2</v>
      </c>
      <c r="B32" s="9">
        <f t="shared" si="1"/>
        <v>0.26443661417608111</v>
      </c>
      <c r="C32" s="9">
        <f t="shared" si="1"/>
        <v>0.27112678491536502</v>
      </c>
      <c r="D32" s="9">
        <f t="shared" si="1"/>
        <v>0.46443660090855388</v>
      </c>
      <c r="E32" s="7">
        <f t="shared" si="2"/>
        <v>1</v>
      </c>
      <c r="G32" s="8" cm="1">
        <f t="array" ref="G32">MMULT(B32:D32,$B$5:$B$7)</f>
        <v>0.15999999933662365</v>
      </c>
      <c r="H32" s="11" cm="1">
        <f t="array" ref="H32">MMULT(MMULT(B32:D32,$C$5:$E$7),TRANSPOSE(B32:D32))</f>
        <v>6.7480971114331156E-2</v>
      </c>
      <c r="I32" s="9">
        <f t="shared" si="3"/>
        <v>0.2597709974464647</v>
      </c>
    </row>
    <row r="33" spans="1:9" x14ac:dyDescent="0.3">
      <c r="A33" s="12">
        <f t="shared" si="4"/>
        <v>1.3</v>
      </c>
      <c r="B33" s="9">
        <f t="shared" si="1"/>
        <v>0.45328639499895879</v>
      </c>
      <c r="C33" s="9">
        <f t="shared" si="1"/>
        <v>0.29342723925453562</v>
      </c>
      <c r="D33" s="9">
        <f t="shared" si="1"/>
        <v>0.25328636574650565</v>
      </c>
      <c r="E33" s="7">
        <f t="shared" si="2"/>
        <v>1</v>
      </c>
      <c r="G33" s="8" cm="1">
        <f t="array" ref="G33">MMULT(B33:D33,$B$5:$B$7)</f>
        <v>0.13999999853737735</v>
      </c>
      <c r="H33" s="11" cm="1">
        <f t="array" ref="H33">MMULT(MMULT(B33:D33,$C$5:$E$7),TRANSPOSE(B33:D33))</f>
        <v>5.3208318741367694E-2</v>
      </c>
      <c r="I33" s="9">
        <f t="shared" si="3"/>
        <v>0.2306692843474564</v>
      </c>
    </row>
    <row r="34" spans="1:9" x14ac:dyDescent="0.3">
      <c r="A34" s="12">
        <f t="shared" si="4"/>
        <v>1.4000000000000001</v>
      </c>
      <c r="B34" s="9">
        <f t="shared" si="1"/>
        <v>0.64213617582183646</v>
      </c>
      <c r="C34" s="9">
        <f t="shared" si="1"/>
        <v>0.31572769359370628</v>
      </c>
      <c r="D34" s="9">
        <f t="shared" si="1"/>
        <v>4.2136130584457421E-2</v>
      </c>
      <c r="E34" s="7">
        <f t="shared" si="2"/>
        <v>1.0000000000000002</v>
      </c>
      <c r="G34" s="8" cm="1">
        <f t="array" ref="G34">MMULT(B34:D34,$B$5:$B$7)</f>
        <v>0.11999999773813107</v>
      </c>
      <c r="H34" s="11" cm="1">
        <f t="array" ref="H34">MMULT(MMULT(B34:D34,$C$5:$E$7),TRANSPOSE(B34:D34))</f>
        <v>5.3602925756641946E-2</v>
      </c>
      <c r="I34" s="9">
        <f t="shared" si="3"/>
        <v>0.23152305664154044</v>
      </c>
    </row>
    <row r="35" spans="1:9" x14ac:dyDescent="0.3">
      <c r="A35" s="12">
        <f t="shared" si="4"/>
        <v>1.5000000000000002</v>
      </c>
      <c r="B35" s="9">
        <f t="shared" si="1"/>
        <v>0.8309859566447142</v>
      </c>
      <c r="C35" s="9">
        <f t="shared" si="1"/>
        <v>0.33802814793287683</v>
      </c>
      <c r="D35" s="9">
        <f t="shared" si="1"/>
        <v>-0.16901410457759081</v>
      </c>
      <c r="E35" s="7">
        <f t="shared" si="2"/>
        <v>1.0000000000000002</v>
      </c>
      <c r="G35" s="8" cm="1">
        <f t="array" ref="G35">MMULT(B35:D35,$B$5:$B$7)</f>
        <v>9.9999996938884783E-2</v>
      </c>
      <c r="H35" s="11" cm="1">
        <f t="array" ref="H35">MMULT(MMULT(B35:D35,$C$5:$E$7),TRANSPOSE(B35:D35))</f>
        <v>6.8664792160153865E-2</v>
      </c>
      <c r="I35" s="9">
        <f t="shared" si="3"/>
        <v>0.26203967669067574</v>
      </c>
    </row>
    <row r="36" spans="1:9" x14ac:dyDescent="0.3">
      <c r="A36" s="9"/>
      <c r="B36" s="9"/>
    </row>
    <row r="37" spans="1:9" x14ac:dyDescent="0.3">
      <c r="A37" s="9"/>
      <c r="B37" s="9"/>
    </row>
    <row r="38" spans="1:9" x14ac:dyDescent="0.3">
      <c r="A38" s="9"/>
      <c r="B38" s="9"/>
    </row>
    <row r="39" spans="1:9" x14ac:dyDescent="0.3">
      <c r="A39" s="9"/>
      <c r="B39" s="9"/>
    </row>
    <row r="40" spans="1:9" x14ac:dyDescent="0.3">
      <c r="A40" s="9"/>
      <c r="B40" s="9"/>
    </row>
    <row r="41" spans="1:9" x14ac:dyDescent="0.3">
      <c r="A41" s="9"/>
      <c r="B41" s="9"/>
    </row>
    <row r="42" spans="1:9" x14ac:dyDescent="0.3">
      <c r="A42" s="9"/>
      <c r="B42" s="9"/>
    </row>
    <row r="43" spans="1:9" x14ac:dyDescent="0.3">
      <c r="A43" s="9"/>
      <c r="B43" s="9"/>
    </row>
    <row r="44" spans="1:9" x14ac:dyDescent="0.3">
      <c r="A44" s="9"/>
      <c r="B44" s="9"/>
    </row>
    <row r="45" spans="1:9" x14ac:dyDescent="0.3">
      <c r="A45" s="9"/>
      <c r="B45" s="9"/>
    </row>
    <row r="46" spans="1:9" x14ac:dyDescent="0.3">
      <c r="A46" s="9"/>
      <c r="B46" s="9"/>
    </row>
    <row r="47" spans="1:9" x14ac:dyDescent="0.3">
      <c r="A47" s="9"/>
      <c r="B47" s="9"/>
    </row>
    <row r="48" spans="1:9" x14ac:dyDescent="0.3">
      <c r="A48" s="9"/>
      <c r="B48" s="9"/>
    </row>
    <row r="49" spans="1:4" x14ac:dyDescent="0.3">
      <c r="A49" s="9"/>
      <c r="B49" s="9"/>
    </row>
    <row r="50" spans="1:4" x14ac:dyDescent="0.3">
      <c r="A50" s="9"/>
      <c r="B50" s="9"/>
    </row>
    <row r="51" spans="1:4" x14ac:dyDescent="0.3">
      <c r="A51" s="9"/>
      <c r="B51" s="9"/>
    </row>
    <row r="52" spans="1:4" x14ac:dyDescent="0.3">
      <c r="A52" s="9"/>
      <c r="B52" s="9"/>
    </row>
    <row r="53" spans="1:4" x14ac:dyDescent="0.3">
      <c r="A53" s="9"/>
      <c r="B53" s="9"/>
    </row>
    <row r="54" spans="1:4" x14ac:dyDescent="0.3">
      <c r="A54" s="9"/>
      <c r="B54" s="9"/>
    </row>
    <row r="55" spans="1:4" x14ac:dyDescent="0.3">
      <c r="A55" s="9"/>
      <c r="B55" s="9"/>
    </row>
    <row r="56" spans="1:4" x14ac:dyDescent="0.3">
      <c r="A56" s="9"/>
      <c r="C56" s="13"/>
    </row>
    <row r="57" spans="1:4" x14ac:dyDescent="0.3">
      <c r="A57" s="9"/>
      <c r="C57" s="13"/>
    </row>
    <row r="58" spans="1:4" x14ac:dyDescent="0.3">
      <c r="A58" s="9"/>
      <c r="C58" s="13"/>
    </row>
    <row r="59" spans="1:4" x14ac:dyDescent="0.3">
      <c r="D59" s="14"/>
    </row>
    <row r="60" spans="1:4" x14ac:dyDescent="0.3">
      <c r="D60" s="14"/>
    </row>
    <row r="61" spans="1:4" x14ac:dyDescent="0.3">
      <c r="D61" s="14"/>
    </row>
    <row r="62" spans="1:4" x14ac:dyDescent="0.3">
      <c r="D62" s="14"/>
    </row>
    <row r="63" spans="1:4" x14ac:dyDescent="0.3">
      <c r="D63" s="14"/>
    </row>
    <row r="64" spans="1:4" x14ac:dyDescent="0.3">
      <c r="D64" s="14"/>
    </row>
    <row r="65" spans="4:4" x14ac:dyDescent="0.3">
      <c r="D65" s="14"/>
    </row>
    <row r="66" spans="4:4" x14ac:dyDescent="0.3">
      <c r="D66" s="14"/>
    </row>
    <row r="67" spans="4:4" x14ac:dyDescent="0.3">
      <c r="D67" s="14"/>
    </row>
    <row r="68" spans="4:4" x14ac:dyDescent="0.3">
      <c r="D68" s="14"/>
    </row>
    <row r="69" spans="4:4" x14ac:dyDescent="0.3">
      <c r="D69" s="14"/>
    </row>
    <row r="70" spans="4:4" x14ac:dyDescent="0.3">
      <c r="D70" s="14"/>
    </row>
    <row r="71" spans="4:4" x14ac:dyDescent="0.3">
      <c r="D71" s="14"/>
    </row>
    <row r="72" spans="4:4" x14ac:dyDescent="0.3">
      <c r="D72" s="14"/>
    </row>
    <row r="73" spans="4:4" x14ac:dyDescent="0.3">
      <c r="D73" s="14"/>
    </row>
    <row r="74" spans="4:4" x14ac:dyDescent="0.3">
      <c r="D74" s="14"/>
    </row>
    <row r="75" spans="4:4" x14ac:dyDescent="0.3">
      <c r="D75" s="14"/>
    </row>
    <row r="76" spans="4:4" x14ac:dyDescent="0.3">
      <c r="D76" s="14"/>
    </row>
    <row r="77" spans="4:4" x14ac:dyDescent="0.3">
      <c r="D77" s="14"/>
    </row>
    <row r="78" spans="4:4" x14ac:dyDescent="0.3">
      <c r="D78" s="14"/>
    </row>
    <row r="79" spans="4:4" x14ac:dyDescent="0.3">
      <c r="D79" s="14"/>
    </row>
    <row r="80" spans="4:4" x14ac:dyDescent="0.3">
      <c r="D80" s="14"/>
    </row>
  </sheetData>
  <mergeCells count="1">
    <mergeCell ref="C4:E4"/>
  </mergeCells>
  <phoneticPr fontId="7" type="noConversion"/>
  <printOptions gridLines="1" gridLinesSet="0"/>
  <pageMargins left="0.75" right="0.75" top="1" bottom="1" header="0.5" footer="0.5"/>
  <headerFooter alignWithMargins="0">
    <oddHeader>&amp;A</oddHeader>
    <oddFooter>&amp;P. oldal</oddFooter>
  </headerFooter>
  <extLst>
    <ext xmlns:x15="http://schemas.microsoft.com/office/spreadsheetml/2010/11/main" uri="{F7C9EE02-42E1-4005-9D12-6889AFFD525C}">
      <x15:webExtensions xmlns:xm="http://schemas.microsoft.com/office/excel/2006/main">
        <x15:webExtension appRef="{DCBD56BB-D409-46F9-B594-D78D2F4C7F8F}">
          <xm:f>frontier!1:1048576</xm:f>
        </x15:webExtension>
        <x15:webExtension appRef="{06FB1405-7582-4C1D-9BCC-0CCB73EA2A9E}">
          <xm:f>frontier!XFD1048550:XFD1048575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Munka4"/>
  <dimension ref="A1:J53"/>
  <sheetViews>
    <sheetView tabSelected="1" topLeftCell="A3" zoomScale="115" zoomScaleNormal="175" workbookViewId="0">
      <selection activeCell="A5" sqref="A5"/>
    </sheetView>
  </sheetViews>
  <sheetFormatPr defaultColWidth="9.1796875" defaultRowHeight="13" x14ac:dyDescent="0.3"/>
  <cols>
    <col min="1" max="1" width="19.7265625" style="7" customWidth="1"/>
    <col min="2" max="5" width="9.1796875" style="7"/>
    <col min="6" max="6" width="10.54296875" style="7" customWidth="1"/>
    <col min="7" max="7" width="9.1796875" style="7"/>
    <col min="8" max="8" width="10.453125" style="7" bestFit="1" customWidth="1"/>
    <col min="9" max="9" width="10.453125" style="7" customWidth="1"/>
    <col min="10" max="16384" width="9.1796875" style="7"/>
  </cols>
  <sheetData>
    <row r="1" spans="1:10" ht="15.5" x14ac:dyDescent="0.35">
      <c r="A1" s="4" t="s">
        <v>25</v>
      </c>
    </row>
    <row r="4" spans="1:10" x14ac:dyDescent="0.3">
      <c r="A4" s="15" t="s">
        <v>1</v>
      </c>
      <c r="B4" s="15" t="s">
        <v>26</v>
      </c>
      <c r="C4" s="30" t="s">
        <v>13</v>
      </c>
      <c r="D4" s="30"/>
      <c r="E4" s="30"/>
      <c r="F4" s="30"/>
      <c r="H4" s="15" t="s">
        <v>2</v>
      </c>
      <c r="I4" s="15" t="s">
        <v>14</v>
      </c>
    </row>
    <row r="5" spans="1:10" x14ac:dyDescent="0.3">
      <c r="A5" s="16" t="s">
        <v>4</v>
      </c>
      <c r="B5" s="17">
        <v>0.1</v>
      </c>
      <c r="C5" s="21">
        <f>0.28^2</f>
        <v>7.8400000000000011E-2</v>
      </c>
      <c r="D5" s="21">
        <f>0.1*0.2</f>
        <v>2.0000000000000004E-2</v>
      </c>
      <c r="E5" s="21">
        <f>0.12*0.16</f>
        <v>1.9199999999999998E-2</v>
      </c>
      <c r="F5" s="22">
        <v>0</v>
      </c>
      <c r="H5" s="10">
        <f>+B5</f>
        <v>0.1</v>
      </c>
      <c r="I5" s="10">
        <f>SQRT(C5)</f>
        <v>0.28000000000000003</v>
      </c>
    </row>
    <row r="6" spans="1:10" x14ac:dyDescent="0.3">
      <c r="A6" s="16" t="s">
        <v>5</v>
      </c>
      <c r="B6" s="17">
        <v>0.15</v>
      </c>
      <c r="C6" s="21">
        <f>0.1*0.2</f>
        <v>2.0000000000000004E-2</v>
      </c>
      <c r="D6" s="21">
        <f>0.32^2</f>
        <v>0.1024</v>
      </c>
      <c r="E6" s="21">
        <f>0.25*0.25</f>
        <v>6.25E-2</v>
      </c>
      <c r="F6" s="22">
        <v>0</v>
      </c>
      <c r="H6" s="10">
        <f>+B6</f>
        <v>0.15</v>
      </c>
      <c r="I6" s="10">
        <f>SQRT(D6)</f>
        <v>0.32</v>
      </c>
    </row>
    <row r="7" spans="1:10" x14ac:dyDescent="0.3">
      <c r="A7" s="16" t="s">
        <v>15</v>
      </c>
      <c r="B7" s="17">
        <v>0.2</v>
      </c>
      <c r="C7" s="21">
        <f>0.12*0.16</f>
        <v>1.9199999999999998E-2</v>
      </c>
      <c r="D7" s="21">
        <f>0.25*0.25</f>
        <v>6.25E-2</v>
      </c>
      <c r="E7" s="21">
        <f>0.38^2</f>
        <v>0.1444</v>
      </c>
      <c r="F7" s="22">
        <v>0</v>
      </c>
      <c r="H7" s="10">
        <f>+B7</f>
        <v>0.2</v>
      </c>
      <c r="I7" s="10">
        <f>SQRT(E7)</f>
        <v>0.38</v>
      </c>
    </row>
    <row r="8" spans="1:10" x14ac:dyDescent="0.3">
      <c r="A8" s="16" t="s">
        <v>27</v>
      </c>
      <c r="B8" s="18">
        <v>0.05</v>
      </c>
      <c r="C8" s="23">
        <v>0</v>
      </c>
      <c r="D8" s="23">
        <v>0</v>
      </c>
      <c r="E8" s="23">
        <v>0</v>
      </c>
      <c r="F8" s="23">
        <v>0</v>
      </c>
      <c r="H8" s="10">
        <f>+B8</f>
        <v>0.05</v>
      </c>
      <c r="I8" s="10">
        <f>SQRT(F8)</f>
        <v>0</v>
      </c>
    </row>
    <row r="9" spans="1:10" x14ac:dyDescent="0.3">
      <c r="A9" s="16"/>
    </row>
    <row r="10" spans="1:10" x14ac:dyDescent="0.3">
      <c r="A10" s="16"/>
      <c r="B10" s="16" t="s">
        <v>7</v>
      </c>
      <c r="C10" s="16" t="s">
        <v>8</v>
      </c>
      <c r="D10" s="16" t="s">
        <v>16</v>
      </c>
      <c r="E10" s="16" t="s">
        <v>28</v>
      </c>
      <c r="F10" s="16" t="s">
        <v>17</v>
      </c>
      <c r="H10" s="16" t="s">
        <v>2</v>
      </c>
      <c r="I10" s="16" t="s">
        <v>18</v>
      </c>
      <c r="J10" s="16" t="s">
        <v>14</v>
      </c>
    </row>
    <row r="11" spans="1:10" x14ac:dyDescent="0.3">
      <c r="A11" s="16" t="s">
        <v>19</v>
      </c>
      <c r="B11" s="9">
        <v>5.0138862649667705E-7</v>
      </c>
      <c r="C11" s="9">
        <v>-5.9093665254609093E-7</v>
      </c>
      <c r="D11" s="9">
        <v>2.2268884720653066E-7</v>
      </c>
      <c r="E11" s="7">
        <v>0.99999986685917852</v>
      </c>
      <c r="F11" s="7">
        <f>SUM(B11:E11)</f>
        <v>0.99999999999999967</v>
      </c>
      <c r="H11" s="8" cm="1">
        <f t="array" ref="H11">MMULT(B11:E11,$B$5:$B$8)</f>
        <v>4.9999999379093142E-2</v>
      </c>
      <c r="I11" s="11" cm="1">
        <f t="array" ref="I11">MMULT(MMULT(B11:E11,$C$5:$F$8),TRANSPOSE(B11:E11))</f>
        <v>3.8615137983643476E-14</v>
      </c>
      <c r="J11" s="25">
        <f>SQRT(I11)</f>
        <v>1.9650734842148645E-7</v>
      </c>
    </row>
    <row r="12" spans="1:10" x14ac:dyDescent="0.3">
      <c r="A12" s="16" t="s">
        <v>22</v>
      </c>
      <c r="B12" s="9">
        <v>0.27660698528961741</v>
      </c>
      <c r="C12" s="9">
        <v>0.3442966009240514</v>
      </c>
      <c r="D12" s="9">
        <v>0.67827327068190102</v>
      </c>
      <c r="E12" s="7">
        <v>-0.29917685689556966</v>
      </c>
      <c r="F12" s="7">
        <f>SUM(B12:E12)</f>
        <v>1</v>
      </c>
      <c r="H12" s="8" cm="1">
        <f t="array" ref="H12">MMULT(B12:E12,$B$5:$B$8)</f>
        <v>0.20000099995917114</v>
      </c>
      <c r="I12" s="11" cm="1">
        <f t="array" ref="I12">MMULT(MMULT(B12:E12,$C$5:$F$8),TRANSPOSE(B12:E12))</f>
        <v>0.12477360777426</v>
      </c>
      <c r="J12" s="25">
        <f>SQRT(I12)</f>
        <v>0.3532330785391708</v>
      </c>
    </row>
    <row r="13" spans="1:10" x14ac:dyDescent="0.3">
      <c r="A13" s="16"/>
      <c r="B13" s="9"/>
      <c r="C13" s="9"/>
      <c r="D13" s="9"/>
      <c r="H13" s="8"/>
      <c r="I13" s="11"/>
      <c r="J13" s="7" t="s">
        <v>29</v>
      </c>
    </row>
    <row r="14" spans="1:10" x14ac:dyDescent="0.3">
      <c r="A14" s="16"/>
    </row>
    <row r="15" spans="1:10" x14ac:dyDescent="0.3">
      <c r="A15" s="16" t="s">
        <v>24</v>
      </c>
      <c r="B15" s="16" t="s">
        <v>7</v>
      </c>
      <c r="C15" s="16" t="s">
        <v>8</v>
      </c>
      <c r="D15" s="16" t="s">
        <v>16</v>
      </c>
      <c r="E15" s="16" t="s">
        <v>28</v>
      </c>
      <c r="F15" s="16" t="s">
        <v>17</v>
      </c>
      <c r="H15" s="16" t="s">
        <v>2</v>
      </c>
      <c r="I15" s="16" t="s">
        <v>18</v>
      </c>
      <c r="J15" s="16" t="s">
        <v>14</v>
      </c>
    </row>
    <row r="16" spans="1:10" x14ac:dyDescent="0.3">
      <c r="A16" s="12">
        <v>-1.5</v>
      </c>
      <c r="B16" s="9">
        <f>$A16*B$11+(1-$A16)*B$12</f>
        <v>0.6915167111411038</v>
      </c>
      <c r="C16" s="9">
        <f t="shared" ref="C16:E31" si="0">$A16*C$11+(1-$A16)*C$12</f>
        <v>0.86074238871510733</v>
      </c>
      <c r="D16" s="9">
        <f t="shared" si="0"/>
        <v>1.6956828426714816</v>
      </c>
      <c r="E16" s="9">
        <f t="shared" si="0"/>
        <v>-2.2479419425276919</v>
      </c>
      <c r="F16" s="9">
        <f t="shared" ref="F16:F41" si="1">SUM(B16:E16)</f>
        <v>1.0000000000000009</v>
      </c>
      <c r="H16" s="8" cm="1">
        <f t="array" ref="H16">MMULT(B16:E16,$B$5:$B$8)</f>
        <v>0.42500250082928825</v>
      </c>
      <c r="I16" s="11" cm="1">
        <f t="array" ref="I16">MMULT(MMULT(B16:E16,$C$5:$F$8),TRANSPOSE(B16:E16))</f>
        <v>0.77983505244223494</v>
      </c>
      <c r="J16" s="9">
        <f>SQRT(I16)</f>
        <v>0.88308269852955157</v>
      </c>
    </row>
    <row r="17" spans="1:10" x14ac:dyDescent="0.3">
      <c r="A17" s="12">
        <v>-1.4</v>
      </c>
      <c r="B17" s="9">
        <f t="shared" ref="B17:E44" si="2">$A17*B$11+(1-$A17)*B$12</f>
        <v>0.66385606275100473</v>
      </c>
      <c r="C17" s="9">
        <f t="shared" si="0"/>
        <v>0.82631266952903693</v>
      </c>
      <c r="D17" s="9">
        <f t="shared" si="0"/>
        <v>1.6278555378721764</v>
      </c>
      <c r="E17" s="9">
        <f t="shared" si="0"/>
        <v>-2.1180242701522172</v>
      </c>
      <c r="F17" s="9">
        <f t="shared" si="1"/>
        <v>1.0000000000000009</v>
      </c>
      <c r="H17" s="8" cm="1">
        <f t="array" ref="H17">MMULT(B17:E17,$B$5:$B$8)</f>
        <v>0.41000240077128047</v>
      </c>
      <c r="I17" s="11" cm="1">
        <f t="array" ref="I17">MMULT(MMULT(B17:E17,$C$5:$F$8),TRANSPOSE(B17:E17))</f>
        <v>0.71869598423212211</v>
      </c>
      <c r="J17" s="9">
        <f t="shared" ref="J17:J44" si="3">SQRT(I17)</f>
        <v>0.84775939053019167</v>
      </c>
    </row>
    <row r="18" spans="1:10" x14ac:dyDescent="0.3">
      <c r="A18" s="12">
        <v>-1.3</v>
      </c>
      <c r="B18" s="9">
        <f t="shared" si="2"/>
        <v>0.63619541436090554</v>
      </c>
      <c r="C18" s="9">
        <f t="shared" si="0"/>
        <v>0.79188295034296641</v>
      </c>
      <c r="D18" s="9">
        <f t="shared" si="0"/>
        <v>1.560028233072871</v>
      </c>
      <c r="E18" s="9">
        <f t="shared" si="0"/>
        <v>-1.9881065977767425</v>
      </c>
      <c r="F18" s="9">
        <f t="shared" si="1"/>
        <v>1.0000000000000004</v>
      </c>
      <c r="H18" s="8" cm="1">
        <f t="array" ref="H18">MMULT(B18:E18,$B$5:$B$8)</f>
        <v>0.39500230071327258</v>
      </c>
      <c r="I18" s="11" cm="1">
        <f t="array" ref="I18">MMULT(MMULT(B18:E18,$C$5:$F$8),TRANSPOSE(B18:E18))</f>
        <v>0.66005238819804435</v>
      </c>
      <c r="J18" s="9">
        <f t="shared" si="3"/>
        <v>0.81243608253083166</v>
      </c>
    </row>
    <row r="19" spans="1:10" x14ac:dyDescent="0.3">
      <c r="A19" s="12">
        <v>-1.2</v>
      </c>
      <c r="B19" s="9">
        <f t="shared" si="2"/>
        <v>0.60853476597080647</v>
      </c>
      <c r="C19" s="9">
        <f t="shared" si="0"/>
        <v>0.75745323115689622</v>
      </c>
      <c r="D19" s="9">
        <f t="shared" si="0"/>
        <v>1.4922009282735658</v>
      </c>
      <c r="E19" s="9">
        <f t="shared" si="0"/>
        <v>-1.8581889254012673</v>
      </c>
      <c r="F19" s="9">
        <f t="shared" si="1"/>
        <v>1.0000000000000013</v>
      </c>
      <c r="H19" s="8" cm="1">
        <f t="array" ref="H19">MMULT(B19:E19,$B$5:$B$8)</f>
        <v>0.38000220065526485</v>
      </c>
      <c r="I19" s="11" cm="1">
        <f t="array" ref="I19">MMULT(MMULT(B19:E19,$C$5:$F$8),TRANSPOSE(B19:E19))</f>
        <v>0.60390426434000255</v>
      </c>
      <c r="J19" s="9">
        <f t="shared" si="3"/>
        <v>0.77711277453147209</v>
      </c>
    </row>
    <row r="20" spans="1:10" x14ac:dyDescent="0.3">
      <c r="A20" s="12">
        <v>-1.1000000000000001</v>
      </c>
      <c r="B20" s="9">
        <f t="shared" si="2"/>
        <v>0.58087411758070751</v>
      </c>
      <c r="C20" s="9">
        <f t="shared" si="0"/>
        <v>0.72302351197082582</v>
      </c>
      <c r="D20" s="9">
        <f t="shared" si="0"/>
        <v>1.4243736234742603</v>
      </c>
      <c r="E20" s="9">
        <f t="shared" si="0"/>
        <v>-1.7282712530257929</v>
      </c>
      <c r="F20" s="9">
        <f t="shared" si="1"/>
        <v>1.0000000000000007</v>
      </c>
      <c r="H20" s="8" cm="1">
        <f t="array" ref="H20">MMULT(B20:E20,$B$5:$B$8)</f>
        <v>0.36500210059725707</v>
      </c>
      <c r="I20" s="11" cm="1">
        <f t="array" ref="I20">MMULT(MMULT(B20:E20,$C$5:$F$8),TRANSPOSE(B20:E20))</f>
        <v>0.55025161265799571</v>
      </c>
      <c r="J20" s="9">
        <f t="shared" si="3"/>
        <v>0.74178946653211231</v>
      </c>
    </row>
    <row r="21" spans="1:10" x14ac:dyDescent="0.3">
      <c r="A21" s="12">
        <v>-1</v>
      </c>
      <c r="B21" s="9">
        <f t="shared" si="2"/>
        <v>0.55321346919060832</v>
      </c>
      <c r="C21" s="9">
        <f t="shared" si="0"/>
        <v>0.6885937927847553</v>
      </c>
      <c r="D21" s="9">
        <f t="shared" si="0"/>
        <v>1.3565463186749549</v>
      </c>
      <c r="E21" s="9">
        <f t="shared" si="0"/>
        <v>-1.598353580650318</v>
      </c>
      <c r="F21" s="9">
        <f t="shared" si="1"/>
        <v>1.0000000000000004</v>
      </c>
      <c r="H21" s="8" cm="1">
        <f t="array" ref="H21">MMULT(B21:E21,$B$5:$B$8)</f>
        <v>0.35000200053924924</v>
      </c>
      <c r="I21" s="11" cm="1">
        <f t="array" ref="I21">MMULT(MMULT(B21:E21,$C$5:$F$8),TRANSPOSE(B21:E21))</f>
        <v>0.49909443315202429</v>
      </c>
      <c r="J21" s="9">
        <f t="shared" si="3"/>
        <v>0.70646615853275252</v>
      </c>
    </row>
    <row r="22" spans="1:10" x14ac:dyDescent="0.3">
      <c r="A22" s="12">
        <v>-0.89999999999999902</v>
      </c>
      <c r="B22" s="9">
        <f t="shared" si="2"/>
        <v>0.52555282080050891</v>
      </c>
      <c r="C22" s="9">
        <f t="shared" si="0"/>
        <v>0.65416407359868467</v>
      </c>
      <c r="D22" s="9">
        <f t="shared" si="0"/>
        <v>1.2887190138756488</v>
      </c>
      <c r="E22" s="9">
        <f t="shared" si="0"/>
        <v>-1.4684359082748419</v>
      </c>
      <c r="F22" s="9">
        <f t="shared" si="1"/>
        <v>1.0000000000000004</v>
      </c>
      <c r="H22" s="8" cm="1">
        <f t="array" ref="H22">MMULT(B22:E22,$B$5:$B$8)</f>
        <v>0.33500190048124123</v>
      </c>
      <c r="I22" s="11" cm="1">
        <f t="array" ref="I22">MMULT(MMULT(B22:E22,$C$5:$F$8),TRANSPOSE(B22:E22))</f>
        <v>0.45043272582208793</v>
      </c>
      <c r="J22" s="9">
        <f t="shared" si="3"/>
        <v>0.67114285053339273</v>
      </c>
    </row>
    <row r="23" spans="1:10" x14ac:dyDescent="0.3">
      <c r="A23" s="12">
        <v>-0.79999999999999905</v>
      </c>
      <c r="B23" s="9">
        <f t="shared" si="2"/>
        <v>0.49789217241040984</v>
      </c>
      <c r="C23" s="9">
        <f t="shared" si="0"/>
        <v>0.61973435441261415</v>
      </c>
      <c r="D23" s="9">
        <f t="shared" si="0"/>
        <v>1.2208917090763434</v>
      </c>
      <c r="E23" s="9">
        <f t="shared" si="0"/>
        <v>-1.338518235899367</v>
      </c>
      <c r="F23" s="9">
        <f t="shared" si="1"/>
        <v>1.0000000000000002</v>
      </c>
      <c r="H23" s="8" cm="1">
        <f t="array" ref="H23">MMULT(B23:E23,$B$5:$B$8)</f>
        <v>0.3200018004232334</v>
      </c>
      <c r="I23" s="11" cm="1">
        <f t="array" ref="I23">MMULT(MMULT(B23:E23,$C$5:$F$8),TRANSPOSE(B23:E23))</f>
        <v>0.40426649066818748</v>
      </c>
      <c r="J23" s="9">
        <f t="shared" si="3"/>
        <v>0.63581954253403339</v>
      </c>
    </row>
    <row r="24" spans="1:10" x14ac:dyDescent="0.3">
      <c r="A24" s="12">
        <v>-0.69999999999999896</v>
      </c>
      <c r="B24" s="9">
        <f t="shared" si="2"/>
        <v>0.47023152402031076</v>
      </c>
      <c r="C24" s="9">
        <f t="shared" si="0"/>
        <v>0.58530463522654375</v>
      </c>
      <c r="D24" s="9">
        <f t="shared" si="0"/>
        <v>1.1530644042770377</v>
      </c>
      <c r="E24" s="9">
        <f t="shared" si="0"/>
        <v>-1.2086005635238921</v>
      </c>
      <c r="F24" s="9">
        <f t="shared" si="1"/>
        <v>1</v>
      </c>
      <c r="H24" s="8" cm="1">
        <f t="array" ref="H24">MMULT(B24:E24,$B$5:$B$8)</f>
        <v>0.30500170036522556</v>
      </c>
      <c r="I24" s="11" cm="1">
        <f t="array" ref="I24">MMULT(MMULT(B24:E24,$C$5:$F$8),TRANSPOSE(B24:E24))</f>
        <v>0.36059572769032244</v>
      </c>
      <c r="J24" s="9">
        <f t="shared" si="3"/>
        <v>0.60049623453467416</v>
      </c>
    </row>
    <row r="25" spans="1:10" x14ac:dyDescent="0.3">
      <c r="A25" s="12">
        <v>-0.59999999999999898</v>
      </c>
      <c r="B25" s="9">
        <f t="shared" si="2"/>
        <v>0.44257087563021169</v>
      </c>
      <c r="C25" s="9">
        <f t="shared" si="0"/>
        <v>0.55087491604047345</v>
      </c>
      <c r="D25" s="9">
        <f t="shared" si="0"/>
        <v>1.0852370994777325</v>
      </c>
      <c r="E25" s="9">
        <f t="shared" si="0"/>
        <v>-1.0786828911484172</v>
      </c>
      <c r="F25" s="9">
        <f t="shared" si="1"/>
        <v>1.0000000000000007</v>
      </c>
      <c r="H25" s="8" cm="1">
        <f t="array" ref="H25">MMULT(B25:E25,$B$5:$B$8)</f>
        <v>0.29000160030721789</v>
      </c>
      <c r="I25" s="11" cm="1">
        <f t="array" ref="I25">MMULT(MMULT(B25:E25,$C$5:$F$8),TRANSPOSE(B25:E25))</f>
        <v>0.31942043688849298</v>
      </c>
      <c r="J25" s="9">
        <f t="shared" si="3"/>
        <v>0.56517292653531537</v>
      </c>
    </row>
    <row r="26" spans="1:10" x14ac:dyDescent="0.3">
      <c r="A26" s="12">
        <v>-0.5</v>
      </c>
      <c r="B26" s="9">
        <f t="shared" si="2"/>
        <v>0.41491022724011289</v>
      </c>
      <c r="C26" s="9">
        <f t="shared" si="0"/>
        <v>0.51644519685440338</v>
      </c>
      <c r="D26" s="9">
        <f t="shared" si="0"/>
        <v>1.017409794678428</v>
      </c>
      <c r="E26" s="9">
        <f t="shared" si="0"/>
        <v>-0.94876521877294373</v>
      </c>
      <c r="F26" s="9">
        <f t="shared" si="1"/>
        <v>1.0000000000000004</v>
      </c>
      <c r="H26" s="8" cm="1">
        <f t="array" ref="H26">MMULT(B26:E26,$B$5:$B$8)</f>
        <v>0.27500150024921022</v>
      </c>
      <c r="I26" s="11" cm="1">
        <f t="array" ref="I26">MMULT(MMULT(B26:E26,$C$5:$F$8),TRANSPOSE(B26:E26))</f>
        <v>0.2807406182626993</v>
      </c>
      <c r="J26" s="9">
        <f t="shared" si="3"/>
        <v>0.52984961853595713</v>
      </c>
    </row>
    <row r="27" spans="1:10" x14ac:dyDescent="0.3">
      <c r="A27" s="12">
        <v>-0.4</v>
      </c>
      <c r="B27" s="9">
        <f t="shared" si="2"/>
        <v>0.38724957885001376</v>
      </c>
      <c r="C27" s="9">
        <f t="shared" si="0"/>
        <v>0.48201547766833291</v>
      </c>
      <c r="D27" s="9">
        <f t="shared" si="0"/>
        <v>0.94958248987912253</v>
      </c>
      <c r="E27" s="9">
        <f t="shared" si="0"/>
        <v>-0.81884754639746893</v>
      </c>
      <c r="F27" s="9">
        <f t="shared" si="1"/>
        <v>1.0000000000000002</v>
      </c>
      <c r="H27" s="8" cm="1">
        <f t="array" ref="H27">MMULT(B27:E27,$B$5:$B$8)</f>
        <v>0.26000140019120238</v>
      </c>
      <c r="I27" s="11" cm="1">
        <f t="array" ref="I27">MMULT(MMULT(B27:E27,$C$5:$F$8),TRANSPOSE(B27:E27))</f>
        <v>0.24455627181294051</v>
      </c>
      <c r="J27" s="9">
        <f t="shared" si="3"/>
        <v>0.49452631053659879</v>
      </c>
    </row>
    <row r="28" spans="1:10" x14ac:dyDescent="0.3">
      <c r="A28" s="12">
        <v>-0.3</v>
      </c>
      <c r="B28" s="9">
        <f t="shared" si="2"/>
        <v>0.35958893045991469</v>
      </c>
      <c r="C28" s="9">
        <f t="shared" si="0"/>
        <v>0.44758575848226262</v>
      </c>
      <c r="D28" s="9">
        <f t="shared" si="0"/>
        <v>0.88175518507981709</v>
      </c>
      <c r="E28" s="9">
        <f t="shared" si="0"/>
        <v>-0.68892987402199413</v>
      </c>
      <c r="F28" s="9">
        <f t="shared" si="1"/>
        <v>1.0000000000000004</v>
      </c>
      <c r="H28" s="8" cm="1">
        <f t="array" ref="H28">MMULT(B28:E28,$B$5:$B$8)</f>
        <v>0.2450013001331946</v>
      </c>
      <c r="I28" s="11" cm="1">
        <f t="array" ref="I28">MMULT(MMULT(B28:E28,$C$5:$F$8),TRANSPOSE(B28:E28))</f>
        <v>0.21086739753921724</v>
      </c>
      <c r="J28" s="9">
        <f t="shared" si="3"/>
        <v>0.45920300253724089</v>
      </c>
    </row>
    <row r="29" spans="1:10" x14ac:dyDescent="0.3">
      <c r="A29" s="12">
        <v>-0.2</v>
      </c>
      <c r="B29" s="9">
        <f t="shared" si="2"/>
        <v>0.33192828206981562</v>
      </c>
      <c r="C29" s="9">
        <f t="shared" si="0"/>
        <v>0.41315603929619221</v>
      </c>
      <c r="D29" s="9">
        <f t="shared" si="0"/>
        <v>0.81392788028051177</v>
      </c>
      <c r="E29" s="9">
        <f t="shared" si="0"/>
        <v>-0.55901220164651932</v>
      </c>
      <c r="F29" s="9">
        <f t="shared" si="1"/>
        <v>1.0000000000000002</v>
      </c>
      <c r="H29" s="8" cm="1">
        <f t="array" ref="H29">MMULT(B29:E29,$B$5:$B$8)</f>
        <v>0.23000120007518682</v>
      </c>
      <c r="I29" s="11" cm="1">
        <f t="array" ref="I29">MMULT(MMULT(B29:E29,$C$5:$F$8),TRANSPOSE(B29:E29))</f>
        <v>0.17967399544152943</v>
      </c>
      <c r="J29" s="9">
        <f t="shared" si="3"/>
        <v>0.42387969453788349</v>
      </c>
    </row>
    <row r="30" spans="1:10" x14ac:dyDescent="0.3">
      <c r="A30" s="12">
        <v>-0.1</v>
      </c>
      <c r="B30" s="9">
        <f t="shared" si="2"/>
        <v>0.30426763367971649</v>
      </c>
      <c r="C30" s="9">
        <f t="shared" si="0"/>
        <v>0.37872632011012181</v>
      </c>
      <c r="D30" s="9">
        <f t="shared" si="0"/>
        <v>0.74610057548120645</v>
      </c>
      <c r="E30" s="9">
        <f t="shared" si="0"/>
        <v>-0.42909452927104452</v>
      </c>
      <c r="F30" s="9">
        <f t="shared" si="1"/>
        <v>1.0000000000000004</v>
      </c>
      <c r="H30" s="8" cm="1">
        <f t="array" ref="H30">MMULT(B30:E30,$B$5:$B$8)</f>
        <v>0.21500110001717898</v>
      </c>
      <c r="I30" s="11" cm="1">
        <f t="array" ref="I30">MMULT(MMULT(B30:E30,$C$5:$F$8),TRANSPOSE(B30:E30))</f>
        <v>0.15097606551987702</v>
      </c>
      <c r="J30" s="9">
        <f t="shared" si="3"/>
        <v>0.38855638653852675</v>
      </c>
    </row>
    <row r="31" spans="1:10" x14ac:dyDescent="0.3">
      <c r="A31" s="12">
        <v>0</v>
      </c>
      <c r="B31" s="9">
        <f t="shared" si="2"/>
        <v>0.27660698528961741</v>
      </c>
      <c r="C31" s="9">
        <f t="shared" si="0"/>
        <v>0.3442966009240514</v>
      </c>
      <c r="D31" s="9">
        <f t="shared" si="0"/>
        <v>0.67827327068190102</v>
      </c>
      <c r="E31" s="9">
        <f t="shared" si="0"/>
        <v>-0.29917685689556966</v>
      </c>
      <c r="F31" s="9">
        <f t="shared" si="1"/>
        <v>1</v>
      </c>
      <c r="H31" s="8" cm="1">
        <f t="array" ref="H31">MMULT(B31:E31,$B$5:$B$8)</f>
        <v>0.20000099995917114</v>
      </c>
      <c r="I31" s="11" cm="1">
        <f t="array" ref="I31">MMULT(MMULT(B31:E31,$C$5:$F$8),TRANSPOSE(B31:E31))</f>
        <v>0.12477360777426</v>
      </c>
      <c r="J31" s="9">
        <f t="shared" si="3"/>
        <v>0.3532330785391708</v>
      </c>
    </row>
    <row r="32" spans="1:10" x14ac:dyDescent="0.3">
      <c r="A32" s="12">
        <v>0.1</v>
      </c>
      <c r="B32" s="9">
        <f t="shared" si="2"/>
        <v>0.24894633689951831</v>
      </c>
      <c r="C32" s="9">
        <f t="shared" si="2"/>
        <v>0.30986688173798105</v>
      </c>
      <c r="D32" s="9">
        <f t="shared" si="2"/>
        <v>0.6104459658825957</v>
      </c>
      <c r="E32" s="9">
        <f t="shared" si="2"/>
        <v>-0.16925918452009486</v>
      </c>
      <c r="F32" s="9">
        <f t="shared" si="1"/>
        <v>1.0000000000000002</v>
      </c>
      <c r="H32" s="8" cm="1">
        <f t="array" ref="H32">MMULT(B32:E32,$B$5:$B$8)</f>
        <v>0.18500089990116339</v>
      </c>
      <c r="I32" s="11" cm="1">
        <f t="array" ref="I32">MMULT(MMULT(B32:E32,$C$5:$F$8),TRANSPOSE(B32:E32))</f>
        <v>0.10106662220467844</v>
      </c>
      <c r="J32" s="9">
        <f t="shared" si="3"/>
        <v>0.31790977053981595</v>
      </c>
    </row>
    <row r="33" spans="1:10" x14ac:dyDescent="0.3">
      <c r="A33" s="12">
        <v>0.2</v>
      </c>
      <c r="B33" s="9">
        <f t="shared" si="2"/>
        <v>0.22128568850941924</v>
      </c>
      <c r="C33" s="9">
        <f t="shared" si="2"/>
        <v>0.27543716255191059</v>
      </c>
      <c r="D33" s="9">
        <f t="shared" si="2"/>
        <v>0.54261866108329027</v>
      </c>
      <c r="E33" s="9">
        <f t="shared" si="2"/>
        <v>-3.9341512144620006E-2</v>
      </c>
      <c r="F33" s="9">
        <f t="shared" si="1"/>
        <v>1</v>
      </c>
      <c r="H33" s="8" cm="1">
        <f t="array" ref="H33">MMULT(B33:E33,$B$5:$B$8)</f>
        <v>0.17000079984315558</v>
      </c>
      <c r="I33" s="11" cm="1">
        <f t="array" ref="I33">MMULT(MMULT(B33:E33,$C$5:$F$8),TRANSPOSE(B33:E33))</f>
        <v>7.985510881113228E-2</v>
      </c>
      <c r="J33" s="9">
        <f t="shared" si="3"/>
        <v>0.2825864625404626</v>
      </c>
    </row>
    <row r="34" spans="1:10" x14ac:dyDescent="0.3">
      <c r="A34" s="12">
        <v>0.3</v>
      </c>
      <c r="B34" s="9">
        <f t="shared" si="2"/>
        <v>0.19362504011932014</v>
      </c>
      <c r="C34" s="9">
        <f t="shared" si="2"/>
        <v>0.24100744336584018</v>
      </c>
      <c r="D34" s="9">
        <f t="shared" si="2"/>
        <v>0.47479135628398483</v>
      </c>
      <c r="E34" s="9">
        <f t="shared" si="2"/>
        <v>9.0576160230854769E-2</v>
      </c>
      <c r="F34" s="9">
        <f t="shared" si="1"/>
        <v>1</v>
      </c>
      <c r="H34" s="8" cm="1">
        <f t="array" ref="H34">MMULT(B34:E34,$B$5:$B$8)</f>
        <v>0.15500069978514774</v>
      </c>
      <c r="I34" s="11" cm="1">
        <f t="array" ref="I34">MMULT(MMULT(B34:E34,$C$5:$F$8),TRANSPOSE(B34:E34))</f>
        <v>6.1139067593621574E-2</v>
      </c>
      <c r="J34" s="9">
        <f t="shared" si="3"/>
        <v>0.24726315454111147</v>
      </c>
    </row>
    <row r="35" spans="1:10" x14ac:dyDescent="0.3">
      <c r="A35" s="12">
        <v>0.4</v>
      </c>
      <c r="B35" s="9">
        <f t="shared" si="2"/>
        <v>0.16596439172922106</v>
      </c>
      <c r="C35" s="9">
        <f t="shared" si="2"/>
        <v>0.20657772417976983</v>
      </c>
      <c r="D35" s="9">
        <f t="shared" si="2"/>
        <v>0.40696405148467951</v>
      </c>
      <c r="E35" s="9">
        <f t="shared" si="2"/>
        <v>0.22049383260632965</v>
      </c>
      <c r="F35" s="9">
        <f t="shared" si="1"/>
        <v>1</v>
      </c>
      <c r="H35" s="8" cm="1">
        <f t="array" ref="H35">MMULT(B35:E35,$B$5:$B$8)</f>
        <v>0.14000059972713996</v>
      </c>
      <c r="I35" s="11" cm="1">
        <f t="array" ref="I35">MMULT(MMULT(B35:E35,$C$5:$F$8),TRANSPOSE(B35:E35))</f>
        <v>4.4918498552146302E-2</v>
      </c>
      <c r="J35" s="9">
        <f t="shared" si="3"/>
        <v>0.21193984654176359</v>
      </c>
    </row>
    <row r="36" spans="1:10" x14ac:dyDescent="0.3">
      <c r="A36" s="12">
        <v>0.5</v>
      </c>
      <c r="B36" s="9">
        <f t="shared" si="2"/>
        <v>0.13830374333912196</v>
      </c>
      <c r="C36" s="9">
        <f t="shared" si="2"/>
        <v>0.17214800499369942</v>
      </c>
      <c r="D36" s="9">
        <f t="shared" si="2"/>
        <v>0.33913674668537414</v>
      </c>
      <c r="E36" s="9">
        <f t="shared" si="2"/>
        <v>0.3504115049818044</v>
      </c>
      <c r="F36" s="9">
        <f t="shared" si="1"/>
        <v>1</v>
      </c>
      <c r="H36" s="8" cm="1">
        <f t="array" ref="H36">MMULT(B36:E36,$B$5:$B$8)</f>
        <v>0.12500049966913218</v>
      </c>
      <c r="I36" s="11" cm="1">
        <f t="array" ref="I36">MMULT(MMULT(B36:E36,$C$5:$F$8),TRANSPOSE(B36:E36))</f>
        <v>3.1193401686706444E-2</v>
      </c>
      <c r="J36" s="9">
        <f t="shared" si="3"/>
        <v>0.1766165385424209</v>
      </c>
    </row>
    <row r="37" spans="1:10" x14ac:dyDescent="0.3">
      <c r="A37" s="12">
        <v>0.6</v>
      </c>
      <c r="B37" s="9">
        <f t="shared" si="2"/>
        <v>0.11064309494902287</v>
      </c>
      <c r="C37" s="9">
        <f t="shared" si="2"/>
        <v>0.13771828580762904</v>
      </c>
      <c r="D37" s="9">
        <f t="shared" si="2"/>
        <v>0.2713094418860687</v>
      </c>
      <c r="E37" s="9">
        <f t="shared" si="2"/>
        <v>0.4803291773572792</v>
      </c>
      <c r="F37" s="9">
        <f t="shared" si="1"/>
        <v>0.99999999999999989</v>
      </c>
      <c r="H37" s="8" cm="1">
        <f t="array" ref="H37">MMULT(B37:E37,$B$5:$B$8)</f>
        <v>0.11000039961112434</v>
      </c>
      <c r="I37" s="11" cm="1">
        <f t="array" ref="I37">MMULT(MMULT(B37:E37,$C$5:$F$8),TRANSPOSE(B37:E37))</f>
        <v>1.9963776997302018E-2</v>
      </c>
      <c r="J37" s="9">
        <f t="shared" si="3"/>
        <v>0.14129323054308729</v>
      </c>
    </row>
    <row r="38" spans="1:10" x14ac:dyDescent="0.3">
      <c r="A38" s="12">
        <v>0.7</v>
      </c>
      <c r="B38" s="9">
        <f t="shared" si="2"/>
        <v>8.2982446558923784E-2</v>
      </c>
      <c r="C38" s="9">
        <f t="shared" si="2"/>
        <v>0.10328856662155865</v>
      </c>
      <c r="D38" s="9">
        <f t="shared" si="2"/>
        <v>0.20348213708676338</v>
      </c>
      <c r="E38" s="9">
        <f t="shared" si="2"/>
        <v>0.610246849732754</v>
      </c>
      <c r="F38" s="9">
        <f t="shared" si="1"/>
        <v>0.99999999999999978</v>
      </c>
      <c r="H38" s="8" cm="1">
        <f t="array" ref="H38">MMULT(B38:E38,$B$5:$B$8)</f>
        <v>9.5000299553116563E-2</v>
      </c>
      <c r="I38" s="11" cm="1">
        <f t="array" ref="I38">MMULT(MMULT(B38:E38,$C$5:$F$8),TRANSPOSE(B38:E38))</f>
        <v>1.1229624483933028E-2</v>
      </c>
      <c r="J38" s="9">
        <f t="shared" si="3"/>
        <v>0.10596992254377195</v>
      </c>
    </row>
    <row r="39" spans="1:10" x14ac:dyDescent="0.3">
      <c r="A39" s="12">
        <v>0.8</v>
      </c>
      <c r="B39" s="9">
        <f t="shared" si="2"/>
        <v>5.5321798168824668E-2</v>
      </c>
      <c r="C39" s="9">
        <f t="shared" si="2"/>
        <v>6.885884743548823E-2</v>
      </c>
      <c r="D39" s="9">
        <f t="shared" si="2"/>
        <v>0.13565483228745795</v>
      </c>
      <c r="E39" s="9">
        <f t="shared" si="2"/>
        <v>0.74016452210822903</v>
      </c>
      <c r="F39" s="9">
        <f t="shared" si="1"/>
        <v>0.99999999999999989</v>
      </c>
      <c r="H39" s="8" cm="1">
        <f t="array" ref="H39">MMULT(B39:E39,$B$5:$B$8)</f>
        <v>8.0000199495108754E-2</v>
      </c>
      <c r="I39" s="11" cm="1">
        <f t="array" ref="I39">MMULT(MMULT(B39:E39,$C$5:$F$8),TRANSPOSE(B39:E39))</f>
        <v>4.9909441465994572E-3</v>
      </c>
      <c r="J39" s="9">
        <f t="shared" si="3"/>
        <v>7.0646614544502107E-2</v>
      </c>
    </row>
    <row r="40" spans="1:10" x14ac:dyDescent="0.3">
      <c r="A40" s="12">
        <v>0.9</v>
      </c>
      <c r="B40" s="9">
        <f t="shared" si="2"/>
        <v>2.7661149778725583E-2</v>
      </c>
      <c r="C40" s="9">
        <f t="shared" si="2"/>
        <v>3.4429128249417844E-2</v>
      </c>
      <c r="D40" s="9">
        <f t="shared" si="2"/>
        <v>6.7827527488152572E-2</v>
      </c>
      <c r="E40" s="9">
        <f t="shared" si="2"/>
        <v>0.87008219448370372</v>
      </c>
      <c r="F40" s="9">
        <f t="shared" si="1"/>
        <v>0.99999999999999978</v>
      </c>
      <c r="H40" s="8" cm="1">
        <f t="array" ref="H40">MMULT(B40:E40,$B$5:$B$8)</f>
        <v>6.5000099437100944E-2</v>
      </c>
      <c r="I40" s="11" cm="1">
        <f t="array" ref="I40">MMULT(MMULT(B40:E40,$C$5:$F$8),TRANSPOSE(B40:E40))</f>
        <v>1.2477359853013219E-3</v>
      </c>
      <c r="J40" s="9">
        <f t="shared" si="3"/>
        <v>3.5323306545414483E-2</v>
      </c>
    </row>
    <row r="41" spans="1:10" x14ac:dyDescent="0.3">
      <c r="A41" s="12">
        <v>1</v>
      </c>
      <c r="B41" s="9">
        <f t="shared" si="2"/>
        <v>5.0138862649667705E-7</v>
      </c>
      <c r="C41" s="9">
        <f t="shared" si="2"/>
        <v>-5.9093665254609093E-7</v>
      </c>
      <c r="D41" s="9">
        <f t="shared" si="2"/>
        <v>2.2268884720653066E-7</v>
      </c>
      <c r="E41" s="9">
        <f t="shared" si="2"/>
        <v>0.99999986685917852</v>
      </c>
      <c r="F41" s="9">
        <f t="shared" si="1"/>
        <v>0.99999999999999967</v>
      </c>
      <c r="H41" s="8" cm="1">
        <f t="array" ref="H41">MMULT(B41:E41,$B$5:$B$8)</f>
        <v>4.9999999379093142E-2</v>
      </c>
      <c r="I41" s="11" cm="1">
        <f t="array" ref="I41">MMULT(MMULT(B41:E41,$C$5:$F$8),TRANSPOSE(B41:E41))</f>
        <v>3.8615137983643476E-14</v>
      </c>
      <c r="J41" s="9">
        <f t="shared" si="3"/>
        <v>1.9650734842148645E-7</v>
      </c>
    </row>
    <row r="42" spans="1:10" x14ac:dyDescent="0.3">
      <c r="A42" s="12">
        <v>1.1000000000000001</v>
      </c>
      <c r="B42" s="9">
        <f t="shared" si="2"/>
        <v>-2.7660147001472617E-2</v>
      </c>
      <c r="C42" s="9">
        <f t="shared" si="2"/>
        <v>-3.4430310122722969E-2</v>
      </c>
      <c r="D42" s="9">
        <f t="shared" si="2"/>
        <v>-6.7827082110458237E-2</v>
      </c>
      <c r="E42" s="9">
        <f t="shared" si="2"/>
        <v>1.1299175392346537</v>
      </c>
      <c r="F42" s="9">
        <f>SUM(B42:E42)</f>
        <v>0.99999999999999978</v>
      </c>
      <c r="H42" s="8" cm="1">
        <f t="array" ref="H42">MMULT(B42:E42,$B$5:$B$8)</f>
        <v>3.4999899321085333E-2</v>
      </c>
      <c r="I42" s="11" cm="1">
        <f t="array" ref="I42">MMULT(MMULT(B42:E42,$C$5:$F$8),TRANSPOSE(B42:E42))</f>
        <v>1.2477361908113391E-3</v>
      </c>
      <c r="J42" s="9">
        <f t="shared" si="3"/>
        <v>3.5323309454400494E-2</v>
      </c>
    </row>
    <row r="43" spans="1:10" x14ac:dyDescent="0.3">
      <c r="A43" s="12">
        <v>1.2</v>
      </c>
      <c r="B43" s="9">
        <f t="shared" si="2"/>
        <v>-5.5320795391571677E-2</v>
      </c>
      <c r="C43" s="9">
        <f t="shared" si="2"/>
        <v>-6.8860029308793327E-2</v>
      </c>
      <c r="D43" s="9">
        <f t="shared" si="2"/>
        <v>-0.13565438690976353</v>
      </c>
      <c r="E43" s="9">
        <f t="shared" si="2"/>
        <v>1.2598352116101281</v>
      </c>
      <c r="F43" s="9">
        <f>SUM(B43:E43)</f>
        <v>0.99999999999999956</v>
      </c>
      <c r="H43" s="8" cm="1">
        <f t="array" ref="H43">MMULT(B43:E43,$B$5:$B$8)</f>
        <v>1.9999799263077545E-2</v>
      </c>
      <c r="I43" s="11" cm="1">
        <f t="array" ref="I43">MMULT(MMULT(B43:E43,$C$5:$F$8),TRANSPOSE(B43:E43))</f>
        <v>4.9909445576194859E-3</v>
      </c>
      <c r="J43" s="9">
        <f t="shared" si="3"/>
        <v>7.0646617453488075E-2</v>
      </c>
    </row>
    <row r="44" spans="1:10" x14ac:dyDescent="0.3">
      <c r="A44" s="12">
        <v>1.3</v>
      </c>
      <c r="B44" s="9">
        <f t="shared" si="2"/>
        <v>-8.2981443781670799E-2</v>
      </c>
      <c r="C44" s="9">
        <f t="shared" si="2"/>
        <v>-0.10328974849486375</v>
      </c>
      <c r="D44" s="9">
        <f t="shared" si="2"/>
        <v>-0.20348169170906896</v>
      </c>
      <c r="E44" s="9">
        <f t="shared" si="2"/>
        <v>1.389752883985603</v>
      </c>
      <c r="F44" s="9">
        <f>SUM(B44:E44)</f>
        <v>0.99999999999999956</v>
      </c>
      <c r="H44" s="8" cm="1">
        <f t="array" ref="H44">MMULT(B44:E44,$B$5:$B$8)</f>
        <v>4.9996992050697076E-3</v>
      </c>
      <c r="I44" s="11" cm="1">
        <f t="array" ref="I44">MMULT(MMULT(B44:E44,$C$5:$F$8),TRANSPOSE(B44:E44))</f>
        <v>1.1229625100463072E-2</v>
      </c>
      <c r="J44" s="9">
        <f t="shared" si="3"/>
        <v>0.10596992545275792</v>
      </c>
    </row>
    <row r="45" spans="1:10" x14ac:dyDescent="0.3">
      <c r="A45" s="12"/>
      <c r="B45" s="9"/>
      <c r="C45" s="9"/>
      <c r="D45" s="9"/>
      <c r="E45" s="9"/>
      <c r="F45" s="9"/>
      <c r="H45" s="9"/>
      <c r="I45" s="9"/>
      <c r="J45" s="9"/>
    </row>
    <row r="46" spans="1:10" x14ac:dyDescent="0.3">
      <c r="A46" s="12"/>
      <c r="B46" s="9"/>
      <c r="C46" s="9"/>
      <c r="D46" s="9"/>
      <c r="E46" s="9"/>
      <c r="F46" s="9"/>
      <c r="H46" s="9"/>
      <c r="I46" s="9"/>
      <c r="J46" s="9"/>
    </row>
    <row r="47" spans="1:10" x14ac:dyDescent="0.3">
      <c r="A47" s="12"/>
      <c r="B47" s="9"/>
      <c r="C47" s="9"/>
      <c r="D47" s="9"/>
      <c r="E47" s="9"/>
      <c r="F47" s="9"/>
      <c r="H47" s="9"/>
      <c r="I47" s="9"/>
      <c r="J47" s="9"/>
    </row>
    <row r="48" spans="1:10" x14ac:dyDescent="0.3">
      <c r="A48" s="12"/>
      <c r="B48" s="9"/>
      <c r="C48" s="9"/>
      <c r="D48" s="9"/>
      <c r="E48" s="9"/>
      <c r="F48" s="9"/>
      <c r="H48" s="9"/>
      <c r="I48" s="9"/>
      <c r="J48" s="9"/>
    </row>
    <row r="49" spans="1:10" x14ac:dyDescent="0.3">
      <c r="A49" s="12"/>
      <c r="B49" s="9"/>
      <c r="C49" s="9"/>
      <c r="D49" s="9"/>
      <c r="E49" s="9"/>
      <c r="F49" s="9"/>
      <c r="H49" s="9"/>
      <c r="I49" s="9"/>
      <c r="J49" s="9"/>
    </row>
    <row r="50" spans="1:10" x14ac:dyDescent="0.3">
      <c r="A50" s="12"/>
      <c r="B50" s="9"/>
      <c r="C50" s="9"/>
      <c r="D50" s="9"/>
      <c r="E50" s="9"/>
      <c r="F50" s="9"/>
      <c r="H50" s="9"/>
      <c r="I50" s="9"/>
      <c r="J50" s="9"/>
    </row>
    <row r="51" spans="1:10" x14ac:dyDescent="0.3">
      <c r="A51" s="12"/>
      <c r="B51" s="9"/>
      <c r="C51" s="9"/>
      <c r="D51" s="9"/>
      <c r="E51" s="9"/>
      <c r="F51" s="9"/>
      <c r="H51" s="9"/>
      <c r="I51" s="9"/>
      <c r="J51" s="9"/>
    </row>
    <row r="52" spans="1:10" x14ac:dyDescent="0.3">
      <c r="F52" s="9"/>
    </row>
    <row r="53" spans="1:10" x14ac:dyDescent="0.3">
      <c r="F53" s="9"/>
    </row>
  </sheetData>
  <mergeCells count="1">
    <mergeCell ref="C4:F4"/>
  </mergeCells>
  <phoneticPr fontId="7" type="noConversion"/>
  <printOptions gridLines="1" gridLinesSet="0"/>
  <pageMargins left="0.75" right="0.75" top="1" bottom="1" header="0.5" footer="0.5"/>
  <headerFooter alignWithMargins="0">
    <oddHeader>&amp;A</oddHeader>
    <oddFooter>&amp;P. oldal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Munka6"/>
  <dimension ref="A1:I50"/>
  <sheetViews>
    <sheetView zoomScale="124" zoomScaleNormal="190" workbookViewId="0">
      <selection activeCell="F17" sqref="F17"/>
    </sheetView>
  </sheetViews>
  <sheetFormatPr defaultColWidth="9.1796875" defaultRowHeight="13" x14ac:dyDescent="0.3"/>
  <cols>
    <col min="1" max="1" width="18.26953125" style="7" customWidth="1"/>
    <col min="2" max="7" width="9.1796875" style="7"/>
    <col min="8" max="8" width="10.453125" style="7" bestFit="1" customWidth="1"/>
    <col min="9" max="16384" width="9.1796875" style="7"/>
  </cols>
  <sheetData>
    <row r="1" spans="1:9" ht="15.5" x14ac:dyDescent="0.35">
      <c r="A1" s="4" t="s">
        <v>30</v>
      </c>
    </row>
    <row r="4" spans="1:9" x14ac:dyDescent="0.3">
      <c r="A4" s="15" t="s">
        <v>1</v>
      </c>
      <c r="B4" s="15" t="s">
        <v>2</v>
      </c>
      <c r="C4" s="30" t="s">
        <v>13</v>
      </c>
      <c r="D4" s="30"/>
      <c r="E4" s="30"/>
      <c r="F4" s="15"/>
      <c r="G4" s="15" t="s">
        <v>2</v>
      </c>
      <c r="H4" s="15" t="s">
        <v>14</v>
      </c>
    </row>
    <row r="5" spans="1:9" x14ac:dyDescent="0.3">
      <c r="A5" s="16" t="s">
        <v>4</v>
      </c>
      <c r="B5" s="17">
        <v>0.1</v>
      </c>
      <c r="C5" s="21">
        <f>0.28^2</f>
        <v>7.8400000000000011E-2</v>
      </c>
      <c r="D5" s="21">
        <f>0.1*0.2</f>
        <v>2.0000000000000004E-2</v>
      </c>
      <c r="E5" s="21">
        <f>0.12*0.16</f>
        <v>1.9199999999999998E-2</v>
      </c>
      <c r="F5" s="9"/>
      <c r="G5" s="10">
        <f>+B5</f>
        <v>0.1</v>
      </c>
      <c r="H5" s="10">
        <f>SQRT(C5)</f>
        <v>0.28000000000000003</v>
      </c>
    </row>
    <row r="6" spans="1:9" x14ac:dyDescent="0.3">
      <c r="A6" s="16" t="s">
        <v>5</v>
      </c>
      <c r="B6" s="17">
        <v>0.15</v>
      </c>
      <c r="C6" s="21">
        <f>0.1*0.2</f>
        <v>2.0000000000000004E-2</v>
      </c>
      <c r="D6" s="21">
        <f>0.32^2</f>
        <v>0.1024</v>
      </c>
      <c r="E6" s="21">
        <f>0.25*0.25</f>
        <v>6.25E-2</v>
      </c>
      <c r="F6" s="9"/>
      <c r="G6" s="10">
        <f>+B6</f>
        <v>0.15</v>
      </c>
      <c r="H6" s="10">
        <f>SQRT(D6)</f>
        <v>0.32</v>
      </c>
    </row>
    <row r="7" spans="1:9" x14ac:dyDescent="0.3">
      <c r="A7" s="16" t="s">
        <v>15</v>
      </c>
      <c r="B7" s="17">
        <v>0.2</v>
      </c>
      <c r="C7" s="21">
        <f>0.12*0.16</f>
        <v>1.9199999999999998E-2</v>
      </c>
      <c r="D7" s="21">
        <f>0.25*0.25</f>
        <v>6.25E-2</v>
      </c>
      <c r="E7" s="21">
        <f>0.38^2</f>
        <v>0.1444</v>
      </c>
      <c r="F7" s="9"/>
      <c r="G7" s="10">
        <f>+B7</f>
        <v>0.2</v>
      </c>
      <c r="H7" s="10">
        <f>SQRT(E7)</f>
        <v>0.38</v>
      </c>
    </row>
    <row r="8" spans="1:9" x14ac:dyDescent="0.3">
      <c r="A8" s="16"/>
    </row>
    <row r="9" spans="1:9" x14ac:dyDescent="0.3">
      <c r="A9" s="16"/>
      <c r="B9" s="16" t="s">
        <v>7</v>
      </c>
      <c r="C9" s="16" t="s">
        <v>8</v>
      </c>
      <c r="D9" s="16" t="s">
        <v>16</v>
      </c>
      <c r="E9" s="16" t="s">
        <v>17</v>
      </c>
      <c r="F9" s="16"/>
      <c r="G9" s="16" t="s">
        <v>2</v>
      </c>
      <c r="H9" s="16" t="s">
        <v>18</v>
      </c>
      <c r="I9" s="16" t="s">
        <v>14</v>
      </c>
    </row>
    <row r="10" spans="1:9" x14ac:dyDescent="0.3">
      <c r="A10" s="16" t="s">
        <v>31</v>
      </c>
      <c r="B10" s="9">
        <v>0.11020076217588011</v>
      </c>
      <c r="C10" s="9">
        <v>0.25313049672534205</v>
      </c>
      <c r="D10" s="9">
        <v>0.6366687410987778</v>
      </c>
      <c r="E10" s="7">
        <f>SUM(B10:D10)</f>
        <v>1</v>
      </c>
      <c r="G10" s="8" cm="1">
        <f t="array" ref="G10">MMULT(B10:D10,$B$5:$B$7)</f>
        <v>0.1763233989461449</v>
      </c>
      <c r="H10" s="11" cm="1">
        <f t="array" ref="H10">MMULT(MMULT(B10:D10,$C$5:$E$7),TRANSPOSE(B10:D10))</f>
        <v>9.0000548356453255E-2</v>
      </c>
      <c r="I10" s="9">
        <f>SQRT(H10)</f>
        <v>0.30000091392603001</v>
      </c>
    </row>
    <row r="11" spans="1:9" x14ac:dyDescent="0.3">
      <c r="A11" s="16" t="s">
        <v>32</v>
      </c>
      <c r="B11" s="9">
        <v>-0.18243646519921231</v>
      </c>
      <c r="C11" s="9">
        <v>0.21602110215137807</v>
      </c>
      <c r="D11" s="9">
        <v>0.96641536304783426</v>
      </c>
      <c r="E11" s="7">
        <f>SUM(B11:D11)</f>
        <v>1</v>
      </c>
      <c r="G11" s="8" cm="1">
        <f t="array" ref="G11">MMULT(B11:D11,$B$5:$B$7)</f>
        <v>0.20744259141235236</v>
      </c>
      <c r="H11" s="11" cm="1">
        <f t="array" ref="H11">MMULT(MMULT(B11:D11,$C$5:$E$7),TRANSPOSE(B11:D11))</f>
        <v>0.16000060763581703</v>
      </c>
      <c r="I11" s="9">
        <f>SQRT(H11)</f>
        <v>0.40000075954405018</v>
      </c>
    </row>
    <row r="12" spans="1:9" x14ac:dyDescent="0.3">
      <c r="A12" s="16"/>
      <c r="B12" s="9"/>
      <c r="C12" s="9"/>
      <c r="D12" s="9"/>
      <c r="F12" s="9"/>
      <c r="G12" s="8"/>
      <c r="H12" s="11"/>
    </row>
    <row r="13" spans="1:9" x14ac:dyDescent="0.3">
      <c r="A13" s="16"/>
      <c r="F13" s="9"/>
    </row>
    <row r="14" spans="1:9" x14ac:dyDescent="0.3">
      <c r="A14" s="16" t="s">
        <v>33</v>
      </c>
      <c r="B14" s="16" t="s">
        <v>7</v>
      </c>
      <c r="C14" s="16" t="s">
        <v>8</v>
      </c>
      <c r="D14" s="16" t="s">
        <v>16</v>
      </c>
      <c r="E14" s="16" t="s">
        <v>17</v>
      </c>
      <c r="F14" s="16"/>
      <c r="G14" s="16" t="s">
        <v>2</v>
      </c>
      <c r="H14" s="16" t="s">
        <v>18</v>
      </c>
      <c r="I14" s="16" t="s">
        <v>14</v>
      </c>
    </row>
    <row r="15" spans="1:9" x14ac:dyDescent="0.3">
      <c r="A15" s="12">
        <v>-1.5</v>
      </c>
      <c r="B15" s="9">
        <f>$A15*B$10+(1-$A15)*B$11</f>
        <v>-0.62139230626185094</v>
      </c>
      <c r="C15" s="9">
        <f t="shared" ref="C15:D30" si="0">$A15*C$10+(1-$A15)*C$11</f>
        <v>0.16035701029043214</v>
      </c>
      <c r="D15" s="9">
        <f t="shared" si="0"/>
        <v>1.4610352959714188</v>
      </c>
      <c r="E15" s="7">
        <f t="shared" ref="E15:E35" si="1">SUM(B15:D15)</f>
        <v>1</v>
      </c>
      <c r="G15" s="8" cm="1">
        <f t="array" ref="G15">MMULT(B15:D15,$B$5:$B$7)</f>
        <v>0.25412138011166346</v>
      </c>
      <c r="H15" s="11" cm="1">
        <f t="array" ref="H15">MMULT(MMULT(B15:D15,$C$5:$E$7),TRANSPOSE(B15:D15))</f>
        <v>0.33158302330358358</v>
      </c>
      <c r="I15" s="9">
        <f>SQRT(H15)</f>
        <v>0.57583246114089781</v>
      </c>
    </row>
    <row r="16" spans="1:9" x14ac:dyDescent="0.3">
      <c r="A16" s="12">
        <v>-1.4</v>
      </c>
      <c r="B16" s="9">
        <f t="shared" ref="B16:D50" si="2">$A16*B$10+(1-$A16)*B$11</f>
        <v>-0.59212858352434172</v>
      </c>
      <c r="C16" s="9">
        <f t="shared" si="0"/>
        <v>0.16406794974782846</v>
      </c>
      <c r="D16" s="9">
        <f t="shared" si="0"/>
        <v>1.4280606337765134</v>
      </c>
      <c r="E16" s="7">
        <f t="shared" si="1"/>
        <v>1</v>
      </c>
      <c r="G16" s="8" cm="1">
        <f t="array" ref="G16">MMULT(B16:D16,$B$5:$B$7)</f>
        <v>0.25100946086504278</v>
      </c>
      <c r="H16" s="11" cm="1">
        <f t="array" ref="H16">MMULT(MMULT(B16:D16,$C$5:$E$7),TRANSPOSE(B16:D16))</f>
        <v>0.31765845539378035</v>
      </c>
      <c r="I16" s="9">
        <f t="shared" ref="I16:I50" si="3">SQRT(H16)</f>
        <v>0.56361197236554539</v>
      </c>
    </row>
    <row r="17" spans="1:9" x14ac:dyDescent="0.3">
      <c r="A17" s="12">
        <v>-1.3</v>
      </c>
      <c r="B17" s="9">
        <f t="shared" si="2"/>
        <v>-0.5628648607868324</v>
      </c>
      <c r="C17" s="9">
        <f t="shared" si="0"/>
        <v>0.16777888920522482</v>
      </c>
      <c r="D17" s="9">
        <f t="shared" si="0"/>
        <v>1.3950859715816075</v>
      </c>
      <c r="E17" s="7">
        <f t="shared" si="1"/>
        <v>1</v>
      </c>
      <c r="G17" s="8" cm="1">
        <f t="array" ref="G17">MMULT(B17:D17,$B$5:$B$7)</f>
        <v>0.24789754161842198</v>
      </c>
      <c r="H17" s="11" cm="1">
        <f t="array" ref="H17">MMULT(MMULT(B17:D17,$C$5:$E$7),TRANSPOSE(B17:D17))</f>
        <v>0.30408899322663674</v>
      </c>
      <c r="I17" s="9">
        <f t="shared" si="3"/>
        <v>0.5514426472686319</v>
      </c>
    </row>
    <row r="18" spans="1:9" x14ac:dyDescent="0.3">
      <c r="A18" s="12">
        <v>-1.2</v>
      </c>
      <c r="B18" s="9">
        <f t="shared" si="2"/>
        <v>-0.5336011380493233</v>
      </c>
      <c r="C18" s="9">
        <f t="shared" si="0"/>
        <v>0.17148982866262136</v>
      </c>
      <c r="D18" s="9">
        <f t="shared" si="0"/>
        <v>1.3621113093867021</v>
      </c>
      <c r="E18" s="7">
        <f t="shared" si="1"/>
        <v>1.0000000000000002</v>
      </c>
      <c r="G18" s="8" cm="1">
        <f t="array" ref="G18">MMULT(B18:D18,$B$5:$B$7)</f>
        <v>0.24478562237180129</v>
      </c>
      <c r="H18" s="11" cm="1">
        <f t="array" ref="H18">MMULT(MMULT(B18:D18,$C$5:$E$7),TRANSPOSE(B18:D18))</f>
        <v>0.2908746368021532</v>
      </c>
      <c r="I18" s="9">
        <f t="shared" si="3"/>
        <v>0.53932794921286364</v>
      </c>
    </row>
    <row r="19" spans="1:9" x14ac:dyDescent="0.3">
      <c r="A19" s="12">
        <v>-1.1000000000000001</v>
      </c>
      <c r="B19" s="9">
        <f t="shared" si="2"/>
        <v>-0.50433741531181397</v>
      </c>
      <c r="C19" s="9">
        <f t="shared" si="0"/>
        <v>0.17520076812001767</v>
      </c>
      <c r="D19" s="9">
        <f t="shared" si="0"/>
        <v>1.3291366471917967</v>
      </c>
      <c r="E19" s="7">
        <f t="shared" si="1"/>
        <v>1.0000000000000004</v>
      </c>
      <c r="G19" s="8" cm="1">
        <f t="array" ref="G19">MMULT(B19:D19,$B$5:$B$7)</f>
        <v>0.24167370312518061</v>
      </c>
      <c r="H19" s="11" cm="1">
        <f t="array" ref="H19">MMULT(MMULT(B19:D19,$C$5:$E$7),TRANSPOSE(B19:D19))</f>
        <v>0.27801538612032944</v>
      </c>
      <c r="I19" s="9">
        <f t="shared" si="3"/>
        <v>0.52727164357694167</v>
      </c>
    </row>
    <row r="20" spans="1:9" x14ac:dyDescent="0.3">
      <c r="A20" s="12">
        <v>-1</v>
      </c>
      <c r="B20" s="9">
        <f t="shared" si="2"/>
        <v>-0.47507369257430471</v>
      </c>
      <c r="C20" s="9">
        <f t="shared" si="0"/>
        <v>0.17891170757741409</v>
      </c>
      <c r="D20" s="9">
        <f t="shared" si="0"/>
        <v>1.2961619849968908</v>
      </c>
      <c r="E20" s="7">
        <f t="shared" si="1"/>
        <v>1.0000000000000002</v>
      </c>
      <c r="G20" s="8" cm="1">
        <f t="array" ref="G20">MMULT(B20:D20,$B$5:$B$7)</f>
        <v>0.23856178387855981</v>
      </c>
      <c r="H20" s="11" cm="1">
        <f t="array" ref="H20">MMULT(MMULT(B20:D20,$C$5:$E$7),TRANSPOSE(B20:D20))</f>
        <v>0.26551124118116537</v>
      </c>
      <c r="I20" s="9">
        <f t="shared" si="3"/>
        <v>0.51527782911858855</v>
      </c>
    </row>
    <row r="21" spans="1:9" x14ac:dyDescent="0.3">
      <c r="A21" s="12">
        <v>-0.89999999999999902</v>
      </c>
      <c r="B21" s="9">
        <f t="shared" si="2"/>
        <v>-0.44580996983679522</v>
      </c>
      <c r="C21" s="9">
        <f t="shared" si="0"/>
        <v>0.18262264703481051</v>
      </c>
      <c r="D21" s="9">
        <f t="shared" si="0"/>
        <v>1.2631873228019848</v>
      </c>
      <c r="E21" s="7">
        <f t="shared" si="1"/>
        <v>1</v>
      </c>
      <c r="G21" s="8" cm="1">
        <f t="array" ref="G21">MMULT(B21:D21,$B$5:$B$7)</f>
        <v>0.23544986463193904</v>
      </c>
      <c r="H21" s="11" cm="1">
        <f t="array" ref="H21">MMULT(MMULT(B21:D21,$C$5:$E$7),TRANSPOSE(B21:D21))</f>
        <v>0.25336220198466108</v>
      </c>
      <c r="I21" s="9">
        <f t="shared" si="3"/>
        <v>0.50335097296484987</v>
      </c>
    </row>
    <row r="22" spans="1:9" x14ac:dyDescent="0.3">
      <c r="A22" s="12">
        <v>-0.79999999999999905</v>
      </c>
      <c r="B22" s="9">
        <f t="shared" si="2"/>
        <v>-0.41654624709928595</v>
      </c>
      <c r="C22" s="9">
        <f t="shared" si="0"/>
        <v>0.18633358649220691</v>
      </c>
      <c r="D22" s="9">
        <f t="shared" si="0"/>
        <v>1.2302126606070791</v>
      </c>
      <c r="E22" s="7">
        <f t="shared" si="1"/>
        <v>1</v>
      </c>
      <c r="G22" s="8" cm="1">
        <f t="array" ref="G22">MMULT(B22:D22,$B$5:$B$7)</f>
        <v>0.23233794538531827</v>
      </c>
      <c r="H22" s="11" cm="1">
        <f t="array" ref="H22">MMULT(MMULT(B22:D22,$C$5:$E$7),TRANSPOSE(B22:D22))</f>
        <v>0.24156826853081678</v>
      </c>
      <c r="I22" s="9">
        <f t="shared" si="3"/>
        <v>0.49149594965860782</v>
      </c>
    </row>
    <row r="23" spans="1:9" x14ac:dyDescent="0.3">
      <c r="A23" s="12">
        <v>-0.69999999999999896</v>
      </c>
      <c r="B23" s="9">
        <f t="shared" si="2"/>
        <v>-0.38728252436177668</v>
      </c>
      <c r="C23" s="9">
        <f t="shared" si="0"/>
        <v>0.19004452594960328</v>
      </c>
      <c r="D23" s="9">
        <f t="shared" si="0"/>
        <v>1.1972379984121733</v>
      </c>
      <c r="E23" s="7">
        <f t="shared" si="1"/>
        <v>0.99999999999999989</v>
      </c>
      <c r="G23" s="8" cm="1">
        <f t="array" ref="G23">MMULT(B23:D23,$B$5:$B$7)</f>
        <v>0.2292260261386975</v>
      </c>
      <c r="H23" s="11" cm="1">
        <f t="array" ref="H23">MMULT(MMULT(B23:D23,$C$5:$E$7),TRANSPOSE(B23:D23))</f>
        <v>0.23012944081963227</v>
      </c>
      <c r="I23" s="9">
        <f t="shared" si="3"/>
        <v>0.47971808473272326</v>
      </c>
    </row>
    <row r="24" spans="1:9" x14ac:dyDescent="0.3">
      <c r="A24" s="12">
        <v>-0.59999999999999898</v>
      </c>
      <c r="B24" s="9">
        <f t="shared" si="2"/>
        <v>-0.35801880162426747</v>
      </c>
      <c r="C24" s="9">
        <f t="shared" si="0"/>
        <v>0.19375546540699973</v>
      </c>
      <c r="D24" s="9">
        <f t="shared" si="0"/>
        <v>1.1642633362172679</v>
      </c>
      <c r="E24" s="7">
        <f t="shared" si="1"/>
        <v>1</v>
      </c>
      <c r="G24" s="8" cm="1">
        <f t="array" ref="G24">MMULT(B24:D24,$B$5:$B$7)</f>
        <v>0.22611410689207678</v>
      </c>
      <c r="H24" s="11" cm="1">
        <f t="array" ref="H24">MMULT(MMULT(B24:D24,$C$5:$E$7),TRANSPOSE(B24:D24))</f>
        <v>0.2190457188511078</v>
      </c>
      <c r="I24" s="9">
        <f t="shared" si="3"/>
        <v>0.46802320332554859</v>
      </c>
    </row>
    <row r="25" spans="1:9" x14ac:dyDescent="0.3">
      <c r="A25" s="12">
        <v>-0.5</v>
      </c>
      <c r="B25" s="9">
        <f t="shared" si="2"/>
        <v>-0.32875507888675853</v>
      </c>
      <c r="C25" s="9">
        <f t="shared" si="0"/>
        <v>0.19746640486439609</v>
      </c>
      <c r="D25" s="9">
        <f t="shared" si="0"/>
        <v>1.1312886740223627</v>
      </c>
      <c r="E25" s="7">
        <f t="shared" si="1"/>
        <v>1.0000000000000002</v>
      </c>
      <c r="G25" s="8" cm="1">
        <f t="array" ref="G25">MMULT(B25:D25,$B$5:$B$7)</f>
        <v>0.2230021876454561</v>
      </c>
      <c r="H25" s="11" cm="1">
        <f t="array" ref="H25">MMULT(MMULT(B25:D25,$C$5:$E$7),TRANSPOSE(B25:D25))</f>
        <v>0.20831710262524314</v>
      </c>
      <c r="I25" s="9">
        <f t="shared" si="3"/>
        <v>0.45641768439143893</v>
      </c>
    </row>
    <row r="26" spans="1:9" x14ac:dyDescent="0.3">
      <c r="A26" s="12">
        <v>-0.4</v>
      </c>
      <c r="B26" s="9">
        <f t="shared" si="2"/>
        <v>-0.29949135614924927</v>
      </c>
      <c r="C26" s="9">
        <f t="shared" si="0"/>
        <v>0.20117734432179243</v>
      </c>
      <c r="D26" s="9">
        <f t="shared" si="0"/>
        <v>1.0983140118274566</v>
      </c>
      <c r="E26" s="7">
        <f t="shared" si="1"/>
        <v>0.99999999999999978</v>
      </c>
      <c r="G26" s="8" cm="1">
        <f t="array" ref="G26">MMULT(B26:D26,$B$5:$B$7)</f>
        <v>0.21989026839883524</v>
      </c>
      <c r="H26" s="11" cm="1">
        <f t="array" ref="H26">MMULT(MMULT(B26:D26,$C$5:$E$7),TRANSPOSE(B26:D26))</f>
        <v>0.19794359214203811</v>
      </c>
      <c r="I26" s="9">
        <f t="shared" si="3"/>
        <v>0.44490852109398638</v>
      </c>
    </row>
    <row r="27" spans="1:9" x14ac:dyDescent="0.3">
      <c r="A27" s="12">
        <v>-0.3</v>
      </c>
      <c r="B27" s="9">
        <f t="shared" si="2"/>
        <v>-0.27022763341174005</v>
      </c>
      <c r="C27" s="9">
        <f t="shared" si="0"/>
        <v>0.20488828377918888</v>
      </c>
      <c r="D27" s="9">
        <f t="shared" si="0"/>
        <v>1.0653393496325512</v>
      </c>
      <c r="E27" s="7">
        <f t="shared" si="1"/>
        <v>1</v>
      </c>
      <c r="G27" s="8" cm="1">
        <f t="array" ref="G27">MMULT(B27:D27,$B$5:$B$7)</f>
        <v>0.21677834915221458</v>
      </c>
      <c r="H27" s="11" cm="1">
        <f t="array" ref="H27">MMULT(MMULT(B27:D27,$C$5:$E$7),TRANSPOSE(B27:D27))</f>
        <v>0.18792518740149314</v>
      </c>
      <c r="I27" s="9">
        <f t="shared" si="3"/>
        <v>0.43350338799309646</v>
      </c>
    </row>
    <row r="28" spans="1:9" x14ac:dyDescent="0.3">
      <c r="A28" s="12">
        <v>-0.2</v>
      </c>
      <c r="B28" s="9">
        <f t="shared" si="2"/>
        <v>-0.24096391067423079</v>
      </c>
      <c r="C28" s="9">
        <f t="shared" si="0"/>
        <v>0.20859922323658525</v>
      </c>
      <c r="D28" s="9">
        <f t="shared" si="0"/>
        <v>1.0323646874376455</v>
      </c>
      <c r="E28" s="7">
        <f t="shared" si="1"/>
        <v>1</v>
      </c>
      <c r="G28" s="8" cm="1">
        <f t="array" ref="G28">MMULT(B28:D28,$B$5:$B$7)</f>
        <v>0.21366642990559384</v>
      </c>
      <c r="H28" s="11" cm="1">
        <f t="array" ref="H28">MMULT(MMULT(B28:D28,$C$5:$E$7),TRANSPOSE(B28:D28))</f>
        <v>0.1782618884036079</v>
      </c>
      <c r="I28" s="9">
        <f t="shared" si="3"/>
        <v>0.42221071564280305</v>
      </c>
    </row>
    <row r="29" spans="1:9" x14ac:dyDescent="0.3">
      <c r="A29" s="12">
        <v>-0.1</v>
      </c>
      <c r="B29" s="9">
        <f t="shared" si="2"/>
        <v>-0.21170018793672157</v>
      </c>
      <c r="C29" s="9">
        <f t="shared" si="0"/>
        <v>0.2123101626939817</v>
      </c>
      <c r="D29" s="9">
        <f t="shared" si="0"/>
        <v>0.9993900252427399</v>
      </c>
      <c r="E29" s="7">
        <f t="shared" si="1"/>
        <v>1</v>
      </c>
      <c r="G29" s="8" cm="1">
        <f t="array" ref="G29">MMULT(B29:D29,$B$5:$B$7)</f>
        <v>0.2105545106589731</v>
      </c>
      <c r="H29" s="11" cm="1">
        <f t="array" ref="H29">MMULT(MMULT(B29:D29,$C$5:$E$7),TRANSPOSE(B29:D29))</f>
        <v>0.16895369514838254</v>
      </c>
      <c r="I29" s="9">
        <f t="shared" si="3"/>
        <v>0.41103977319522567</v>
      </c>
    </row>
    <row r="30" spans="1:9" x14ac:dyDescent="0.3">
      <c r="A30" s="12">
        <v>0</v>
      </c>
      <c r="B30" s="9">
        <f t="shared" si="2"/>
        <v>-0.18243646519921231</v>
      </c>
      <c r="C30" s="9">
        <f t="shared" si="0"/>
        <v>0.21602110215137807</v>
      </c>
      <c r="D30" s="9">
        <f t="shared" si="0"/>
        <v>0.96641536304783426</v>
      </c>
      <c r="E30" s="7">
        <f t="shared" si="1"/>
        <v>1</v>
      </c>
      <c r="G30" s="8" cm="1">
        <f t="array" ref="G30">MMULT(B30:D30,$B$5:$B$7)</f>
        <v>0.20744259141235236</v>
      </c>
      <c r="H30" s="11" cm="1">
        <f t="array" ref="H30">MMULT(MMULT(B30:D30,$C$5:$E$7),TRANSPOSE(B30:D30))</f>
        <v>0.16000060763581703</v>
      </c>
      <c r="I30" s="9">
        <f t="shared" si="3"/>
        <v>0.40000075954405018</v>
      </c>
    </row>
    <row r="31" spans="1:9" x14ac:dyDescent="0.3">
      <c r="A31" s="12">
        <v>0.1</v>
      </c>
      <c r="B31" s="9">
        <f t="shared" si="2"/>
        <v>-0.15317274246170307</v>
      </c>
      <c r="C31" s="9">
        <f t="shared" si="2"/>
        <v>0.21973204160877446</v>
      </c>
      <c r="D31" s="9">
        <f t="shared" si="2"/>
        <v>0.93344070085292863</v>
      </c>
      <c r="E31" s="7">
        <f t="shared" si="1"/>
        <v>1</v>
      </c>
      <c r="G31" s="8" cm="1">
        <f t="array" ref="G31">MMULT(B31:D31,$B$5:$B$7)</f>
        <v>0.20433067216573161</v>
      </c>
      <c r="H31" s="11" cm="1">
        <f t="array" ref="H31">MMULT(MMULT(B31:D31,$C$5:$E$7),TRANSPOSE(B31:D31))</f>
        <v>0.15140262586591133</v>
      </c>
      <c r="I31" s="9">
        <f t="shared" si="3"/>
        <v>0.3891049034205446</v>
      </c>
    </row>
    <row r="32" spans="1:9" x14ac:dyDescent="0.3">
      <c r="A32" s="12">
        <v>0.2</v>
      </c>
      <c r="B32" s="9">
        <f t="shared" si="2"/>
        <v>-0.12390901972419381</v>
      </c>
      <c r="C32" s="9">
        <f t="shared" si="2"/>
        <v>0.22344298106617089</v>
      </c>
      <c r="D32" s="9">
        <f t="shared" si="2"/>
        <v>0.90046603865802299</v>
      </c>
      <c r="E32" s="7">
        <f t="shared" si="1"/>
        <v>1</v>
      </c>
      <c r="G32" s="8" cm="1">
        <f t="array" ref="G32">MMULT(B32:D32,$B$5:$B$7)</f>
        <v>0.20121875291911087</v>
      </c>
      <c r="H32" s="11" cm="1">
        <f t="array" ref="H32">MMULT(MMULT(B32:D32,$C$5:$E$7),TRANSPOSE(B32:D32))</f>
        <v>0.14315974983866553</v>
      </c>
      <c r="I32" s="9">
        <f t="shared" si="3"/>
        <v>0.3783645726527069</v>
      </c>
    </row>
    <row r="33" spans="1:9" x14ac:dyDescent="0.3">
      <c r="A33" s="12">
        <v>0.3</v>
      </c>
      <c r="B33" s="9">
        <f t="shared" si="2"/>
        <v>-9.4645296986684585E-2</v>
      </c>
      <c r="C33" s="9">
        <f t="shared" si="2"/>
        <v>0.22715392052356725</v>
      </c>
      <c r="D33" s="9">
        <f t="shared" si="2"/>
        <v>0.86749137646311725</v>
      </c>
      <c r="E33" s="7">
        <f t="shared" si="1"/>
        <v>0.99999999999999989</v>
      </c>
      <c r="G33" s="8" cm="1">
        <f t="array" ref="G33">MMULT(B33:D33,$B$5:$B$7)</f>
        <v>0.1981068336724901</v>
      </c>
      <c r="H33" s="11" cm="1">
        <f t="array" ref="H33">MMULT(MMULT(B33:D33,$C$5:$E$7),TRANSPOSE(B33:D33))</f>
        <v>0.13527197955407949</v>
      </c>
      <c r="I33" s="9">
        <f t="shared" si="3"/>
        <v>0.36779339248289861</v>
      </c>
    </row>
    <row r="34" spans="1:9" x14ac:dyDescent="0.3">
      <c r="A34" s="12">
        <v>0.4</v>
      </c>
      <c r="B34" s="9">
        <f t="shared" si="2"/>
        <v>-6.5381574249175345E-2</v>
      </c>
      <c r="C34" s="9">
        <f t="shared" si="2"/>
        <v>0.23086485998096365</v>
      </c>
      <c r="D34" s="9">
        <f t="shared" si="2"/>
        <v>0.83451671426821172</v>
      </c>
      <c r="E34" s="7">
        <f t="shared" si="1"/>
        <v>1</v>
      </c>
      <c r="G34" s="8" cm="1">
        <f t="array" ref="G34">MMULT(B34:D34,$B$5:$B$7)</f>
        <v>0.19499491442586936</v>
      </c>
      <c r="H34" s="11" cm="1">
        <f t="array" ref="H34">MMULT(MMULT(B34:D34,$C$5:$E$7),TRANSPOSE(B34:D34))</f>
        <v>0.12773931501215338</v>
      </c>
      <c r="I34" s="9">
        <f t="shared" si="3"/>
        <v>0.35740637237205686</v>
      </c>
    </row>
    <row r="35" spans="1:9" x14ac:dyDescent="0.3">
      <c r="A35" s="12">
        <v>0.5</v>
      </c>
      <c r="B35" s="9">
        <f t="shared" si="2"/>
        <v>-3.6117851511666098E-2</v>
      </c>
      <c r="C35" s="9">
        <f t="shared" si="2"/>
        <v>0.23457579943836004</v>
      </c>
      <c r="D35" s="9">
        <f t="shared" si="2"/>
        <v>0.80154205207330609</v>
      </c>
      <c r="E35" s="7">
        <f t="shared" si="1"/>
        <v>1</v>
      </c>
      <c r="G35" s="8" cm="1">
        <f t="array" ref="G35">MMULT(B35:D35,$B$5:$B$7)</f>
        <v>0.19188299517924862</v>
      </c>
      <c r="H35" s="11" cm="1">
        <f t="array" ref="H35">MMULT(MMULT(B35:D35,$C$5:$E$7),TRANSPOSE(B35:D35))</f>
        <v>0.12056175621288708</v>
      </c>
      <c r="I35" s="9">
        <f t="shared" si="3"/>
        <v>0.34722004005081142</v>
      </c>
    </row>
    <row r="36" spans="1:9" x14ac:dyDescent="0.3">
      <c r="A36" s="12">
        <v>0.6</v>
      </c>
      <c r="B36" s="9">
        <f t="shared" si="2"/>
        <v>-6.8541287741568507E-3</v>
      </c>
      <c r="C36" s="9">
        <f t="shared" si="2"/>
        <v>0.23828673889575647</v>
      </c>
      <c r="D36" s="9">
        <f t="shared" si="2"/>
        <v>0.76856738987840045</v>
      </c>
      <c r="E36" s="7">
        <f t="shared" ref="E36:E45" si="4">SUM(B36:D36)</f>
        <v>1</v>
      </c>
      <c r="G36" s="8" cm="1">
        <f t="array" ref="G36">MMULT(B36:D36,$B$5:$B$7)</f>
        <v>0.18877107593262787</v>
      </c>
      <c r="H36" s="11" cm="1">
        <f t="array" ref="H36">MMULT(MMULT(B36:D36,$C$5:$E$7),TRANSPOSE(B36:D36))</f>
        <v>0.11373930315628063</v>
      </c>
      <c r="I36" s="9">
        <f t="shared" si="3"/>
        <v>0.33725258065177294</v>
      </c>
    </row>
    <row r="37" spans="1:9" x14ac:dyDescent="0.3">
      <c r="A37" s="12">
        <v>0.7</v>
      </c>
      <c r="B37" s="9">
        <f t="shared" si="2"/>
        <v>2.2409593963352376E-2</v>
      </c>
      <c r="C37" s="9">
        <f t="shared" si="2"/>
        <v>0.24199767835315283</v>
      </c>
      <c r="D37" s="9">
        <f t="shared" si="2"/>
        <v>0.73559272768349482</v>
      </c>
      <c r="E37" s="7">
        <f t="shared" si="4"/>
        <v>1</v>
      </c>
      <c r="G37" s="8" cm="1">
        <f t="array" ref="G37">MMULT(B37:D37,$B$5:$B$7)</f>
        <v>0.18565915668600713</v>
      </c>
      <c r="H37" s="11" cm="1">
        <f t="array" ref="H37">MMULT(MMULT(B37:D37,$C$5:$E$7),TRANSPOSE(B37:D37))</f>
        <v>0.10727195584233401</v>
      </c>
      <c r="I37" s="9">
        <f t="shared" si="3"/>
        <v>0.32752397750750101</v>
      </c>
    </row>
    <row r="38" spans="1:9" x14ac:dyDescent="0.3">
      <c r="A38" s="12">
        <v>0.8</v>
      </c>
      <c r="B38" s="9">
        <f t="shared" si="2"/>
        <v>5.1673316700861643E-2</v>
      </c>
      <c r="C38" s="9">
        <f t="shared" si="2"/>
        <v>0.24570861781054926</v>
      </c>
      <c r="D38" s="9">
        <f t="shared" si="2"/>
        <v>0.70261806548858907</v>
      </c>
      <c r="E38" s="7">
        <f t="shared" si="4"/>
        <v>1</v>
      </c>
      <c r="G38" s="8" cm="1">
        <f t="array" ref="G38">MMULT(B38:D38,$B$5:$B$7)</f>
        <v>0.18254723743938639</v>
      </c>
      <c r="H38" s="11" cm="1">
        <f t="array" ref="H38">MMULT(MMULT(B38:D38,$C$5:$E$7),TRANSPOSE(B38:D38))</f>
        <v>0.10115971427104724</v>
      </c>
      <c r="I38" s="9">
        <f t="shared" si="3"/>
        <v>0.31805614955703537</v>
      </c>
    </row>
    <row r="39" spans="1:9" x14ac:dyDescent="0.3">
      <c r="A39" s="12">
        <v>0.9</v>
      </c>
      <c r="B39" s="9">
        <f t="shared" si="2"/>
        <v>8.0937039438370884E-2</v>
      </c>
      <c r="C39" s="9">
        <f t="shared" si="2"/>
        <v>0.24941955726794565</v>
      </c>
      <c r="D39" s="9">
        <f t="shared" si="2"/>
        <v>0.66964340329368344</v>
      </c>
      <c r="E39" s="7">
        <f t="shared" si="4"/>
        <v>1</v>
      </c>
      <c r="G39" s="8" cm="1">
        <f t="array" ref="G39">MMULT(B39:D39,$B$5:$B$7)</f>
        <v>0.17943531819276565</v>
      </c>
      <c r="H39" s="11" cm="1">
        <f t="array" ref="H39">MMULT(MMULT(B39:D39,$C$5:$E$7),TRANSPOSE(B39:D39))</f>
        <v>9.5402578442420324E-2</v>
      </c>
      <c r="I39" s="9">
        <f t="shared" si="3"/>
        <v>0.30887307820918986</v>
      </c>
    </row>
    <row r="40" spans="1:9" x14ac:dyDescent="0.3">
      <c r="A40" s="12">
        <v>1</v>
      </c>
      <c r="B40" s="9">
        <f t="shared" si="2"/>
        <v>0.11020076217588011</v>
      </c>
      <c r="C40" s="9">
        <f t="shared" si="2"/>
        <v>0.25313049672534205</v>
      </c>
      <c r="D40" s="9">
        <f t="shared" si="2"/>
        <v>0.6366687410987778</v>
      </c>
      <c r="E40" s="7">
        <f t="shared" si="4"/>
        <v>1</v>
      </c>
      <c r="G40" s="8" cm="1">
        <f t="array" ref="G40">MMULT(B40:D40,$B$5:$B$7)</f>
        <v>0.1763233989461449</v>
      </c>
      <c r="H40" s="11" cm="1">
        <f t="array" ref="H40">MMULT(MMULT(B40:D40,$C$5:$E$7),TRANSPOSE(B40:D40))</f>
        <v>9.0000548356453255E-2</v>
      </c>
      <c r="I40" s="9">
        <f t="shared" si="3"/>
        <v>0.30000091392603001</v>
      </c>
    </row>
    <row r="41" spans="1:9" x14ac:dyDescent="0.3">
      <c r="A41" s="12">
        <v>1.1000000000000001</v>
      </c>
      <c r="B41" s="9">
        <f t="shared" si="2"/>
        <v>0.13946448491338936</v>
      </c>
      <c r="C41" s="9">
        <f t="shared" si="2"/>
        <v>0.25684143618273847</v>
      </c>
      <c r="D41" s="9">
        <f t="shared" si="2"/>
        <v>0.60369407890387206</v>
      </c>
      <c r="E41" s="7">
        <f t="shared" si="4"/>
        <v>0.99999999999999989</v>
      </c>
      <c r="G41" s="8" cm="1">
        <f t="array" ref="G41">MMULT(B41:D41,$B$5:$B$7)</f>
        <v>0.17321147969952411</v>
      </c>
      <c r="H41" s="11" cm="1">
        <f t="array" ref="H41">MMULT(MMULT(B41:D41,$C$5:$E$7),TRANSPOSE(B41:D41))</f>
        <v>8.4953624013146004E-2</v>
      </c>
      <c r="I41" s="9">
        <f t="shared" si="3"/>
        <v>0.29146804972954754</v>
      </c>
    </row>
    <row r="42" spans="1:9" x14ac:dyDescent="0.3">
      <c r="A42" s="12">
        <v>1.2</v>
      </c>
      <c r="B42" s="9">
        <f t="shared" si="2"/>
        <v>0.16872820765089858</v>
      </c>
      <c r="C42" s="9">
        <f t="shared" si="2"/>
        <v>0.26055237564013484</v>
      </c>
      <c r="D42" s="9">
        <f t="shared" si="2"/>
        <v>0.57071941670896653</v>
      </c>
      <c r="E42" s="7">
        <f t="shared" si="4"/>
        <v>1</v>
      </c>
      <c r="G42" s="8" cm="1">
        <f t="array" ref="G42">MMULT(B42:D42,$B$5:$B$7)</f>
        <v>0.17009956045290342</v>
      </c>
      <c r="H42" s="11" cm="1">
        <f t="array" ref="H42">MMULT(MMULT(B42:D42,$C$5:$E$7),TRANSPOSE(B42:D42))</f>
        <v>8.0261805412498638E-2</v>
      </c>
      <c r="I42" s="9">
        <f t="shared" si="3"/>
        <v>0.28330514540420659</v>
      </c>
    </row>
    <row r="43" spans="1:9" x14ac:dyDescent="0.3">
      <c r="A43" s="12">
        <v>1.3</v>
      </c>
      <c r="B43" s="9">
        <f t="shared" si="2"/>
        <v>0.19799193038840784</v>
      </c>
      <c r="C43" s="9">
        <f t="shared" si="2"/>
        <v>0.26426331509753126</v>
      </c>
      <c r="D43" s="9">
        <f t="shared" si="2"/>
        <v>0.53774475451406079</v>
      </c>
      <c r="E43" s="7">
        <f t="shared" si="4"/>
        <v>0.99999999999999989</v>
      </c>
      <c r="G43" s="8" cm="1">
        <f t="array" ref="G43">MMULT(B43:D43,$B$5:$B$7)</f>
        <v>0.16698764120628262</v>
      </c>
      <c r="H43" s="11" cm="1">
        <f t="array" ref="H43">MMULT(MMULT(B43:D43,$C$5:$E$7),TRANSPOSE(B43:D43))</f>
        <v>7.5925092554511103E-2</v>
      </c>
      <c r="I43" s="9">
        <f t="shared" si="3"/>
        <v>0.27554508261718463</v>
      </c>
    </row>
    <row r="44" spans="1:9" x14ac:dyDescent="0.3">
      <c r="A44" s="12">
        <v>1.4</v>
      </c>
      <c r="B44" s="9">
        <f t="shared" si="2"/>
        <v>0.22725565312591706</v>
      </c>
      <c r="C44" s="9">
        <f t="shared" si="2"/>
        <v>0.26797425455492763</v>
      </c>
      <c r="D44" s="9">
        <f t="shared" si="2"/>
        <v>0.50477009231915515</v>
      </c>
      <c r="E44" s="7">
        <f t="shared" si="4"/>
        <v>0.99999999999999978</v>
      </c>
      <c r="G44" s="8" cm="1">
        <f t="array" ref="G44">MMULT(B44:D44,$B$5:$B$7)</f>
        <v>0.16387572195966188</v>
      </c>
      <c r="H44" s="11" cm="1">
        <f t="array" ref="H44">MMULT(MMULT(B44:D44,$C$5:$E$7),TRANSPOSE(B44:D44))</f>
        <v>7.1943485439183386E-2</v>
      </c>
      <c r="I44" s="9">
        <f t="shared" si="3"/>
        <v>0.26822282796060326</v>
      </c>
    </row>
    <row r="45" spans="1:9" x14ac:dyDescent="0.3">
      <c r="A45" s="12">
        <v>1.5</v>
      </c>
      <c r="B45" s="9">
        <f t="shared" si="2"/>
        <v>0.25651937586342632</v>
      </c>
      <c r="C45" s="9">
        <f t="shared" si="2"/>
        <v>0.27168519401232405</v>
      </c>
      <c r="D45" s="9">
        <f t="shared" si="2"/>
        <v>0.47179543012424963</v>
      </c>
      <c r="E45" s="7">
        <f t="shared" si="4"/>
        <v>1</v>
      </c>
      <c r="G45" s="8" cm="1">
        <f t="array" ref="G45">MMULT(B45:D45,$B$5:$B$7)</f>
        <v>0.16076380271304119</v>
      </c>
      <c r="H45" s="11" cm="1">
        <f t="array" ref="H45">MMULT(MMULT(B45:D45,$C$5:$E$7),TRANSPOSE(B45:D45))</f>
        <v>6.8316984066515582E-2</v>
      </c>
      <c r="I45" s="9">
        <f t="shared" si="3"/>
        <v>0.26137517874984911</v>
      </c>
    </row>
    <row r="46" spans="1:9" x14ac:dyDescent="0.3">
      <c r="A46" s="12">
        <v>1.6</v>
      </c>
      <c r="B46" s="9">
        <f t="shared" si="2"/>
        <v>0.28578309860093559</v>
      </c>
      <c r="C46" s="9">
        <f t="shared" si="2"/>
        <v>0.27539613346972047</v>
      </c>
      <c r="D46" s="9">
        <f t="shared" si="2"/>
        <v>0.43882076792934388</v>
      </c>
      <c r="E46" s="7">
        <f>SUM(B46:D46)</f>
        <v>1</v>
      </c>
      <c r="G46" s="8" cm="1">
        <f t="array" ref="G46">MMULT(B46:D46,$B$5:$B$7)</f>
        <v>0.15765188346642042</v>
      </c>
      <c r="H46" s="11" cm="1">
        <f t="array" ref="H46">MMULT(MMULT(B46:D46,$C$5:$E$7),TRANSPOSE(B46:D46))</f>
        <v>6.5045588436507568E-2</v>
      </c>
      <c r="I46" s="9">
        <f t="shared" si="3"/>
        <v>0.25504036628837318</v>
      </c>
    </row>
    <row r="47" spans="1:9" x14ac:dyDescent="0.3">
      <c r="A47" s="12">
        <v>1.7</v>
      </c>
      <c r="B47" s="9">
        <f t="shared" si="2"/>
        <v>0.3150468213384448</v>
      </c>
      <c r="C47" s="9">
        <f t="shared" si="2"/>
        <v>0.27910707292711684</v>
      </c>
      <c r="D47" s="9">
        <f t="shared" si="2"/>
        <v>0.40584610573443824</v>
      </c>
      <c r="E47" s="7">
        <f>SUM(B47:D47)</f>
        <v>0.99999999999999989</v>
      </c>
      <c r="G47" s="8" cm="1">
        <f t="array" ref="G47">MMULT(B47:D47,$B$5:$B$7)</f>
        <v>0.15453996421979965</v>
      </c>
      <c r="H47" s="11" cm="1">
        <f t="array" ref="H47">MMULT(MMULT(B47:D47,$C$5:$E$7),TRANSPOSE(B47:D47))</f>
        <v>6.2129298549159412E-2</v>
      </c>
      <c r="I47" s="9">
        <f t="shared" si="3"/>
        <v>0.24925749446939285</v>
      </c>
    </row>
    <row r="48" spans="1:9" x14ac:dyDescent="0.3">
      <c r="A48" s="12">
        <v>1.8</v>
      </c>
      <c r="B48" s="9">
        <f t="shared" si="2"/>
        <v>0.34431054407595407</v>
      </c>
      <c r="C48" s="9">
        <f t="shared" si="2"/>
        <v>0.28281801238451321</v>
      </c>
      <c r="D48" s="9">
        <f t="shared" si="2"/>
        <v>0.3728714435395325</v>
      </c>
      <c r="E48" s="7">
        <f>SUM(B48:D48)</f>
        <v>0.99999999999999978</v>
      </c>
      <c r="G48" s="8" cm="1">
        <f t="array" ref="G48">MMULT(B48:D48,$B$5:$B$7)</f>
        <v>0.15142804497317888</v>
      </c>
      <c r="H48" s="11" cm="1">
        <f t="array" ref="H48">MMULT(MMULT(B48:D48,$C$5:$E$7),TRANSPOSE(B48:D48))</f>
        <v>5.9568114404471073E-2</v>
      </c>
      <c r="I48" s="9">
        <f t="shared" si="3"/>
        <v>0.24406579933384986</v>
      </c>
    </row>
    <row r="49" spans="1:9" x14ac:dyDescent="0.3">
      <c r="A49" s="12">
        <v>1.9</v>
      </c>
      <c r="B49" s="9">
        <f t="shared" si="2"/>
        <v>0.37357426681346328</v>
      </c>
      <c r="C49" s="9">
        <f t="shared" si="2"/>
        <v>0.28652895184190963</v>
      </c>
      <c r="D49" s="9">
        <f t="shared" si="2"/>
        <v>0.33989678134462709</v>
      </c>
      <c r="E49" s="7">
        <f>SUM(B49:D49)</f>
        <v>1</v>
      </c>
      <c r="G49" s="8" cm="1">
        <f t="array" ref="G49">MMULT(B49:D49,$B$5:$B$7)</f>
        <v>0.14831612572655817</v>
      </c>
      <c r="H49" s="11" cm="1">
        <f t="array" ref="H49">MMULT(MMULT(B49:D49,$C$5:$E$7),TRANSPOSE(B49:D49))</f>
        <v>5.7362036002442648E-2</v>
      </c>
      <c r="I49" s="9">
        <f t="shared" si="3"/>
        <v>0.23950372857732852</v>
      </c>
    </row>
    <row r="50" spans="1:9" x14ac:dyDescent="0.3">
      <c r="A50" s="12">
        <v>2</v>
      </c>
      <c r="B50" s="9">
        <f t="shared" si="2"/>
        <v>0.4028379895509725</v>
      </c>
      <c r="C50" s="9">
        <f t="shared" si="2"/>
        <v>0.29023989129930605</v>
      </c>
      <c r="D50" s="9">
        <f t="shared" si="2"/>
        <v>0.30692211914972134</v>
      </c>
      <c r="E50" s="7">
        <f>SUM(B50:D50)</f>
        <v>0.99999999999999989</v>
      </c>
      <c r="G50" s="8" cm="1">
        <f t="array" ref="G50">MMULT(B50:D50,$B$5:$B$7)</f>
        <v>0.14520420647993743</v>
      </c>
      <c r="H50" s="11" cm="1">
        <f t="array" ref="H50">MMULT(MMULT(B50:D50,$C$5:$E$7),TRANSPOSE(B50:D50))</f>
        <v>5.5511063343074013E-2</v>
      </c>
      <c r="I50" s="9">
        <f t="shared" si="3"/>
        <v>0.23560785925574301</v>
      </c>
    </row>
  </sheetData>
  <mergeCells count="1">
    <mergeCell ref="C4:E4"/>
  </mergeCells>
  <phoneticPr fontId="7" type="noConversion"/>
  <printOptions gridLines="1" gridLinesSet="0"/>
  <pageMargins left="0.75" right="0.75" top="1" bottom="1" header="0.5" footer="0.5"/>
  <headerFooter alignWithMargins="0">
    <oddHeader>&amp;A</oddHeader>
    <oddFooter>&amp;P. oldal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Munka8"/>
  <dimension ref="A1:J53"/>
  <sheetViews>
    <sheetView zoomScale="175" zoomScaleNormal="175" workbookViewId="0">
      <selection activeCell="A8" sqref="A8"/>
    </sheetView>
  </sheetViews>
  <sheetFormatPr defaultColWidth="9.1796875" defaultRowHeight="13" x14ac:dyDescent="0.3"/>
  <cols>
    <col min="1" max="1" width="18.26953125" style="7" customWidth="1"/>
    <col min="2" max="5" width="9.1796875" style="7"/>
    <col min="6" max="6" width="10.54296875" style="7" customWidth="1"/>
    <col min="7" max="7" width="9.1796875" style="7"/>
    <col min="8" max="8" width="10.453125" style="7" bestFit="1" customWidth="1"/>
    <col min="9" max="9" width="10.453125" style="7" customWidth="1"/>
    <col min="10" max="16384" width="9.1796875" style="7"/>
  </cols>
  <sheetData>
    <row r="1" spans="1:10" ht="15.5" x14ac:dyDescent="0.35">
      <c r="A1" s="4" t="s">
        <v>34</v>
      </c>
    </row>
    <row r="4" spans="1:10" x14ac:dyDescent="0.3">
      <c r="A4" s="15" t="s">
        <v>1</v>
      </c>
      <c r="B4" s="15" t="s">
        <v>2</v>
      </c>
      <c r="C4" s="30" t="s">
        <v>13</v>
      </c>
      <c r="D4" s="30"/>
      <c r="E4" s="30"/>
      <c r="F4" s="30"/>
      <c r="H4" s="15" t="s">
        <v>2</v>
      </c>
      <c r="I4" s="15" t="s">
        <v>14</v>
      </c>
    </row>
    <row r="5" spans="1:10" x14ac:dyDescent="0.3">
      <c r="A5" s="16" t="s">
        <v>4</v>
      </c>
      <c r="B5" s="17">
        <v>0.1</v>
      </c>
      <c r="C5" s="21">
        <f>0.28^2</f>
        <v>7.8400000000000011E-2</v>
      </c>
      <c r="D5" s="21">
        <f>0.1*0.2</f>
        <v>2.0000000000000004E-2</v>
      </c>
      <c r="E5" s="21">
        <f>0.12*0.16</f>
        <v>1.9199999999999998E-2</v>
      </c>
      <c r="F5" s="22">
        <v>0</v>
      </c>
      <c r="H5" s="10">
        <f>+B5</f>
        <v>0.1</v>
      </c>
      <c r="I5" s="10">
        <f>SQRT(C5)</f>
        <v>0.28000000000000003</v>
      </c>
    </row>
    <row r="6" spans="1:10" x14ac:dyDescent="0.3">
      <c r="A6" s="16" t="s">
        <v>5</v>
      </c>
      <c r="B6" s="17">
        <v>0.15</v>
      </c>
      <c r="C6" s="21">
        <f>0.1*0.2</f>
        <v>2.0000000000000004E-2</v>
      </c>
      <c r="D6" s="21">
        <f>0.32^2</f>
        <v>0.1024</v>
      </c>
      <c r="E6" s="21">
        <f>0.25*0.25</f>
        <v>6.25E-2</v>
      </c>
      <c r="F6" s="22">
        <v>0</v>
      </c>
      <c r="H6" s="10">
        <f>+B6</f>
        <v>0.15</v>
      </c>
      <c r="I6" s="10">
        <f>SQRT(D6)</f>
        <v>0.32</v>
      </c>
    </row>
    <row r="7" spans="1:10" x14ac:dyDescent="0.3">
      <c r="A7" s="16" t="s">
        <v>15</v>
      </c>
      <c r="B7" s="17">
        <v>0.2</v>
      </c>
      <c r="C7" s="21">
        <f>0.12*0.16</f>
        <v>1.9199999999999998E-2</v>
      </c>
      <c r="D7" s="21">
        <f>0.25*0.25</f>
        <v>6.25E-2</v>
      </c>
      <c r="E7" s="21">
        <f>0.38^2</f>
        <v>0.1444</v>
      </c>
      <c r="F7" s="22">
        <v>0</v>
      </c>
      <c r="H7" s="10">
        <f>+B7</f>
        <v>0.2</v>
      </c>
      <c r="I7" s="10">
        <f>SQRT(E7)</f>
        <v>0.38</v>
      </c>
    </row>
    <row r="8" spans="1:10" x14ac:dyDescent="0.3">
      <c r="A8" s="16" t="s">
        <v>27</v>
      </c>
      <c r="B8" s="18">
        <v>0.05</v>
      </c>
      <c r="C8" s="23">
        <v>0</v>
      </c>
      <c r="D8" s="23">
        <v>0</v>
      </c>
      <c r="E8" s="23">
        <v>0</v>
      </c>
      <c r="F8" s="23">
        <v>0</v>
      </c>
      <c r="H8" s="10">
        <f>+B8</f>
        <v>0.05</v>
      </c>
      <c r="I8" s="10">
        <f>SQRT(F8)</f>
        <v>0</v>
      </c>
    </row>
    <row r="9" spans="1:10" x14ac:dyDescent="0.3">
      <c r="A9" s="16"/>
    </row>
    <row r="10" spans="1:10" x14ac:dyDescent="0.3">
      <c r="A10" s="16"/>
      <c r="B10" s="16" t="s">
        <v>7</v>
      </c>
      <c r="C10" s="16" t="s">
        <v>8</v>
      </c>
      <c r="D10" s="16" t="s">
        <v>16</v>
      </c>
      <c r="E10" s="16" t="s">
        <v>28</v>
      </c>
      <c r="F10" s="16" t="s">
        <v>17</v>
      </c>
      <c r="H10" s="16" t="s">
        <v>2</v>
      </c>
      <c r="I10" s="16" t="s">
        <v>18</v>
      </c>
      <c r="J10" s="16" t="s">
        <v>14</v>
      </c>
    </row>
    <row r="11" spans="1:10" x14ac:dyDescent="0.3">
      <c r="A11" s="16" t="s">
        <v>31</v>
      </c>
      <c r="B11" s="9">
        <v>5.1948289770676341E-7</v>
      </c>
      <c r="C11" s="9">
        <v>8.1335856092134224E-7</v>
      </c>
      <c r="D11" s="9">
        <v>2.0870121949809828E-6</v>
      </c>
      <c r="E11" s="7">
        <v>0.99999658014634663</v>
      </c>
      <c r="F11" s="7">
        <f>SUM(B11:E11)</f>
        <v>1.0000000000000002</v>
      </c>
      <c r="H11" s="24" cm="1">
        <f t="array" ref="H11">MMULT(B11:E11,$B$5:$B$8)</f>
        <v>5.0000420361830243E-2</v>
      </c>
      <c r="I11" s="11" cm="1">
        <f t="array" ref="I11">MMULT(MMULT(B11:E11,$C$5:$F$8),TRANSPOSE(B11:E11))</f>
        <v>9.8857087958070045E-13</v>
      </c>
      <c r="J11" s="9">
        <f>SQRT(I11)</f>
        <v>9.9426901771135384E-7</v>
      </c>
    </row>
    <row r="12" spans="1:10" x14ac:dyDescent="0.3">
      <c r="A12" s="16" t="s">
        <v>32</v>
      </c>
      <c r="B12" s="9">
        <v>0.23525132288072095</v>
      </c>
      <c r="C12" s="9">
        <v>0.29214217010994514</v>
      </c>
      <c r="D12" s="9">
        <v>0.57612642655097634</v>
      </c>
      <c r="E12" s="7">
        <v>-0.10351991954164246</v>
      </c>
      <c r="F12" s="7">
        <f>SUM(B12:E12)</f>
        <v>0.99999999999999989</v>
      </c>
      <c r="H12" s="24" cm="1">
        <f t="array" ref="H12">MMULT(B12:E12,$B$5:$B$8)</f>
        <v>0.177395747137677</v>
      </c>
      <c r="I12" s="11" cm="1">
        <f t="array" ref="I12">MMULT(MMULT(B12:E12,$C$5:$F$8),TRANSPOSE(B12:E12))</f>
        <v>9.0000382276987631E-2</v>
      </c>
      <c r="J12" s="9">
        <f>SQRT(I12)</f>
        <v>0.30000063712763614</v>
      </c>
    </row>
    <row r="13" spans="1:10" x14ac:dyDescent="0.3">
      <c r="A13" s="16"/>
      <c r="B13" s="9"/>
      <c r="C13" s="9"/>
      <c r="D13" s="9"/>
      <c r="H13" s="8" t="s">
        <v>35</v>
      </c>
      <c r="I13" s="11"/>
    </row>
    <row r="14" spans="1:10" x14ac:dyDescent="0.3">
      <c r="A14" s="16"/>
    </row>
    <row r="15" spans="1:10" x14ac:dyDescent="0.3">
      <c r="A15" s="16" t="s">
        <v>33</v>
      </c>
      <c r="B15" s="16" t="s">
        <v>7</v>
      </c>
      <c r="C15" s="16" t="s">
        <v>8</v>
      </c>
      <c r="D15" s="16" t="s">
        <v>16</v>
      </c>
      <c r="E15" s="16" t="s">
        <v>28</v>
      </c>
      <c r="F15" s="16" t="s">
        <v>17</v>
      </c>
      <c r="H15" s="16" t="s">
        <v>2</v>
      </c>
      <c r="I15" s="16" t="s">
        <v>18</v>
      </c>
      <c r="J15" s="16" t="s">
        <v>14</v>
      </c>
    </row>
    <row r="16" spans="1:10" x14ac:dyDescent="0.3">
      <c r="A16" s="12">
        <v>-1.5</v>
      </c>
      <c r="B16" s="9">
        <f>$A16*B$11+(1-$A16)*B$12</f>
        <v>0.58812752797745582</v>
      </c>
      <c r="C16" s="9">
        <f t="shared" ref="C16:E31" si="0">$A16*C$11+(1-$A16)*C$12</f>
        <v>0.73035420523702144</v>
      </c>
      <c r="D16" s="9">
        <f t="shared" si="0"/>
        <v>1.4403129358591484</v>
      </c>
      <c r="E16" s="9">
        <f t="shared" si="0"/>
        <v>-1.7587946690736262</v>
      </c>
      <c r="F16" s="9">
        <f>SUM(B16:E16)</f>
        <v>0.99999999999999956</v>
      </c>
      <c r="H16" s="8" cm="1">
        <f t="array" ref="H16">MMULT(B16:E16,$B$5:$B$8)</f>
        <v>0.36848873730144716</v>
      </c>
      <c r="I16" s="11" cm="1">
        <f t="array" ref="I16">MMULT(MMULT(B16:E16,$C$5:$F$8),TRANSPOSE(B16:E16))</f>
        <v>0.56250016198713904</v>
      </c>
      <c r="J16" s="9">
        <f>SQRT(I16)</f>
        <v>0.75000010799141825</v>
      </c>
    </row>
    <row r="17" spans="1:10" x14ac:dyDescent="0.3">
      <c r="A17" s="12">
        <v>-1.4</v>
      </c>
      <c r="B17" s="9">
        <f t="shared" ref="B17:E41" si="1">$A17*B$11+(1-$A17)*B$12</f>
        <v>0.56460244763767342</v>
      </c>
      <c r="C17" s="9">
        <f t="shared" si="0"/>
        <v>0.70114006956188302</v>
      </c>
      <c r="D17" s="9">
        <f t="shared" si="0"/>
        <v>1.3827005019052703</v>
      </c>
      <c r="E17" s="9">
        <f t="shared" si="0"/>
        <v>-1.6484430191048269</v>
      </c>
      <c r="F17" s="9">
        <f t="shared" ref="F17:F41" si="2">SUM(B17:E17)</f>
        <v>0.99999999999999956</v>
      </c>
      <c r="H17" s="8" cm="1">
        <f t="array" ref="H17">MMULT(B17:E17,$B$5:$B$8)</f>
        <v>0.35574920462386256</v>
      </c>
      <c r="I17" s="11" cm="1">
        <f t="array" ref="I17">MMULT(MMULT(B17:E17,$C$5:$F$8),TRANSPOSE(B17:E17))</f>
        <v>0.51840020630473926</v>
      </c>
      <c r="J17" s="9">
        <f t="shared" ref="J17:J41" si="3">SQRT(I17)</f>
        <v>0.72000014326716577</v>
      </c>
    </row>
    <row r="18" spans="1:10" x14ac:dyDescent="0.3">
      <c r="A18" s="12">
        <v>-1.3</v>
      </c>
      <c r="B18" s="9">
        <f t="shared" si="1"/>
        <v>0.54107736729789113</v>
      </c>
      <c r="C18" s="9">
        <f t="shared" si="0"/>
        <v>0.6719259338867446</v>
      </c>
      <c r="D18" s="9">
        <f t="shared" si="0"/>
        <v>1.3250880679513919</v>
      </c>
      <c r="E18" s="9">
        <f t="shared" si="0"/>
        <v>-1.5380913691360283</v>
      </c>
      <c r="F18" s="9">
        <f t="shared" si="2"/>
        <v>0.99999999999999933</v>
      </c>
      <c r="H18" s="8" cm="1">
        <f t="array" ref="H18">MMULT(B18:E18,$B$5:$B$8)</f>
        <v>0.34300967194627774</v>
      </c>
      <c r="I18" s="11" cm="1">
        <f t="array" ref="I18">MMULT(MMULT(B18:E18,$C$5:$F$8),TRANSPOSE(B18:E18))</f>
        <v>0.47610024638925219</v>
      </c>
      <c r="J18" s="9">
        <f t="shared" si="3"/>
        <v>0.69000017854291329</v>
      </c>
    </row>
    <row r="19" spans="1:10" x14ac:dyDescent="0.3">
      <c r="A19" s="12">
        <v>-1.2</v>
      </c>
      <c r="B19" s="9">
        <f t="shared" si="1"/>
        <v>0.51755228695810884</v>
      </c>
      <c r="C19" s="9">
        <f t="shared" si="0"/>
        <v>0.64271179821160618</v>
      </c>
      <c r="D19" s="9">
        <f t="shared" si="0"/>
        <v>1.2674756339975142</v>
      </c>
      <c r="E19" s="9">
        <f t="shared" si="0"/>
        <v>-1.4277397191672292</v>
      </c>
      <c r="F19" s="9">
        <f t="shared" si="2"/>
        <v>1</v>
      </c>
      <c r="H19" s="8" cm="1">
        <f t="array" ref="H19">MMULT(B19:E19,$B$5:$B$8)</f>
        <v>0.3302701392686932</v>
      </c>
      <c r="I19" s="11" cm="1">
        <f t="array" ref="I19">MMULT(MMULT(B19:E19,$C$5:$F$8),TRANSPOSE(B19:E19))</f>
        <v>0.4356002822406782</v>
      </c>
      <c r="J19" s="9">
        <f t="shared" si="3"/>
        <v>0.66000021381866092</v>
      </c>
    </row>
    <row r="20" spans="1:10" x14ac:dyDescent="0.3">
      <c r="A20" s="12">
        <v>-1.1000000000000001</v>
      </c>
      <c r="B20" s="9">
        <f t="shared" si="1"/>
        <v>0.49402720661832655</v>
      </c>
      <c r="C20" s="9">
        <f t="shared" si="0"/>
        <v>0.61349766253646787</v>
      </c>
      <c r="D20" s="9">
        <f t="shared" si="0"/>
        <v>1.2098632000436358</v>
      </c>
      <c r="E20" s="9">
        <f t="shared" si="0"/>
        <v>-1.3173880691984305</v>
      </c>
      <c r="F20" s="9">
        <f t="shared" si="2"/>
        <v>0.99999999999999978</v>
      </c>
      <c r="H20" s="8" cm="1">
        <f t="array" ref="H20">MMULT(B20:E20,$B$5:$B$8)</f>
        <v>0.31753060659110843</v>
      </c>
      <c r="I20" s="11" cm="1">
        <f t="array" ref="I20">MMULT(MMULT(B20:E20,$C$5:$F$8),TRANSPOSE(B20:E20))</f>
        <v>0.39690031385901675</v>
      </c>
      <c r="J20" s="9">
        <f t="shared" si="3"/>
        <v>0.63000024909440855</v>
      </c>
    </row>
    <row r="21" spans="1:10" x14ac:dyDescent="0.3">
      <c r="A21" s="12">
        <v>-1</v>
      </c>
      <c r="B21" s="9">
        <f t="shared" si="1"/>
        <v>0.47050212627854421</v>
      </c>
      <c r="C21" s="9">
        <f t="shared" si="0"/>
        <v>0.58428352686132934</v>
      </c>
      <c r="D21" s="9">
        <f t="shared" si="0"/>
        <v>1.1522507660897576</v>
      </c>
      <c r="E21" s="9">
        <f t="shared" si="0"/>
        <v>-1.2070364192296315</v>
      </c>
      <c r="F21" s="9">
        <f t="shared" si="2"/>
        <v>0.99999999999999956</v>
      </c>
      <c r="H21" s="8" cm="1">
        <f t="array" ref="H21">MMULT(B21:E21,$B$5:$B$8)</f>
        <v>0.30479107391352384</v>
      </c>
      <c r="I21" s="11" cm="1">
        <f t="array" ref="I21">MMULT(MMULT(B21:E21,$C$5:$F$8),TRANSPOSE(B21:E21))</f>
        <v>0.36000034124426816</v>
      </c>
      <c r="J21" s="9">
        <f t="shared" si="3"/>
        <v>0.60000028437015607</v>
      </c>
    </row>
    <row r="22" spans="1:10" x14ac:dyDescent="0.3">
      <c r="A22" s="12">
        <v>-0.89999999999999902</v>
      </c>
      <c r="B22" s="9">
        <f t="shared" si="1"/>
        <v>0.44697704593876164</v>
      </c>
      <c r="C22" s="9">
        <f t="shared" si="0"/>
        <v>0.5550693911861907</v>
      </c>
      <c r="D22" s="9">
        <f t="shared" si="0"/>
        <v>1.094638332135879</v>
      </c>
      <c r="E22" s="9">
        <f t="shared" si="0"/>
        <v>-1.0966847692608317</v>
      </c>
      <c r="F22" s="9">
        <f t="shared" si="2"/>
        <v>0.99999999999999956</v>
      </c>
      <c r="H22" s="8" cm="1">
        <f t="array" ref="H22">MMULT(B22:E22,$B$5:$B$8)</f>
        <v>0.29205154123593902</v>
      </c>
      <c r="I22" s="11" cm="1">
        <f t="array" ref="I22">MMULT(MMULT(B22:E22,$C$5:$F$8),TRANSPOSE(B22:E22))</f>
        <v>0.32490036439643222</v>
      </c>
      <c r="J22" s="9">
        <f t="shared" si="3"/>
        <v>0.57000031964590359</v>
      </c>
    </row>
    <row r="23" spans="1:10" x14ac:dyDescent="0.3">
      <c r="A23" s="12">
        <v>-0.79999999999999905</v>
      </c>
      <c r="B23" s="9">
        <f t="shared" si="1"/>
        <v>0.4234519655989793</v>
      </c>
      <c r="C23" s="9">
        <f t="shared" si="0"/>
        <v>0.52585525551105217</v>
      </c>
      <c r="D23" s="9">
        <f t="shared" si="0"/>
        <v>1.0370258981820009</v>
      </c>
      <c r="E23" s="9">
        <f t="shared" si="0"/>
        <v>-0.98633311929203271</v>
      </c>
      <c r="F23" s="9">
        <f t="shared" si="2"/>
        <v>0.99999999999999967</v>
      </c>
      <c r="H23" s="8" cm="1">
        <f t="array" ref="H23">MMULT(B23:E23,$B$5:$B$8)</f>
        <v>0.27931200855835425</v>
      </c>
      <c r="I23" s="11" cm="1">
        <f t="array" ref="I23">MMULT(MMULT(B23:E23,$C$5:$F$8),TRANSPOSE(B23:E23))</f>
        <v>0.29160038331550919</v>
      </c>
      <c r="J23" s="9">
        <f t="shared" si="3"/>
        <v>0.5400003549216511</v>
      </c>
    </row>
    <row r="24" spans="1:10" x14ac:dyDescent="0.3">
      <c r="A24" s="12">
        <v>-0.69999999999999896</v>
      </c>
      <c r="B24" s="9">
        <f t="shared" si="1"/>
        <v>0.39992688525919695</v>
      </c>
      <c r="C24" s="9">
        <f t="shared" si="0"/>
        <v>0.4966411198359138</v>
      </c>
      <c r="D24" s="9">
        <f t="shared" si="0"/>
        <v>0.9794134642281227</v>
      </c>
      <c r="E24" s="9">
        <f t="shared" si="0"/>
        <v>-0.87598146932323362</v>
      </c>
      <c r="F24" s="9">
        <f t="shared" si="2"/>
        <v>0.99999999999999989</v>
      </c>
      <c r="H24" s="8" cm="1">
        <f t="array" ref="H24">MMULT(B24:E24,$B$5:$B$8)</f>
        <v>0.2665724758807696</v>
      </c>
      <c r="I24" s="11" cm="1">
        <f t="array" ref="I24">MMULT(MMULT(B24:E24,$C$5:$F$8),TRANSPOSE(B24:E24))</f>
        <v>0.2601003980014992</v>
      </c>
      <c r="J24" s="9">
        <f t="shared" si="3"/>
        <v>0.51000039019739896</v>
      </c>
    </row>
    <row r="25" spans="1:10" x14ac:dyDescent="0.3">
      <c r="A25" s="12">
        <v>-0.59999999999999898</v>
      </c>
      <c r="B25" s="9">
        <f t="shared" si="1"/>
        <v>0.37640180491941466</v>
      </c>
      <c r="C25" s="9">
        <f t="shared" si="0"/>
        <v>0.46742698416077533</v>
      </c>
      <c r="D25" s="9">
        <f t="shared" si="0"/>
        <v>0.92180103027424465</v>
      </c>
      <c r="E25" s="9">
        <f t="shared" si="0"/>
        <v>-0.76562981935443475</v>
      </c>
      <c r="F25" s="9">
        <f t="shared" si="2"/>
        <v>0.99999999999999989</v>
      </c>
      <c r="H25" s="8" cm="1">
        <f t="array" ref="H25">MMULT(B25:E25,$B$5:$B$8)</f>
        <v>0.25383294320318495</v>
      </c>
      <c r="I25" s="11" cm="1">
        <f t="array" ref="I25">MMULT(MMULT(B25:E25,$C$5:$F$8),TRANSPOSE(B25:E25))</f>
        <v>0.23040040845440191</v>
      </c>
      <c r="J25" s="9">
        <f t="shared" si="3"/>
        <v>0.48000042547314675</v>
      </c>
    </row>
    <row r="26" spans="1:10" x14ac:dyDescent="0.3">
      <c r="A26" s="12">
        <v>-0.5</v>
      </c>
      <c r="B26" s="9">
        <f t="shared" si="1"/>
        <v>0.35287672457963259</v>
      </c>
      <c r="C26" s="9">
        <f t="shared" si="0"/>
        <v>0.43821284848563724</v>
      </c>
      <c r="D26" s="9">
        <f t="shared" si="0"/>
        <v>0.86418859632036704</v>
      </c>
      <c r="E26" s="9">
        <f t="shared" si="0"/>
        <v>-0.65527816938563699</v>
      </c>
      <c r="F26" s="9">
        <f t="shared" si="2"/>
        <v>0.99999999999999989</v>
      </c>
      <c r="H26" s="8" cm="1">
        <f t="array" ref="H26">MMULT(B26:E26,$B$5:$B$8)</f>
        <v>0.24109341052560046</v>
      </c>
      <c r="I26" s="11" cm="1">
        <f t="array" ref="I26">MMULT(MMULT(B26:E26,$C$5:$F$8),TRANSPOSE(B26:E26))</f>
        <v>0.20250041467421775</v>
      </c>
      <c r="J26" s="9">
        <f t="shared" si="3"/>
        <v>0.45000046074889494</v>
      </c>
    </row>
    <row r="27" spans="1:10" x14ac:dyDescent="0.3">
      <c r="A27" s="12">
        <v>-0.4</v>
      </c>
      <c r="B27" s="9">
        <f t="shared" si="1"/>
        <v>0.32935164423985025</v>
      </c>
      <c r="C27" s="9">
        <f t="shared" si="0"/>
        <v>0.40899871281049882</v>
      </c>
      <c r="D27" s="9">
        <f t="shared" si="0"/>
        <v>0.80657616236648888</v>
      </c>
      <c r="E27" s="9">
        <f t="shared" si="0"/>
        <v>-0.54492651941683812</v>
      </c>
      <c r="F27" s="9">
        <f t="shared" si="2"/>
        <v>0.99999999999999989</v>
      </c>
      <c r="H27" s="8" cm="1">
        <f t="array" ref="H27">MMULT(B27:E27,$B$5:$B$8)</f>
        <v>0.2283538778480157</v>
      </c>
      <c r="I27" s="11" cm="1">
        <f t="array" ref="I27">MMULT(MMULT(B27:E27,$C$5:$F$8),TRANSPOSE(B27:E27))</f>
        <v>0.17640041666094611</v>
      </c>
      <c r="J27" s="9">
        <f t="shared" si="3"/>
        <v>0.42000049602464296</v>
      </c>
    </row>
    <row r="28" spans="1:10" x14ac:dyDescent="0.3">
      <c r="A28" s="12">
        <v>-0.3</v>
      </c>
      <c r="B28" s="9">
        <f t="shared" si="1"/>
        <v>0.30582656390006796</v>
      </c>
      <c r="C28" s="9">
        <f t="shared" si="0"/>
        <v>0.37978457713536046</v>
      </c>
      <c r="D28" s="9">
        <f t="shared" si="0"/>
        <v>0.74896372841261083</v>
      </c>
      <c r="E28" s="9">
        <f t="shared" si="0"/>
        <v>-0.43457486944803914</v>
      </c>
      <c r="F28" s="9">
        <f t="shared" si="2"/>
        <v>1.0000000000000002</v>
      </c>
      <c r="H28" s="8" cm="1">
        <f t="array" ref="H28">MMULT(B28:E28,$B$5:$B$8)</f>
        <v>0.2156143451704311</v>
      </c>
      <c r="I28" s="11" cm="1">
        <f t="array" ref="I28">MMULT(MMULT(B28:E28,$C$5:$F$8),TRANSPOSE(B28:E28))</f>
        <v>0.15210041441458727</v>
      </c>
      <c r="J28" s="9">
        <f t="shared" si="3"/>
        <v>0.39000053130039103</v>
      </c>
    </row>
    <row r="29" spans="1:10" x14ac:dyDescent="0.3">
      <c r="A29" s="12">
        <v>-0.2</v>
      </c>
      <c r="B29" s="9">
        <f t="shared" si="1"/>
        <v>0.28230148356028556</v>
      </c>
      <c r="C29" s="9">
        <f t="shared" si="0"/>
        <v>0.35057044146022193</v>
      </c>
      <c r="D29" s="9">
        <f t="shared" si="0"/>
        <v>0.69135129445873267</v>
      </c>
      <c r="E29" s="9">
        <f t="shared" si="0"/>
        <v>-0.32422321947924027</v>
      </c>
      <c r="F29" s="9">
        <f t="shared" si="2"/>
        <v>0.99999999999999978</v>
      </c>
      <c r="H29" s="8" cm="1">
        <f t="array" ref="H29">MMULT(B29:E29,$B$5:$B$8)</f>
        <v>0.20287481249284636</v>
      </c>
      <c r="I29" s="11" cm="1">
        <f t="array" ref="I29">MMULT(MMULT(B29:E29,$C$5:$F$8),TRANSPOSE(B29:E29))</f>
        <v>0.12960040793514124</v>
      </c>
      <c r="J29" s="9">
        <f t="shared" si="3"/>
        <v>0.36000056657613921</v>
      </c>
    </row>
    <row r="30" spans="1:10" x14ac:dyDescent="0.3">
      <c r="A30" s="12">
        <v>-0.1</v>
      </c>
      <c r="B30" s="9">
        <f t="shared" si="1"/>
        <v>0.25877640322050327</v>
      </c>
      <c r="C30" s="9">
        <f t="shared" si="0"/>
        <v>0.32135630578508356</v>
      </c>
      <c r="D30" s="9">
        <f t="shared" si="0"/>
        <v>0.63373886050485451</v>
      </c>
      <c r="E30" s="9">
        <f t="shared" si="0"/>
        <v>-0.21387156951044139</v>
      </c>
      <c r="F30" s="9">
        <f t="shared" si="2"/>
        <v>0.99999999999999978</v>
      </c>
      <c r="H30" s="8" cm="1">
        <f t="array" ref="H30">MMULT(B30:E30,$B$5:$B$8)</f>
        <v>0.19013527981526171</v>
      </c>
      <c r="I30" s="11" cm="1">
        <f t="array" ref="I30">MMULT(MMULT(B30:E30,$C$5:$F$8),TRANSPOSE(B30:E30))</f>
        <v>0.10890039722260804</v>
      </c>
      <c r="J30" s="9">
        <f t="shared" si="3"/>
        <v>0.33000060185188762</v>
      </c>
    </row>
    <row r="31" spans="1:10" x14ac:dyDescent="0.3">
      <c r="A31" s="12">
        <v>0</v>
      </c>
      <c r="B31" s="9">
        <f t="shared" si="1"/>
        <v>0.23525132288072095</v>
      </c>
      <c r="C31" s="9">
        <f t="shared" si="0"/>
        <v>0.29214217010994514</v>
      </c>
      <c r="D31" s="9">
        <f t="shared" si="0"/>
        <v>0.57612642655097634</v>
      </c>
      <c r="E31" s="9">
        <f t="shared" si="0"/>
        <v>-0.10351991954164246</v>
      </c>
      <c r="F31" s="9">
        <f t="shared" si="2"/>
        <v>0.99999999999999989</v>
      </c>
      <c r="H31" s="8" cm="1">
        <f t="array" ref="H31">MMULT(B31:E31,$B$5:$B$8)</f>
        <v>0.177395747137677</v>
      </c>
      <c r="I31" s="11" cm="1">
        <f t="array" ref="I31">MMULT(MMULT(B31:E31,$C$5:$F$8),TRANSPOSE(B31:E31))</f>
        <v>9.0000382276987631E-2</v>
      </c>
      <c r="J31" s="9">
        <f t="shared" si="3"/>
        <v>0.30000063712763614</v>
      </c>
    </row>
    <row r="32" spans="1:10" x14ac:dyDescent="0.3">
      <c r="A32" s="12">
        <v>0.1</v>
      </c>
      <c r="B32" s="9">
        <f t="shared" si="1"/>
        <v>0.21172624254093864</v>
      </c>
      <c r="C32" s="9">
        <f t="shared" si="1"/>
        <v>0.26292803443480672</v>
      </c>
      <c r="D32" s="9">
        <f t="shared" si="1"/>
        <v>0.51851399259709829</v>
      </c>
      <c r="E32" s="9">
        <f t="shared" si="1"/>
        <v>6.8317304271564572E-3</v>
      </c>
      <c r="F32" s="9">
        <f t="shared" si="2"/>
        <v>1</v>
      </c>
      <c r="H32" s="8" cm="1">
        <f t="array" ref="H32">MMULT(B32:E32,$B$5:$B$8)</f>
        <v>0.16465621446009235</v>
      </c>
      <c r="I32" s="11" cm="1">
        <f t="array" ref="I32">MMULT(MMULT(B32:E32,$C$5:$F$8),TRANSPOSE(B32:E32))</f>
        <v>7.2900363098280074E-2</v>
      </c>
      <c r="J32" s="9">
        <f t="shared" si="3"/>
        <v>0.2700006724033851</v>
      </c>
    </row>
    <row r="33" spans="1:10" x14ac:dyDescent="0.3">
      <c r="A33" s="12">
        <v>0.2</v>
      </c>
      <c r="B33" s="9">
        <f t="shared" si="1"/>
        <v>0.18820116220115632</v>
      </c>
      <c r="C33" s="9">
        <f t="shared" si="1"/>
        <v>0.2337138987596683</v>
      </c>
      <c r="D33" s="9">
        <f t="shared" si="1"/>
        <v>0.46090155864322008</v>
      </c>
      <c r="E33" s="9">
        <f t="shared" si="1"/>
        <v>0.11718338039595538</v>
      </c>
      <c r="F33" s="9">
        <f t="shared" si="2"/>
        <v>1.0000000000000002</v>
      </c>
      <c r="H33" s="8" cm="1">
        <f t="array" ref="H33">MMULT(B33:E33,$B$5:$B$8)</f>
        <v>0.15191668178250767</v>
      </c>
      <c r="I33" s="11" cm="1">
        <f t="array" ref="I33">MMULT(MMULT(B33:E33,$C$5:$F$8),TRANSPOSE(B33:E33))</f>
        <v>5.7600339686485293E-2</v>
      </c>
      <c r="J33" s="9">
        <f t="shared" si="3"/>
        <v>0.24000070767913434</v>
      </c>
    </row>
    <row r="34" spans="1:10" x14ac:dyDescent="0.3">
      <c r="A34" s="12">
        <v>0.3</v>
      </c>
      <c r="B34" s="9">
        <f t="shared" si="1"/>
        <v>0.16467608186137397</v>
      </c>
      <c r="C34" s="9">
        <f t="shared" si="1"/>
        <v>0.20449976308452988</v>
      </c>
      <c r="D34" s="9">
        <f t="shared" si="1"/>
        <v>0.40328912468934192</v>
      </c>
      <c r="E34" s="9">
        <f t="shared" si="1"/>
        <v>0.22753503036475425</v>
      </c>
      <c r="F34" s="9">
        <f t="shared" si="2"/>
        <v>1</v>
      </c>
      <c r="H34" s="8" cm="1">
        <f t="array" ref="H34">MMULT(B34:E34,$B$5:$B$8)</f>
        <v>0.13917714910492299</v>
      </c>
      <c r="I34" s="11" cm="1">
        <f t="array" ref="I34">MMULT(MMULT(B34:E34,$C$5:$F$8),TRANSPOSE(B34:E34))</f>
        <v>4.4100312041603348E-2</v>
      </c>
      <c r="J34" s="9">
        <f t="shared" si="3"/>
        <v>0.21000074295488422</v>
      </c>
    </row>
    <row r="35" spans="1:10" x14ac:dyDescent="0.3">
      <c r="A35" s="12">
        <v>0.4</v>
      </c>
      <c r="B35" s="9">
        <f t="shared" si="1"/>
        <v>0.14115100152159166</v>
      </c>
      <c r="C35" s="9">
        <f t="shared" si="1"/>
        <v>0.17528562740939144</v>
      </c>
      <c r="D35" s="9">
        <f t="shared" si="1"/>
        <v>0.34567669073546381</v>
      </c>
      <c r="E35" s="9">
        <f t="shared" si="1"/>
        <v>0.33788668033355324</v>
      </c>
      <c r="F35" s="9">
        <f t="shared" si="2"/>
        <v>1.0000000000000002</v>
      </c>
      <c r="H35" s="8" cm="1">
        <f t="array" ref="H35">MMULT(B35:E35,$B$5:$B$8)</f>
        <v>0.12643761642733831</v>
      </c>
      <c r="I35" s="11" cm="1">
        <f t="array" ref="I35">MMULT(MMULT(B35:E35,$C$5:$F$8),TRANSPOSE(B35:E35))</f>
        <v>3.2400280163634228E-2</v>
      </c>
      <c r="J35" s="9">
        <f t="shared" si="3"/>
        <v>0.18000077823063496</v>
      </c>
    </row>
    <row r="36" spans="1:10" x14ac:dyDescent="0.3">
      <c r="A36" s="12">
        <v>0.5</v>
      </c>
      <c r="B36" s="9">
        <f t="shared" si="1"/>
        <v>0.11762592118180933</v>
      </c>
      <c r="C36" s="9">
        <f t="shared" si="1"/>
        <v>0.14607149173425305</v>
      </c>
      <c r="D36" s="9">
        <f t="shared" si="1"/>
        <v>0.28806425678158565</v>
      </c>
      <c r="E36" s="9">
        <f t="shared" si="1"/>
        <v>0.44823833030235211</v>
      </c>
      <c r="F36" s="9">
        <f t="shared" si="2"/>
        <v>1</v>
      </c>
      <c r="H36" s="8" cm="1">
        <f t="array" ref="H36">MMULT(B36:E36,$B$5:$B$8)</f>
        <v>0.11369808374975363</v>
      </c>
      <c r="I36" s="11" cm="1">
        <f t="array" ref="I36">MMULT(MMULT(B36:E36,$C$5:$F$8),TRANSPOSE(B36:E36))</f>
        <v>2.250024405257791E-2</v>
      </c>
      <c r="J36" s="9">
        <f t="shared" si="3"/>
        <v>0.15000081350638705</v>
      </c>
    </row>
    <row r="37" spans="1:10" x14ac:dyDescent="0.3">
      <c r="A37" s="12">
        <v>0.6</v>
      </c>
      <c r="B37" s="9">
        <f t="shared" si="1"/>
        <v>9.4100840842027023E-2</v>
      </c>
      <c r="C37" s="9">
        <f t="shared" si="1"/>
        <v>0.11685735605911461</v>
      </c>
      <c r="D37" s="9">
        <f t="shared" si="1"/>
        <v>0.23045182282770751</v>
      </c>
      <c r="E37" s="9">
        <f t="shared" si="1"/>
        <v>0.55858998027115092</v>
      </c>
      <c r="F37" s="9">
        <f t="shared" si="2"/>
        <v>1</v>
      </c>
      <c r="H37" s="8" cm="1">
        <f t="array" ref="H37">MMULT(B37:E37,$B$5:$B$8)</f>
        <v>0.10095855107216894</v>
      </c>
      <c r="I37" s="11" cm="1">
        <f t="array" ref="I37">MMULT(MMULT(B37:E37,$C$5:$F$8),TRANSPOSE(B37:E37))</f>
        <v>1.4400203708434412E-2</v>
      </c>
      <c r="J37" s="9">
        <f t="shared" si="3"/>
        <v>0.12000084878214158</v>
      </c>
    </row>
    <row r="38" spans="1:10" x14ac:dyDescent="0.3">
      <c r="A38" s="12">
        <v>0.7</v>
      </c>
      <c r="B38" s="9">
        <f t="shared" si="1"/>
        <v>7.0575760502244692E-2</v>
      </c>
      <c r="C38" s="9">
        <f t="shared" si="1"/>
        <v>8.7643220383976206E-2</v>
      </c>
      <c r="D38" s="9">
        <f t="shared" si="1"/>
        <v>0.17283938887382941</v>
      </c>
      <c r="E38" s="9">
        <f t="shared" si="1"/>
        <v>0.66894163023994979</v>
      </c>
      <c r="F38" s="9">
        <f t="shared" si="2"/>
        <v>1</v>
      </c>
      <c r="H38" s="8" cm="1">
        <f t="array" ref="H38">MMULT(B38:E38,$B$5:$B$8)</f>
        <v>8.8219018394584264E-2</v>
      </c>
      <c r="I38" s="11" cm="1">
        <f t="array" ref="I38">MMULT(MMULT(B38:E38,$C$5:$F$8),TRANSPOSE(B38:E38))</f>
        <v>8.100159131203731E-3</v>
      </c>
      <c r="J38" s="9">
        <f t="shared" si="3"/>
        <v>9.0000884057900965E-2</v>
      </c>
    </row>
    <row r="39" spans="1:10" x14ac:dyDescent="0.3">
      <c r="A39" s="12">
        <v>0.8</v>
      </c>
      <c r="B39" s="9">
        <f t="shared" si="1"/>
        <v>4.7050680162462347E-2</v>
      </c>
      <c r="C39" s="9">
        <f t="shared" si="1"/>
        <v>5.8429084708837752E-2</v>
      </c>
      <c r="D39" s="9">
        <f t="shared" si="1"/>
        <v>0.11522695491995123</v>
      </c>
      <c r="E39" s="9">
        <f t="shared" si="1"/>
        <v>0.77929328020874888</v>
      </c>
      <c r="F39" s="9">
        <f t="shared" si="2"/>
        <v>1.0000000000000002</v>
      </c>
      <c r="H39" s="8" cm="1">
        <f t="array" ref="H39">MMULT(B39:E39,$B$5:$B$8)</f>
        <v>7.5479485716999584E-2</v>
      </c>
      <c r="I39" s="11" cm="1">
        <f t="array" ref="I39">MMULT(MMULT(B39:E39,$C$5:$F$8),TRANSPOSE(B39:E39))</f>
        <v>3.6001103208858597E-3</v>
      </c>
      <c r="J39" s="9">
        <f t="shared" si="3"/>
        <v>6.0000919333672374E-2</v>
      </c>
    </row>
    <row r="40" spans="1:10" x14ac:dyDescent="0.3">
      <c r="A40" s="12">
        <v>0.9</v>
      </c>
      <c r="B40" s="9">
        <f t="shared" si="1"/>
        <v>2.3525599822680026E-2</v>
      </c>
      <c r="C40" s="9">
        <f t="shared" si="1"/>
        <v>2.9214949033699339E-2</v>
      </c>
      <c r="D40" s="9">
        <f t="shared" si="1"/>
        <v>5.7614520966073106E-2</v>
      </c>
      <c r="E40" s="9">
        <f t="shared" si="1"/>
        <v>0.88964493017754775</v>
      </c>
      <c r="F40" s="9">
        <f t="shared" si="2"/>
        <v>1.0000000000000002</v>
      </c>
      <c r="H40" s="8" cm="1">
        <f t="array" ref="H40">MMULT(B40:E40,$B$5:$B$8)</f>
        <v>6.2739953039414917E-2</v>
      </c>
      <c r="I40" s="11" cm="1">
        <f t="array" ref="I40">MMULT(MMULT(B40:E40,$C$5:$F$8),TRANSPOSE(B40:E40))</f>
        <v>9.0005727748080798E-4</v>
      </c>
      <c r="J40" s="9">
        <f t="shared" si="3"/>
        <v>3.0000954609492144E-2</v>
      </c>
    </row>
    <row r="41" spans="1:10" x14ac:dyDescent="0.3">
      <c r="A41" s="12">
        <v>1</v>
      </c>
      <c r="B41" s="9">
        <f t="shared" si="1"/>
        <v>5.1948289770676341E-7</v>
      </c>
      <c r="C41" s="9">
        <f t="shared" si="1"/>
        <v>8.1335856092134224E-7</v>
      </c>
      <c r="D41" s="9">
        <f t="shared" si="1"/>
        <v>2.0870121949809828E-6</v>
      </c>
      <c r="E41" s="9">
        <f t="shared" si="1"/>
        <v>0.99999658014634663</v>
      </c>
      <c r="F41" s="9">
        <f t="shared" si="2"/>
        <v>1.0000000000000002</v>
      </c>
      <c r="H41" s="8" cm="1">
        <f t="array" ref="H41">MMULT(B41:E41,$B$5:$B$8)</f>
        <v>5.0000420361830243E-2</v>
      </c>
      <c r="I41" s="11" cm="1">
        <f t="array" ref="I41">MMULT(MMULT(B41:E41,$C$5:$F$8),TRANSPOSE(B41:E41))</f>
        <v>9.8857087958070045E-13</v>
      </c>
      <c r="J41" s="9">
        <f t="shared" si="3"/>
        <v>9.9426901771135384E-7</v>
      </c>
    </row>
    <row r="42" spans="1:10" x14ac:dyDescent="0.3">
      <c r="A42" s="12"/>
      <c r="B42" s="9"/>
      <c r="C42" s="9"/>
      <c r="D42" s="9"/>
      <c r="E42" s="9"/>
      <c r="F42" s="9"/>
      <c r="H42" s="9"/>
      <c r="I42" s="9"/>
      <c r="J42" s="9"/>
    </row>
    <row r="43" spans="1:10" x14ac:dyDescent="0.3">
      <c r="A43" s="12"/>
      <c r="B43" s="9"/>
      <c r="C43" s="9"/>
      <c r="D43" s="9"/>
      <c r="E43" s="9"/>
      <c r="F43" s="9"/>
      <c r="H43" s="9"/>
      <c r="I43" s="9"/>
      <c r="J43" s="9"/>
    </row>
    <row r="44" spans="1:10" x14ac:dyDescent="0.3">
      <c r="A44" s="12"/>
      <c r="B44" s="9"/>
      <c r="C44" s="9"/>
      <c r="D44" s="9"/>
      <c r="E44" s="9"/>
      <c r="F44" s="9"/>
      <c r="H44" s="9"/>
      <c r="I44" s="9"/>
      <c r="J44" s="9"/>
    </row>
    <row r="45" spans="1:10" x14ac:dyDescent="0.3">
      <c r="A45" s="12"/>
      <c r="B45" s="9"/>
      <c r="C45" s="9"/>
      <c r="D45" s="9"/>
      <c r="E45" s="9"/>
      <c r="F45" s="9"/>
      <c r="H45" s="9"/>
      <c r="I45" s="9"/>
      <c r="J45" s="9"/>
    </row>
    <row r="46" spans="1:10" x14ac:dyDescent="0.3">
      <c r="A46" s="12"/>
      <c r="B46" s="9"/>
      <c r="C46" s="9"/>
      <c r="D46" s="9"/>
      <c r="E46" s="9"/>
      <c r="F46" s="9"/>
      <c r="H46" s="9"/>
      <c r="I46" s="9"/>
      <c r="J46" s="9"/>
    </row>
    <row r="47" spans="1:10" x14ac:dyDescent="0.3">
      <c r="A47" s="12"/>
      <c r="B47" s="9"/>
      <c r="C47" s="9"/>
      <c r="D47" s="9"/>
      <c r="E47" s="9"/>
      <c r="F47" s="9"/>
      <c r="H47" s="9"/>
      <c r="I47" s="9"/>
      <c r="J47" s="9"/>
    </row>
    <row r="48" spans="1:10" x14ac:dyDescent="0.3">
      <c r="A48" s="12"/>
      <c r="B48" s="9"/>
      <c r="C48" s="9"/>
      <c r="D48" s="9"/>
      <c r="E48" s="9"/>
      <c r="F48" s="9"/>
      <c r="H48" s="9"/>
      <c r="I48" s="9"/>
      <c r="J48" s="9"/>
    </row>
    <row r="49" spans="1:10" x14ac:dyDescent="0.3">
      <c r="A49" s="12"/>
      <c r="B49" s="9"/>
      <c r="C49" s="9"/>
      <c r="D49" s="9"/>
      <c r="E49" s="9"/>
      <c r="F49" s="9"/>
      <c r="H49" s="9"/>
      <c r="I49" s="9"/>
      <c r="J49" s="9"/>
    </row>
    <row r="50" spans="1:10" x14ac:dyDescent="0.3">
      <c r="A50" s="12"/>
      <c r="B50" s="9"/>
      <c r="C50" s="9"/>
      <c r="D50" s="9"/>
      <c r="E50" s="9"/>
      <c r="F50" s="9"/>
      <c r="H50" s="9"/>
      <c r="I50" s="9"/>
      <c r="J50" s="9"/>
    </row>
    <row r="51" spans="1:10" x14ac:dyDescent="0.3">
      <c r="A51" s="12"/>
      <c r="B51" s="9"/>
      <c r="C51" s="9"/>
      <c r="D51" s="9"/>
      <c r="E51" s="9"/>
      <c r="F51" s="9"/>
      <c r="H51" s="9"/>
      <c r="I51" s="9"/>
      <c r="J51" s="9"/>
    </row>
    <row r="52" spans="1:10" x14ac:dyDescent="0.3">
      <c r="F52" s="9"/>
    </row>
    <row r="53" spans="1:10" x14ac:dyDescent="0.3">
      <c r="F53" s="9"/>
    </row>
  </sheetData>
  <mergeCells count="1">
    <mergeCell ref="C4:F4"/>
  </mergeCells>
  <phoneticPr fontId="7" type="noConversion"/>
  <printOptions gridLines="1" gridLinesSet="0"/>
  <pageMargins left="0.75" right="0.75" top="1" bottom="1" header="0.5" footer="0.5"/>
  <headerFooter alignWithMargins="0">
    <oddHeader>&amp;A</oddHeader>
    <oddFooter>&amp;P. oldal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4</vt:i4>
      </vt:variant>
    </vt:vector>
  </HeadingPairs>
  <TitlesOfParts>
    <vt:vector size="9" baseType="lpstr">
      <vt:lpstr>possible</vt:lpstr>
      <vt:lpstr>frontier</vt:lpstr>
      <vt:lpstr>frontier2</vt:lpstr>
      <vt:lpstr>efficient1</vt:lpstr>
      <vt:lpstr>efficient2</vt:lpstr>
      <vt:lpstr>ch_frontier</vt:lpstr>
      <vt:lpstr>ch_frontier2</vt:lpstr>
      <vt:lpstr>ch_efficient1</vt:lpstr>
      <vt:lpstr>ch_efficient2</vt:lpstr>
    </vt:vector>
  </TitlesOfParts>
  <Manager/>
  <Company>-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Dancs Ágnes</dc:creator>
  <cp:keywords/>
  <dc:description/>
  <cp:lastModifiedBy>Yusifzada Leyla</cp:lastModifiedBy>
  <cp:revision/>
  <dcterms:created xsi:type="dcterms:W3CDTF">2007-09-09T14:17:10Z</dcterms:created>
  <dcterms:modified xsi:type="dcterms:W3CDTF">2024-09-17T11:04:59Z</dcterms:modified>
  <cp:category/>
  <cp:contentStatus/>
</cp:coreProperties>
</file>