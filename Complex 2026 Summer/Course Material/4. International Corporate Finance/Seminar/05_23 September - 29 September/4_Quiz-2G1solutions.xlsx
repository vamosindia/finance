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unicorvinus-my.sharepoint.com/personal/leyla_yusifzada_uni-corvinus_hu/Documents/icf_2024/quiz/"/>
    </mc:Choice>
  </mc:AlternateContent>
  <xr:revisionPtr revIDLastSave="0" documentId="8_{8D987A63-4692-4E49-AA75-F99A2D83738F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Instructions" sheetId="4" r:id="rId1"/>
    <sheet name="q1" sheetId="5" r:id="rId2"/>
    <sheet name="q2&amp;3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8" l="1" a="1"/>
  <c r="M29" i="8" s="1"/>
  <c r="N29" i="8" s="1"/>
  <c r="N37" i="8"/>
  <c r="M37" i="8"/>
  <c r="L37" i="8"/>
  <c r="L29" i="8" a="1"/>
  <c r="L29" i="8" s="1"/>
  <c r="P5" i="8"/>
  <c r="O5" i="8"/>
  <c r="N5" i="8"/>
  <c r="M5" i="8"/>
  <c r="N4" i="8"/>
  <c r="O4" i="8"/>
  <c r="P4" i="8"/>
  <c r="M4" i="8"/>
  <c r="J758" i="8"/>
  <c r="I758" i="8"/>
  <c r="H758" i="8"/>
  <c r="G758" i="8"/>
  <c r="J757" i="8"/>
  <c r="I757" i="8"/>
  <c r="H757" i="8"/>
  <c r="G757" i="8"/>
  <c r="J756" i="8"/>
  <c r="I756" i="8"/>
  <c r="H756" i="8"/>
  <c r="G756" i="8"/>
  <c r="J755" i="8"/>
  <c r="I755" i="8"/>
  <c r="H755" i="8"/>
  <c r="G755" i="8"/>
  <c r="J754" i="8"/>
  <c r="I754" i="8"/>
  <c r="H754" i="8"/>
  <c r="G754" i="8"/>
  <c r="J753" i="8"/>
  <c r="I753" i="8"/>
  <c r="H753" i="8"/>
  <c r="G753" i="8"/>
  <c r="J752" i="8"/>
  <c r="I752" i="8"/>
  <c r="H752" i="8"/>
  <c r="G752" i="8"/>
  <c r="J751" i="8"/>
  <c r="I751" i="8"/>
  <c r="H751" i="8"/>
  <c r="G751" i="8"/>
  <c r="J750" i="8"/>
  <c r="I750" i="8"/>
  <c r="H750" i="8"/>
  <c r="G750" i="8"/>
  <c r="J749" i="8"/>
  <c r="I749" i="8"/>
  <c r="H749" i="8"/>
  <c r="G749" i="8"/>
  <c r="J748" i="8"/>
  <c r="I748" i="8"/>
  <c r="H748" i="8"/>
  <c r="G748" i="8"/>
  <c r="J747" i="8"/>
  <c r="I747" i="8"/>
  <c r="H747" i="8"/>
  <c r="G747" i="8"/>
  <c r="J746" i="8"/>
  <c r="I746" i="8"/>
  <c r="H746" i="8"/>
  <c r="G746" i="8"/>
  <c r="J745" i="8"/>
  <c r="I745" i="8"/>
  <c r="H745" i="8"/>
  <c r="G745" i="8"/>
  <c r="J744" i="8"/>
  <c r="I744" i="8"/>
  <c r="H744" i="8"/>
  <c r="G744" i="8"/>
  <c r="J743" i="8"/>
  <c r="I743" i="8"/>
  <c r="H743" i="8"/>
  <c r="G743" i="8"/>
  <c r="J742" i="8"/>
  <c r="I742" i="8"/>
  <c r="H742" i="8"/>
  <c r="G742" i="8"/>
  <c r="J741" i="8"/>
  <c r="I741" i="8"/>
  <c r="H741" i="8"/>
  <c r="G741" i="8"/>
  <c r="J740" i="8"/>
  <c r="I740" i="8"/>
  <c r="H740" i="8"/>
  <c r="G740" i="8"/>
  <c r="J739" i="8"/>
  <c r="I739" i="8"/>
  <c r="H739" i="8"/>
  <c r="G739" i="8"/>
  <c r="J738" i="8"/>
  <c r="I738" i="8"/>
  <c r="H738" i="8"/>
  <c r="G738" i="8"/>
  <c r="J737" i="8"/>
  <c r="I737" i="8"/>
  <c r="H737" i="8"/>
  <c r="G737" i="8"/>
  <c r="J736" i="8"/>
  <c r="I736" i="8"/>
  <c r="H736" i="8"/>
  <c r="G736" i="8"/>
  <c r="J735" i="8"/>
  <c r="I735" i="8"/>
  <c r="H735" i="8"/>
  <c r="G735" i="8"/>
  <c r="J734" i="8"/>
  <c r="I734" i="8"/>
  <c r="H734" i="8"/>
  <c r="G734" i="8"/>
  <c r="J733" i="8"/>
  <c r="I733" i="8"/>
  <c r="H733" i="8"/>
  <c r="G733" i="8"/>
  <c r="J732" i="8"/>
  <c r="I732" i="8"/>
  <c r="H732" i="8"/>
  <c r="G732" i="8"/>
  <c r="J731" i="8"/>
  <c r="I731" i="8"/>
  <c r="H731" i="8"/>
  <c r="G731" i="8"/>
  <c r="J730" i="8"/>
  <c r="I730" i="8"/>
  <c r="H730" i="8"/>
  <c r="G730" i="8"/>
  <c r="J729" i="8"/>
  <c r="I729" i="8"/>
  <c r="H729" i="8"/>
  <c r="G729" i="8"/>
  <c r="J728" i="8"/>
  <c r="I728" i="8"/>
  <c r="H728" i="8"/>
  <c r="G728" i="8"/>
  <c r="J727" i="8"/>
  <c r="I727" i="8"/>
  <c r="H727" i="8"/>
  <c r="G727" i="8"/>
  <c r="J726" i="8"/>
  <c r="I726" i="8"/>
  <c r="H726" i="8"/>
  <c r="G726" i="8"/>
  <c r="J725" i="8"/>
  <c r="I725" i="8"/>
  <c r="H725" i="8"/>
  <c r="G725" i="8"/>
  <c r="J724" i="8"/>
  <c r="I724" i="8"/>
  <c r="H724" i="8"/>
  <c r="G724" i="8"/>
  <c r="J723" i="8"/>
  <c r="I723" i="8"/>
  <c r="H723" i="8"/>
  <c r="G723" i="8"/>
  <c r="J722" i="8"/>
  <c r="I722" i="8"/>
  <c r="H722" i="8"/>
  <c r="G722" i="8"/>
  <c r="J721" i="8"/>
  <c r="I721" i="8"/>
  <c r="H721" i="8"/>
  <c r="G721" i="8"/>
  <c r="J720" i="8"/>
  <c r="I720" i="8"/>
  <c r="H720" i="8"/>
  <c r="G720" i="8"/>
  <c r="J719" i="8"/>
  <c r="I719" i="8"/>
  <c r="H719" i="8"/>
  <c r="G719" i="8"/>
  <c r="J718" i="8"/>
  <c r="I718" i="8"/>
  <c r="H718" i="8"/>
  <c r="G718" i="8"/>
  <c r="J717" i="8"/>
  <c r="I717" i="8"/>
  <c r="H717" i="8"/>
  <c r="G717" i="8"/>
  <c r="J716" i="8"/>
  <c r="I716" i="8"/>
  <c r="H716" i="8"/>
  <c r="G716" i="8"/>
  <c r="J715" i="8"/>
  <c r="I715" i="8"/>
  <c r="H715" i="8"/>
  <c r="G715" i="8"/>
  <c r="J714" i="8"/>
  <c r="I714" i="8"/>
  <c r="H714" i="8"/>
  <c r="G714" i="8"/>
  <c r="J713" i="8"/>
  <c r="I713" i="8"/>
  <c r="H713" i="8"/>
  <c r="G713" i="8"/>
  <c r="J712" i="8"/>
  <c r="I712" i="8"/>
  <c r="H712" i="8"/>
  <c r="G712" i="8"/>
  <c r="J711" i="8"/>
  <c r="I711" i="8"/>
  <c r="H711" i="8"/>
  <c r="G711" i="8"/>
  <c r="J710" i="8"/>
  <c r="I710" i="8"/>
  <c r="H710" i="8"/>
  <c r="G710" i="8"/>
  <c r="J709" i="8"/>
  <c r="I709" i="8"/>
  <c r="H709" i="8"/>
  <c r="G709" i="8"/>
  <c r="J708" i="8"/>
  <c r="I708" i="8"/>
  <c r="H708" i="8"/>
  <c r="G708" i="8"/>
  <c r="J707" i="8"/>
  <c r="I707" i="8"/>
  <c r="H707" i="8"/>
  <c r="G707" i="8"/>
  <c r="J706" i="8"/>
  <c r="I706" i="8"/>
  <c r="H706" i="8"/>
  <c r="G706" i="8"/>
  <c r="J705" i="8"/>
  <c r="I705" i="8"/>
  <c r="H705" i="8"/>
  <c r="G705" i="8"/>
  <c r="J704" i="8"/>
  <c r="I704" i="8"/>
  <c r="H704" i="8"/>
  <c r="G704" i="8"/>
  <c r="J703" i="8"/>
  <c r="I703" i="8"/>
  <c r="H703" i="8"/>
  <c r="G703" i="8"/>
  <c r="J702" i="8"/>
  <c r="I702" i="8"/>
  <c r="H702" i="8"/>
  <c r="G702" i="8"/>
  <c r="J701" i="8"/>
  <c r="I701" i="8"/>
  <c r="H701" i="8"/>
  <c r="G701" i="8"/>
  <c r="J700" i="8"/>
  <c r="I700" i="8"/>
  <c r="H700" i="8"/>
  <c r="G700" i="8"/>
  <c r="J699" i="8"/>
  <c r="I699" i="8"/>
  <c r="H699" i="8"/>
  <c r="G699" i="8"/>
  <c r="J698" i="8"/>
  <c r="I698" i="8"/>
  <c r="H698" i="8"/>
  <c r="G698" i="8"/>
  <c r="J697" i="8"/>
  <c r="I697" i="8"/>
  <c r="H697" i="8"/>
  <c r="G697" i="8"/>
  <c r="J696" i="8"/>
  <c r="I696" i="8"/>
  <c r="H696" i="8"/>
  <c r="G696" i="8"/>
  <c r="J695" i="8"/>
  <c r="I695" i="8"/>
  <c r="H695" i="8"/>
  <c r="G695" i="8"/>
  <c r="J694" i="8"/>
  <c r="I694" i="8"/>
  <c r="H694" i="8"/>
  <c r="G694" i="8"/>
  <c r="J693" i="8"/>
  <c r="I693" i="8"/>
  <c r="H693" i="8"/>
  <c r="G693" i="8"/>
  <c r="J692" i="8"/>
  <c r="I692" i="8"/>
  <c r="H692" i="8"/>
  <c r="G692" i="8"/>
  <c r="J691" i="8"/>
  <c r="I691" i="8"/>
  <c r="H691" i="8"/>
  <c r="G691" i="8"/>
  <c r="J690" i="8"/>
  <c r="I690" i="8"/>
  <c r="H690" i="8"/>
  <c r="G690" i="8"/>
  <c r="J689" i="8"/>
  <c r="I689" i="8"/>
  <c r="H689" i="8"/>
  <c r="G689" i="8"/>
  <c r="J688" i="8"/>
  <c r="I688" i="8"/>
  <c r="H688" i="8"/>
  <c r="G688" i="8"/>
  <c r="J687" i="8"/>
  <c r="I687" i="8"/>
  <c r="H687" i="8"/>
  <c r="G687" i="8"/>
  <c r="J686" i="8"/>
  <c r="I686" i="8"/>
  <c r="H686" i="8"/>
  <c r="G686" i="8"/>
  <c r="J685" i="8"/>
  <c r="I685" i="8"/>
  <c r="H685" i="8"/>
  <c r="G685" i="8"/>
  <c r="J684" i="8"/>
  <c r="I684" i="8"/>
  <c r="H684" i="8"/>
  <c r="G684" i="8"/>
  <c r="J683" i="8"/>
  <c r="I683" i="8"/>
  <c r="H683" i="8"/>
  <c r="G683" i="8"/>
  <c r="J682" i="8"/>
  <c r="I682" i="8"/>
  <c r="H682" i="8"/>
  <c r="G682" i="8"/>
  <c r="J681" i="8"/>
  <c r="I681" i="8"/>
  <c r="H681" i="8"/>
  <c r="G681" i="8"/>
  <c r="J680" i="8"/>
  <c r="I680" i="8"/>
  <c r="H680" i="8"/>
  <c r="G680" i="8"/>
  <c r="J679" i="8"/>
  <c r="I679" i="8"/>
  <c r="H679" i="8"/>
  <c r="G679" i="8"/>
  <c r="J678" i="8"/>
  <c r="I678" i="8"/>
  <c r="H678" i="8"/>
  <c r="G678" i="8"/>
  <c r="J677" i="8"/>
  <c r="I677" i="8"/>
  <c r="H677" i="8"/>
  <c r="G677" i="8"/>
  <c r="J676" i="8"/>
  <c r="I676" i="8"/>
  <c r="H676" i="8"/>
  <c r="G676" i="8"/>
  <c r="J675" i="8"/>
  <c r="I675" i="8"/>
  <c r="H675" i="8"/>
  <c r="G675" i="8"/>
  <c r="J674" i="8"/>
  <c r="I674" i="8"/>
  <c r="H674" i="8"/>
  <c r="G674" i="8"/>
  <c r="J673" i="8"/>
  <c r="I673" i="8"/>
  <c r="H673" i="8"/>
  <c r="G673" i="8"/>
  <c r="J672" i="8"/>
  <c r="I672" i="8"/>
  <c r="H672" i="8"/>
  <c r="G672" i="8"/>
  <c r="J671" i="8"/>
  <c r="I671" i="8"/>
  <c r="H671" i="8"/>
  <c r="G671" i="8"/>
  <c r="J670" i="8"/>
  <c r="I670" i="8"/>
  <c r="H670" i="8"/>
  <c r="G670" i="8"/>
  <c r="J669" i="8"/>
  <c r="I669" i="8"/>
  <c r="H669" i="8"/>
  <c r="G669" i="8"/>
  <c r="J668" i="8"/>
  <c r="I668" i="8"/>
  <c r="H668" i="8"/>
  <c r="G668" i="8"/>
  <c r="J667" i="8"/>
  <c r="I667" i="8"/>
  <c r="H667" i="8"/>
  <c r="G667" i="8"/>
  <c r="J666" i="8"/>
  <c r="I666" i="8"/>
  <c r="H666" i="8"/>
  <c r="G666" i="8"/>
  <c r="J665" i="8"/>
  <c r="I665" i="8"/>
  <c r="H665" i="8"/>
  <c r="G665" i="8"/>
  <c r="J664" i="8"/>
  <c r="I664" i="8"/>
  <c r="H664" i="8"/>
  <c r="G664" i="8"/>
  <c r="J663" i="8"/>
  <c r="I663" i="8"/>
  <c r="H663" i="8"/>
  <c r="G663" i="8"/>
  <c r="J662" i="8"/>
  <c r="I662" i="8"/>
  <c r="H662" i="8"/>
  <c r="G662" i="8"/>
  <c r="J661" i="8"/>
  <c r="I661" i="8"/>
  <c r="H661" i="8"/>
  <c r="G661" i="8"/>
  <c r="J660" i="8"/>
  <c r="I660" i="8"/>
  <c r="H660" i="8"/>
  <c r="G660" i="8"/>
  <c r="J659" i="8"/>
  <c r="I659" i="8"/>
  <c r="H659" i="8"/>
  <c r="G659" i="8"/>
  <c r="J658" i="8"/>
  <c r="I658" i="8"/>
  <c r="H658" i="8"/>
  <c r="G658" i="8"/>
  <c r="J657" i="8"/>
  <c r="I657" i="8"/>
  <c r="H657" i="8"/>
  <c r="G657" i="8"/>
  <c r="J656" i="8"/>
  <c r="I656" i="8"/>
  <c r="H656" i="8"/>
  <c r="G656" i="8"/>
  <c r="J655" i="8"/>
  <c r="I655" i="8"/>
  <c r="H655" i="8"/>
  <c r="G655" i="8"/>
  <c r="J654" i="8"/>
  <c r="I654" i="8"/>
  <c r="H654" i="8"/>
  <c r="G654" i="8"/>
  <c r="J653" i="8"/>
  <c r="I653" i="8"/>
  <c r="H653" i="8"/>
  <c r="G653" i="8"/>
  <c r="J652" i="8"/>
  <c r="I652" i="8"/>
  <c r="H652" i="8"/>
  <c r="G652" i="8"/>
  <c r="J651" i="8"/>
  <c r="I651" i="8"/>
  <c r="H651" i="8"/>
  <c r="G651" i="8"/>
  <c r="J650" i="8"/>
  <c r="I650" i="8"/>
  <c r="H650" i="8"/>
  <c r="G650" i="8"/>
  <c r="J649" i="8"/>
  <c r="I649" i="8"/>
  <c r="H649" i="8"/>
  <c r="G649" i="8"/>
  <c r="J648" i="8"/>
  <c r="I648" i="8"/>
  <c r="H648" i="8"/>
  <c r="G648" i="8"/>
  <c r="J647" i="8"/>
  <c r="I647" i="8"/>
  <c r="H647" i="8"/>
  <c r="G647" i="8"/>
  <c r="J646" i="8"/>
  <c r="I646" i="8"/>
  <c r="H646" i="8"/>
  <c r="G646" i="8"/>
  <c r="J645" i="8"/>
  <c r="I645" i="8"/>
  <c r="H645" i="8"/>
  <c r="G645" i="8"/>
  <c r="J644" i="8"/>
  <c r="I644" i="8"/>
  <c r="H644" i="8"/>
  <c r="G644" i="8"/>
  <c r="J643" i="8"/>
  <c r="I643" i="8"/>
  <c r="H643" i="8"/>
  <c r="G643" i="8"/>
  <c r="J642" i="8"/>
  <c r="I642" i="8"/>
  <c r="H642" i="8"/>
  <c r="G642" i="8"/>
  <c r="J641" i="8"/>
  <c r="I641" i="8"/>
  <c r="H641" i="8"/>
  <c r="G641" i="8"/>
  <c r="J640" i="8"/>
  <c r="I640" i="8"/>
  <c r="H640" i="8"/>
  <c r="G640" i="8"/>
  <c r="J639" i="8"/>
  <c r="I639" i="8"/>
  <c r="H639" i="8"/>
  <c r="G639" i="8"/>
  <c r="J638" i="8"/>
  <c r="I638" i="8"/>
  <c r="H638" i="8"/>
  <c r="G638" i="8"/>
  <c r="J637" i="8"/>
  <c r="I637" i="8"/>
  <c r="H637" i="8"/>
  <c r="G637" i="8"/>
  <c r="J636" i="8"/>
  <c r="I636" i="8"/>
  <c r="H636" i="8"/>
  <c r="G636" i="8"/>
  <c r="J635" i="8"/>
  <c r="I635" i="8"/>
  <c r="H635" i="8"/>
  <c r="G635" i="8"/>
  <c r="J634" i="8"/>
  <c r="I634" i="8"/>
  <c r="H634" i="8"/>
  <c r="G634" i="8"/>
  <c r="J633" i="8"/>
  <c r="I633" i="8"/>
  <c r="H633" i="8"/>
  <c r="G633" i="8"/>
  <c r="J632" i="8"/>
  <c r="I632" i="8"/>
  <c r="H632" i="8"/>
  <c r="G632" i="8"/>
  <c r="J631" i="8"/>
  <c r="I631" i="8"/>
  <c r="H631" i="8"/>
  <c r="G631" i="8"/>
  <c r="J630" i="8"/>
  <c r="I630" i="8"/>
  <c r="H630" i="8"/>
  <c r="G630" i="8"/>
  <c r="J629" i="8"/>
  <c r="I629" i="8"/>
  <c r="H629" i="8"/>
  <c r="G629" i="8"/>
  <c r="J628" i="8"/>
  <c r="I628" i="8"/>
  <c r="H628" i="8"/>
  <c r="G628" i="8"/>
  <c r="J627" i="8"/>
  <c r="I627" i="8"/>
  <c r="H627" i="8"/>
  <c r="G627" i="8"/>
  <c r="J626" i="8"/>
  <c r="I626" i="8"/>
  <c r="H626" i="8"/>
  <c r="G626" i="8"/>
  <c r="J625" i="8"/>
  <c r="I625" i="8"/>
  <c r="H625" i="8"/>
  <c r="G625" i="8"/>
  <c r="J624" i="8"/>
  <c r="I624" i="8"/>
  <c r="H624" i="8"/>
  <c r="G624" i="8"/>
  <c r="J623" i="8"/>
  <c r="I623" i="8"/>
  <c r="H623" i="8"/>
  <c r="G623" i="8"/>
  <c r="J622" i="8"/>
  <c r="I622" i="8"/>
  <c r="H622" i="8"/>
  <c r="G622" i="8"/>
  <c r="J621" i="8"/>
  <c r="I621" i="8"/>
  <c r="H621" i="8"/>
  <c r="G621" i="8"/>
  <c r="J620" i="8"/>
  <c r="I620" i="8"/>
  <c r="H620" i="8"/>
  <c r="G620" i="8"/>
  <c r="J619" i="8"/>
  <c r="I619" i="8"/>
  <c r="H619" i="8"/>
  <c r="G619" i="8"/>
  <c r="J618" i="8"/>
  <c r="I618" i="8"/>
  <c r="H618" i="8"/>
  <c r="G618" i="8"/>
  <c r="J617" i="8"/>
  <c r="I617" i="8"/>
  <c r="H617" i="8"/>
  <c r="G617" i="8"/>
  <c r="J616" i="8"/>
  <c r="I616" i="8"/>
  <c r="H616" i="8"/>
  <c r="G616" i="8"/>
  <c r="J615" i="8"/>
  <c r="I615" i="8"/>
  <c r="H615" i="8"/>
  <c r="G615" i="8"/>
  <c r="J614" i="8"/>
  <c r="I614" i="8"/>
  <c r="H614" i="8"/>
  <c r="G614" i="8"/>
  <c r="J613" i="8"/>
  <c r="I613" i="8"/>
  <c r="H613" i="8"/>
  <c r="G613" i="8"/>
  <c r="J612" i="8"/>
  <c r="I612" i="8"/>
  <c r="H612" i="8"/>
  <c r="G612" i="8"/>
  <c r="J611" i="8"/>
  <c r="I611" i="8"/>
  <c r="H611" i="8"/>
  <c r="G611" i="8"/>
  <c r="J610" i="8"/>
  <c r="I610" i="8"/>
  <c r="H610" i="8"/>
  <c r="G610" i="8"/>
  <c r="J609" i="8"/>
  <c r="I609" i="8"/>
  <c r="H609" i="8"/>
  <c r="G609" i="8"/>
  <c r="J608" i="8"/>
  <c r="I608" i="8"/>
  <c r="H608" i="8"/>
  <c r="G608" i="8"/>
  <c r="J607" i="8"/>
  <c r="I607" i="8"/>
  <c r="H607" i="8"/>
  <c r="G607" i="8"/>
  <c r="J606" i="8"/>
  <c r="I606" i="8"/>
  <c r="H606" i="8"/>
  <c r="G606" i="8"/>
  <c r="J605" i="8"/>
  <c r="I605" i="8"/>
  <c r="H605" i="8"/>
  <c r="G605" i="8"/>
  <c r="J604" i="8"/>
  <c r="I604" i="8"/>
  <c r="H604" i="8"/>
  <c r="G604" i="8"/>
  <c r="J603" i="8"/>
  <c r="I603" i="8"/>
  <c r="H603" i="8"/>
  <c r="G603" i="8"/>
  <c r="J602" i="8"/>
  <c r="I602" i="8"/>
  <c r="H602" i="8"/>
  <c r="G602" i="8"/>
  <c r="J601" i="8"/>
  <c r="I601" i="8"/>
  <c r="H601" i="8"/>
  <c r="G601" i="8"/>
  <c r="J600" i="8"/>
  <c r="I600" i="8"/>
  <c r="H600" i="8"/>
  <c r="G600" i="8"/>
  <c r="J599" i="8"/>
  <c r="I599" i="8"/>
  <c r="H599" i="8"/>
  <c r="G599" i="8"/>
  <c r="J598" i="8"/>
  <c r="I598" i="8"/>
  <c r="H598" i="8"/>
  <c r="G598" i="8"/>
  <c r="J597" i="8"/>
  <c r="I597" i="8"/>
  <c r="H597" i="8"/>
  <c r="G597" i="8"/>
  <c r="J596" i="8"/>
  <c r="I596" i="8"/>
  <c r="H596" i="8"/>
  <c r="G596" i="8"/>
  <c r="J595" i="8"/>
  <c r="I595" i="8"/>
  <c r="H595" i="8"/>
  <c r="G595" i="8"/>
  <c r="J594" i="8"/>
  <c r="I594" i="8"/>
  <c r="H594" i="8"/>
  <c r="G594" i="8"/>
  <c r="J593" i="8"/>
  <c r="I593" i="8"/>
  <c r="H593" i="8"/>
  <c r="G593" i="8"/>
  <c r="J592" i="8"/>
  <c r="I592" i="8"/>
  <c r="H592" i="8"/>
  <c r="G592" i="8"/>
  <c r="J591" i="8"/>
  <c r="I591" i="8"/>
  <c r="H591" i="8"/>
  <c r="G591" i="8"/>
  <c r="J590" i="8"/>
  <c r="I590" i="8"/>
  <c r="H590" i="8"/>
  <c r="G590" i="8"/>
  <c r="J589" i="8"/>
  <c r="I589" i="8"/>
  <c r="H589" i="8"/>
  <c r="G589" i="8"/>
  <c r="J588" i="8"/>
  <c r="I588" i="8"/>
  <c r="H588" i="8"/>
  <c r="G588" i="8"/>
  <c r="J587" i="8"/>
  <c r="I587" i="8"/>
  <c r="H587" i="8"/>
  <c r="G587" i="8"/>
  <c r="J586" i="8"/>
  <c r="I586" i="8"/>
  <c r="H586" i="8"/>
  <c r="G586" i="8"/>
  <c r="J585" i="8"/>
  <c r="I585" i="8"/>
  <c r="H585" i="8"/>
  <c r="G585" i="8"/>
  <c r="J584" i="8"/>
  <c r="I584" i="8"/>
  <c r="H584" i="8"/>
  <c r="G584" i="8"/>
  <c r="J583" i="8"/>
  <c r="I583" i="8"/>
  <c r="H583" i="8"/>
  <c r="G583" i="8"/>
  <c r="J582" i="8"/>
  <c r="I582" i="8"/>
  <c r="H582" i="8"/>
  <c r="G582" i="8"/>
  <c r="J581" i="8"/>
  <c r="I581" i="8"/>
  <c r="H581" i="8"/>
  <c r="G581" i="8"/>
  <c r="J580" i="8"/>
  <c r="I580" i="8"/>
  <c r="H580" i="8"/>
  <c r="G580" i="8"/>
  <c r="J579" i="8"/>
  <c r="I579" i="8"/>
  <c r="H579" i="8"/>
  <c r="G579" i="8"/>
  <c r="J578" i="8"/>
  <c r="I578" i="8"/>
  <c r="H578" i="8"/>
  <c r="G578" i="8"/>
  <c r="J577" i="8"/>
  <c r="I577" i="8"/>
  <c r="H577" i="8"/>
  <c r="G577" i="8"/>
  <c r="J576" i="8"/>
  <c r="I576" i="8"/>
  <c r="H576" i="8"/>
  <c r="G576" i="8"/>
  <c r="J575" i="8"/>
  <c r="I575" i="8"/>
  <c r="H575" i="8"/>
  <c r="G575" i="8"/>
  <c r="J574" i="8"/>
  <c r="I574" i="8"/>
  <c r="H574" i="8"/>
  <c r="G574" i="8"/>
  <c r="J573" i="8"/>
  <c r="I573" i="8"/>
  <c r="H573" i="8"/>
  <c r="G573" i="8"/>
  <c r="J572" i="8"/>
  <c r="I572" i="8"/>
  <c r="H572" i="8"/>
  <c r="G572" i="8"/>
  <c r="J571" i="8"/>
  <c r="I571" i="8"/>
  <c r="H571" i="8"/>
  <c r="G571" i="8"/>
  <c r="J570" i="8"/>
  <c r="I570" i="8"/>
  <c r="H570" i="8"/>
  <c r="G570" i="8"/>
  <c r="J569" i="8"/>
  <c r="I569" i="8"/>
  <c r="H569" i="8"/>
  <c r="G569" i="8"/>
  <c r="J568" i="8"/>
  <c r="I568" i="8"/>
  <c r="H568" i="8"/>
  <c r="G568" i="8"/>
  <c r="J567" i="8"/>
  <c r="I567" i="8"/>
  <c r="H567" i="8"/>
  <c r="G567" i="8"/>
  <c r="J566" i="8"/>
  <c r="I566" i="8"/>
  <c r="H566" i="8"/>
  <c r="G566" i="8"/>
  <c r="J565" i="8"/>
  <c r="I565" i="8"/>
  <c r="H565" i="8"/>
  <c r="G565" i="8"/>
  <c r="J564" i="8"/>
  <c r="I564" i="8"/>
  <c r="H564" i="8"/>
  <c r="G564" i="8"/>
  <c r="J563" i="8"/>
  <c r="I563" i="8"/>
  <c r="H563" i="8"/>
  <c r="G563" i="8"/>
  <c r="J562" i="8"/>
  <c r="I562" i="8"/>
  <c r="H562" i="8"/>
  <c r="G562" i="8"/>
  <c r="J561" i="8"/>
  <c r="I561" i="8"/>
  <c r="H561" i="8"/>
  <c r="G561" i="8"/>
  <c r="J560" i="8"/>
  <c r="I560" i="8"/>
  <c r="H560" i="8"/>
  <c r="G560" i="8"/>
  <c r="J559" i="8"/>
  <c r="I559" i="8"/>
  <c r="H559" i="8"/>
  <c r="G559" i="8"/>
  <c r="J558" i="8"/>
  <c r="I558" i="8"/>
  <c r="H558" i="8"/>
  <c r="G558" i="8"/>
  <c r="J557" i="8"/>
  <c r="I557" i="8"/>
  <c r="H557" i="8"/>
  <c r="G557" i="8"/>
  <c r="J556" i="8"/>
  <c r="I556" i="8"/>
  <c r="H556" i="8"/>
  <c r="G556" i="8"/>
  <c r="J555" i="8"/>
  <c r="I555" i="8"/>
  <c r="H555" i="8"/>
  <c r="G555" i="8"/>
  <c r="J554" i="8"/>
  <c r="I554" i="8"/>
  <c r="H554" i="8"/>
  <c r="G554" i="8"/>
  <c r="J553" i="8"/>
  <c r="I553" i="8"/>
  <c r="H553" i="8"/>
  <c r="G553" i="8"/>
  <c r="J552" i="8"/>
  <c r="I552" i="8"/>
  <c r="H552" i="8"/>
  <c r="G552" i="8"/>
  <c r="J551" i="8"/>
  <c r="I551" i="8"/>
  <c r="H551" i="8"/>
  <c r="G551" i="8"/>
  <c r="J550" i="8"/>
  <c r="I550" i="8"/>
  <c r="H550" i="8"/>
  <c r="G550" i="8"/>
  <c r="J549" i="8"/>
  <c r="I549" i="8"/>
  <c r="H549" i="8"/>
  <c r="G549" i="8"/>
  <c r="J548" i="8"/>
  <c r="I548" i="8"/>
  <c r="H548" i="8"/>
  <c r="G548" i="8"/>
  <c r="J547" i="8"/>
  <c r="I547" i="8"/>
  <c r="H547" i="8"/>
  <c r="G547" i="8"/>
  <c r="J546" i="8"/>
  <c r="I546" i="8"/>
  <c r="H546" i="8"/>
  <c r="G546" i="8"/>
  <c r="J545" i="8"/>
  <c r="I545" i="8"/>
  <c r="H545" i="8"/>
  <c r="G545" i="8"/>
  <c r="J544" i="8"/>
  <c r="I544" i="8"/>
  <c r="H544" i="8"/>
  <c r="G544" i="8"/>
  <c r="J543" i="8"/>
  <c r="I543" i="8"/>
  <c r="H543" i="8"/>
  <c r="G543" i="8"/>
  <c r="J542" i="8"/>
  <c r="I542" i="8"/>
  <c r="H542" i="8"/>
  <c r="G542" i="8"/>
  <c r="J541" i="8"/>
  <c r="I541" i="8"/>
  <c r="H541" i="8"/>
  <c r="G541" i="8"/>
  <c r="J540" i="8"/>
  <c r="I540" i="8"/>
  <c r="H540" i="8"/>
  <c r="G540" i="8"/>
  <c r="J539" i="8"/>
  <c r="I539" i="8"/>
  <c r="H539" i="8"/>
  <c r="G539" i="8"/>
  <c r="J538" i="8"/>
  <c r="I538" i="8"/>
  <c r="H538" i="8"/>
  <c r="G538" i="8"/>
  <c r="J537" i="8"/>
  <c r="I537" i="8"/>
  <c r="H537" i="8"/>
  <c r="G537" i="8"/>
  <c r="J536" i="8"/>
  <c r="I536" i="8"/>
  <c r="H536" i="8"/>
  <c r="G536" i="8"/>
  <c r="J535" i="8"/>
  <c r="I535" i="8"/>
  <c r="H535" i="8"/>
  <c r="G535" i="8"/>
  <c r="J534" i="8"/>
  <c r="I534" i="8"/>
  <c r="H534" i="8"/>
  <c r="G534" i="8"/>
  <c r="J533" i="8"/>
  <c r="I533" i="8"/>
  <c r="H533" i="8"/>
  <c r="G533" i="8"/>
  <c r="J532" i="8"/>
  <c r="I532" i="8"/>
  <c r="H532" i="8"/>
  <c r="G532" i="8"/>
  <c r="J531" i="8"/>
  <c r="I531" i="8"/>
  <c r="H531" i="8"/>
  <c r="G531" i="8"/>
  <c r="J530" i="8"/>
  <c r="I530" i="8"/>
  <c r="H530" i="8"/>
  <c r="G530" i="8"/>
  <c r="J529" i="8"/>
  <c r="I529" i="8"/>
  <c r="H529" i="8"/>
  <c r="G529" i="8"/>
  <c r="J528" i="8"/>
  <c r="I528" i="8"/>
  <c r="H528" i="8"/>
  <c r="G528" i="8"/>
  <c r="J527" i="8"/>
  <c r="I527" i="8"/>
  <c r="H527" i="8"/>
  <c r="G527" i="8"/>
  <c r="J526" i="8"/>
  <c r="I526" i="8"/>
  <c r="H526" i="8"/>
  <c r="G526" i="8"/>
  <c r="J525" i="8"/>
  <c r="I525" i="8"/>
  <c r="H525" i="8"/>
  <c r="G525" i="8"/>
  <c r="J524" i="8"/>
  <c r="I524" i="8"/>
  <c r="H524" i="8"/>
  <c r="G524" i="8"/>
  <c r="J523" i="8"/>
  <c r="I523" i="8"/>
  <c r="H523" i="8"/>
  <c r="G523" i="8"/>
  <c r="J522" i="8"/>
  <c r="I522" i="8"/>
  <c r="H522" i="8"/>
  <c r="G522" i="8"/>
  <c r="J521" i="8"/>
  <c r="I521" i="8"/>
  <c r="H521" i="8"/>
  <c r="G521" i="8"/>
  <c r="J520" i="8"/>
  <c r="I520" i="8"/>
  <c r="H520" i="8"/>
  <c r="G520" i="8"/>
  <c r="J519" i="8"/>
  <c r="I519" i="8"/>
  <c r="H519" i="8"/>
  <c r="G519" i="8"/>
  <c r="J518" i="8"/>
  <c r="I518" i="8"/>
  <c r="H518" i="8"/>
  <c r="G518" i="8"/>
  <c r="J517" i="8"/>
  <c r="I517" i="8"/>
  <c r="H517" i="8"/>
  <c r="G517" i="8"/>
  <c r="J516" i="8"/>
  <c r="I516" i="8"/>
  <c r="H516" i="8"/>
  <c r="G516" i="8"/>
  <c r="J515" i="8"/>
  <c r="I515" i="8"/>
  <c r="H515" i="8"/>
  <c r="G515" i="8"/>
  <c r="J514" i="8"/>
  <c r="I514" i="8"/>
  <c r="H514" i="8"/>
  <c r="G514" i="8"/>
  <c r="J513" i="8"/>
  <c r="I513" i="8"/>
  <c r="H513" i="8"/>
  <c r="G513" i="8"/>
  <c r="J512" i="8"/>
  <c r="I512" i="8"/>
  <c r="H512" i="8"/>
  <c r="G512" i="8"/>
  <c r="J511" i="8"/>
  <c r="I511" i="8"/>
  <c r="H511" i="8"/>
  <c r="G511" i="8"/>
  <c r="J510" i="8"/>
  <c r="I510" i="8"/>
  <c r="H510" i="8"/>
  <c r="G510" i="8"/>
  <c r="J509" i="8"/>
  <c r="I509" i="8"/>
  <c r="H509" i="8"/>
  <c r="G509" i="8"/>
  <c r="J508" i="8"/>
  <c r="I508" i="8"/>
  <c r="H508" i="8"/>
  <c r="G508" i="8"/>
  <c r="J507" i="8"/>
  <c r="I507" i="8"/>
  <c r="H507" i="8"/>
  <c r="G507" i="8"/>
  <c r="J506" i="8"/>
  <c r="I506" i="8"/>
  <c r="H506" i="8"/>
  <c r="G506" i="8"/>
  <c r="J505" i="8"/>
  <c r="I505" i="8"/>
  <c r="H505" i="8"/>
  <c r="G505" i="8"/>
  <c r="J504" i="8"/>
  <c r="I504" i="8"/>
  <c r="H504" i="8"/>
  <c r="G504" i="8"/>
  <c r="J503" i="8"/>
  <c r="I503" i="8"/>
  <c r="H503" i="8"/>
  <c r="G503" i="8"/>
  <c r="J502" i="8"/>
  <c r="I502" i="8"/>
  <c r="H502" i="8"/>
  <c r="G502" i="8"/>
  <c r="J501" i="8"/>
  <c r="I501" i="8"/>
  <c r="H501" i="8"/>
  <c r="G501" i="8"/>
  <c r="J500" i="8"/>
  <c r="I500" i="8"/>
  <c r="H500" i="8"/>
  <c r="G500" i="8"/>
  <c r="J499" i="8"/>
  <c r="I499" i="8"/>
  <c r="H499" i="8"/>
  <c r="G499" i="8"/>
  <c r="J498" i="8"/>
  <c r="I498" i="8"/>
  <c r="H498" i="8"/>
  <c r="G498" i="8"/>
  <c r="J497" i="8"/>
  <c r="I497" i="8"/>
  <c r="H497" i="8"/>
  <c r="G497" i="8"/>
  <c r="J496" i="8"/>
  <c r="I496" i="8"/>
  <c r="H496" i="8"/>
  <c r="G496" i="8"/>
  <c r="J495" i="8"/>
  <c r="I495" i="8"/>
  <c r="H495" i="8"/>
  <c r="G495" i="8"/>
  <c r="J494" i="8"/>
  <c r="I494" i="8"/>
  <c r="H494" i="8"/>
  <c r="G494" i="8"/>
  <c r="J493" i="8"/>
  <c r="I493" i="8"/>
  <c r="H493" i="8"/>
  <c r="G493" i="8"/>
  <c r="J492" i="8"/>
  <c r="I492" i="8"/>
  <c r="H492" i="8"/>
  <c r="G492" i="8"/>
  <c r="J491" i="8"/>
  <c r="I491" i="8"/>
  <c r="H491" i="8"/>
  <c r="G491" i="8"/>
  <c r="J490" i="8"/>
  <c r="I490" i="8"/>
  <c r="H490" i="8"/>
  <c r="G490" i="8"/>
  <c r="J489" i="8"/>
  <c r="I489" i="8"/>
  <c r="H489" i="8"/>
  <c r="G489" i="8"/>
  <c r="J488" i="8"/>
  <c r="I488" i="8"/>
  <c r="H488" i="8"/>
  <c r="G488" i="8"/>
  <c r="J487" i="8"/>
  <c r="I487" i="8"/>
  <c r="H487" i="8"/>
  <c r="G487" i="8"/>
  <c r="J486" i="8"/>
  <c r="I486" i="8"/>
  <c r="H486" i="8"/>
  <c r="G486" i="8"/>
  <c r="J485" i="8"/>
  <c r="I485" i="8"/>
  <c r="H485" i="8"/>
  <c r="G485" i="8"/>
  <c r="J484" i="8"/>
  <c r="I484" i="8"/>
  <c r="H484" i="8"/>
  <c r="G484" i="8"/>
  <c r="J483" i="8"/>
  <c r="I483" i="8"/>
  <c r="H483" i="8"/>
  <c r="G483" i="8"/>
  <c r="J482" i="8"/>
  <c r="I482" i="8"/>
  <c r="H482" i="8"/>
  <c r="G482" i="8"/>
  <c r="J481" i="8"/>
  <c r="I481" i="8"/>
  <c r="H481" i="8"/>
  <c r="G481" i="8"/>
  <c r="J480" i="8"/>
  <c r="I480" i="8"/>
  <c r="H480" i="8"/>
  <c r="G480" i="8"/>
  <c r="J479" i="8"/>
  <c r="I479" i="8"/>
  <c r="H479" i="8"/>
  <c r="G479" i="8"/>
  <c r="J478" i="8"/>
  <c r="I478" i="8"/>
  <c r="H478" i="8"/>
  <c r="G478" i="8"/>
  <c r="J477" i="8"/>
  <c r="I477" i="8"/>
  <c r="H477" i="8"/>
  <c r="G477" i="8"/>
  <c r="J476" i="8"/>
  <c r="I476" i="8"/>
  <c r="H476" i="8"/>
  <c r="G476" i="8"/>
  <c r="J475" i="8"/>
  <c r="I475" i="8"/>
  <c r="H475" i="8"/>
  <c r="G475" i="8"/>
  <c r="J474" i="8"/>
  <c r="I474" i="8"/>
  <c r="H474" i="8"/>
  <c r="G474" i="8"/>
  <c r="J473" i="8"/>
  <c r="I473" i="8"/>
  <c r="H473" i="8"/>
  <c r="G473" i="8"/>
  <c r="J472" i="8"/>
  <c r="I472" i="8"/>
  <c r="H472" i="8"/>
  <c r="G472" i="8"/>
  <c r="J471" i="8"/>
  <c r="I471" i="8"/>
  <c r="H471" i="8"/>
  <c r="G471" i="8"/>
  <c r="J470" i="8"/>
  <c r="I470" i="8"/>
  <c r="H470" i="8"/>
  <c r="G470" i="8"/>
  <c r="J469" i="8"/>
  <c r="I469" i="8"/>
  <c r="H469" i="8"/>
  <c r="G469" i="8"/>
  <c r="J468" i="8"/>
  <c r="I468" i="8"/>
  <c r="H468" i="8"/>
  <c r="G468" i="8"/>
  <c r="J467" i="8"/>
  <c r="I467" i="8"/>
  <c r="H467" i="8"/>
  <c r="G467" i="8"/>
  <c r="J466" i="8"/>
  <c r="I466" i="8"/>
  <c r="H466" i="8"/>
  <c r="G466" i="8"/>
  <c r="J465" i="8"/>
  <c r="I465" i="8"/>
  <c r="H465" i="8"/>
  <c r="G465" i="8"/>
  <c r="J464" i="8"/>
  <c r="I464" i="8"/>
  <c r="H464" i="8"/>
  <c r="G464" i="8"/>
  <c r="J463" i="8"/>
  <c r="I463" i="8"/>
  <c r="H463" i="8"/>
  <c r="G463" i="8"/>
  <c r="J462" i="8"/>
  <c r="I462" i="8"/>
  <c r="H462" i="8"/>
  <c r="G462" i="8"/>
  <c r="J461" i="8"/>
  <c r="I461" i="8"/>
  <c r="H461" i="8"/>
  <c r="G461" i="8"/>
  <c r="J460" i="8"/>
  <c r="I460" i="8"/>
  <c r="H460" i="8"/>
  <c r="G460" i="8"/>
  <c r="J459" i="8"/>
  <c r="I459" i="8"/>
  <c r="H459" i="8"/>
  <c r="G459" i="8"/>
  <c r="J458" i="8"/>
  <c r="I458" i="8"/>
  <c r="H458" i="8"/>
  <c r="G458" i="8"/>
  <c r="J457" i="8"/>
  <c r="I457" i="8"/>
  <c r="H457" i="8"/>
  <c r="G457" i="8"/>
  <c r="J456" i="8"/>
  <c r="I456" i="8"/>
  <c r="H456" i="8"/>
  <c r="G456" i="8"/>
  <c r="J455" i="8"/>
  <c r="I455" i="8"/>
  <c r="H455" i="8"/>
  <c r="G455" i="8"/>
  <c r="J454" i="8"/>
  <c r="I454" i="8"/>
  <c r="H454" i="8"/>
  <c r="G454" i="8"/>
  <c r="J453" i="8"/>
  <c r="I453" i="8"/>
  <c r="H453" i="8"/>
  <c r="G453" i="8"/>
  <c r="J452" i="8"/>
  <c r="I452" i="8"/>
  <c r="H452" i="8"/>
  <c r="G452" i="8"/>
  <c r="J451" i="8"/>
  <c r="I451" i="8"/>
  <c r="H451" i="8"/>
  <c r="G451" i="8"/>
  <c r="J450" i="8"/>
  <c r="I450" i="8"/>
  <c r="H450" i="8"/>
  <c r="G450" i="8"/>
  <c r="J449" i="8"/>
  <c r="I449" i="8"/>
  <c r="H449" i="8"/>
  <c r="G449" i="8"/>
  <c r="J448" i="8"/>
  <c r="I448" i="8"/>
  <c r="H448" i="8"/>
  <c r="G448" i="8"/>
  <c r="J447" i="8"/>
  <c r="I447" i="8"/>
  <c r="H447" i="8"/>
  <c r="G447" i="8"/>
  <c r="J446" i="8"/>
  <c r="I446" i="8"/>
  <c r="H446" i="8"/>
  <c r="G446" i="8"/>
  <c r="J445" i="8"/>
  <c r="I445" i="8"/>
  <c r="H445" i="8"/>
  <c r="G445" i="8"/>
  <c r="J444" i="8"/>
  <c r="I444" i="8"/>
  <c r="H444" i="8"/>
  <c r="G444" i="8"/>
  <c r="J443" i="8"/>
  <c r="I443" i="8"/>
  <c r="H443" i="8"/>
  <c r="G443" i="8"/>
  <c r="J442" i="8"/>
  <c r="I442" i="8"/>
  <c r="H442" i="8"/>
  <c r="G442" i="8"/>
  <c r="J441" i="8"/>
  <c r="I441" i="8"/>
  <c r="H441" i="8"/>
  <c r="G441" i="8"/>
  <c r="J440" i="8"/>
  <c r="I440" i="8"/>
  <c r="H440" i="8"/>
  <c r="G440" i="8"/>
  <c r="J439" i="8"/>
  <c r="I439" i="8"/>
  <c r="H439" i="8"/>
  <c r="G439" i="8"/>
  <c r="J438" i="8"/>
  <c r="I438" i="8"/>
  <c r="H438" i="8"/>
  <c r="G438" i="8"/>
  <c r="J437" i="8"/>
  <c r="I437" i="8"/>
  <c r="H437" i="8"/>
  <c r="G437" i="8"/>
  <c r="J436" i="8"/>
  <c r="I436" i="8"/>
  <c r="H436" i="8"/>
  <c r="G436" i="8"/>
  <c r="J435" i="8"/>
  <c r="I435" i="8"/>
  <c r="H435" i="8"/>
  <c r="G435" i="8"/>
  <c r="J434" i="8"/>
  <c r="I434" i="8"/>
  <c r="H434" i="8"/>
  <c r="G434" i="8"/>
  <c r="J433" i="8"/>
  <c r="I433" i="8"/>
  <c r="H433" i="8"/>
  <c r="G433" i="8"/>
  <c r="J432" i="8"/>
  <c r="I432" i="8"/>
  <c r="H432" i="8"/>
  <c r="G432" i="8"/>
  <c r="J431" i="8"/>
  <c r="I431" i="8"/>
  <c r="H431" i="8"/>
  <c r="G431" i="8"/>
  <c r="J430" i="8"/>
  <c r="I430" i="8"/>
  <c r="H430" i="8"/>
  <c r="G430" i="8"/>
  <c r="J429" i="8"/>
  <c r="I429" i="8"/>
  <c r="H429" i="8"/>
  <c r="G429" i="8"/>
  <c r="J428" i="8"/>
  <c r="I428" i="8"/>
  <c r="H428" i="8"/>
  <c r="G428" i="8"/>
  <c r="J427" i="8"/>
  <c r="I427" i="8"/>
  <c r="H427" i="8"/>
  <c r="G427" i="8"/>
  <c r="J426" i="8"/>
  <c r="I426" i="8"/>
  <c r="H426" i="8"/>
  <c r="G426" i="8"/>
  <c r="J425" i="8"/>
  <c r="I425" i="8"/>
  <c r="H425" i="8"/>
  <c r="G425" i="8"/>
  <c r="J424" i="8"/>
  <c r="I424" i="8"/>
  <c r="H424" i="8"/>
  <c r="G424" i="8"/>
  <c r="J423" i="8"/>
  <c r="I423" i="8"/>
  <c r="H423" i="8"/>
  <c r="G423" i="8"/>
  <c r="J422" i="8"/>
  <c r="I422" i="8"/>
  <c r="H422" i="8"/>
  <c r="G422" i="8"/>
  <c r="J421" i="8"/>
  <c r="I421" i="8"/>
  <c r="H421" i="8"/>
  <c r="G421" i="8"/>
  <c r="J420" i="8"/>
  <c r="I420" i="8"/>
  <c r="H420" i="8"/>
  <c r="G420" i="8"/>
  <c r="J419" i="8"/>
  <c r="I419" i="8"/>
  <c r="H419" i="8"/>
  <c r="G419" i="8"/>
  <c r="J418" i="8"/>
  <c r="I418" i="8"/>
  <c r="H418" i="8"/>
  <c r="G418" i="8"/>
  <c r="J417" i="8"/>
  <c r="I417" i="8"/>
  <c r="H417" i="8"/>
  <c r="G417" i="8"/>
  <c r="J416" i="8"/>
  <c r="I416" i="8"/>
  <c r="H416" i="8"/>
  <c r="G416" i="8"/>
  <c r="J415" i="8"/>
  <c r="I415" i="8"/>
  <c r="H415" i="8"/>
  <c r="G415" i="8"/>
  <c r="J414" i="8"/>
  <c r="I414" i="8"/>
  <c r="H414" i="8"/>
  <c r="G414" i="8"/>
  <c r="J413" i="8"/>
  <c r="I413" i="8"/>
  <c r="H413" i="8"/>
  <c r="G413" i="8"/>
  <c r="J412" i="8"/>
  <c r="I412" i="8"/>
  <c r="H412" i="8"/>
  <c r="G412" i="8"/>
  <c r="J411" i="8"/>
  <c r="I411" i="8"/>
  <c r="H411" i="8"/>
  <c r="G411" i="8"/>
  <c r="J410" i="8"/>
  <c r="I410" i="8"/>
  <c r="H410" i="8"/>
  <c r="G410" i="8"/>
  <c r="J409" i="8"/>
  <c r="I409" i="8"/>
  <c r="H409" i="8"/>
  <c r="G409" i="8"/>
  <c r="J408" i="8"/>
  <c r="I408" i="8"/>
  <c r="H408" i="8"/>
  <c r="G408" i="8"/>
  <c r="J407" i="8"/>
  <c r="I407" i="8"/>
  <c r="H407" i="8"/>
  <c r="G407" i="8"/>
  <c r="J406" i="8"/>
  <c r="I406" i="8"/>
  <c r="H406" i="8"/>
  <c r="G406" i="8"/>
  <c r="J405" i="8"/>
  <c r="I405" i="8"/>
  <c r="H405" i="8"/>
  <c r="G405" i="8"/>
  <c r="J404" i="8"/>
  <c r="I404" i="8"/>
  <c r="H404" i="8"/>
  <c r="G404" i="8"/>
  <c r="J403" i="8"/>
  <c r="I403" i="8"/>
  <c r="H403" i="8"/>
  <c r="G403" i="8"/>
  <c r="J402" i="8"/>
  <c r="I402" i="8"/>
  <c r="H402" i="8"/>
  <c r="G402" i="8"/>
  <c r="J401" i="8"/>
  <c r="I401" i="8"/>
  <c r="H401" i="8"/>
  <c r="G401" i="8"/>
  <c r="J400" i="8"/>
  <c r="I400" i="8"/>
  <c r="H400" i="8"/>
  <c r="G400" i="8"/>
  <c r="J399" i="8"/>
  <c r="I399" i="8"/>
  <c r="H399" i="8"/>
  <c r="G399" i="8"/>
  <c r="J398" i="8"/>
  <c r="I398" i="8"/>
  <c r="H398" i="8"/>
  <c r="G398" i="8"/>
  <c r="J397" i="8"/>
  <c r="I397" i="8"/>
  <c r="H397" i="8"/>
  <c r="G397" i="8"/>
  <c r="J396" i="8"/>
  <c r="I396" i="8"/>
  <c r="H396" i="8"/>
  <c r="G396" i="8"/>
  <c r="J395" i="8"/>
  <c r="I395" i="8"/>
  <c r="H395" i="8"/>
  <c r="G395" i="8"/>
  <c r="J394" i="8"/>
  <c r="I394" i="8"/>
  <c r="H394" i="8"/>
  <c r="G394" i="8"/>
  <c r="J393" i="8"/>
  <c r="I393" i="8"/>
  <c r="H393" i="8"/>
  <c r="G393" i="8"/>
  <c r="J392" i="8"/>
  <c r="I392" i="8"/>
  <c r="H392" i="8"/>
  <c r="G392" i="8"/>
  <c r="J391" i="8"/>
  <c r="I391" i="8"/>
  <c r="H391" i="8"/>
  <c r="G391" i="8"/>
  <c r="J390" i="8"/>
  <c r="I390" i="8"/>
  <c r="H390" i="8"/>
  <c r="G390" i="8"/>
  <c r="J389" i="8"/>
  <c r="I389" i="8"/>
  <c r="H389" i="8"/>
  <c r="G389" i="8"/>
  <c r="J388" i="8"/>
  <c r="I388" i="8"/>
  <c r="H388" i="8"/>
  <c r="G388" i="8"/>
  <c r="J387" i="8"/>
  <c r="I387" i="8"/>
  <c r="H387" i="8"/>
  <c r="G387" i="8"/>
  <c r="J386" i="8"/>
  <c r="I386" i="8"/>
  <c r="H386" i="8"/>
  <c r="G386" i="8"/>
  <c r="J385" i="8"/>
  <c r="I385" i="8"/>
  <c r="H385" i="8"/>
  <c r="G385" i="8"/>
  <c r="J384" i="8"/>
  <c r="I384" i="8"/>
  <c r="H384" i="8"/>
  <c r="G384" i="8"/>
  <c r="J383" i="8"/>
  <c r="I383" i="8"/>
  <c r="H383" i="8"/>
  <c r="G383" i="8"/>
  <c r="J382" i="8"/>
  <c r="I382" i="8"/>
  <c r="H382" i="8"/>
  <c r="G382" i="8"/>
  <c r="J381" i="8"/>
  <c r="I381" i="8"/>
  <c r="H381" i="8"/>
  <c r="G381" i="8"/>
  <c r="J380" i="8"/>
  <c r="I380" i="8"/>
  <c r="H380" i="8"/>
  <c r="G380" i="8"/>
  <c r="J379" i="8"/>
  <c r="I379" i="8"/>
  <c r="H379" i="8"/>
  <c r="G379" i="8"/>
  <c r="J378" i="8"/>
  <c r="I378" i="8"/>
  <c r="H378" i="8"/>
  <c r="G378" i="8"/>
  <c r="J377" i="8"/>
  <c r="I377" i="8"/>
  <c r="H377" i="8"/>
  <c r="G377" i="8"/>
  <c r="J376" i="8"/>
  <c r="I376" i="8"/>
  <c r="H376" i="8"/>
  <c r="G376" i="8"/>
  <c r="J375" i="8"/>
  <c r="I375" i="8"/>
  <c r="H375" i="8"/>
  <c r="G375" i="8"/>
  <c r="J374" i="8"/>
  <c r="I374" i="8"/>
  <c r="H374" i="8"/>
  <c r="G374" i="8"/>
  <c r="J373" i="8"/>
  <c r="I373" i="8"/>
  <c r="H373" i="8"/>
  <c r="G373" i="8"/>
  <c r="J372" i="8"/>
  <c r="I372" i="8"/>
  <c r="H372" i="8"/>
  <c r="G372" i="8"/>
  <c r="J371" i="8"/>
  <c r="I371" i="8"/>
  <c r="H371" i="8"/>
  <c r="G371" i="8"/>
  <c r="J370" i="8"/>
  <c r="I370" i="8"/>
  <c r="H370" i="8"/>
  <c r="G370" i="8"/>
  <c r="J369" i="8"/>
  <c r="I369" i="8"/>
  <c r="H369" i="8"/>
  <c r="G369" i="8"/>
  <c r="J368" i="8"/>
  <c r="I368" i="8"/>
  <c r="H368" i="8"/>
  <c r="G368" i="8"/>
  <c r="J367" i="8"/>
  <c r="I367" i="8"/>
  <c r="H367" i="8"/>
  <c r="G367" i="8"/>
  <c r="J366" i="8"/>
  <c r="I366" i="8"/>
  <c r="H366" i="8"/>
  <c r="G366" i="8"/>
  <c r="J365" i="8"/>
  <c r="I365" i="8"/>
  <c r="H365" i="8"/>
  <c r="G365" i="8"/>
  <c r="J364" i="8"/>
  <c r="I364" i="8"/>
  <c r="H364" i="8"/>
  <c r="G364" i="8"/>
  <c r="J363" i="8"/>
  <c r="I363" i="8"/>
  <c r="H363" i="8"/>
  <c r="G363" i="8"/>
  <c r="J362" i="8"/>
  <c r="I362" i="8"/>
  <c r="H362" i="8"/>
  <c r="G362" i="8"/>
  <c r="J361" i="8"/>
  <c r="I361" i="8"/>
  <c r="H361" i="8"/>
  <c r="G361" i="8"/>
  <c r="J360" i="8"/>
  <c r="I360" i="8"/>
  <c r="H360" i="8"/>
  <c r="G360" i="8"/>
  <c r="J359" i="8"/>
  <c r="I359" i="8"/>
  <c r="H359" i="8"/>
  <c r="G359" i="8"/>
  <c r="J358" i="8"/>
  <c r="I358" i="8"/>
  <c r="H358" i="8"/>
  <c r="G358" i="8"/>
  <c r="J357" i="8"/>
  <c r="I357" i="8"/>
  <c r="H357" i="8"/>
  <c r="G357" i="8"/>
  <c r="J356" i="8"/>
  <c r="I356" i="8"/>
  <c r="H356" i="8"/>
  <c r="G356" i="8"/>
  <c r="J355" i="8"/>
  <c r="I355" i="8"/>
  <c r="H355" i="8"/>
  <c r="G355" i="8"/>
  <c r="J354" i="8"/>
  <c r="I354" i="8"/>
  <c r="H354" i="8"/>
  <c r="G354" i="8"/>
  <c r="J353" i="8"/>
  <c r="I353" i="8"/>
  <c r="H353" i="8"/>
  <c r="G353" i="8"/>
  <c r="J352" i="8"/>
  <c r="I352" i="8"/>
  <c r="H352" i="8"/>
  <c r="G352" i="8"/>
  <c r="J351" i="8"/>
  <c r="I351" i="8"/>
  <c r="H351" i="8"/>
  <c r="G351" i="8"/>
  <c r="J350" i="8"/>
  <c r="I350" i="8"/>
  <c r="H350" i="8"/>
  <c r="G350" i="8"/>
  <c r="J349" i="8"/>
  <c r="I349" i="8"/>
  <c r="H349" i="8"/>
  <c r="G349" i="8"/>
  <c r="J348" i="8"/>
  <c r="I348" i="8"/>
  <c r="H348" i="8"/>
  <c r="G348" i="8"/>
  <c r="J347" i="8"/>
  <c r="I347" i="8"/>
  <c r="H347" i="8"/>
  <c r="G347" i="8"/>
  <c r="J346" i="8"/>
  <c r="I346" i="8"/>
  <c r="H346" i="8"/>
  <c r="G346" i="8"/>
  <c r="J345" i="8"/>
  <c r="I345" i="8"/>
  <c r="H345" i="8"/>
  <c r="G345" i="8"/>
  <c r="J344" i="8"/>
  <c r="I344" i="8"/>
  <c r="H344" i="8"/>
  <c r="G344" i="8"/>
  <c r="J343" i="8"/>
  <c r="I343" i="8"/>
  <c r="H343" i="8"/>
  <c r="G343" i="8"/>
  <c r="J342" i="8"/>
  <c r="I342" i="8"/>
  <c r="H342" i="8"/>
  <c r="G342" i="8"/>
  <c r="J341" i="8"/>
  <c r="I341" i="8"/>
  <c r="H341" i="8"/>
  <c r="G341" i="8"/>
  <c r="J340" i="8"/>
  <c r="I340" i="8"/>
  <c r="H340" i="8"/>
  <c r="G340" i="8"/>
  <c r="J339" i="8"/>
  <c r="I339" i="8"/>
  <c r="H339" i="8"/>
  <c r="G339" i="8"/>
  <c r="J338" i="8"/>
  <c r="I338" i="8"/>
  <c r="H338" i="8"/>
  <c r="G338" i="8"/>
  <c r="J337" i="8"/>
  <c r="I337" i="8"/>
  <c r="H337" i="8"/>
  <c r="G337" i="8"/>
  <c r="J336" i="8"/>
  <c r="I336" i="8"/>
  <c r="H336" i="8"/>
  <c r="G336" i="8"/>
  <c r="J335" i="8"/>
  <c r="I335" i="8"/>
  <c r="H335" i="8"/>
  <c r="G335" i="8"/>
  <c r="J334" i="8"/>
  <c r="I334" i="8"/>
  <c r="H334" i="8"/>
  <c r="G334" i="8"/>
  <c r="J333" i="8"/>
  <c r="I333" i="8"/>
  <c r="H333" i="8"/>
  <c r="G333" i="8"/>
  <c r="J332" i="8"/>
  <c r="I332" i="8"/>
  <c r="H332" i="8"/>
  <c r="G332" i="8"/>
  <c r="J331" i="8"/>
  <c r="I331" i="8"/>
  <c r="H331" i="8"/>
  <c r="G331" i="8"/>
  <c r="J330" i="8"/>
  <c r="I330" i="8"/>
  <c r="H330" i="8"/>
  <c r="G330" i="8"/>
  <c r="J329" i="8"/>
  <c r="I329" i="8"/>
  <c r="H329" i="8"/>
  <c r="G329" i="8"/>
  <c r="J328" i="8"/>
  <c r="I328" i="8"/>
  <c r="H328" i="8"/>
  <c r="G328" i="8"/>
  <c r="J327" i="8"/>
  <c r="I327" i="8"/>
  <c r="H327" i="8"/>
  <c r="G327" i="8"/>
  <c r="J326" i="8"/>
  <c r="I326" i="8"/>
  <c r="H326" i="8"/>
  <c r="G326" i="8"/>
  <c r="J325" i="8"/>
  <c r="I325" i="8"/>
  <c r="H325" i="8"/>
  <c r="G325" i="8"/>
  <c r="J324" i="8"/>
  <c r="I324" i="8"/>
  <c r="H324" i="8"/>
  <c r="G324" i="8"/>
  <c r="J323" i="8"/>
  <c r="I323" i="8"/>
  <c r="H323" i="8"/>
  <c r="G323" i="8"/>
  <c r="J322" i="8"/>
  <c r="I322" i="8"/>
  <c r="H322" i="8"/>
  <c r="G322" i="8"/>
  <c r="J321" i="8"/>
  <c r="I321" i="8"/>
  <c r="H321" i="8"/>
  <c r="G321" i="8"/>
  <c r="J320" i="8"/>
  <c r="I320" i="8"/>
  <c r="H320" i="8"/>
  <c r="G320" i="8"/>
  <c r="J319" i="8"/>
  <c r="I319" i="8"/>
  <c r="H319" i="8"/>
  <c r="G319" i="8"/>
  <c r="J318" i="8"/>
  <c r="I318" i="8"/>
  <c r="H318" i="8"/>
  <c r="G318" i="8"/>
  <c r="J317" i="8"/>
  <c r="I317" i="8"/>
  <c r="H317" i="8"/>
  <c r="G317" i="8"/>
  <c r="J316" i="8"/>
  <c r="I316" i="8"/>
  <c r="H316" i="8"/>
  <c r="G316" i="8"/>
  <c r="J315" i="8"/>
  <c r="I315" i="8"/>
  <c r="H315" i="8"/>
  <c r="G315" i="8"/>
  <c r="J314" i="8"/>
  <c r="I314" i="8"/>
  <c r="H314" i="8"/>
  <c r="G314" i="8"/>
  <c r="J313" i="8"/>
  <c r="I313" i="8"/>
  <c r="H313" i="8"/>
  <c r="G313" i="8"/>
  <c r="J312" i="8"/>
  <c r="I312" i="8"/>
  <c r="H312" i="8"/>
  <c r="G312" i="8"/>
  <c r="J311" i="8"/>
  <c r="I311" i="8"/>
  <c r="H311" i="8"/>
  <c r="G311" i="8"/>
  <c r="J310" i="8"/>
  <c r="I310" i="8"/>
  <c r="H310" i="8"/>
  <c r="G310" i="8"/>
  <c r="J309" i="8"/>
  <c r="I309" i="8"/>
  <c r="H309" i="8"/>
  <c r="G309" i="8"/>
  <c r="J308" i="8"/>
  <c r="I308" i="8"/>
  <c r="H308" i="8"/>
  <c r="G308" i="8"/>
  <c r="J307" i="8"/>
  <c r="I307" i="8"/>
  <c r="H307" i="8"/>
  <c r="G307" i="8"/>
  <c r="J306" i="8"/>
  <c r="I306" i="8"/>
  <c r="H306" i="8"/>
  <c r="G306" i="8"/>
  <c r="J305" i="8"/>
  <c r="I305" i="8"/>
  <c r="H305" i="8"/>
  <c r="G305" i="8"/>
  <c r="J304" i="8"/>
  <c r="I304" i="8"/>
  <c r="H304" i="8"/>
  <c r="G304" i="8"/>
  <c r="J303" i="8"/>
  <c r="I303" i="8"/>
  <c r="H303" i="8"/>
  <c r="G303" i="8"/>
  <c r="J302" i="8"/>
  <c r="I302" i="8"/>
  <c r="H302" i="8"/>
  <c r="G302" i="8"/>
  <c r="J301" i="8"/>
  <c r="I301" i="8"/>
  <c r="H301" i="8"/>
  <c r="G301" i="8"/>
  <c r="J300" i="8"/>
  <c r="I300" i="8"/>
  <c r="H300" i="8"/>
  <c r="G300" i="8"/>
  <c r="J299" i="8"/>
  <c r="I299" i="8"/>
  <c r="H299" i="8"/>
  <c r="G299" i="8"/>
  <c r="J298" i="8"/>
  <c r="I298" i="8"/>
  <c r="H298" i="8"/>
  <c r="G298" i="8"/>
  <c r="J297" i="8"/>
  <c r="I297" i="8"/>
  <c r="H297" i="8"/>
  <c r="G297" i="8"/>
  <c r="J296" i="8"/>
  <c r="I296" i="8"/>
  <c r="H296" i="8"/>
  <c r="G296" i="8"/>
  <c r="J295" i="8"/>
  <c r="I295" i="8"/>
  <c r="H295" i="8"/>
  <c r="G295" i="8"/>
  <c r="J294" i="8"/>
  <c r="I294" i="8"/>
  <c r="H294" i="8"/>
  <c r="G294" i="8"/>
  <c r="J293" i="8"/>
  <c r="I293" i="8"/>
  <c r="H293" i="8"/>
  <c r="G293" i="8"/>
  <c r="J292" i="8"/>
  <c r="I292" i="8"/>
  <c r="H292" i="8"/>
  <c r="G292" i="8"/>
  <c r="J291" i="8"/>
  <c r="I291" i="8"/>
  <c r="H291" i="8"/>
  <c r="G291" i="8"/>
  <c r="J290" i="8"/>
  <c r="I290" i="8"/>
  <c r="H290" i="8"/>
  <c r="G290" i="8"/>
  <c r="J289" i="8"/>
  <c r="I289" i="8"/>
  <c r="H289" i="8"/>
  <c r="G289" i="8"/>
  <c r="J288" i="8"/>
  <c r="I288" i="8"/>
  <c r="H288" i="8"/>
  <c r="G288" i="8"/>
  <c r="J287" i="8"/>
  <c r="I287" i="8"/>
  <c r="H287" i="8"/>
  <c r="G287" i="8"/>
  <c r="J286" i="8"/>
  <c r="I286" i="8"/>
  <c r="H286" i="8"/>
  <c r="G286" i="8"/>
  <c r="J285" i="8"/>
  <c r="I285" i="8"/>
  <c r="H285" i="8"/>
  <c r="G285" i="8"/>
  <c r="J284" i="8"/>
  <c r="I284" i="8"/>
  <c r="H284" i="8"/>
  <c r="G284" i="8"/>
  <c r="J283" i="8"/>
  <c r="I283" i="8"/>
  <c r="H283" i="8"/>
  <c r="G283" i="8"/>
  <c r="J282" i="8"/>
  <c r="I282" i="8"/>
  <c r="H282" i="8"/>
  <c r="G282" i="8"/>
  <c r="J281" i="8"/>
  <c r="I281" i="8"/>
  <c r="H281" i="8"/>
  <c r="G281" i="8"/>
  <c r="J280" i="8"/>
  <c r="I280" i="8"/>
  <c r="H280" i="8"/>
  <c r="G280" i="8"/>
  <c r="J279" i="8"/>
  <c r="I279" i="8"/>
  <c r="H279" i="8"/>
  <c r="G279" i="8"/>
  <c r="J278" i="8"/>
  <c r="I278" i="8"/>
  <c r="H278" i="8"/>
  <c r="G278" i="8"/>
  <c r="J277" i="8"/>
  <c r="I277" i="8"/>
  <c r="H277" i="8"/>
  <c r="G277" i="8"/>
  <c r="J276" i="8"/>
  <c r="I276" i="8"/>
  <c r="H276" i="8"/>
  <c r="G276" i="8"/>
  <c r="J275" i="8"/>
  <c r="I275" i="8"/>
  <c r="H275" i="8"/>
  <c r="G275" i="8"/>
  <c r="J274" i="8"/>
  <c r="I274" i="8"/>
  <c r="H274" i="8"/>
  <c r="G274" i="8"/>
  <c r="J273" i="8"/>
  <c r="I273" i="8"/>
  <c r="H273" i="8"/>
  <c r="G273" i="8"/>
  <c r="J272" i="8"/>
  <c r="I272" i="8"/>
  <c r="H272" i="8"/>
  <c r="G272" i="8"/>
  <c r="J271" i="8"/>
  <c r="I271" i="8"/>
  <c r="H271" i="8"/>
  <c r="G271" i="8"/>
  <c r="J270" i="8"/>
  <c r="I270" i="8"/>
  <c r="H270" i="8"/>
  <c r="G270" i="8"/>
  <c r="J269" i="8"/>
  <c r="I269" i="8"/>
  <c r="H269" i="8"/>
  <c r="G269" i="8"/>
  <c r="J268" i="8"/>
  <c r="I268" i="8"/>
  <c r="H268" i="8"/>
  <c r="G268" i="8"/>
  <c r="J267" i="8"/>
  <c r="I267" i="8"/>
  <c r="H267" i="8"/>
  <c r="G267" i="8"/>
  <c r="J266" i="8"/>
  <c r="I266" i="8"/>
  <c r="H266" i="8"/>
  <c r="G266" i="8"/>
  <c r="J265" i="8"/>
  <c r="I265" i="8"/>
  <c r="H265" i="8"/>
  <c r="G265" i="8"/>
  <c r="J264" i="8"/>
  <c r="I264" i="8"/>
  <c r="H264" i="8"/>
  <c r="G264" i="8"/>
  <c r="J263" i="8"/>
  <c r="I263" i="8"/>
  <c r="H263" i="8"/>
  <c r="G263" i="8"/>
  <c r="J262" i="8"/>
  <c r="I262" i="8"/>
  <c r="H262" i="8"/>
  <c r="G262" i="8"/>
  <c r="J261" i="8"/>
  <c r="I261" i="8"/>
  <c r="H261" i="8"/>
  <c r="G261" i="8"/>
  <c r="J260" i="8"/>
  <c r="I260" i="8"/>
  <c r="H260" i="8"/>
  <c r="G260" i="8"/>
  <c r="J259" i="8"/>
  <c r="I259" i="8"/>
  <c r="H259" i="8"/>
  <c r="G259" i="8"/>
  <c r="J258" i="8"/>
  <c r="I258" i="8"/>
  <c r="H258" i="8"/>
  <c r="G258" i="8"/>
  <c r="J257" i="8"/>
  <c r="I257" i="8"/>
  <c r="H257" i="8"/>
  <c r="G257" i="8"/>
  <c r="J256" i="8"/>
  <c r="I256" i="8"/>
  <c r="H256" i="8"/>
  <c r="G256" i="8"/>
  <c r="J255" i="8"/>
  <c r="I255" i="8"/>
  <c r="H255" i="8"/>
  <c r="G255" i="8"/>
  <c r="J254" i="8"/>
  <c r="I254" i="8"/>
  <c r="H254" i="8"/>
  <c r="G254" i="8"/>
  <c r="J253" i="8"/>
  <c r="I253" i="8"/>
  <c r="H253" i="8"/>
  <c r="G253" i="8"/>
  <c r="J252" i="8"/>
  <c r="I252" i="8"/>
  <c r="H252" i="8"/>
  <c r="G252" i="8"/>
  <c r="J251" i="8"/>
  <c r="I251" i="8"/>
  <c r="H251" i="8"/>
  <c r="G251" i="8"/>
  <c r="J250" i="8"/>
  <c r="I250" i="8"/>
  <c r="H250" i="8"/>
  <c r="G250" i="8"/>
  <c r="J249" i="8"/>
  <c r="I249" i="8"/>
  <c r="H249" i="8"/>
  <c r="G249" i="8"/>
  <c r="J248" i="8"/>
  <c r="I248" i="8"/>
  <c r="H248" i="8"/>
  <c r="G248" i="8"/>
  <c r="J247" i="8"/>
  <c r="I247" i="8"/>
  <c r="H247" i="8"/>
  <c r="G247" i="8"/>
  <c r="J246" i="8"/>
  <c r="I246" i="8"/>
  <c r="H246" i="8"/>
  <c r="G246" i="8"/>
  <c r="J245" i="8"/>
  <c r="I245" i="8"/>
  <c r="H245" i="8"/>
  <c r="G245" i="8"/>
  <c r="J244" i="8"/>
  <c r="I244" i="8"/>
  <c r="H244" i="8"/>
  <c r="G244" i="8"/>
  <c r="J243" i="8"/>
  <c r="I243" i="8"/>
  <c r="H243" i="8"/>
  <c r="G243" i="8"/>
  <c r="J242" i="8"/>
  <c r="I242" i="8"/>
  <c r="H242" i="8"/>
  <c r="G242" i="8"/>
  <c r="J241" i="8"/>
  <c r="I241" i="8"/>
  <c r="H241" i="8"/>
  <c r="G241" i="8"/>
  <c r="J240" i="8"/>
  <c r="I240" i="8"/>
  <c r="H240" i="8"/>
  <c r="G240" i="8"/>
  <c r="J239" i="8"/>
  <c r="I239" i="8"/>
  <c r="H239" i="8"/>
  <c r="G239" i="8"/>
  <c r="J238" i="8"/>
  <c r="I238" i="8"/>
  <c r="H238" i="8"/>
  <c r="G238" i="8"/>
  <c r="J237" i="8"/>
  <c r="I237" i="8"/>
  <c r="H237" i="8"/>
  <c r="G237" i="8"/>
  <c r="J236" i="8"/>
  <c r="I236" i="8"/>
  <c r="H236" i="8"/>
  <c r="G236" i="8"/>
  <c r="J235" i="8"/>
  <c r="I235" i="8"/>
  <c r="H235" i="8"/>
  <c r="G235" i="8"/>
  <c r="J234" i="8"/>
  <c r="I234" i="8"/>
  <c r="H234" i="8"/>
  <c r="G234" i="8"/>
  <c r="J233" i="8"/>
  <c r="I233" i="8"/>
  <c r="H233" i="8"/>
  <c r="G233" i="8"/>
  <c r="J232" i="8"/>
  <c r="I232" i="8"/>
  <c r="H232" i="8"/>
  <c r="G232" i="8"/>
  <c r="J231" i="8"/>
  <c r="I231" i="8"/>
  <c r="H231" i="8"/>
  <c r="G231" i="8"/>
  <c r="J230" i="8"/>
  <c r="I230" i="8"/>
  <c r="H230" i="8"/>
  <c r="G230" i="8"/>
  <c r="J229" i="8"/>
  <c r="I229" i="8"/>
  <c r="H229" i="8"/>
  <c r="G229" i="8"/>
  <c r="J228" i="8"/>
  <c r="I228" i="8"/>
  <c r="H228" i="8"/>
  <c r="G228" i="8"/>
  <c r="J227" i="8"/>
  <c r="I227" i="8"/>
  <c r="H227" i="8"/>
  <c r="G227" i="8"/>
  <c r="J226" i="8"/>
  <c r="I226" i="8"/>
  <c r="H226" i="8"/>
  <c r="G226" i="8"/>
  <c r="J225" i="8"/>
  <c r="I225" i="8"/>
  <c r="H225" i="8"/>
  <c r="G225" i="8"/>
  <c r="J224" i="8"/>
  <c r="I224" i="8"/>
  <c r="H224" i="8"/>
  <c r="G224" i="8"/>
  <c r="J223" i="8"/>
  <c r="I223" i="8"/>
  <c r="H223" i="8"/>
  <c r="G223" i="8"/>
  <c r="J222" i="8"/>
  <c r="I222" i="8"/>
  <c r="H222" i="8"/>
  <c r="G222" i="8"/>
  <c r="J221" i="8"/>
  <c r="I221" i="8"/>
  <c r="H221" i="8"/>
  <c r="G221" i="8"/>
  <c r="J220" i="8"/>
  <c r="I220" i="8"/>
  <c r="H220" i="8"/>
  <c r="G220" i="8"/>
  <c r="J219" i="8"/>
  <c r="I219" i="8"/>
  <c r="H219" i="8"/>
  <c r="G219" i="8"/>
  <c r="J218" i="8"/>
  <c r="I218" i="8"/>
  <c r="H218" i="8"/>
  <c r="G218" i="8"/>
  <c r="J217" i="8"/>
  <c r="I217" i="8"/>
  <c r="H217" i="8"/>
  <c r="G217" i="8"/>
  <c r="J216" i="8"/>
  <c r="I216" i="8"/>
  <c r="H216" i="8"/>
  <c r="G216" i="8"/>
  <c r="J215" i="8"/>
  <c r="I215" i="8"/>
  <c r="H215" i="8"/>
  <c r="G215" i="8"/>
  <c r="J214" i="8"/>
  <c r="I214" i="8"/>
  <c r="H214" i="8"/>
  <c r="G214" i="8"/>
  <c r="J213" i="8"/>
  <c r="I213" i="8"/>
  <c r="H213" i="8"/>
  <c r="G213" i="8"/>
  <c r="J212" i="8"/>
  <c r="I212" i="8"/>
  <c r="H212" i="8"/>
  <c r="G212" i="8"/>
  <c r="J211" i="8"/>
  <c r="I211" i="8"/>
  <c r="H211" i="8"/>
  <c r="G211" i="8"/>
  <c r="J210" i="8"/>
  <c r="I210" i="8"/>
  <c r="H210" i="8"/>
  <c r="G210" i="8"/>
  <c r="J209" i="8"/>
  <c r="I209" i="8"/>
  <c r="H209" i="8"/>
  <c r="G209" i="8"/>
  <c r="J208" i="8"/>
  <c r="I208" i="8"/>
  <c r="H208" i="8"/>
  <c r="G208" i="8"/>
  <c r="J207" i="8"/>
  <c r="I207" i="8"/>
  <c r="H207" i="8"/>
  <c r="G207" i="8"/>
  <c r="J206" i="8"/>
  <c r="I206" i="8"/>
  <c r="H206" i="8"/>
  <c r="G206" i="8"/>
  <c r="J205" i="8"/>
  <c r="I205" i="8"/>
  <c r="H205" i="8"/>
  <c r="G205" i="8"/>
  <c r="J204" i="8"/>
  <c r="I204" i="8"/>
  <c r="H204" i="8"/>
  <c r="G204" i="8"/>
  <c r="J203" i="8"/>
  <c r="I203" i="8"/>
  <c r="H203" i="8"/>
  <c r="G203" i="8"/>
  <c r="J202" i="8"/>
  <c r="I202" i="8"/>
  <c r="H202" i="8"/>
  <c r="G202" i="8"/>
  <c r="J201" i="8"/>
  <c r="I201" i="8"/>
  <c r="H201" i="8"/>
  <c r="G201" i="8"/>
  <c r="J200" i="8"/>
  <c r="I200" i="8"/>
  <c r="H200" i="8"/>
  <c r="G200" i="8"/>
  <c r="J199" i="8"/>
  <c r="I199" i="8"/>
  <c r="H199" i="8"/>
  <c r="G199" i="8"/>
  <c r="J198" i="8"/>
  <c r="I198" i="8"/>
  <c r="H198" i="8"/>
  <c r="G198" i="8"/>
  <c r="J197" i="8"/>
  <c r="I197" i="8"/>
  <c r="H197" i="8"/>
  <c r="G197" i="8"/>
  <c r="J196" i="8"/>
  <c r="I196" i="8"/>
  <c r="H196" i="8"/>
  <c r="G196" i="8"/>
  <c r="J195" i="8"/>
  <c r="I195" i="8"/>
  <c r="H195" i="8"/>
  <c r="G195" i="8"/>
  <c r="J194" i="8"/>
  <c r="I194" i="8"/>
  <c r="H194" i="8"/>
  <c r="G194" i="8"/>
  <c r="J193" i="8"/>
  <c r="I193" i="8"/>
  <c r="H193" i="8"/>
  <c r="G193" i="8"/>
  <c r="J192" i="8"/>
  <c r="I192" i="8"/>
  <c r="H192" i="8"/>
  <c r="G192" i="8"/>
  <c r="J191" i="8"/>
  <c r="I191" i="8"/>
  <c r="H191" i="8"/>
  <c r="G191" i="8"/>
  <c r="J190" i="8"/>
  <c r="I190" i="8"/>
  <c r="H190" i="8"/>
  <c r="G190" i="8"/>
  <c r="J189" i="8"/>
  <c r="I189" i="8"/>
  <c r="H189" i="8"/>
  <c r="G189" i="8"/>
  <c r="J188" i="8"/>
  <c r="I188" i="8"/>
  <c r="H188" i="8"/>
  <c r="G188" i="8"/>
  <c r="J187" i="8"/>
  <c r="I187" i="8"/>
  <c r="H187" i="8"/>
  <c r="G187" i="8"/>
  <c r="J186" i="8"/>
  <c r="I186" i="8"/>
  <c r="H186" i="8"/>
  <c r="G186" i="8"/>
  <c r="J185" i="8"/>
  <c r="I185" i="8"/>
  <c r="H185" i="8"/>
  <c r="G185" i="8"/>
  <c r="J184" i="8"/>
  <c r="I184" i="8"/>
  <c r="H184" i="8"/>
  <c r="G184" i="8"/>
  <c r="J183" i="8"/>
  <c r="I183" i="8"/>
  <c r="H183" i="8"/>
  <c r="G183" i="8"/>
  <c r="J182" i="8"/>
  <c r="I182" i="8"/>
  <c r="H182" i="8"/>
  <c r="G182" i="8"/>
  <c r="J181" i="8"/>
  <c r="I181" i="8"/>
  <c r="H181" i="8"/>
  <c r="G181" i="8"/>
  <c r="J180" i="8"/>
  <c r="I180" i="8"/>
  <c r="H180" i="8"/>
  <c r="G180" i="8"/>
  <c r="J179" i="8"/>
  <c r="I179" i="8"/>
  <c r="H179" i="8"/>
  <c r="G179" i="8"/>
  <c r="J178" i="8"/>
  <c r="I178" i="8"/>
  <c r="H178" i="8"/>
  <c r="G178" i="8"/>
  <c r="J177" i="8"/>
  <c r="I177" i="8"/>
  <c r="H177" i="8"/>
  <c r="G177" i="8"/>
  <c r="J176" i="8"/>
  <c r="I176" i="8"/>
  <c r="H176" i="8"/>
  <c r="G176" i="8"/>
  <c r="J175" i="8"/>
  <c r="I175" i="8"/>
  <c r="H175" i="8"/>
  <c r="G175" i="8"/>
  <c r="J174" i="8"/>
  <c r="I174" i="8"/>
  <c r="H174" i="8"/>
  <c r="G174" i="8"/>
  <c r="J173" i="8"/>
  <c r="I173" i="8"/>
  <c r="H173" i="8"/>
  <c r="G173" i="8"/>
  <c r="J172" i="8"/>
  <c r="I172" i="8"/>
  <c r="H172" i="8"/>
  <c r="G172" i="8"/>
  <c r="J171" i="8"/>
  <c r="I171" i="8"/>
  <c r="H171" i="8"/>
  <c r="G171" i="8"/>
  <c r="J170" i="8"/>
  <c r="I170" i="8"/>
  <c r="H170" i="8"/>
  <c r="G170" i="8"/>
  <c r="J169" i="8"/>
  <c r="I169" i="8"/>
  <c r="H169" i="8"/>
  <c r="G169" i="8"/>
  <c r="J168" i="8"/>
  <c r="I168" i="8"/>
  <c r="H168" i="8"/>
  <c r="G168" i="8"/>
  <c r="J167" i="8"/>
  <c r="I167" i="8"/>
  <c r="H167" i="8"/>
  <c r="G167" i="8"/>
  <c r="J166" i="8"/>
  <c r="I166" i="8"/>
  <c r="H166" i="8"/>
  <c r="G166" i="8"/>
  <c r="J165" i="8"/>
  <c r="I165" i="8"/>
  <c r="H165" i="8"/>
  <c r="G165" i="8"/>
  <c r="J164" i="8"/>
  <c r="I164" i="8"/>
  <c r="H164" i="8"/>
  <c r="G164" i="8"/>
  <c r="J163" i="8"/>
  <c r="I163" i="8"/>
  <c r="H163" i="8"/>
  <c r="G163" i="8"/>
  <c r="J162" i="8"/>
  <c r="I162" i="8"/>
  <c r="H162" i="8"/>
  <c r="G162" i="8"/>
  <c r="J161" i="8"/>
  <c r="I161" i="8"/>
  <c r="H161" i="8"/>
  <c r="G161" i="8"/>
  <c r="J160" i="8"/>
  <c r="I160" i="8"/>
  <c r="H160" i="8"/>
  <c r="G160" i="8"/>
  <c r="J159" i="8"/>
  <c r="I159" i="8"/>
  <c r="H159" i="8"/>
  <c r="G159" i="8"/>
  <c r="J158" i="8"/>
  <c r="I158" i="8"/>
  <c r="H158" i="8"/>
  <c r="G158" i="8"/>
  <c r="J157" i="8"/>
  <c r="I157" i="8"/>
  <c r="H157" i="8"/>
  <c r="G157" i="8"/>
  <c r="J156" i="8"/>
  <c r="I156" i="8"/>
  <c r="H156" i="8"/>
  <c r="G156" i="8"/>
  <c r="J155" i="8"/>
  <c r="I155" i="8"/>
  <c r="H155" i="8"/>
  <c r="G155" i="8"/>
  <c r="J154" i="8"/>
  <c r="I154" i="8"/>
  <c r="H154" i="8"/>
  <c r="G154" i="8"/>
  <c r="J153" i="8"/>
  <c r="I153" i="8"/>
  <c r="H153" i="8"/>
  <c r="G153" i="8"/>
  <c r="J152" i="8"/>
  <c r="I152" i="8"/>
  <c r="H152" i="8"/>
  <c r="G152" i="8"/>
  <c r="J151" i="8"/>
  <c r="I151" i="8"/>
  <c r="H151" i="8"/>
  <c r="G151" i="8"/>
  <c r="J150" i="8"/>
  <c r="I150" i="8"/>
  <c r="H150" i="8"/>
  <c r="G150" i="8"/>
  <c r="J149" i="8"/>
  <c r="I149" i="8"/>
  <c r="H149" i="8"/>
  <c r="G149" i="8"/>
  <c r="J148" i="8"/>
  <c r="I148" i="8"/>
  <c r="H148" i="8"/>
  <c r="G148" i="8"/>
  <c r="J147" i="8"/>
  <c r="I147" i="8"/>
  <c r="H147" i="8"/>
  <c r="G147" i="8"/>
  <c r="J146" i="8"/>
  <c r="I146" i="8"/>
  <c r="H146" i="8"/>
  <c r="G146" i="8"/>
  <c r="J145" i="8"/>
  <c r="I145" i="8"/>
  <c r="H145" i="8"/>
  <c r="G145" i="8"/>
  <c r="J144" i="8"/>
  <c r="I144" i="8"/>
  <c r="H144" i="8"/>
  <c r="G144" i="8"/>
  <c r="J143" i="8"/>
  <c r="I143" i="8"/>
  <c r="H143" i="8"/>
  <c r="G143" i="8"/>
  <c r="J142" i="8"/>
  <c r="I142" i="8"/>
  <c r="H142" i="8"/>
  <c r="G142" i="8"/>
  <c r="J141" i="8"/>
  <c r="I141" i="8"/>
  <c r="H141" i="8"/>
  <c r="G141" i="8"/>
  <c r="J140" i="8"/>
  <c r="I140" i="8"/>
  <c r="H140" i="8"/>
  <c r="G140" i="8"/>
  <c r="J139" i="8"/>
  <c r="I139" i="8"/>
  <c r="H139" i="8"/>
  <c r="G139" i="8"/>
  <c r="J138" i="8"/>
  <c r="I138" i="8"/>
  <c r="H138" i="8"/>
  <c r="G138" i="8"/>
  <c r="J137" i="8"/>
  <c r="I137" i="8"/>
  <c r="H137" i="8"/>
  <c r="G137" i="8"/>
  <c r="J136" i="8"/>
  <c r="I136" i="8"/>
  <c r="H136" i="8"/>
  <c r="G136" i="8"/>
  <c r="J135" i="8"/>
  <c r="I135" i="8"/>
  <c r="H135" i="8"/>
  <c r="G135" i="8"/>
  <c r="J134" i="8"/>
  <c r="I134" i="8"/>
  <c r="H134" i="8"/>
  <c r="G134" i="8"/>
  <c r="J133" i="8"/>
  <c r="I133" i="8"/>
  <c r="H133" i="8"/>
  <c r="G133" i="8"/>
  <c r="J132" i="8"/>
  <c r="I132" i="8"/>
  <c r="H132" i="8"/>
  <c r="G132" i="8"/>
  <c r="J131" i="8"/>
  <c r="I131" i="8"/>
  <c r="H131" i="8"/>
  <c r="G131" i="8"/>
  <c r="J130" i="8"/>
  <c r="I130" i="8"/>
  <c r="H130" i="8"/>
  <c r="G130" i="8"/>
  <c r="J129" i="8"/>
  <c r="I129" i="8"/>
  <c r="H129" i="8"/>
  <c r="G129" i="8"/>
  <c r="J128" i="8"/>
  <c r="I128" i="8"/>
  <c r="H128" i="8"/>
  <c r="G128" i="8"/>
  <c r="J127" i="8"/>
  <c r="I127" i="8"/>
  <c r="H127" i="8"/>
  <c r="G127" i="8"/>
  <c r="J126" i="8"/>
  <c r="I126" i="8"/>
  <c r="H126" i="8"/>
  <c r="G126" i="8"/>
  <c r="J125" i="8"/>
  <c r="I125" i="8"/>
  <c r="H125" i="8"/>
  <c r="G125" i="8"/>
  <c r="J124" i="8"/>
  <c r="I124" i="8"/>
  <c r="H124" i="8"/>
  <c r="G124" i="8"/>
  <c r="J123" i="8"/>
  <c r="I123" i="8"/>
  <c r="H123" i="8"/>
  <c r="G123" i="8"/>
  <c r="J122" i="8"/>
  <c r="I122" i="8"/>
  <c r="H122" i="8"/>
  <c r="G122" i="8"/>
  <c r="J121" i="8"/>
  <c r="I121" i="8"/>
  <c r="H121" i="8"/>
  <c r="G121" i="8"/>
  <c r="J120" i="8"/>
  <c r="I120" i="8"/>
  <c r="H120" i="8"/>
  <c r="G120" i="8"/>
  <c r="J119" i="8"/>
  <c r="I119" i="8"/>
  <c r="H119" i="8"/>
  <c r="G119" i="8"/>
  <c r="J118" i="8"/>
  <c r="I118" i="8"/>
  <c r="H118" i="8"/>
  <c r="G118" i="8"/>
  <c r="J117" i="8"/>
  <c r="I117" i="8"/>
  <c r="H117" i="8"/>
  <c r="G117" i="8"/>
  <c r="J116" i="8"/>
  <c r="I116" i="8"/>
  <c r="H116" i="8"/>
  <c r="G116" i="8"/>
  <c r="J115" i="8"/>
  <c r="I115" i="8"/>
  <c r="H115" i="8"/>
  <c r="G115" i="8"/>
  <c r="J114" i="8"/>
  <c r="I114" i="8"/>
  <c r="H114" i="8"/>
  <c r="G114" i="8"/>
  <c r="J113" i="8"/>
  <c r="I113" i="8"/>
  <c r="H113" i="8"/>
  <c r="G113" i="8"/>
  <c r="J112" i="8"/>
  <c r="I112" i="8"/>
  <c r="H112" i="8"/>
  <c r="G112" i="8"/>
  <c r="J111" i="8"/>
  <c r="I111" i="8"/>
  <c r="H111" i="8"/>
  <c r="G111" i="8"/>
  <c r="J110" i="8"/>
  <c r="I110" i="8"/>
  <c r="H110" i="8"/>
  <c r="G110" i="8"/>
  <c r="J109" i="8"/>
  <c r="I109" i="8"/>
  <c r="H109" i="8"/>
  <c r="G109" i="8"/>
  <c r="J108" i="8"/>
  <c r="I108" i="8"/>
  <c r="H108" i="8"/>
  <c r="G108" i="8"/>
  <c r="J107" i="8"/>
  <c r="I107" i="8"/>
  <c r="H107" i="8"/>
  <c r="G107" i="8"/>
  <c r="J106" i="8"/>
  <c r="I106" i="8"/>
  <c r="H106" i="8"/>
  <c r="G106" i="8"/>
  <c r="J105" i="8"/>
  <c r="I105" i="8"/>
  <c r="H105" i="8"/>
  <c r="G105" i="8"/>
  <c r="J104" i="8"/>
  <c r="I104" i="8"/>
  <c r="H104" i="8"/>
  <c r="G104" i="8"/>
  <c r="J103" i="8"/>
  <c r="I103" i="8"/>
  <c r="H103" i="8"/>
  <c r="G103" i="8"/>
  <c r="J102" i="8"/>
  <c r="I102" i="8"/>
  <c r="H102" i="8"/>
  <c r="G102" i="8"/>
  <c r="J101" i="8"/>
  <c r="I101" i="8"/>
  <c r="H101" i="8"/>
  <c r="G101" i="8"/>
  <c r="J100" i="8"/>
  <c r="I100" i="8"/>
  <c r="H100" i="8"/>
  <c r="G100" i="8"/>
  <c r="J99" i="8"/>
  <c r="I99" i="8"/>
  <c r="H99" i="8"/>
  <c r="G99" i="8"/>
  <c r="J98" i="8"/>
  <c r="I98" i="8"/>
  <c r="H98" i="8"/>
  <c r="G98" i="8"/>
  <c r="J97" i="8"/>
  <c r="I97" i="8"/>
  <c r="H97" i="8"/>
  <c r="G97" i="8"/>
  <c r="J96" i="8"/>
  <c r="I96" i="8"/>
  <c r="H96" i="8"/>
  <c r="G96" i="8"/>
  <c r="J95" i="8"/>
  <c r="I95" i="8"/>
  <c r="H95" i="8"/>
  <c r="G95" i="8"/>
  <c r="J94" i="8"/>
  <c r="I94" i="8"/>
  <c r="H94" i="8"/>
  <c r="G94" i="8"/>
  <c r="J93" i="8"/>
  <c r="I93" i="8"/>
  <c r="H93" i="8"/>
  <c r="G93" i="8"/>
  <c r="J92" i="8"/>
  <c r="I92" i="8"/>
  <c r="H92" i="8"/>
  <c r="G92" i="8"/>
  <c r="J91" i="8"/>
  <c r="I91" i="8"/>
  <c r="H91" i="8"/>
  <c r="G91" i="8"/>
  <c r="J90" i="8"/>
  <c r="I90" i="8"/>
  <c r="H90" i="8"/>
  <c r="G90" i="8"/>
  <c r="J89" i="8"/>
  <c r="I89" i="8"/>
  <c r="H89" i="8"/>
  <c r="G89" i="8"/>
  <c r="J88" i="8"/>
  <c r="I88" i="8"/>
  <c r="H88" i="8"/>
  <c r="G88" i="8"/>
  <c r="J87" i="8"/>
  <c r="I87" i="8"/>
  <c r="H87" i="8"/>
  <c r="G87" i="8"/>
  <c r="J86" i="8"/>
  <c r="I86" i="8"/>
  <c r="H86" i="8"/>
  <c r="G86" i="8"/>
  <c r="J85" i="8"/>
  <c r="I85" i="8"/>
  <c r="H85" i="8"/>
  <c r="G85" i="8"/>
  <c r="J84" i="8"/>
  <c r="I84" i="8"/>
  <c r="H84" i="8"/>
  <c r="G84" i="8"/>
  <c r="J83" i="8"/>
  <c r="I83" i="8"/>
  <c r="H83" i="8"/>
  <c r="G83" i="8"/>
  <c r="J82" i="8"/>
  <c r="I82" i="8"/>
  <c r="H82" i="8"/>
  <c r="G82" i="8"/>
  <c r="J81" i="8"/>
  <c r="I81" i="8"/>
  <c r="H81" i="8"/>
  <c r="G81" i="8"/>
  <c r="J80" i="8"/>
  <c r="I80" i="8"/>
  <c r="H80" i="8"/>
  <c r="G80" i="8"/>
  <c r="J79" i="8"/>
  <c r="I79" i="8"/>
  <c r="H79" i="8"/>
  <c r="G79" i="8"/>
  <c r="J78" i="8"/>
  <c r="I78" i="8"/>
  <c r="H78" i="8"/>
  <c r="G78" i="8"/>
  <c r="J77" i="8"/>
  <c r="I77" i="8"/>
  <c r="H77" i="8"/>
  <c r="G77" i="8"/>
  <c r="J76" i="8"/>
  <c r="I76" i="8"/>
  <c r="H76" i="8"/>
  <c r="G76" i="8"/>
  <c r="J75" i="8"/>
  <c r="I75" i="8"/>
  <c r="H75" i="8"/>
  <c r="G75" i="8"/>
  <c r="J74" i="8"/>
  <c r="I74" i="8"/>
  <c r="H74" i="8"/>
  <c r="G74" i="8"/>
  <c r="J73" i="8"/>
  <c r="I73" i="8"/>
  <c r="H73" i="8"/>
  <c r="G73" i="8"/>
  <c r="J72" i="8"/>
  <c r="I72" i="8"/>
  <c r="H72" i="8"/>
  <c r="G72" i="8"/>
  <c r="J71" i="8"/>
  <c r="I71" i="8"/>
  <c r="H71" i="8"/>
  <c r="G71" i="8"/>
  <c r="J70" i="8"/>
  <c r="I70" i="8"/>
  <c r="H70" i="8"/>
  <c r="G70" i="8"/>
  <c r="J69" i="8"/>
  <c r="I69" i="8"/>
  <c r="H69" i="8"/>
  <c r="G69" i="8"/>
  <c r="J68" i="8"/>
  <c r="I68" i="8"/>
  <c r="H68" i="8"/>
  <c r="G68" i="8"/>
  <c r="J67" i="8"/>
  <c r="I67" i="8"/>
  <c r="H67" i="8"/>
  <c r="G67" i="8"/>
  <c r="J66" i="8"/>
  <c r="I66" i="8"/>
  <c r="H66" i="8"/>
  <c r="G66" i="8"/>
  <c r="J65" i="8"/>
  <c r="I65" i="8"/>
  <c r="H65" i="8"/>
  <c r="G65" i="8"/>
  <c r="J64" i="8"/>
  <c r="I64" i="8"/>
  <c r="H64" i="8"/>
  <c r="G64" i="8"/>
  <c r="J63" i="8"/>
  <c r="I63" i="8"/>
  <c r="H63" i="8"/>
  <c r="G63" i="8"/>
  <c r="J62" i="8"/>
  <c r="I62" i="8"/>
  <c r="H62" i="8"/>
  <c r="G62" i="8"/>
  <c r="J61" i="8"/>
  <c r="I61" i="8"/>
  <c r="H61" i="8"/>
  <c r="G61" i="8"/>
  <c r="J60" i="8"/>
  <c r="I60" i="8"/>
  <c r="H60" i="8"/>
  <c r="G60" i="8"/>
  <c r="J59" i="8"/>
  <c r="I59" i="8"/>
  <c r="H59" i="8"/>
  <c r="G59" i="8"/>
  <c r="J58" i="8"/>
  <c r="I58" i="8"/>
  <c r="H58" i="8"/>
  <c r="G58" i="8"/>
  <c r="J57" i="8"/>
  <c r="I57" i="8"/>
  <c r="H57" i="8"/>
  <c r="G57" i="8"/>
  <c r="J56" i="8"/>
  <c r="I56" i="8"/>
  <c r="H56" i="8"/>
  <c r="G56" i="8"/>
  <c r="J55" i="8"/>
  <c r="I55" i="8"/>
  <c r="H55" i="8"/>
  <c r="G55" i="8"/>
  <c r="J54" i="8"/>
  <c r="I54" i="8"/>
  <c r="H54" i="8"/>
  <c r="G54" i="8"/>
  <c r="J53" i="8"/>
  <c r="I53" i="8"/>
  <c r="H53" i="8"/>
  <c r="G53" i="8"/>
  <c r="J52" i="8"/>
  <c r="I52" i="8"/>
  <c r="H52" i="8"/>
  <c r="G52" i="8"/>
  <c r="J51" i="8"/>
  <c r="I51" i="8"/>
  <c r="H51" i="8"/>
  <c r="G51" i="8"/>
  <c r="J50" i="8"/>
  <c r="I50" i="8"/>
  <c r="H50" i="8"/>
  <c r="G50" i="8"/>
  <c r="J49" i="8"/>
  <c r="I49" i="8"/>
  <c r="H49" i="8"/>
  <c r="G49" i="8"/>
  <c r="J48" i="8"/>
  <c r="I48" i="8"/>
  <c r="H48" i="8"/>
  <c r="G48" i="8"/>
  <c r="J47" i="8"/>
  <c r="I47" i="8"/>
  <c r="H47" i="8"/>
  <c r="G47" i="8"/>
  <c r="J46" i="8"/>
  <c r="I46" i="8"/>
  <c r="H46" i="8"/>
  <c r="G46" i="8"/>
  <c r="J45" i="8"/>
  <c r="I45" i="8"/>
  <c r="H45" i="8"/>
  <c r="G45" i="8"/>
  <c r="J44" i="8"/>
  <c r="I44" i="8"/>
  <c r="H44" i="8"/>
  <c r="G44" i="8"/>
  <c r="J43" i="8"/>
  <c r="I43" i="8"/>
  <c r="H43" i="8"/>
  <c r="G43" i="8"/>
  <c r="J42" i="8"/>
  <c r="I42" i="8"/>
  <c r="H42" i="8"/>
  <c r="G42" i="8"/>
  <c r="J41" i="8"/>
  <c r="I41" i="8"/>
  <c r="H41" i="8"/>
  <c r="G41" i="8"/>
  <c r="J40" i="8"/>
  <c r="I40" i="8"/>
  <c r="H40" i="8"/>
  <c r="G40" i="8"/>
  <c r="J39" i="8"/>
  <c r="I39" i="8"/>
  <c r="H39" i="8"/>
  <c r="G39" i="8"/>
  <c r="J38" i="8"/>
  <c r="I38" i="8"/>
  <c r="H38" i="8"/>
  <c r="G38" i="8"/>
  <c r="J37" i="8"/>
  <c r="I37" i="8"/>
  <c r="H37" i="8"/>
  <c r="G37" i="8"/>
  <c r="J36" i="8"/>
  <c r="I36" i="8"/>
  <c r="H36" i="8"/>
  <c r="G36" i="8"/>
  <c r="J35" i="8"/>
  <c r="I35" i="8"/>
  <c r="H35" i="8"/>
  <c r="G35" i="8"/>
  <c r="J34" i="8"/>
  <c r="I34" i="8"/>
  <c r="H34" i="8"/>
  <c r="G34" i="8"/>
  <c r="J33" i="8"/>
  <c r="I33" i="8"/>
  <c r="H33" i="8"/>
  <c r="G33" i="8"/>
  <c r="J32" i="8"/>
  <c r="I32" i="8"/>
  <c r="H32" i="8"/>
  <c r="G32" i="8"/>
  <c r="J31" i="8"/>
  <c r="I31" i="8"/>
  <c r="H31" i="8"/>
  <c r="G31" i="8"/>
  <c r="J30" i="8"/>
  <c r="I30" i="8"/>
  <c r="H30" i="8"/>
  <c r="G30" i="8"/>
  <c r="J29" i="8"/>
  <c r="I29" i="8"/>
  <c r="H29" i="8"/>
  <c r="G29" i="8"/>
  <c r="J28" i="8"/>
  <c r="I28" i="8"/>
  <c r="H28" i="8"/>
  <c r="G28" i="8"/>
  <c r="J27" i="8"/>
  <c r="I27" i="8"/>
  <c r="H27" i="8"/>
  <c r="G27" i="8"/>
  <c r="J26" i="8"/>
  <c r="I26" i="8"/>
  <c r="H26" i="8"/>
  <c r="G26" i="8"/>
  <c r="J25" i="8"/>
  <c r="I25" i="8"/>
  <c r="H25" i="8"/>
  <c r="G25" i="8"/>
  <c r="J24" i="8"/>
  <c r="I24" i="8"/>
  <c r="H24" i="8"/>
  <c r="G24" i="8"/>
  <c r="J23" i="8"/>
  <c r="I23" i="8"/>
  <c r="H23" i="8"/>
  <c r="G23" i="8"/>
  <c r="J22" i="8"/>
  <c r="I22" i="8"/>
  <c r="H22" i="8"/>
  <c r="G22" i="8"/>
  <c r="J21" i="8"/>
  <c r="I21" i="8"/>
  <c r="H21" i="8"/>
  <c r="G21" i="8"/>
  <c r="J20" i="8"/>
  <c r="I20" i="8"/>
  <c r="H20" i="8"/>
  <c r="G20" i="8"/>
  <c r="J19" i="8"/>
  <c r="I19" i="8"/>
  <c r="H19" i="8"/>
  <c r="G19" i="8"/>
  <c r="J18" i="8"/>
  <c r="I18" i="8"/>
  <c r="H18" i="8"/>
  <c r="G18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N11" i="8" l="1"/>
  <c r="M13" i="8"/>
  <c r="M10" i="8"/>
  <c r="N19" i="8"/>
  <c r="N12" i="8"/>
  <c r="M12" i="8"/>
  <c r="M11" i="8"/>
  <c r="M20" i="8"/>
  <c r="M18" i="8"/>
  <c r="N20" i="8"/>
  <c r="N13" i="8"/>
  <c r="O20" i="8"/>
  <c r="O13" i="8"/>
  <c r="P13" i="8"/>
  <c r="M19" i="8"/>
  <c r="O1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<sst xmlns="http://schemas.openxmlformats.org/spreadsheetml/2006/main" count="62" uniqueCount="30">
  <si>
    <t>Time limit: 20 minutes</t>
  </si>
  <si>
    <t>Rename the file: please write both of the students' name into the file name</t>
  </si>
  <si>
    <t>It is sufficient if only ONE of the two members of the group upload the file in the Moodle</t>
  </si>
  <si>
    <t>Each exercise is worth 2 points.</t>
  </si>
  <si>
    <t>Do the work only in this excel file.</t>
  </si>
  <si>
    <t xml:space="preserve">You are allowed to open the book, you can use also use any additional material, except the help of another student other than your peer in the group. </t>
  </si>
  <si>
    <t>Prices (USD)</t>
  </si>
  <si>
    <t>RETURNS</t>
  </si>
  <si>
    <t>Date</t>
  </si>
  <si>
    <t>NFLX</t>
  </si>
  <si>
    <t>TSLA</t>
  </si>
  <si>
    <t>AMZN</t>
  </si>
  <si>
    <t>HSY</t>
  </si>
  <si>
    <t>-</t>
  </si>
  <si>
    <t>Average daily returns</t>
  </si>
  <si>
    <t>St. Deviation of returns</t>
  </si>
  <si>
    <t>Covariance matrix</t>
  </si>
  <si>
    <t>Correlation matrix</t>
  </si>
  <si>
    <t>Question 2</t>
  </si>
  <si>
    <t>Return of portfolio with 4 stocks</t>
  </si>
  <si>
    <t>Weight NFLX</t>
  </si>
  <si>
    <t>Weight TSLA</t>
  </si>
  <si>
    <t>Weight AMZN</t>
  </si>
  <si>
    <t>Weight HSY</t>
  </si>
  <si>
    <t>Return</t>
  </si>
  <si>
    <t>Variance</t>
  </si>
  <si>
    <t>St.dev</t>
  </si>
  <si>
    <t>Question 3a</t>
  </si>
  <si>
    <t>Return of portfolio with two stocks</t>
  </si>
  <si>
    <t>Question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</si>
</sst>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0.0000"/>
  </numFmts>
  <fonts count="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AF84"/>
        <bgColor rgb="FF000000"/>
      </patternFill>
    </fill>
    <fill>
      <patternFill patternType="solid">
        <fgColor rgb="FFF9D97C"/>
        <bgColor rgb="FF000000"/>
      </patternFill>
    </fill>
    <fill>
      <patternFill patternType="solid">
        <fgColor rgb="FF78748A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7" fillId="4" borderId="1" xfId="0" applyFont="1" applyFill="1" applyBorder="1"/>
    <xf numFmtId="0" fontId="4" fillId="2" borderId="1" xfId="0" applyFont="1" applyFill="1" applyBorder="1"/>
    <xf numFmtId="14" fontId="4" fillId="0" borderId="0" xfId="0" applyNumberFormat="1" applyFont="1"/>
    <xf numFmtId="10" fontId="0" fillId="0" borderId="1" xfId="2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4" fillId="5" borderId="1" xfId="0" applyNumberFormat="1" applyFont="1" applyFill="1" applyBorder="1"/>
    <xf numFmtId="165" fontId="4" fillId="0" borderId="1" xfId="0" applyNumberFormat="1" applyFont="1" applyBorder="1"/>
    <xf numFmtId="0" fontId="4" fillId="2" borderId="0" xfId="0" applyFont="1" applyFill="1"/>
    <xf numFmtId="0" fontId="5" fillId="0" borderId="1" xfId="0" applyFont="1" applyBorder="1"/>
    <xf numFmtId="10" fontId="4" fillId="0" borderId="1" xfId="2" applyNumberFormat="1" applyFont="1" applyBorder="1"/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</cellXfs>
  <cellStyles count="5">
    <cellStyle name="Normal" xfId="0" builtinId="0"/>
    <cellStyle name="Normal 2" xfId="3" xr:uid="{3874113A-A347-4FDE-B39E-F12382E28DFF}"/>
    <cellStyle name="Normál 2" xfId="1" xr:uid="{00000000-0005-0000-0000-000001000000}"/>
    <cellStyle name="Percent" xfId="2" builtinId="5"/>
    <cellStyle name="Percent 2" xfId="4" xr:uid="{41B9727B-B101-4AF3-B034-7A32BF02CE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171450</xdr:rowOff>
    </xdr:from>
    <xdr:to>
      <xdr:col>5</xdr:col>
      <xdr:colOff>19050</xdr:colOff>
      <xdr:row>20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6F1E89-B531-C726-5032-1A00F7838E7F}"/>
            </a:ext>
          </a:extLst>
        </xdr:cNvPr>
        <xdr:cNvSpPr txBox="1"/>
      </xdr:nvSpPr>
      <xdr:spPr>
        <a:xfrm>
          <a:off x="209550" y="171450"/>
          <a:ext cx="598170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/>
            <a:t>Question</a:t>
          </a:r>
          <a:r>
            <a:rPr lang="en-US" sz="1100" b="1" i="1" baseline="0"/>
            <a:t> 1.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Explain what is wrong with the following argument: “If a firm issues debt that is risk free, because there is no possibility of default, the risk of the firm’s equity does not change. Therefore, risk-free debt allows the firm to get the benefit of a low cost of capital of debt without raising its cost of capital of equity.”</a:t>
          </a:r>
          <a:endParaRPr lang="en-US">
            <a:effectLst/>
          </a:endParaRPr>
        </a:p>
        <a:p>
          <a:endParaRPr lang="en-US"/>
        </a:p>
        <a:p>
          <a:r>
            <a:rPr lang="en-US" sz="1100" b="1"/>
            <a:t>Answer: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 II says that the cost of capital of levered equity increases with the market debt-equity ratio.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Involving debt always raises the debt equity ratio, therefore the risk of equity, that will appear in higher cost of capital of equity.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Though the debt has a lower cost of capital, the cost of capital of equity rises, and altogether the cost of capital of the assets remains the same.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in all, changing capital structure by involving more debt doesn't change the expected return.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applies in a perfect market setting that means no tax, no arbitrage opportunity, no transaction cost.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 b="1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208893</xdr:colOff>
      <xdr:row>0</xdr:row>
      <xdr:rowOff>79483</xdr:rowOff>
    </xdr:from>
    <xdr:to>
      <xdr:col>9</xdr:col>
      <xdr:colOff>604345</xdr:colOff>
      <xdr:row>0</xdr:row>
      <xdr:rowOff>1519620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71E67-D1B7-46B9-99B1-16068A640246}"/>
            </a:ext>
          </a:extLst>
        </xdr:cNvPr>
        <xdr:cNvSpPr txBox="1"/>
      </xdr:nvSpPr>
      <xdr:spPr>
        <a:xfrm>
          <a:off x="208893" y="79483"/>
          <a:ext cx="6101693" cy="1440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Quiestion</a:t>
          </a:r>
          <a:r>
            <a:rPr lang="en-US" sz="1100" b="1" baseline="0"/>
            <a:t> 2</a:t>
          </a:r>
          <a:r>
            <a:rPr lang="en-US" sz="1100" b="1"/>
            <a:t>.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return and the standard deviation of a portfolio that consists of the 4 shares and they are equally weighted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3.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return and the  standard deviation of a portfolio that consists of AMZN and HSY shares and they are equally weighted.</a:t>
          </a:r>
          <a:r>
            <a:rPr lang="en-US"/>
            <a:t> </a:t>
          </a:r>
        </a:p>
        <a:p>
          <a:r>
            <a:rPr lang="en-US" sz="1100" b="1"/>
            <a:t>b) </a:t>
          </a:r>
          <a:r>
            <a:rPr lang="en-US" sz="1100"/>
            <a:t>Compare the</a:t>
          </a:r>
          <a:r>
            <a:rPr lang="en-US" sz="1100" baseline="0"/>
            <a:t> portfolio in </a:t>
          </a:r>
          <a:r>
            <a:rPr lang="en-US" sz="1100" b="1" baseline="0"/>
            <a:t>Question 2 </a:t>
          </a:r>
          <a:r>
            <a:rPr lang="en-US" sz="1100" baseline="0"/>
            <a:t>to the portfolio in </a:t>
          </a:r>
          <a:r>
            <a:rPr lang="en-US" sz="1100" b="1" baseline="0"/>
            <a:t>Question 3.a</a:t>
          </a:r>
          <a:r>
            <a:rPr lang="en-US" sz="1100"/>
            <a:t> and discuss why</a:t>
          </a:r>
          <a:r>
            <a:rPr lang="en-US" sz="1100" baseline="0"/>
            <a:t> the two portfolios have different performance.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182907</xdr:rowOff>
    </xdr:from>
    <xdr:to>
      <xdr:col>16</xdr:col>
      <xdr:colOff>3208</xdr:colOff>
      <xdr:row>53</xdr:row>
      <xdr:rowOff>88115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17AB74-16AC-477B-A668-FB3C76ABFF08}"/>
            </a:ext>
          </a:extLst>
        </xdr:cNvPr>
        <xdr:cNvSpPr txBox="1"/>
      </xdr:nvSpPr>
      <xdr:spPr>
        <a:xfrm>
          <a:off x="6919536" y="9341309"/>
          <a:ext cx="5004651" cy="2654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first portfolio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to larger returns, which is in large part due to TSLA being part of the portfolio, which has by far the highest average daily returns. 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first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portfolio has higher variance and standard deviation, which can also be connected to TSLA being part of the portfolio as it has the highest standard deviation.</a:t>
          </a:r>
          <a:endParaRPr lang="en-US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observations are in line with more risky portfolios yielding higher returns. </a:t>
          </a:r>
          <a:endParaRPr lang="en-US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portfolio with 4 stocks has higher positive correlations between the individual securities, while the portfolio with 2 stocks has two options with lower correlations, meaning it is mainly only prone to systematic risk. 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workbookViewId="0">
      <selection activeCell="C25" sqref="C25"/>
    </sheetView>
  </sheetViews>
  <sheetFormatPr defaultRowHeight="14.45"/>
  <sheetData>
    <row r="2" spans="2:2">
      <c r="B2" t="s">
        <v>0</v>
      </c>
    </row>
    <row r="4" spans="2:2">
      <c r="B4" t="s">
        <v>1</v>
      </c>
    </row>
    <row r="6" spans="2:2">
      <c r="B6" t="s">
        <v>2</v>
      </c>
    </row>
    <row r="8" spans="2:2">
      <c r="B8" t="s">
        <v>3</v>
      </c>
    </row>
    <row r="10" spans="2:2">
      <c r="B10" t="s">
        <v>4</v>
      </c>
    </row>
    <row r="12" spans="2:2"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169E-7D75-42A2-8F02-0B84EBBA80B4}">
  <dimension ref="B9:F31"/>
  <sheetViews>
    <sheetView workbookViewId="0">
      <selection activeCell="F10" sqref="F10"/>
    </sheetView>
  </sheetViews>
  <sheetFormatPr defaultRowHeight="14.45"/>
  <cols>
    <col min="1" max="1" width="24.5703125" bestFit="1" customWidth="1"/>
    <col min="2" max="2" width="10.85546875" bestFit="1" customWidth="1"/>
    <col min="4" max="4" width="37.140625" bestFit="1" customWidth="1"/>
    <col min="5" max="5" width="10.85546875" style="3" bestFit="1" customWidth="1"/>
  </cols>
  <sheetData>
    <row r="9" spans="6:6">
      <c r="F9">
        <v>2</v>
      </c>
    </row>
    <row r="24" spans="2:5">
      <c r="B24" s="1"/>
      <c r="E24" s="4"/>
    </row>
    <row r="25" spans="2:5">
      <c r="B25" s="1"/>
      <c r="E25" s="4"/>
    </row>
    <row r="26" spans="2:5">
      <c r="B26" s="1"/>
      <c r="E26" s="4"/>
    </row>
    <row r="27" spans="2:5">
      <c r="B27" s="1"/>
      <c r="E27" s="4"/>
    </row>
    <row r="28" spans="2:5">
      <c r="B28" s="1"/>
      <c r="D28" s="2"/>
      <c r="E28" s="4"/>
    </row>
    <row r="29" spans="2:5">
      <c r="B29" s="1"/>
      <c r="D29" s="2"/>
      <c r="E29" s="4"/>
    </row>
    <row r="30" spans="2:5">
      <c r="B30" s="1"/>
      <c r="E30" s="4"/>
    </row>
    <row r="31" spans="2:5">
      <c r="B3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9E7D-7E1B-4AEF-B631-FABD4FA1128E}">
  <dimension ref="A1:Q759"/>
  <sheetViews>
    <sheetView tabSelected="1" topLeftCell="C27" zoomScale="97" workbookViewId="0">
      <selection activeCell="Q46" sqref="Q46"/>
    </sheetView>
  </sheetViews>
  <sheetFormatPr defaultColWidth="8.85546875" defaultRowHeight="14.45"/>
  <cols>
    <col min="2" max="2" width="11" bestFit="1" customWidth="1"/>
    <col min="12" max="12" width="22.85546875" bestFit="1" customWidth="1"/>
    <col min="13" max="13" width="13.42578125" bestFit="1" customWidth="1"/>
    <col min="14" max="15" width="12.42578125" bestFit="1" customWidth="1"/>
    <col min="16" max="16" width="10.5703125" bestFit="1" customWidth="1"/>
  </cols>
  <sheetData>
    <row r="1" spans="1:17" ht="130.5" customHeight="1">
      <c r="A1" s="25"/>
      <c r="B1" s="2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6">
      <c r="A2" s="5"/>
      <c r="B2" s="6"/>
      <c r="C2" s="21" t="s">
        <v>6</v>
      </c>
      <c r="D2" s="22"/>
      <c r="E2" s="22"/>
      <c r="F2" s="23"/>
      <c r="G2" s="21" t="s">
        <v>7</v>
      </c>
      <c r="H2" s="22"/>
      <c r="I2" s="22"/>
      <c r="J2" s="23"/>
      <c r="K2" s="5"/>
      <c r="L2" s="5"/>
      <c r="M2" s="5"/>
      <c r="N2" s="5"/>
      <c r="O2" s="5"/>
      <c r="P2" s="5"/>
      <c r="Q2" s="5"/>
    </row>
    <row r="3" spans="1:17" ht="18.600000000000001">
      <c r="A3" s="5"/>
      <c r="B3" s="7" t="s">
        <v>8</v>
      </c>
      <c r="C3" s="8" t="s">
        <v>9</v>
      </c>
      <c r="D3" s="9" t="s">
        <v>10</v>
      </c>
      <c r="E3" s="9" t="s">
        <v>11</v>
      </c>
      <c r="F3" s="9" t="s">
        <v>12</v>
      </c>
      <c r="G3" s="10" t="s">
        <v>9</v>
      </c>
      <c r="H3" s="10" t="s">
        <v>10</v>
      </c>
      <c r="I3" s="10" t="s">
        <v>11</v>
      </c>
      <c r="J3" s="10" t="s">
        <v>12</v>
      </c>
      <c r="K3" s="5"/>
      <c r="L3" s="5"/>
      <c r="M3" s="11" t="s">
        <v>9</v>
      </c>
      <c r="N3" s="11" t="s">
        <v>10</v>
      </c>
      <c r="O3" s="11" t="s">
        <v>11</v>
      </c>
      <c r="P3" s="11" t="s">
        <v>12</v>
      </c>
      <c r="Q3" s="5"/>
    </row>
    <row r="4" spans="1:17" ht="15.6">
      <c r="A4" s="5"/>
      <c r="B4" s="12">
        <v>43892</v>
      </c>
      <c r="C4" s="5">
        <v>381.05</v>
      </c>
      <c r="D4" s="5">
        <v>49.57</v>
      </c>
      <c r="E4" s="5">
        <v>97.7</v>
      </c>
      <c r="F4" s="5">
        <v>143.61000000000001</v>
      </c>
      <c r="G4" s="5" t="s">
        <v>13</v>
      </c>
      <c r="H4" s="5" t="s">
        <v>13</v>
      </c>
      <c r="I4" s="5" t="s">
        <v>13</v>
      </c>
      <c r="J4" s="5" t="s">
        <v>13</v>
      </c>
      <c r="K4" s="5"/>
      <c r="L4" s="11" t="s">
        <v>14</v>
      </c>
      <c r="M4" s="13">
        <f>AVERAGE(G5:G758)</f>
        <v>3.4031220161062327E-4</v>
      </c>
      <c r="N4" s="13">
        <f t="shared" ref="N4:P4" si="0">AVERAGE(H5:H758)</f>
        <v>2.8705696343972412E-3</v>
      </c>
      <c r="O4" s="13">
        <f t="shared" si="0"/>
        <v>2.6449384024194338E-4</v>
      </c>
      <c r="P4" s="13">
        <f t="shared" si="0"/>
        <v>8.0637279493340217E-4</v>
      </c>
      <c r="Q4" s="5"/>
    </row>
    <row r="5" spans="1:17" ht="15.6">
      <c r="A5" s="5"/>
      <c r="B5" s="12">
        <v>43893</v>
      </c>
      <c r="C5" s="5">
        <v>368.77</v>
      </c>
      <c r="D5" s="5">
        <v>49.7</v>
      </c>
      <c r="E5" s="5">
        <v>95.45</v>
      </c>
      <c r="F5" s="5">
        <v>144.68</v>
      </c>
      <c r="G5" s="5">
        <f>(C5/C4)-1</f>
        <v>-3.2226741897388833E-2</v>
      </c>
      <c r="H5" s="5">
        <f t="shared" ref="H5:J20" si="1">(D5/D4)-1</f>
        <v>2.6225539640911677E-3</v>
      </c>
      <c r="I5" s="5">
        <f t="shared" si="1"/>
        <v>-2.3029682702149445E-2</v>
      </c>
      <c r="J5" s="5">
        <f t="shared" si="1"/>
        <v>7.4507346285077602E-3</v>
      </c>
      <c r="K5" s="5"/>
      <c r="L5" s="11" t="s">
        <v>15</v>
      </c>
      <c r="M5" s="14">
        <f>SQRT(M10)</f>
        <v>3.2726245735688816E-2</v>
      </c>
      <c r="N5" s="14">
        <f>SQRT(N11)</f>
        <v>4.4278037566934256E-2</v>
      </c>
      <c r="O5" s="14">
        <f>SQRT(O12)</f>
        <v>2.4992852330111962E-2</v>
      </c>
      <c r="P5" s="14">
        <f>SQRT(P13)</f>
        <v>1.6236531346669813E-2</v>
      </c>
      <c r="Q5" s="5"/>
    </row>
    <row r="6" spans="1:17" ht="15.6">
      <c r="A6" s="5"/>
      <c r="B6" s="12">
        <v>43894</v>
      </c>
      <c r="C6" s="5">
        <v>383.79</v>
      </c>
      <c r="D6" s="5">
        <v>49.97</v>
      </c>
      <c r="E6" s="5">
        <v>98.79</v>
      </c>
      <c r="F6" s="5">
        <v>151.71</v>
      </c>
      <c r="G6" s="5">
        <f t="shared" ref="G6:J69" si="2">(C6/C5)-1</f>
        <v>4.0729994305393813E-2</v>
      </c>
      <c r="H6" s="5">
        <f t="shared" si="1"/>
        <v>5.4325955734406683E-3</v>
      </c>
      <c r="I6" s="5">
        <f t="shared" si="1"/>
        <v>3.499214248297533E-2</v>
      </c>
      <c r="J6" s="5">
        <f t="shared" si="1"/>
        <v>4.8589991705833668E-2</v>
      </c>
      <c r="K6" s="5"/>
      <c r="M6" s="15"/>
      <c r="N6" s="15"/>
      <c r="O6" s="15"/>
      <c r="P6" s="15"/>
      <c r="Q6" s="5"/>
    </row>
    <row r="7" spans="1:17" ht="15.6">
      <c r="A7" s="5"/>
      <c r="B7" s="12">
        <v>43895</v>
      </c>
      <c r="C7" s="5">
        <v>372.78</v>
      </c>
      <c r="D7" s="5">
        <v>48.3</v>
      </c>
      <c r="E7" s="5">
        <v>96.2</v>
      </c>
      <c r="F7" s="5">
        <v>149.87</v>
      </c>
      <c r="G7" s="5">
        <f t="shared" si="2"/>
        <v>-2.8687563511295311E-2</v>
      </c>
      <c r="H7" s="5">
        <f t="shared" si="1"/>
        <v>-3.3420052031218783E-2</v>
      </c>
      <c r="I7" s="5">
        <f t="shared" si="1"/>
        <v>-2.621722846441954E-2</v>
      </c>
      <c r="J7" s="5">
        <f t="shared" si="1"/>
        <v>-1.2128402873904154E-2</v>
      </c>
      <c r="K7" s="5"/>
      <c r="Q7" s="5"/>
    </row>
    <row r="8" spans="1:17" ht="15.6">
      <c r="A8" s="5"/>
      <c r="B8" s="12">
        <v>43896</v>
      </c>
      <c r="C8" s="5">
        <v>368.97</v>
      </c>
      <c r="D8" s="5">
        <v>46.9</v>
      </c>
      <c r="E8" s="5">
        <v>95.05</v>
      </c>
      <c r="F8" s="5">
        <v>147.32</v>
      </c>
      <c r="G8" s="5">
        <f t="shared" si="2"/>
        <v>-1.0220505391919987E-2</v>
      </c>
      <c r="H8" s="5">
        <f t="shared" si="1"/>
        <v>-2.8985507246376829E-2</v>
      </c>
      <c r="I8" s="5">
        <f t="shared" si="1"/>
        <v>-1.1954261954261969E-2</v>
      </c>
      <c r="J8" s="5">
        <f t="shared" si="1"/>
        <v>-1.7014746113298229E-2</v>
      </c>
      <c r="K8" s="5"/>
      <c r="Q8" s="5"/>
    </row>
    <row r="9" spans="1:17" ht="15.6">
      <c r="A9" s="5"/>
      <c r="B9" s="12">
        <v>43899</v>
      </c>
      <c r="C9" s="5">
        <v>346.49</v>
      </c>
      <c r="D9" s="5">
        <v>40.53</v>
      </c>
      <c r="E9" s="5">
        <v>90.03</v>
      </c>
      <c r="F9" s="5">
        <v>142.33000000000001</v>
      </c>
      <c r="G9" s="5">
        <f t="shared" si="2"/>
        <v>-6.0926362576903315E-2</v>
      </c>
      <c r="H9" s="5">
        <f t="shared" si="1"/>
        <v>-0.13582089552238796</v>
      </c>
      <c r="I9" s="5">
        <f t="shared" si="1"/>
        <v>-5.281430825881106E-2</v>
      </c>
      <c r="J9" s="5">
        <f t="shared" si="1"/>
        <v>-3.3871843605756013E-2</v>
      </c>
      <c r="K9" s="5"/>
      <c r="L9" s="11" t="s">
        <v>16</v>
      </c>
      <c r="M9" s="11" t="s">
        <v>9</v>
      </c>
      <c r="N9" s="11" t="s">
        <v>10</v>
      </c>
      <c r="O9" s="11" t="s">
        <v>11</v>
      </c>
      <c r="P9" s="11" t="s">
        <v>12</v>
      </c>
      <c r="Q9" s="5"/>
    </row>
    <row r="10" spans="1:17" ht="15.6">
      <c r="A10" s="5"/>
      <c r="B10" s="12">
        <v>43900</v>
      </c>
      <c r="C10" s="5">
        <v>364.13</v>
      </c>
      <c r="D10" s="5">
        <v>43.02</v>
      </c>
      <c r="E10" s="5">
        <v>94.59</v>
      </c>
      <c r="F10" s="5">
        <v>145.68</v>
      </c>
      <c r="G10" s="5">
        <f t="shared" si="2"/>
        <v>5.0910560189327159E-2</v>
      </c>
      <c r="H10" s="5">
        <f t="shared" si="1"/>
        <v>6.1435973353071827E-2</v>
      </c>
      <c r="I10" s="5">
        <f t="shared" si="1"/>
        <v>5.0649783405531501E-2</v>
      </c>
      <c r="J10" s="5">
        <f t="shared" si="1"/>
        <v>2.3536850980116597E-2</v>
      </c>
      <c r="K10" s="5"/>
      <c r="L10" s="11" t="s">
        <v>9</v>
      </c>
      <c r="M10" s="16">
        <f>_xlfn.COVARIANCE.P(G4:G758,G4:G758)</f>
        <v>1.0710071599526905E-3</v>
      </c>
      <c r="N10" s="17">
        <v>5.9493358622032604E-4</v>
      </c>
      <c r="O10" s="17">
        <v>5.2439418550442797E-4</v>
      </c>
      <c r="P10" s="17">
        <v>8.2081584308020414E-5</v>
      </c>
      <c r="Q10" s="5"/>
    </row>
    <row r="11" spans="1:17" ht="15.6">
      <c r="A11" s="5"/>
      <c r="B11" s="12">
        <v>43901</v>
      </c>
      <c r="C11" s="5">
        <v>349.92</v>
      </c>
      <c r="D11" s="5">
        <v>42.28</v>
      </c>
      <c r="E11" s="5">
        <v>91.04</v>
      </c>
      <c r="F11" s="5">
        <v>140.22999999999999</v>
      </c>
      <c r="G11" s="5">
        <f t="shared" si="2"/>
        <v>-3.902452420838709E-2</v>
      </c>
      <c r="H11" s="5">
        <f t="shared" si="1"/>
        <v>-1.7201301720130235E-2</v>
      </c>
      <c r="I11" s="5">
        <f t="shared" si="1"/>
        <v>-3.7530394333439077E-2</v>
      </c>
      <c r="J11" s="5">
        <f t="shared" si="1"/>
        <v>-3.7410763316858997E-2</v>
      </c>
      <c r="K11" s="5"/>
      <c r="L11" s="11" t="s">
        <v>10</v>
      </c>
      <c r="M11" s="17">
        <f>_xlfn.COVARIANCE.P(H4:H758,G4:G758)</f>
        <v>5.9493358622032604E-4</v>
      </c>
      <c r="N11" s="16">
        <f>_xlfn.COVARIANCE.P(H4:H758,H4:H758)</f>
        <v>1.9605446107788414E-3</v>
      </c>
      <c r="O11" s="17">
        <v>5.2439418550442797E-4</v>
      </c>
      <c r="P11" s="17">
        <v>8.8006284873645612E-5</v>
      </c>
      <c r="Q11" s="5"/>
    </row>
    <row r="12" spans="1:17" ht="15.6">
      <c r="A12" s="5"/>
      <c r="B12" s="12">
        <v>43902</v>
      </c>
      <c r="C12" s="5">
        <v>315.25</v>
      </c>
      <c r="D12" s="5">
        <v>37.369999999999997</v>
      </c>
      <c r="E12" s="5">
        <v>83.83</v>
      </c>
      <c r="F12" s="5">
        <v>125.24</v>
      </c>
      <c r="G12" s="5">
        <f t="shared" si="2"/>
        <v>-9.907978966620945E-2</v>
      </c>
      <c r="H12" s="5">
        <f t="shared" si="1"/>
        <v>-0.11613055818353835</v>
      </c>
      <c r="I12" s="5">
        <f t="shared" si="1"/>
        <v>-7.9195957820738183E-2</v>
      </c>
      <c r="J12" s="5">
        <f t="shared" si="1"/>
        <v>-0.10689581401982451</v>
      </c>
      <c r="K12" s="5"/>
      <c r="L12" s="11" t="s">
        <v>11</v>
      </c>
      <c r="M12" s="17">
        <f>_xlfn.COVARIANCE.P(I4:I758,H4:H758)</f>
        <v>5.2439418550442797E-4</v>
      </c>
      <c r="N12" s="17">
        <f>_xlfn.COVARIANCE.P(I4:I758,H4:H758)</f>
        <v>5.2439418550442797E-4</v>
      </c>
      <c r="O12" s="16">
        <f>_xlfn.COVARIANCE.P(I4:I758,I4:I758)</f>
        <v>6.2464266759478296E-4</v>
      </c>
      <c r="P12" s="17">
        <v>8.8006284873645612E-5</v>
      </c>
      <c r="Q12" s="5"/>
    </row>
    <row r="13" spans="1:17" ht="15.6">
      <c r="A13" s="5"/>
      <c r="B13" s="12">
        <v>43903</v>
      </c>
      <c r="C13" s="5">
        <v>336.3</v>
      </c>
      <c r="D13" s="5">
        <v>36.44</v>
      </c>
      <c r="E13" s="5">
        <v>89.25</v>
      </c>
      <c r="F13" s="5">
        <v>131.81</v>
      </c>
      <c r="G13" s="5">
        <f t="shared" si="2"/>
        <v>6.6772402854877067E-2</v>
      </c>
      <c r="H13" s="5">
        <f t="shared" si="1"/>
        <v>-2.4886272411024923E-2</v>
      </c>
      <c r="I13" s="5">
        <f t="shared" si="1"/>
        <v>6.465465823690808E-2</v>
      </c>
      <c r="J13" s="5">
        <f t="shared" si="1"/>
        <v>5.2459278185883251E-2</v>
      </c>
      <c r="K13" s="5"/>
      <c r="L13" s="11" t="s">
        <v>12</v>
      </c>
      <c r="M13" s="17">
        <f>_xlfn.COVARIANCE.P(G4:G758,J4:J758)</f>
        <v>8.2081584308020414E-5</v>
      </c>
      <c r="N13" s="17">
        <f>_xlfn.COVARIANCE.P(J4:J758,I4:I758)</f>
        <v>8.8006284873645612E-5</v>
      </c>
      <c r="O13" s="17">
        <f>_xlfn.COVARIANCE.P(J4:J758,I4:I758)</f>
        <v>8.8006284873645612E-5</v>
      </c>
      <c r="P13" s="16">
        <f>_xlfn.COVARIANCE.P(J4:J758,J4:J758)</f>
        <v>2.636249501713915E-4</v>
      </c>
      <c r="Q13" s="5"/>
    </row>
    <row r="14" spans="1:17" ht="15.6">
      <c r="A14" s="5"/>
      <c r="B14" s="12">
        <v>43906</v>
      </c>
      <c r="C14" s="5">
        <v>298.83999999999997</v>
      </c>
      <c r="D14" s="5">
        <v>29.67</v>
      </c>
      <c r="E14" s="5">
        <v>84.46</v>
      </c>
      <c r="F14" s="5">
        <v>118.7</v>
      </c>
      <c r="G14" s="5">
        <f t="shared" si="2"/>
        <v>-0.11138864109426116</v>
      </c>
      <c r="H14" s="5">
        <f t="shared" si="1"/>
        <v>-0.18578485181119642</v>
      </c>
      <c r="I14" s="5">
        <f t="shared" si="1"/>
        <v>-5.36694677871149E-2</v>
      </c>
      <c r="J14" s="5">
        <f t="shared" si="1"/>
        <v>-9.9461345876640572E-2</v>
      </c>
      <c r="K14" s="5"/>
      <c r="L14" s="5"/>
      <c r="M14" s="5"/>
      <c r="N14" s="5"/>
      <c r="O14" s="5"/>
      <c r="P14" s="5"/>
      <c r="Q14" s="5"/>
    </row>
    <row r="15" spans="1:17" ht="15.6">
      <c r="A15" s="5"/>
      <c r="B15" s="12">
        <v>43907</v>
      </c>
      <c r="C15" s="5">
        <v>319.75</v>
      </c>
      <c r="D15" s="5">
        <v>28.68</v>
      </c>
      <c r="E15" s="5">
        <v>90.39</v>
      </c>
      <c r="F15" s="5">
        <v>131.11000000000001</v>
      </c>
      <c r="G15" s="5">
        <f t="shared" si="2"/>
        <v>6.99705528041763E-2</v>
      </c>
      <c r="H15" s="5">
        <f t="shared" si="1"/>
        <v>-3.3367037411526912E-2</v>
      </c>
      <c r="I15" s="5">
        <f t="shared" si="1"/>
        <v>7.0210750651195974E-2</v>
      </c>
      <c r="J15" s="5">
        <f t="shared" si="1"/>
        <v>0.1045492839090143</v>
      </c>
      <c r="K15" s="5"/>
      <c r="L15" s="5"/>
      <c r="M15" s="5"/>
      <c r="N15" s="5"/>
      <c r="O15" s="5"/>
      <c r="P15" s="5"/>
      <c r="Q15" s="5"/>
    </row>
    <row r="16" spans="1:17" ht="15.6">
      <c r="A16" s="5"/>
      <c r="B16" s="12">
        <v>43908</v>
      </c>
      <c r="C16" s="5">
        <v>315.47000000000003</v>
      </c>
      <c r="D16" s="5">
        <v>24.08</v>
      </c>
      <c r="E16" s="5">
        <v>91.5</v>
      </c>
      <c r="F16" s="5">
        <v>109.44</v>
      </c>
      <c r="G16" s="5">
        <f t="shared" si="2"/>
        <v>-1.3385457388584765E-2</v>
      </c>
      <c r="H16" s="5">
        <f t="shared" si="1"/>
        <v>-0.16039051603905163</v>
      </c>
      <c r="I16" s="5">
        <f t="shared" si="1"/>
        <v>1.2280119482243501E-2</v>
      </c>
      <c r="J16" s="5">
        <f t="shared" si="1"/>
        <v>-0.16528106170391288</v>
      </c>
      <c r="K16" s="5"/>
      <c r="L16" s="11" t="s">
        <v>17</v>
      </c>
      <c r="M16" s="11" t="s">
        <v>9</v>
      </c>
      <c r="N16" s="11" t="s">
        <v>10</v>
      </c>
      <c r="O16" s="11" t="s">
        <v>11</v>
      </c>
      <c r="P16" s="11" t="s">
        <v>12</v>
      </c>
      <c r="Q16" s="5"/>
    </row>
    <row r="17" spans="1:17" ht="15.6">
      <c r="A17" s="5"/>
      <c r="B17" s="12">
        <v>43909</v>
      </c>
      <c r="C17" s="5">
        <v>332.03</v>
      </c>
      <c r="D17" s="5">
        <v>28.51</v>
      </c>
      <c r="E17" s="5">
        <v>94.05</v>
      </c>
      <c r="F17" s="5">
        <v>114.8</v>
      </c>
      <c r="G17" s="5">
        <f t="shared" si="2"/>
        <v>5.2493105525089456E-2</v>
      </c>
      <c r="H17" s="5">
        <f t="shared" si="1"/>
        <v>0.18397009966777422</v>
      </c>
      <c r="I17" s="5">
        <f t="shared" si="1"/>
        <v>2.7868852459016269E-2</v>
      </c>
      <c r="J17" s="5">
        <f t="shared" si="1"/>
        <v>4.8976608187134563E-2</v>
      </c>
      <c r="K17" s="5"/>
      <c r="L17" s="11" t="s">
        <v>9</v>
      </c>
      <c r="M17" s="17">
        <v>1</v>
      </c>
      <c r="N17" s="17"/>
      <c r="O17" s="17"/>
      <c r="P17" s="17"/>
      <c r="Q17" s="5"/>
    </row>
    <row r="18" spans="1:17" ht="15.6">
      <c r="A18" s="5"/>
      <c r="B18" s="12">
        <v>43910</v>
      </c>
      <c r="C18" s="5">
        <v>332.83</v>
      </c>
      <c r="D18" s="5">
        <v>28.5</v>
      </c>
      <c r="E18" s="5">
        <v>92.3</v>
      </c>
      <c r="F18" s="5">
        <v>110.97</v>
      </c>
      <c r="G18" s="5">
        <f t="shared" si="2"/>
        <v>2.4094208354668023E-3</v>
      </c>
      <c r="H18" s="5">
        <f t="shared" si="1"/>
        <v>-3.5075412136098549E-4</v>
      </c>
      <c r="I18" s="5">
        <f t="shared" si="1"/>
        <v>-1.8607123870281739E-2</v>
      </c>
      <c r="J18" s="5">
        <f t="shared" si="1"/>
        <v>-3.3362369337979092E-2</v>
      </c>
      <c r="K18" s="5"/>
      <c r="L18" s="11" t="s">
        <v>10</v>
      </c>
      <c r="M18" s="17">
        <f>CORREL(G4:G758,H4:H758)</f>
        <v>0.41056690201365564</v>
      </c>
      <c r="N18" s="17">
        <v>1</v>
      </c>
      <c r="O18" s="17"/>
      <c r="P18" s="17"/>
      <c r="Q18" s="5"/>
    </row>
    <row r="19" spans="1:17" ht="15.6">
      <c r="A19" s="5"/>
      <c r="B19" s="12">
        <v>43913</v>
      </c>
      <c r="C19" s="5">
        <v>360.27</v>
      </c>
      <c r="D19" s="5">
        <v>28.95</v>
      </c>
      <c r="E19" s="5">
        <v>95.14</v>
      </c>
      <c r="F19" s="5">
        <v>105.03</v>
      </c>
      <c r="G19" s="5">
        <f t="shared" si="2"/>
        <v>8.2444491181684398E-2</v>
      </c>
      <c r="H19" s="5">
        <f t="shared" si="1"/>
        <v>1.5789473684210575E-2</v>
      </c>
      <c r="I19" s="5">
        <f t="shared" si="1"/>
        <v>3.0769230769230882E-2</v>
      </c>
      <c r="J19" s="5">
        <f t="shared" si="1"/>
        <v>-5.352798053527974E-2</v>
      </c>
      <c r="K19" s="5"/>
      <c r="L19" s="11" t="s">
        <v>11</v>
      </c>
      <c r="M19" s="17">
        <f>CORREL(G4:G758,I4:I758)</f>
        <v>0.59018690558524112</v>
      </c>
      <c r="N19" s="17">
        <f>CORREL(H4:H758,I4:I758)</f>
        <v>0.47386396061506181</v>
      </c>
      <c r="O19" s="17">
        <v>1</v>
      </c>
      <c r="P19" s="17"/>
      <c r="Q19" s="5"/>
    </row>
    <row r="20" spans="1:17" ht="15.6">
      <c r="A20" s="5"/>
      <c r="B20" s="12">
        <v>43914</v>
      </c>
      <c r="C20" s="5">
        <v>357.32</v>
      </c>
      <c r="D20" s="5">
        <v>33.67</v>
      </c>
      <c r="E20" s="5">
        <v>97</v>
      </c>
      <c r="F20" s="5">
        <v>114.92</v>
      </c>
      <c r="G20" s="5">
        <f t="shared" si="2"/>
        <v>-8.1883032170316783E-3</v>
      </c>
      <c r="H20" s="5">
        <f t="shared" si="1"/>
        <v>0.16303972366148534</v>
      </c>
      <c r="I20" s="5">
        <f t="shared" si="1"/>
        <v>1.9550136640740012E-2</v>
      </c>
      <c r="J20" s="5">
        <f t="shared" si="1"/>
        <v>9.4163572312672583E-2</v>
      </c>
      <c r="K20" s="5"/>
      <c r="L20" s="11" t="s">
        <v>12</v>
      </c>
      <c r="M20" s="17">
        <f>CORREL(J4:J758,G4:G758)</f>
        <v>0.15447431853746621</v>
      </c>
      <c r="N20" s="17">
        <f>CORREL(J4:J758,H4:H758)</f>
        <v>0.20700645590400793</v>
      </c>
      <c r="O20" s="17">
        <f>CORREL(J4:J758,I4:I758)</f>
        <v>0.21687256171872837</v>
      </c>
      <c r="P20" s="17">
        <v>1</v>
      </c>
      <c r="Q20" s="5"/>
    </row>
    <row r="21" spans="1:17" ht="15.6">
      <c r="A21" s="5"/>
      <c r="B21" s="12">
        <v>43915</v>
      </c>
      <c r="C21" s="5">
        <v>342.39</v>
      </c>
      <c r="D21" s="5">
        <v>35.950000000000003</v>
      </c>
      <c r="E21" s="5">
        <v>94.29</v>
      </c>
      <c r="F21" s="5">
        <v>118.9</v>
      </c>
      <c r="G21" s="5">
        <f t="shared" si="2"/>
        <v>-4.1783275495354322E-2</v>
      </c>
      <c r="H21" s="5">
        <f t="shared" si="2"/>
        <v>6.7716067716067752E-2</v>
      </c>
      <c r="I21" s="5">
        <f t="shared" si="2"/>
        <v>-2.793814432989683E-2</v>
      </c>
      <c r="J21" s="5">
        <f t="shared" si="2"/>
        <v>3.4632788026453198E-2</v>
      </c>
      <c r="K21" s="5"/>
      <c r="L21" s="5"/>
      <c r="M21" s="5"/>
      <c r="N21" s="5"/>
      <c r="O21" s="5"/>
      <c r="P21" s="5"/>
      <c r="Q21" s="5"/>
    </row>
    <row r="22" spans="1:17" ht="15.6">
      <c r="A22" s="5"/>
      <c r="B22" s="12">
        <v>43916</v>
      </c>
      <c r="C22" s="5">
        <v>362.99</v>
      </c>
      <c r="D22" s="5">
        <v>35.21</v>
      </c>
      <c r="E22" s="5">
        <v>97.77</v>
      </c>
      <c r="F22" s="5">
        <v>124.85</v>
      </c>
      <c r="G22" s="5">
        <f t="shared" si="2"/>
        <v>6.0165308566255016E-2</v>
      </c>
      <c r="H22" s="5">
        <f t="shared" si="2"/>
        <v>-2.0584144645340752E-2</v>
      </c>
      <c r="I22" s="5">
        <f t="shared" si="2"/>
        <v>3.6907413299395397E-2</v>
      </c>
      <c r="J22" s="5">
        <f t="shared" si="2"/>
        <v>5.0042052144659177E-2</v>
      </c>
      <c r="K22" s="5"/>
      <c r="L22" s="5"/>
      <c r="M22" s="5"/>
      <c r="N22" s="5"/>
      <c r="O22" s="5"/>
      <c r="P22" s="5"/>
      <c r="Q22" s="5"/>
    </row>
    <row r="23" spans="1:17" ht="15.6">
      <c r="A23" s="5"/>
      <c r="B23" s="12">
        <v>43917</v>
      </c>
      <c r="C23" s="5">
        <v>357.12</v>
      </c>
      <c r="D23" s="5">
        <v>34.29</v>
      </c>
      <c r="E23" s="5">
        <v>95</v>
      </c>
      <c r="F23" s="5">
        <v>123.33</v>
      </c>
      <c r="G23" s="5">
        <f t="shared" si="2"/>
        <v>-1.6171244386897765E-2</v>
      </c>
      <c r="H23" s="5">
        <f t="shared" si="2"/>
        <v>-2.6128940641863108E-2</v>
      </c>
      <c r="I23" s="5">
        <f t="shared" si="2"/>
        <v>-2.8331799120384527E-2</v>
      </c>
      <c r="J23" s="5">
        <f t="shared" si="2"/>
        <v>-1.2174609531437675E-2</v>
      </c>
      <c r="K23" s="5"/>
      <c r="L23" s="18" t="s">
        <v>18</v>
      </c>
      <c r="M23" s="5" t="s">
        <v>19</v>
      </c>
      <c r="N23" s="5"/>
      <c r="O23" s="5"/>
      <c r="P23" s="5"/>
      <c r="Q23" s="5"/>
    </row>
    <row r="24" spans="1:17" ht="15.6">
      <c r="A24" s="5"/>
      <c r="B24" s="12">
        <v>43920</v>
      </c>
      <c r="C24" s="5">
        <v>370.96</v>
      </c>
      <c r="D24" s="5">
        <v>33.479999999999997</v>
      </c>
      <c r="E24" s="5">
        <v>98.2</v>
      </c>
      <c r="F24" s="5">
        <v>129.87</v>
      </c>
      <c r="G24" s="5">
        <f t="shared" si="2"/>
        <v>3.8754480286738335E-2</v>
      </c>
      <c r="H24" s="5">
        <f t="shared" si="2"/>
        <v>-2.3622047244094557E-2</v>
      </c>
      <c r="I24" s="5">
        <f t="shared" si="2"/>
        <v>3.3684210526315761E-2</v>
      </c>
      <c r="J24" s="5">
        <f t="shared" si="2"/>
        <v>5.3028460228654817E-2</v>
      </c>
      <c r="K24" s="5"/>
      <c r="M24" s="5"/>
      <c r="N24" s="5"/>
      <c r="O24" s="5"/>
      <c r="P24" s="5"/>
      <c r="Q24" s="5"/>
    </row>
    <row r="25" spans="1:17" ht="15.6">
      <c r="A25" s="5"/>
      <c r="B25" s="12">
        <v>43921</v>
      </c>
      <c r="C25" s="5">
        <v>375.5</v>
      </c>
      <c r="D25" s="5">
        <v>34.93</v>
      </c>
      <c r="E25" s="5">
        <v>97.49</v>
      </c>
      <c r="F25" s="5">
        <v>124.89</v>
      </c>
      <c r="G25" s="5">
        <f t="shared" si="2"/>
        <v>1.2238516282079059E-2</v>
      </c>
      <c r="H25" s="5">
        <f t="shared" si="2"/>
        <v>4.3309438470728878E-2</v>
      </c>
      <c r="I25" s="5">
        <f t="shared" si="2"/>
        <v>-7.2301425661914775E-3</v>
      </c>
      <c r="J25" s="5">
        <f t="shared" si="2"/>
        <v>-3.8346038346038336E-2</v>
      </c>
      <c r="K25" s="5"/>
      <c r="L25" s="19" t="s">
        <v>20</v>
      </c>
      <c r="M25" s="19" t="s">
        <v>21</v>
      </c>
      <c r="N25" s="19" t="s">
        <v>22</v>
      </c>
      <c r="O25" s="19" t="s">
        <v>23</v>
      </c>
      <c r="P25" s="5"/>
      <c r="Q25" s="5"/>
    </row>
    <row r="26" spans="1:17" ht="15.6">
      <c r="A26" s="5"/>
      <c r="B26" s="12">
        <v>43922</v>
      </c>
      <c r="C26" s="5">
        <v>364.08</v>
      </c>
      <c r="D26" s="5">
        <v>32.1</v>
      </c>
      <c r="E26" s="5">
        <v>95.39</v>
      </c>
      <c r="F26" s="5">
        <v>124.1</v>
      </c>
      <c r="G26" s="5">
        <f t="shared" si="2"/>
        <v>-3.0412782956058648E-2</v>
      </c>
      <c r="H26" s="5">
        <f t="shared" si="2"/>
        <v>-8.1019181219581959E-2</v>
      </c>
      <c r="I26" s="5">
        <f t="shared" si="2"/>
        <v>-2.154067083803457E-2</v>
      </c>
      <c r="J26" s="5">
        <f t="shared" si="2"/>
        <v>-6.3255664985187865E-3</v>
      </c>
      <c r="K26" s="5"/>
      <c r="L26" s="6">
        <v>0.25</v>
      </c>
      <c r="M26" s="6">
        <v>0.25</v>
      </c>
      <c r="N26" s="6">
        <v>0.25</v>
      </c>
      <c r="O26" s="6">
        <v>0.25</v>
      </c>
      <c r="P26" s="5"/>
      <c r="Q26" s="5"/>
    </row>
    <row r="27" spans="1:17" ht="15.6">
      <c r="A27" s="5"/>
      <c r="B27" s="12">
        <v>43923</v>
      </c>
      <c r="C27" s="5">
        <v>370.08</v>
      </c>
      <c r="D27" s="5">
        <v>30.3</v>
      </c>
      <c r="E27" s="5">
        <v>95.94</v>
      </c>
      <c r="F27" s="5">
        <v>127.94</v>
      </c>
      <c r="G27" s="5">
        <f t="shared" si="2"/>
        <v>1.6479894528675043E-2</v>
      </c>
      <c r="H27" s="5">
        <f t="shared" si="2"/>
        <v>-5.6074766355140193E-2</v>
      </c>
      <c r="I27" s="5">
        <f t="shared" si="2"/>
        <v>5.7658035433483246E-3</v>
      </c>
      <c r="J27" s="5">
        <f t="shared" si="2"/>
        <v>3.0942788074133754E-2</v>
      </c>
      <c r="K27" s="5"/>
      <c r="L27" s="5"/>
      <c r="M27" s="5"/>
      <c r="N27" s="5"/>
      <c r="O27" s="5"/>
      <c r="P27" s="5"/>
      <c r="Q27" s="5"/>
    </row>
    <row r="28" spans="1:17" ht="15.6">
      <c r="A28" s="5"/>
      <c r="B28" s="12">
        <v>43924</v>
      </c>
      <c r="C28" s="5">
        <v>361.76</v>
      </c>
      <c r="D28" s="5">
        <v>32</v>
      </c>
      <c r="E28" s="5">
        <v>95.33</v>
      </c>
      <c r="F28" s="5">
        <v>131.75</v>
      </c>
      <c r="G28" s="5">
        <f t="shared" si="2"/>
        <v>-2.2481625594466093E-2</v>
      </c>
      <c r="H28" s="5">
        <f t="shared" si="2"/>
        <v>5.6105610561056007E-2</v>
      </c>
      <c r="I28" s="5">
        <f t="shared" si="2"/>
        <v>-6.3581405044819128E-3</v>
      </c>
      <c r="J28" s="5">
        <f t="shared" si="2"/>
        <v>2.9779584180084528E-2</v>
      </c>
      <c r="K28" s="5"/>
      <c r="L28" s="6" t="s">
        <v>24</v>
      </c>
      <c r="M28" s="6" t="s">
        <v>25</v>
      </c>
      <c r="N28" s="6" t="s">
        <v>26</v>
      </c>
      <c r="O28" s="5"/>
      <c r="P28" s="5"/>
      <c r="Q28" s="5"/>
    </row>
    <row r="29" spans="1:17" ht="15.6">
      <c r="A29" s="5"/>
      <c r="B29" s="12">
        <v>43927</v>
      </c>
      <c r="C29" s="5">
        <v>379.96</v>
      </c>
      <c r="D29" s="5">
        <v>34.42</v>
      </c>
      <c r="E29" s="5">
        <v>99.88</v>
      </c>
      <c r="F29" s="5">
        <v>133.72</v>
      </c>
      <c r="G29" s="5">
        <f t="shared" si="2"/>
        <v>5.0309597523219729E-2</v>
      </c>
      <c r="H29" s="5">
        <f t="shared" si="2"/>
        <v>7.5625000000000053E-2</v>
      </c>
      <c r="I29" s="5">
        <f t="shared" si="2"/>
        <v>4.7728941571383521E-2</v>
      </c>
      <c r="J29" s="5">
        <f t="shared" si="2"/>
        <v>1.4952561669829167E-2</v>
      </c>
      <c r="K29" s="5"/>
      <c r="L29" s="20" cm="1">
        <f t="array" ref="L29">MMULT(M4:P4,TRANSPOSE(L26:O26))</f>
        <v>1.0704371177958027E-3</v>
      </c>
      <c r="M29" s="17" cm="1">
        <f t="array" ref="M29">MMULT(L26:O26,TRANSPOSE(MMULT(L26:O26,M10:P13)))</f>
        <v>4.8271572569166831E-4</v>
      </c>
      <c r="N29" s="17">
        <f>SQRT(M29)</f>
        <v>2.197079255947924E-2</v>
      </c>
      <c r="O29" s="5"/>
      <c r="P29" s="5">
        <v>2</v>
      </c>
      <c r="Q29" s="5"/>
    </row>
    <row r="30" spans="1:17" ht="15.6">
      <c r="A30" s="5"/>
      <c r="B30" s="12">
        <v>43928</v>
      </c>
      <c r="C30" s="5">
        <v>372.28</v>
      </c>
      <c r="D30" s="5">
        <v>36.36</v>
      </c>
      <c r="E30" s="5">
        <v>100.58</v>
      </c>
      <c r="F30" s="5">
        <v>133.01</v>
      </c>
      <c r="G30" s="5">
        <f t="shared" si="2"/>
        <v>-2.0212653963575078E-2</v>
      </c>
      <c r="H30" s="5">
        <f t="shared" si="2"/>
        <v>5.6362579895409493E-2</v>
      </c>
      <c r="I30" s="5">
        <f t="shared" si="2"/>
        <v>7.0084100921106174E-3</v>
      </c>
      <c r="J30" s="5">
        <f t="shared" si="2"/>
        <v>-5.3096021537542004E-3</v>
      </c>
      <c r="K30" s="5"/>
      <c r="L30" s="5"/>
      <c r="M30" s="5"/>
      <c r="N30" s="5"/>
      <c r="O30" s="5"/>
      <c r="P30" s="5"/>
      <c r="Q30" s="5"/>
    </row>
    <row r="31" spans="1:17" ht="15.6">
      <c r="A31" s="5"/>
      <c r="B31" s="12">
        <v>43929</v>
      </c>
      <c r="C31" s="5">
        <v>371.12</v>
      </c>
      <c r="D31" s="5">
        <v>36.590000000000003</v>
      </c>
      <c r="E31" s="5">
        <v>102.15</v>
      </c>
      <c r="F31" s="5">
        <v>134.52000000000001</v>
      </c>
      <c r="G31" s="5">
        <f t="shared" si="2"/>
        <v>-3.115934243042795E-3</v>
      </c>
      <c r="H31" s="5">
        <f t="shared" si="2"/>
        <v>6.3256325632563559E-3</v>
      </c>
      <c r="I31" s="5">
        <f t="shared" si="2"/>
        <v>1.5609465102406128E-2</v>
      </c>
      <c r="J31" s="5">
        <f t="shared" si="2"/>
        <v>1.1352529884971263E-2</v>
      </c>
      <c r="K31" s="5"/>
      <c r="L31" s="18" t="s">
        <v>27</v>
      </c>
      <c r="M31" s="5" t="s">
        <v>28</v>
      </c>
      <c r="N31" s="5"/>
      <c r="O31" s="5"/>
      <c r="P31" s="5"/>
      <c r="Q31" s="5"/>
    </row>
    <row r="32" spans="1:17" ht="15.6">
      <c r="A32" s="5"/>
      <c r="B32" s="12">
        <v>43930</v>
      </c>
      <c r="C32" s="5">
        <v>370.72</v>
      </c>
      <c r="D32" s="5">
        <v>38.200000000000003</v>
      </c>
      <c r="E32" s="5">
        <v>102.14</v>
      </c>
      <c r="F32" s="5">
        <v>135.65</v>
      </c>
      <c r="G32" s="5">
        <f t="shared" si="2"/>
        <v>-1.077818495365368E-3</v>
      </c>
      <c r="H32" s="5">
        <f t="shared" si="2"/>
        <v>4.4001093194862007E-2</v>
      </c>
      <c r="I32" s="5">
        <f t="shared" si="2"/>
        <v>-9.7895252080371087E-5</v>
      </c>
      <c r="J32" s="5">
        <f t="shared" si="2"/>
        <v>8.4002378828427204E-3</v>
      </c>
      <c r="K32" s="5"/>
      <c r="L32" s="5"/>
      <c r="M32" s="5"/>
      <c r="N32" s="5"/>
      <c r="O32" s="5"/>
      <c r="P32" s="5"/>
      <c r="Q32" s="5"/>
    </row>
    <row r="33" spans="1:17" ht="15.6">
      <c r="A33" s="5"/>
      <c r="B33" s="12">
        <v>43934</v>
      </c>
      <c r="C33" s="5">
        <v>396.72</v>
      </c>
      <c r="D33" s="5">
        <v>43.4</v>
      </c>
      <c r="E33" s="5">
        <v>108.44</v>
      </c>
      <c r="F33" s="5">
        <v>134.46</v>
      </c>
      <c r="G33" s="5">
        <f t="shared" si="2"/>
        <v>7.0133793698748281E-2</v>
      </c>
      <c r="H33" s="5">
        <f t="shared" si="2"/>
        <v>0.13612565445026159</v>
      </c>
      <c r="I33" s="5">
        <f t="shared" si="2"/>
        <v>6.1680046994321502E-2</v>
      </c>
      <c r="J33" s="5">
        <f t="shared" si="2"/>
        <v>-8.7725764835975273E-3</v>
      </c>
      <c r="K33" s="5"/>
      <c r="L33" s="19" t="s">
        <v>22</v>
      </c>
      <c r="M33" s="19" t="s">
        <v>23</v>
      </c>
      <c r="N33" s="5"/>
      <c r="O33" s="5"/>
      <c r="P33" s="5"/>
      <c r="Q33" s="5"/>
    </row>
    <row r="34" spans="1:17" ht="15.6">
      <c r="A34" s="5"/>
      <c r="B34" s="12">
        <v>43935</v>
      </c>
      <c r="C34" s="5">
        <v>413.55</v>
      </c>
      <c r="D34" s="5">
        <v>47.33</v>
      </c>
      <c r="E34" s="5">
        <v>114.17</v>
      </c>
      <c r="F34" s="5">
        <v>137.74</v>
      </c>
      <c r="G34" s="5">
        <f t="shared" si="2"/>
        <v>4.2422867513611573E-2</v>
      </c>
      <c r="H34" s="5">
        <f t="shared" si="2"/>
        <v>9.0552995391705027E-2</v>
      </c>
      <c r="I34" s="5">
        <f t="shared" si="2"/>
        <v>5.284028033935817E-2</v>
      </c>
      <c r="J34" s="5">
        <f t="shared" si="2"/>
        <v>2.4393871783429999E-2</v>
      </c>
      <c r="K34" s="5"/>
      <c r="L34" s="6">
        <v>0.5</v>
      </c>
      <c r="M34" s="6">
        <v>0.5</v>
      </c>
      <c r="N34" s="5"/>
      <c r="O34" s="5"/>
      <c r="P34" s="5"/>
      <c r="Q34" s="5"/>
    </row>
    <row r="35" spans="1:17" ht="15.6">
      <c r="A35" s="5"/>
      <c r="B35" s="12">
        <v>43936</v>
      </c>
      <c r="C35" s="5">
        <v>426.75</v>
      </c>
      <c r="D35" s="5">
        <v>48.66</v>
      </c>
      <c r="E35" s="5">
        <v>115.38</v>
      </c>
      <c r="F35" s="5">
        <v>134.41</v>
      </c>
      <c r="G35" s="5">
        <f t="shared" si="2"/>
        <v>3.191875226695684E-2</v>
      </c>
      <c r="H35" s="5">
        <f t="shared" si="2"/>
        <v>2.8100570462708641E-2</v>
      </c>
      <c r="I35" s="5">
        <f t="shared" si="2"/>
        <v>1.0598230708592338E-2</v>
      </c>
      <c r="J35" s="5">
        <f t="shared" si="2"/>
        <v>-2.4175983737476536E-2</v>
      </c>
      <c r="K35" s="5"/>
      <c r="L35" s="5"/>
      <c r="M35" s="5"/>
      <c r="N35" s="5"/>
      <c r="O35" s="5"/>
      <c r="P35" s="5"/>
      <c r="Q35" s="5"/>
    </row>
    <row r="36" spans="1:17" ht="15.6">
      <c r="A36" s="5"/>
      <c r="B36" s="12">
        <v>43937</v>
      </c>
      <c r="C36" s="5">
        <v>439.17</v>
      </c>
      <c r="D36" s="5">
        <v>49.68</v>
      </c>
      <c r="E36" s="5">
        <v>120.41</v>
      </c>
      <c r="F36" s="5">
        <v>137.1</v>
      </c>
      <c r="G36" s="5">
        <f t="shared" si="2"/>
        <v>2.9103690685412964E-2</v>
      </c>
      <c r="H36" s="5">
        <f t="shared" si="2"/>
        <v>2.0961775585696785E-2</v>
      </c>
      <c r="I36" s="5">
        <f t="shared" si="2"/>
        <v>4.3595077136418858E-2</v>
      </c>
      <c r="J36" s="5">
        <f t="shared" si="2"/>
        <v>2.0013391860724594E-2</v>
      </c>
      <c r="K36" s="5"/>
      <c r="L36" s="6" t="s">
        <v>24</v>
      </c>
      <c r="M36" s="6" t="s">
        <v>25</v>
      </c>
      <c r="N36" s="6" t="s">
        <v>26</v>
      </c>
      <c r="O36" s="5"/>
      <c r="P36" s="5"/>
      <c r="Q36" s="5"/>
    </row>
    <row r="37" spans="1:17" ht="15.6">
      <c r="A37" s="5"/>
      <c r="B37" s="12">
        <v>43938</v>
      </c>
      <c r="C37" s="5">
        <v>422.96</v>
      </c>
      <c r="D37" s="5">
        <v>50.26</v>
      </c>
      <c r="E37" s="5">
        <v>118.75</v>
      </c>
      <c r="F37" s="5">
        <v>138.05000000000001</v>
      </c>
      <c r="G37" s="5">
        <f t="shared" si="2"/>
        <v>-3.6910535783409748E-2</v>
      </c>
      <c r="H37" s="5">
        <f t="shared" si="2"/>
        <v>1.1674718196457379E-2</v>
      </c>
      <c r="I37" s="5">
        <f t="shared" si="2"/>
        <v>-1.3786230379536524E-2</v>
      </c>
      <c r="J37" s="5">
        <f t="shared" si="2"/>
        <v>6.9292487235594891E-3</v>
      </c>
      <c r="K37" s="5"/>
      <c r="L37" s="20">
        <f>L34*O4+M34*P4</f>
        <v>5.3543331758767283E-4</v>
      </c>
      <c r="M37" s="17">
        <f>(L34*O5)^2+2*L34*M34*P12+(M34*P5)^2</f>
        <v>2.660700468783664E-4</v>
      </c>
      <c r="N37" s="17">
        <f>SQRT(M37)</f>
        <v>1.6311653713782868E-2</v>
      </c>
      <c r="O37" s="5"/>
      <c r="P37" s="5">
        <v>1</v>
      </c>
      <c r="Q37" s="5"/>
    </row>
    <row r="38" spans="1:17" ht="15.6">
      <c r="A38" s="5"/>
      <c r="B38" s="12">
        <v>43941</v>
      </c>
      <c r="C38" s="5">
        <v>437.49</v>
      </c>
      <c r="D38" s="5">
        <v>49.76</v>
      </c>
      <c r="E38" s="5">
        <v>119.68</v>
      </c>
      <c r="F38" s="5">
        <v>136.28</v>
      </c>
      <c r="G38" s="5">
        <f t="shared" si="2"/>
        <v>3.4353130319652037E-2</v>
      </c>
      <c r="H38" s="5">
        <f t="shared" si="2"/>
        <v>-9.9482690011938324E-3</v>
      </c>
      <c r="I38" s="5">
        <f t="shared" si="2"/>
        <v>7.8315789473684116E-3</v>
      </c>
      <c r="J38" s="5">
        <f t="shared" si="2"/>
        <v>-1.2821441506700504E-2</v>
      </c>
      <c r="K38" s="5"/>
      <c r="L38" s="5"/>
      <c r="M38" s="5"/>
      <c r="N38" s="5"/>
      <c r="O38" s="5"/>
      <c r="P38" s="5"/>
      <c r="Q38" s="5"/>
    </row>
    <row r="39" spans="1:17" ht="15.6">
      <c r="A39" s="5"/>
      <c r="B39" s="12">
        <v>43942</v>
      </c>
      <c r="C39" s="5">
        <v>433.83</v>
      </c>
      <c r="D39" s="5">
        <v>45.78</v>
      </c>
      <c r="E39" s="5">
        <v>116.41</v>
      </c>
      <c r="F39" s="5">
        <v>133.49</v>
      </c>
      <c r="G39" s="5">
        <f t="shared" si="2"/>
        <v>-8.3659055064115861E-3</v>
      </c>
      <c r="H39" s="5">
        <f t="shared" si="2"/>
        <v>-7.9983922829581888E-2</v>
      </c>
      <c r="I39" s="5">
        <f t="shared" si="2"/>
        <v>-2.7322860962566975E-2</v>
      </c>
      <c r="J39" s="5">
        <f t="shared" si="2"/>
        <v>-2.0472556501320738E-2</v>
      </c>
      <c r="K39" s="5"/>
      <c r="L39" s="18" t="s">
        <v>29</v>
      </c>
      <c r="M39" s="5"/>
      <c r="N39" s="5"/>
      <c r="O39" s="5"/>
      <c r="P39" s="5"/>
      <c r="Q39" s="5"/>
    </row>
    <row r="40" spans="1:17" ht="15.6">
      <c r="A40" s="5"/>
      <c r="B40" s="12">
        <v>43943</v>
      </c>
      <c r="C40" s="5">
        <v>421.42</v>
      </c>
      <c r="D40" s="5">
        <v>48.81</v>
      </c>
      <c r="E40" s="5">
        <v>118.17</v>
      </c>
      <c r="F40" s="5">
        <v>135.05000000000001</v>
      </c>
      <c r="G40" s="5">
        <f t="shared" si="2"/>
        <v>-2.8605675033999467E-2</v>
      </c>
      <c r="H40" s="5">
        <f t="shared" si="2"/>
        <v>6.6186107470511235E-2</v>
      </c>
      <c r="I40" s="5">
        <f t="shared" si="2"/>
        <v>1.5118976032986842E-2</v>
      </c>
      <c r="J40" s="5">
        <f t="shared" si="2"/>
        <v>1.1686268634354624E-2</v>
      </c>
      <c r="K40" s="5"/>
      <c r="L40" s="5"/>
      <c r="M40" s="5"/>
      <c r="N40" s="5"/>
      <c r="O40" s="5"/>
      <c r="P40" s="5"/>
      <c r="Q40" s="5"/>
    </row>
    <row r="41" spans="1:17" ht="15.6">
      <c r="A41" s="5"/>
      <c r="B41" s="12">
        <v>43944</v>
      </c>
      <c r="C41" s="5">
        <v>426.7</v>
      </c>
      <c r="D41" s="5">
        <v>47.04</v>
      </c>
      <c r="E41" s="5">
        <v>119.97</v>
      </c>
      <c r="F41" s="5">
        <v>129.05000000000001</v>
      </c>
      <c r="G41" s="5">
        <f t="shared" si="2"/>
        <v>1.2529068387831632E-2</v>
      </c>
      <c r="H41" s="5">
        <f t="shared" si="2"/>
        <v>-3.6263060848186868E-2</v>
      </c>
      <c r="I41" s="5">
        <f t="shared" si="2"/>
        <v>1.5232292460015229E-2</v>
      </c>
      <c r="J41" s="5">
        <f t="shared" si="2"/>
        <v>-4.4427989633469056E-2</v>
      </c>
      <c r="K41" s="5"/>
      <c r="L41" s="24"/>
      <c r="M41" s="24"/>
      <c r="N41" s="24"/>
      <c r="O41" s="5"/>
      <c r="P41" s="5"/>
      <c r="Q41" s="5"/>
    </row>
    <row r="42" spans="1:17" ht="15.6">
      <c r="A42" s="5"/>
      <c r="B42" s="12">
        <v>43945</v>
      </c>
      <c r="C42" s="5">
        <v>424.99</v>
      </c>
      <c r="D42" s="5">
        <v>48.34</v>
      </c>
      <c r="E42" s="5">
        <v>120.51</v>
      </c>
      <c r="F42" s="5">
        <v>127.95</v>
      </c>
      <c r="G42" s="5">
        <f t="shared" si="2"/>
        <v>-4.0074994141082732E-3</v>
      </c>
      <c r="H42" s="5">
        <f t="shared" si="2"/>
        <v>2.7636054421768863E-2</v>
      </c>
      <c r="I42" s="5">
        <f t="shared" si="2"/>
        <v>4.5011252813202951E-3</v>
      </c>
      <c r="J42" s="5">
        <f t="shared" si="2"/>
        <v>-8.523827973653697E-3</v>
      </c>
      <c r="K42" s="5"/>
      <c r="L42" s="24"/>
      <c r="M42" s="24"/>
      <c r="N42" s="24"/>
      <c r="O42" s="5"/>
      <c r="P42" s="5"/>
      <c r="Q42" s="5"/>
    </row>
    <row r="43" spans="1:17" ht="15.6">
      <c r="A43" s="5"/>
      <c r="B43" s="12">
        <v>43948</v>
      </c>
      <c r="C43" s="5">
        <v>421.38</v>
      </c>
      <c r="D43" s="5">
        <v>53.25</v>
      </c>
      <c r="E43" s="5">
        <v>118.8</v>
      </c>
      <c r="F43" s="5">
        <v>127.35</v>
      </c>
      <c r="G43" s="5">
        <f t="shared" si="2"/>
        <v>-8.4943175133532778E-3</v>
      </c>
      <c r="H43" s="5">
        <f t="shared" si="2"/>
        <v>0.10157219693835318</v>
      </c>
      <c r="I43" s="5">
        <f t="shared" si="2"/>
        <v>-1.4189693801344383E-2</v>
      </c>
      <c r="J43" s="5">
        <f t="shared" si="2"/>
        <v>-4.6893317702227932E-3</v>
      </c>
      <c r="K43" s="5"/>
      <c r="L43" s="5"/>
      <c r="M43" s="5"/>
      <c r="N43" s="5"/>
      <c r="O43" s="5"/>
      <c r="P43" s="5"/>
      <c r="Q43" s="5"/>
    </row>
    <row r="44" spans="1:17" ht="15.6">
      <c r="A44" s="5"/>
      <c r="B44" s="12">
        <v>43949</v>
      </c>
      <c r="C44" s="5">
        <v>403.83</v>
      </c>
      <c r="D44" s="5">
        <v>51.27</v>
      </c>
      <c r="E44" s="5">
        <v>115.7</v>
      </c>
      <c r="F44" s="5">
        <v>126.54</v>
      </c>
      <c r="G44" s="5">
        <f t="shared" si="2"/>
        <v>-4.1648868005126016E-2</v>
      </c>
      <c r="H44" s="5">
        <f t="shared" si="2"/>
        <v>-3.7183098591549224E-2</v>
      </c>
      <c r="I44" s="5">
        <f t="shared" si="2"/>
        <v>-2.6094276094276059E-2</v>
      </c>
      <c r="J44" s="5">
        <f t="shared" si="2"/>
        <v>-6.3604240282684188E-3</v>
      </c>
      <c r="K44" s="5"/>
      <c r="L44" s="5"/>
      <c r="M44" s="5"/>
      <c r="N44" s="5"/>
      <c r="O44" s="5"/>
      <c r="P44" s="5"/>
      <c r="Q44" s="5"/>
    </row>
    <row r="45" spans="1:17" ht="15.6">
      <c r="A45" s="5"/>
      <c r="B45" s="12">
        <v>43950</v>
      </c>
      <c r="C45" s="5">
        <v>411.89</v>
      </c>
      <c r="D45" s="5">
        <v>53.37</v>
      </c>
      <c r="E45" s="5">
        <v>118.64</v>
      </c>
      <c r="F45" s="5">
        <v>126.69</v>
      </c>
      <c r="G45" s="5">
        <f t="shared" si="2"/>
        <v>1.9958893593839067E-2</v>
      </c>
      <c r="H45" s="5">
        <f t="shared" si="2"/>
        <v>4.0959625511995279E-2</v>
      </c>
      <c r="I45" s="5">
        <f t="shared" si="2"/>
        <v>2.5410544511668132E-2</v>
      </c>
      <c r="J45" s="5">
        <f t="shared" si="2"/>
        <v>1.1853959222378752E-3</v>
      </c>
      <c r="K45" s="5"/>
      <c r="L45" s="5"/>
      <c r="M45" s="5"/>
      <c r="N45" s="5"/>
      <c r="O45" s="5"/>
      <c r="P45" s="5"/>
      <c r="Q45" s="5">
        <v>1</v>
      </c>
    </row>
    <row r="46" spans="1:17" ht="15.6">
      <c r="A46" s="5"/>
      <c r="B46" s="12">
        <v>43951</v>
      </c>
      <c r="C46" s="5">
        <v>419.85</v>
      </c>
      <c r="D46" s="5">
        <v>52.13</v>
      </c>
      <c r="E46" s="5">
        <v>123.7</v>
      </c>
      <c r="F46" s="5">
        <v>124.83</v>
      </c>
      <c r="G46" s="5">
        <f t="shared" si="2"/>
        <v>1.9325548083226174E-2</v>
      </c>
      <c r="H46" s="5">
        <f t="shared" si="2"/>
        <v>-2.3234026606707814E-2</v>
      </c>
      <c r="I46" s="5">
        <f t="shared" si="2"/>
        <v>4.2650033715441626E-2</v>
      </c>
      <c r="J46" s="5">
        <f t="shared" si="2"/>
        <v>-1.468150603836138E-2</v>
      </c>
      <c r="K46" s="5"/>
      <c r="L46" s="5"/>
      <c r="M46" s="5"/>
      <c r="N46" s="5"/>
      <c r="O46" s="5"/>
      <c r="P46" s="5"/>
      <c r="Q46" s="5"/>
    </row>
    <row r="47" spans="1:17" ht="15.6">
      <c r="A47" s="5"/>
      <c r="B47" s="12">
        <v>43952</v>
      </c>
      <c r="C47" s="5">
        <v>415.27</v>
      </c>
      <c r="D47" s="5">
        <v>46.75</v>
      </c>
      <c r="E47" s="5">
        <v>114.3</v>
      </c>
      <c r="F47" s="5">
        <v>124.93</v>
      </c>
      <c r="G47" s="5">
        <f t="shared" si="2"/>
        <v>-1.0908657853995529E-2</v>
      </c>
      <c r="H47" s="5">
        <f t="shared" si="2"/>
        <v>-0.10320352963744495</v>
      </c>
      <c r="I47" s="5">
        <f t="shared" si="2"/>
        <v>-7.5990299110751836E-2</v>
      </c>
      <c r="J47" s="5">
        <f t="shared" si="2"/>
        <v>8.0108948169521632E-4</v>
      </c>
      <c r="K47" s="5"/>
      <c r="L47" s="5"/>
      <c r="M47" s="5"/>
      <c r="N47" s="5"/>
      <c r="O47" s="5"/>
      <c r="P47" s="5"/>
      <c r="Q47" s="5"/>
    </row>
    <row r="48" spans="1:17" ht="15.6">
      <c r="A48" s="5"/>
      <c r="B48" s="12">
        <v>43955</v>
      </c>
      <c r="C48" s="5">
        <v>428.15</v>
      </c>
      <c r="D48" s="5">
        <v>50.75</v>
      </c>
      <c r="E48" s="5">
        <v>115.8</v>
      </c>
      <c r="F48" s="5">
        <v>123.71</v>
      </c>
      <c r="G48" s="5">
        <f t="shared" si="2"/>
        <v>3.1015965516411059E-2</v>
      </c>
      <c r="H48" s="5">
        <f t="shared" si="2"/>
        <v>8.5561497326203106E-2</v>
      </c>
      <c r="I48" s="5">
        <f t="shared" si="2"/>
        <v>1.3123359580052396E-2</v>
      </c>
      <c r="J48" s="5">
        <f t="shared" si="2"/>
        <v>-9.7654686624510934E-3</v>
      </c>
      <c r="K48" s="5"/>
      <c r="L48" s="5"/>
      <c r="M48" s="5"/>
      <c r="N48" s="5"/>
      <c r="O48" s="5"/>
      <c r="P48" s="5"/>
      <c r="Q48" s="5"/>
    </row>
    <row r="49" spans="1:17" ht="15.6">
      <c r="A49" s="5"/>
      <c r="B49" s="12">
        <v>43956</v>
      </c>
      <c r="C49" s="5">
        <v>424.68</v>
      </c>
      <c r="D49" s="5">
        <v>51.21</v>
      </c>
      <c r="E49" s="5">
        <v>115.89</v>
      </c>
      <c r="F49" s="5">
        <v>123.82</v>
      </c>
      <c r="G49" s="5">
        <f t="shared" si="2"/>
        <v>-8.1046362256217419E-3</v>
      </c>
      <c r="H49" s="5">
        <f t="shared" si="2"/>
        <v>9.0640394088670195E-3</v>
      </c>
      <c r="I49" s="5">
        <f t="shared" si="2"/>
        <v>7.7720207253895168E-4</v>
      </c>
      <c r="J49" s="5">
        <f t="shared" si="2"/>
        <v>8.891762994098773E-4</v>
      </c>
      <c r="K49" s="5"/>
      <c r="L49" s="5"/>
      <c r="M49" s="5"/>
      <c r="N49" s="5"/>
      <c r="O49" s="5"/>
      <c r="P49" s="5"/>
      <c r="Q49" s="5"/>
    </row>
    <row r="50" spans="1:17" ht="15.6">
      <c r="A50" s="5"/>
      <c r="B50" s="12">
        <v>43957</v>
      </c>
      <c r="C50" s="5">
        <v>434.26</v>
      </c>
      <c r="D50" s="5">
        <v>52.17</v>
      </c>
      <c r="E50" s="5">
        <v>117.56</v>
      </c>
      <c r="F50" s="5">
        <v>124.17</v>
      </c>
      <c r="G50" s="5">
        <f t="shared" si="2"/>
        <v>2.2558161439201196E-2</v>
      </c>
      <c r="H50" s="5">
        <f t="shared" si="2"/>
        <v>1.8746338605741153E-2</v>
      </c>
      <c r="I50" s="5">
        <f t="shared" si="2"/>
        <v>1.4410216584692437E-2</v>
      </c>
      <c r="J50" s="5">
        <f t="shared" si="2"/>
        <v>2.826683895978066E-3</v>
      </c>
      <c r="K50" s="5"/>
      <c r="L50" s="5"/>
      <c r="M50" s="5"/>
      <c r="N50" s="5"/>
      <c r="O50" s="5"/>
      <c r="P50" s="5"/>
      <c r="Q50" s="5"/>
    </row>
    <row r="51" spans="1:17" ht="15.6">
      <c r="A51" s="5"/>
      <c r="B51" s="12">
        <v>43958</v>
      </c>
      <c r="C51" s="5">
        <v>436.53</v>
      </c>
      <c r="D51" s="5">
        <v>52</v>
      </c>
      <c r="E51" s="5">
        <v>118.38</v>
      </c>
      <c r="F51" s="5">
        <v>123.04</v>
      </c>
      <c r="G51" s="5">
        <f t="shared" si="2"/>
        <v>5.227283194399579E-3</v>
      </c>
      <c r="H51" s="5">
        <f t="shared" si="2"/>
        <v>-3.2585777266628257E-3</v>
      </c>
      <c r="I51" s="5">
        <f t="shared" si="2"/>
        <v>6.9751616195985466E-3</v>
      </c>
      <c r="J51" s="5">
        <f t="shared" si="2"/>
        <v>-9.1004268341788874E-3</v>
      </c>
      <c r="K51" s="5"/>
      <c r="L51" s="5"/>
      <c r="M51" s="5"/>
      <c r="N51" s="5"/>
      <c r="O51" s="5"/>
      <c r="P51" s="5"/>
      <c r="Q51" s="5"/>
    </row>
    <row r="52" spans="1:17" ht="15.6">
      <c r="A52" s="5"/>
      <c r="B52" s="12">
        <v>43959</v>
      </c>
      <c r="C52" s="5">
        <v>435.55</v>
      </c>
      <c r="D52" s="5">
        <v>54.63</v>
      </c>
      <c r="E52" s="5">
        <v>118.98</v>
      </c>
      <c r="F52" s="5">
        <v>125.54</v>
      </c>
      <c r="G52" s="5">
        <f t="shared" si="2"/>
        <v>-2.2449774356858576E-3</v>
      </c>
      <c r="H52" s="5">
        <f t="shared" si="2"/>
        <v>5.0576923076923075E-2</v>
      </c>
      <c r="I52" s="5">
        <f t="shared" si="2"/>
        <v>5.0684237202229809E-3</v>
      </c>
      <c r="J52" s="5">
        <f t="shared" si="2"/>
        <v>2.0318595578673548E-2</v>
      </c>
      <c r="K52" s="5"/>
      <c r="L52" s="5"/>
      <c r="M52" s="5"/>
      <c r="N52" s="5"/>
      <c r="O52" s="5"/>
      <c r="P52" s="5"/>
      <c r="Q52" s="5"/>
    </row>
    <row r="53" spans="1:17" ht="15.6">
      <c r="A53" s="5"/>
      <c r="B53" s="12">
        <v>43962</v>
      </c>
      <c r="C53" s="5">
        <v>440.52</v>
      </c>
      <c r="D53" s="5">
        <v>54.09</v>
      </c>
      <c r="E53" s="5">
        <v>120.45</v>
      </c>
      <c r="F53" s="5">
        <v>125.32</v>
      </c>
      <c r="G53" s="5">
        <f t="shared" si="2"/>
        <v>1.1410859832395648E-2</v>
      </c>
      <c r="H53" s="5">
        <f t="shared" si="2"/>
        <v>-9.8846787479406339E-3</v>
      </c>
      <c r="I53" s="5">
        <f t="shared" si="2"/>
        <v>1.2355017650025113E-2</v>
      </c>
      <c r="J53" s="5">
        <f t="shared" si="2"/>
        <v>-1.7524295045404648E-3</v>
      </c>
      <c r="K53" s="5"/>
      <c r="L53" s="5"/>
      <c r="M53" s="5"/>
      <c r="N53" s="5"/>
      <c r="O53" s="5"/>
      <c r="P53" s="5"/>
      <c r="Q53" s="5"/>
    </row>
    <row r="54" spans="1:17" ht="15.6">
      <c r="A54" s="5"/>
      <c r="B54" s="12">
        <v>43963</v>
      </c>
      <c r="C54" s="5">
        <v>431.82</v>
      </c>
      <c r="D54" s="5">
        <v>53.96</v>
      </c>
      <c r="E54" s="5">
        <v>117.85</v>
      </c>
      <c r="F54" s="5">
        <v>124.86</v>
      </c>
      <c r="G54" s="5">
        <f t="shared" si="2"/>
        <v>-1.9749387087986903E-2</v>
      </c>
      <c r="H54" s="5">
        <f t="shared" si="2"/>
        <v>-2.4034017378443684E-3</v>
      </c>
      <c r="I54" s="5">
        <f t="shared" si="2"/>
        <v>-2.1585720215857251E-2</v>
      </c>
      <c r="J54" s="5">
        <f t="shared" si="2"/>
        <v>-3.6706032556654833E-3</v>
      </c>
      <c r="K54" s="5"/>
      <c r="L54" s="5"/>
      <c r="M54" s="5"/>
      <c r="N54" s="5"/>
      <c r="O54" s="5"/>
      <c r="P54" s="5"/>
      <c r="Q54" s="5"/>
    </row>
    <row r="55" spans="1:17" ht="15.6">
      <c r="A55" s="5"/>
      <c r="B55" s="12">
        <v>43964</v>
      </c>
      <c r="C55" s="5">
        <v>438.27</v>
      </c>
      <c r="D55" s="5">
        <v>52.73</v>
      </c>
      <c r="E55" s="5">
        <v>118.4</v>
      </c>
      <c r="F55" s="5">
        <v>124.3</v>
      </c>
      <c r="G55" s="5">
        <f t="shared" si="2"/>
        <v>1.4936779213561291E-2</v>
      </c>
      <c r="H55" s="5">
        <f t="shared" si="2"/>
        <v>-2.2794662713120917E-2</v>
      </c>
      <c r="I55" s="5">
        <f t="shared" si="2"/>
        <v>4.6669495120916782E-3</v>
      </c>
      <c r="J55" s="5">
        <f t="shared" si="2"/>
        <v>-4.485023226013185E-3</v>
      </c>
      <c r="K55" s="5"/>
      <c r="L55" s="5"/>
      <c r="M55" s="5"/>
      <c r="N55" s="5"/>
      <c r="O55" s="5"/>
      <c r="P55" s="5"/>
      <c r="Q55" s="5"/>
    </row>
    <row r="56" spans="1:17" ht="15.6">
      <c r="A56" s="5"/>
      <c r="B56" s="12">
        <v>43965</v>
      </c>
      <c r="C56" s="5">
        <v>441.95</v>
      </c>
      <c r="D56" s="5">
        <v>53.56</v>
      </c>
      <c r="E56" s="5">
        <v>119.44</v>
      </c>
      <c r="F56" s="5">
        <v>123.51</v>
      </c>
      <c r="G56" s="5">
        <f t="shared" si="2"/>
        <v>8.3966504666073138E-3</v>
      </c>
      <c r="H56" s="5">
        <f t="shared" si="2"/>
        <v>1.5740565143182339E-2</v>
      </c>
      <c r="I56" s="5">
        <f t="shared" si="2"/>
        <v>8.7837837837836386E-3</v>
      </c>
      <c r="J56" s="5">
        <f t="shared" si="2"/>
        <v>-6.3555913113434448E-3</v>
      </c>
      <c r="K56" s="5"/>
      <c r="L56" s="5"/>
      <c r="M56" s="5"/>
      <c r="N56" s="5"/>
      <c r="O56" s="5"/>
      <c r="P56" s="5"/>
      <c r="Q56" s="5"/>
    </row>
    <row r="57" spans="1:17" ht="15.6">
      <c r="A57" s="5"/>
      <c r="B57" s="12">
        <v>43966</v>
      </c>
      <c r="C57" s="5">
        <v>454.19</v>
      </c>
      <c r="D57" s="5">
        <v>53.28</v>
      </c>
      <c r="E57" s="5">
        <v>120.49</v>
      </c>
      <c r="F57" s="5">
        <v>122.89</v>
      </c>
      <c r="G57" s="5">
        <f t="shared" si="2"/>
        <v>2.769544066070817E-2</v>
      </c>
      <c r="H57" s="5">
        <f t="shared" si="2"/>
        <v>-5.2277819268110592E-3</v>
      </c>
      <c r="I57" s="5">
        <f t="shared" si="2"/>
        <v>8.7910247823175247E-3</v>
      </c>
      <c r="J57" s="5">
        <f t="shared" si="2"/>
        <v>-5.0198364504898674E-3</v>
      </c>
      <c r="K57" s="5"/>
      <c r="L57" s="5"/>
      <c r="M57" s="5"/>
      <c r="N57" s="5"/>
      <c r="O57" s="5"/>
      <c r="P57" s="5"/>
      <c r="Q57" s="5"/>
    </row>
    <row r="58" spans="1:17" ht="15.6">
      <c r="A58" s="5"/>
      <c r="B58" s="12">
        <v>43969</v>
      </c>
      <c r="C58" s="5">
        <v>452.58</v>
      </c>
      <c r="D58" s="5">
        <v>54.24</v>
      </c>
      <c r="E58" s="5">
        <v>121.31</v>
      </c>
      <c r="F58" s="5">
        <v>124.68</v>
      </c>
      <c r="G58" s="5">
        <f t="shared" si="2"/>
        <v>-3.5447720117132153E-3</v>
      </c>
      <c r="H58" s="5">
        <f t="shared" si="2"/>
        <v>1.8018018018018056E-2</v>
      </c>
      <c r="I58" s="5">
        <f t="shared" si="2"/>
        <v>6.8055440285501589E-3</v>
      </c>
      <c r="J58" s="5">
        <f t="shared" si="2"/>
        <v>1.4565871917975537E-2</v>
      </c>
      <c r="K58" s="5"/>
      <c r="L58" s="5"/>
      <c r="M58" s="5"/>
      <c r="N58" s="5"/>
      <c r="O58" s="5"/>
      <c r="P58" s="5"/>
      <c r="Q58" s="5"/>
    </row>
    <row r="59" spans="1:17" ht="15.6">
      <c r="A59" s="5"/>
      <c r="B59" s="12">
        <v>43970</v>
      </c>
      <c r="C59" s="5">
        <v>451.04</v>
      </c>
      <c r="D59" s="5">
        <v>53.87</v>
      </c>
      <c r="E59" s="5">
        <v>122.47</v>
      </c>
      <c r="F59" s="5">
        <v>123.39</v>
      </c>
      <c r="G59" s="5">
        <f t="shared" si="2"/>
        <v>-3.4027133324494585E-3</v>
      </c>
      <c r="H59" s="5">
        <f t="shared" si="2"/>
        <v>-6.8215339233038685E-3</v>
      </c>
      <c r="I59" s="5">
        <f t="shared" si="2"/>
        <v>9.5622784601434585E-3</v>
      </c>
      <c r="J59" s="5">
        <f t="shared" si="2"/>
        <v>-1.0346487006737348E-2</v>
      </c>
      <c r="K59" s="5"/>
      <c r="L59" s="5"/>
      <c r="M59" s="5"/>
      <c r="N59" s="5"/>
      <c r="O59" s="5"/>
      <c r="P59" s="5"/>
      <c r="Q59" s="5"/>
    </row>
    <row r="60" spans="1:17" ht="15.6">
      <c r="A60" s="5"/>
      <c r="B60" s="12">
        <v>43971</v>
      </c>
      <c r="C60" s="5">
        <v>447.67</v>
      </c>
      <c r="D60" s="5">
        <v>54.37</v>
      </c>
      <c r="E60" s="5">
        <v>124.9</v>
      </c>
      <c r="F60" s="5">
        <v>123.69</v>
      </c>
      <c r="G60" s="5">
        <f t="shared" si="2"/>
        <v>-7.4716211422490852E-3</v>
      </c>
      <c r="H60" s="5">
        <f t="shared" si="2"/>
        <v>9.2816038611471807E-3</v>
      </c>
      <c r="I60" s="5">
        <f t="shared" si="2"/>
        <v>1.984159385972073E-2</v>
      </c>
      <c r="J60" s="5">
        <f t="shared" si="2"/>
        <v>2.4313153415997935E-3</v>
      </c>
      <c r="K60" s="5"/>
      <c r="L60" s="5"/>
      <c r="M60" s="5"/>
      <c r="N60" s="5"/>
      <c r="O60" s="5"/>
      <c r="P60" s="5"/>
      <c r="Q60" s="5"/>
    </row>
    <row r="61" spans="1:17" ht="15.6">
      <c r="A61" s="5"/>
      <c r="B61" s="12">
        <v>43972</v>
      </c>
      <c r="C61" s="5">
        <v>436.25</v>
      </c>
      <c r="D61" s="5">
        <v>55.17</v>
      </c>
      <c r="E61" s="5">
        <v>122.34</v>
      </c>
      <c r="F61" s="5">
        <v>121.39</v>
      </c>
      <c r="G61" s="5">
        <f t="shared" si="2"/>
        <v>-2.5509862175263076E-2</v>
      </c>
      <c r="H61" s="5">
        <f t="shared" si="2"/>
        <v>1.4713996689350806E-2</v>
      </c>
      <c r="I61" s="5">
        <f t="shared" si="2"/>
        <v>-2.0496397117694132E-2</v>
      </c>
      <c r="J61" s="5">
        <f t="shared" si="2"/>
        <v>-1.8594874282480411E-2</v>
      </c>
      <c r="K61" s="5"/>
      <c r="L61" s="5"/>
      <c r="M61" s="5"/>
      <c r="N61" s="5"/>
      <c r="O61" s="5"/>
      <c r="P61" s="5"/>
      <c r="Q61" s="5"/>
    </row>
    <row r="62" spans="1:17" ht="15.6">
      <c r="A62" s="5"/>
      <c r="B62" s="12">
        <v>43973</v>
      </c>
      <c r="C62" s="5">
        <v>429.32</v>
      </c>
      <c r="D62" s="5">
        <v>54.46</v>
      </c>
      <c r="E62" s="5">
        <v>121.84</v>
      </c>
      <c r="F62" s="5">
        <v>123.51</v>
      </c>
      <c r="G62" s="5">
        <f t="shared" si="2"/>
        <v>-1.588538681948426E-2</v>
      </c>
      <c r="H62" s="5">
        <f t="shared" si="2"/>
        <v>-1.2869313032445207E-2</v>
      </c>
      <c r="I62" s="5">
        <f t="shared" si="2"/>
        <v>-4.0869707372894748E-3</v>
      </c>
      <c r="J62" s="5">
        <f t="shared" si="2"/>
        <v>1.7464371035505355E-2</v>
      </c>
      <c r="K62" s="5"/>
      <c r="L62" s="5"/>
      <c r="M62" s="5"/>
      <c r="N62" s="5"/>
      <c r="O62" s="5"/>
      <c r="P62" s="5"/>
      <c r="Q62" s="5"/>
    </row>
    <row r="63" spans="1:17" ht="15.6">
      <c r="A63" s="5"/>
      <c r="B63" s="12">
        <v>43977</v>
      </c>
      <c r="C63" s="5">
        <v>414.77</v>
      </c>
      <c r="D63" s="5">
        <v>54.59</v>
      </c>
      <c r="E63" s="5">
        <v>121.09</v>
      </c>
      <c r="F63" s="5">
        <v>121.62</v>
      </c>
      <c r="G63" s="5">
        <f t="shared" si="2"/>
        <v>-3.3890804062237989E-2</v>
      </c>
      <c r="H63" s="5">
        <f t="shared" si="2"/>
        <v>2.3870730811605956E-3</v>
      </c>
      <c r="I63" s="5">
        <f t="shared" si="2"/>
        <v>-6.1556139198949422E-3</v>
      </c>
      <c r="J63" s="5">
        <f t="shared" si="2"/>
        <v>-1.5302404663590008E-2</v>
      </c>
      <c r="K63" s="5"/>
      <c r="L63" s="5"/>
      <c r="M63" s="5"/>
      <c r="N63" s="5"/>
      <c r="O63" s="5"/>
      <c r="P63" s="5"/>
      <c r="Q63" s="5"/>
    </row>
    <row r="64" spans="1:17" ht="15.6">
      <c r="A64" s="5"/>
      <c r="B64" s="12">
        <v>43978</v>
      </c>
      <c r="C64" s="5">
        <v>419.89</v>
      </c>
      <c r="D64" s="5">
        <v>54.68</v>
      </c>
      <c r="E64" s="5">
        <v>120.52</v>
      </c>
      <c r="F64" s="5">
        <v>126.15</v>
      </c>
      <c r="G64" s="5">
        <f t="shared" si="2"/>
        <v>1.234419075632287E-2</v>
      </c>
      <c r="H64" s="5">
        <f t="shared" si="2"/>
        <v>1.6486535995603457E-3</v>
      </c>
      <c r="I64" s="5">
        <f t="shared" si="2"/>
        <v>-4.7072425468660528E-3</v>
      </c>
      <c r="J64" s="5">
        <f t="shared" si="2"/>
        <v>3.7247163295510699E-2</v>
      </c>
      <c r="K64" s="5"/>
      <c r="L64" s="5"/>
      <c r="M64" s="5"/>
      <c r="N64" s="5"/>
      <c r="O64" s="5"/>
      <c r="P64" s="5"/>
      <c r="Q64" s="5"/>
    </row>
    <row r="65" spans="1:17" ht="15.6">
      <c r="A65" s="5"/>
      <c r="B65" s="12">
        <v>43979</v>
      </c>
      <c r="C65" s="5">
        <v>413.44</v>
      </c>
      <c r="D65" s="5">
        <v>53.72</v>
      </c>
      <c r="E65" s="5">
        <v>120.06</v>
      </c>
      <c r="F65" s="5">
        <v>128.93</v>
      </c>
      <c r="G65" s="5">
        <f t="shared" si="2"/>
        <v>-1.5361166019671746E-2</v>
      </c>
      <c r="H65" s="5">
        <f t="shared" si="2"/>
        <v>-1.7556693489392816E-2</v>
      </c>
      <c r="I65" s="5">
        <f t="shared" si="2"/>
        <v>-3.8167938931297218E-3</v>
      </c>
      <c r="J65" s="5">
        <f t="shared" si="2"/>
        <v>2.2037257233452179E-2</v>
      </c>
      <c r="K65" s="5"/>
      <c r="L65" s="5"/>
      <c r="M65" s="5"/>
      <c r="N65" s="5"/>
      <c r="O65" s="5"/>
      <c r="P65" s="5"/>
      <c r="Q65" s="5"/>
    </row>
    <row r="66" spans="1:17" ht="15.6">
      <c r="A66" s="5"/>
      <c r="B66" s="12">
        <v>43980</v>
      </c>
      <c r="C66" s="5">
        <v>419.73</v>
      </c>
      <c r="D66" s="5">
        <v>55.67</v>
      </c>
      <c r="E66" s="5">
        <v>122.12</v>
      </c>
      <c r="F66" s="5">
        <v>128.65</v>
      </c>
      <c r="G66" s="5">
        <f t="shared" si="2"/>
        <v>1.5213815789473673E-2</v>
      </c>
      <c r="H66" s="5">
        <f t="shared" si="2"/>
        <v>3.6299329858525686E-2</v>
      </c>
      <c r="I66" s="5">
        <f t="shared" si="2"/>
        <v>1.71580876228552E-2</v>
      </c>
      <c r="J66" s="5">
        <f t="shared" si="2"/>
        <v>-2.171721088963019E-3</v>
      </c>
      <c r="K66" s="5"/>
      <c r="L66" s="5"/>
      <c r="M66" s="5"/>
      <c r="N66" s="5"/>
      <c r="O66" s="5"/>
      <c r="P66" s="5"/>
      <c r="Q66" s="5"/>
    </row>
    <row r="67" spans="1:17" ht="15.6">
      <c r="A67" s="5"/>
      <c r="B67" s="12">
        <v>43983</v>
      </c>
      <c r="C67" s="5">
        <v>425.92</v>
      </c>
      <c r="D67" s="5">
        <v>59.87</v>
      </c>
      <c r="E67" s="5">
        <v>123.55</v>
      </c>
      <c r="F67" s="5">
        <v>129.36000000000001</v>
      </c>
      <c r="G67" s="5">
        <f t="shared" si="2"/>
        <v>1.4747575822552594E-2</v>
      </c>
      <c r="H67" s="5">
        <f t="shared" si="2"/>
        <v>7.5444584156637351E-2</v>
      </c>
      <c r="I67" s="5">
        <f t="shared" si="2"/>
        <v>1.1709793645594546E-2</v>
      </c>
      <c r="J67" s="5">
        <f t="shared" si="2"/>
        <v>5.5188495919160641E-3</v>
      </c>
      <c r="K67" s="5"/>
      <c r="L67" s="5"/>
      <c r="M67" s="5"/>
      <c r="N67" s="5"/>
      <c r="O67" s="5"/>
      <c r="P67" s="5"/>
      <c r="Q67" s="5"/>
    </row>
    <row r="68" spans="1:17" ht="15.6">
      <c r="A68" s="5"/>
      <c r="B68" s="12">
        <v>43984</v>
      </c>
      <c r="C68" s="5">
        <v>427.31</v>
      </c>
      <c r="D68" s="5">
        <v>58.77</v>
      </c>
      <c r="E68" s="5">
        <v>123.62</v>
      </c>
      <c r="F68" s="5">
        <v>130.07</v>
      </c>
      <c r="G68" s="5">
        <f t="shared" si="2"/>
        <v>3.2635236664162459E-3</v>
      </c>
      <c r="H68" s="5">
        <f t="shared" si="2"/>
        <v>-1.8373141807248916E-2</v>
      </c>
      <c r="I68" s="5">
        <f t="shared" si="2"/>
        <v>5.6657223796041656E-4</v>
      </c>
      <c r="J68" s="5">
        <f t="shared" si="2"/>
        <v>5.4885590599875744E-3</v>
      </c>
      <c r="K68" s="5"/>
      <c r="L68" s="5"/>
      <c r="M68" s="5"/>
      <c r="N68" s="5"/>
      <c r="O68" s="5"/>
      <c r="P68" s="5"/>
      <c r="Q68" s="5"/>
    </row>
    <row r="69" spans="1:17" ht="15.6">
      <c r="A69" s="5"/>
      <c r="B69" s="12">
        <v>43985</v>
      </c>
      <c r="C69" s="5">
        <v>421.97</v>
      </c>
      <c r="D69" s="5">
        <v>58.86</v>
      </c>
      <c r="E69" s="5">
        <v>123.92</v>
      </c>
      <c r="F69" s="5">
        <v>127.26</v>
      </c>
      <c r="G69" s="5">
        <f t="shared" si="2"/>
        <v>-1.249678219559569E-2</v>
      </c>
      <c r="H69" s="5">
        <f t="shared" si="2"/>
        <v>1.5313935681469104E-3</v>
      </c>
      <c r="I69" s="5">
        <f t="shared" si="2"/>
        <v>2.4267917812650364E-3</v>
      </c>
      <c r="J69" s="5">
        <f t="shared" si="2"/>
        <v>-2.1603751825939765E-2</v>
      </c>
      <c r="K69" s="5"/>
      <c r="L69" s="5"/>
      <c r="M69" s="5"/>
      <c r="N69" s="5"/>
      <c r="O69" s="5"/>
      <c r="P69" s="5"/>
      <c r="Q69" s="5"/>
    </row>
    <row r="70" spans="1:17" ht="15.6">
      <c r="A70" s="5"/>
      <c r="B70" s="12">
        <v>43986</v>
      </c>
      <c r="C70" s="5">
        <v>414.33</v>
      </c>
      <c r="D70" s="5">
        <v>57.63</v>
      </c>
      <c r="E70" s="5">
        <v>123.03</v>
      </c>
      <c r="F70" s="5">
        <v>126.51</v>
      </c>
      <c r="G70" s="5">
        <f t="shared" ref="G70:J133" si="3">(C70/C69)-1</f>
        <v>-1.8105552527430957E-2</v>
      </c>
      <c r="H70" s="5">
        <f t="shared" si="3"/>
        <v>-2.0897043832823647E-2</v>
      </c>
      <c r="I70" s="5">
        <f t="shared" si="3"/>
        <v>-7.1820529373789466E-3</v>
      </c>
      <c r="J70" s="5">
        <f t="shared" si="3"/>
        <v>-5.8934464875058934E-3</v>
      </c>
      <c r="K70" s="5"/>
      <c r="L70" s="5"/>
      <c r="M70" s="5"/>
      <c r="N70" s="5"/>
      <c r="O70" s="5"/>
      <c r="P70" s="5"/>
      <c r="Q70" s="5"/>
    </row>
    <row r="71" spans="1:17" ht="15.6">
      <c r="A71" s="5"/>
      <c r="B71" s="12">
        <v>43987</v>
      </c>
      <c r="C71" s="5">
        <v>419.6</v>
      </c>
      <c r="D71" s="5">
        <v>59.04</v>
      </c>
      <c r="E71" s="5">
        <v>124.15</v>
      </c>
      <c r="F71" s="5">
        <v>128.41999999999999</v>
      </c>
      <c r="G71" s="5">
        <f t="shared" si="3"/>
        <v>1.2719330002654905E-2</v>
      </c>
      <c r="H71" s="5">
        <f t="shared" si="3"/>
        <v>2.4466423737636633E-2</v>
      </c>
      <c r="I71" s="5">
        <f t="shared" si="3"/>
        <v>9.1034706982038305E-3</v>
      </c>
      <c r="J71" s="5">
        <f t="shared" si="3"/>
        <v>1.5097620741443274E-2</v>
      </c>
      <c r="K71" s="5"/>
      <c r="L71" s="5"/>
      <c r="M71" s="5"/>
      <c r="N71" s="5"/>
      <c r="O71" s="5"/>
      <c r="P71" s="5"/>
      <c r="Q71" s="5"/>
    </row>
    <row r="72" spans="1:17" ht="15.6">
      <c r="A72" s="5"/>
      <c r="B72" s="12">
        <v>43990</v>
      </c>
      <c r="C72" s="5">
        <v>419.49</v>
      </c>
      <c r="D72" s="5">
        <v>63.33</v>
      </c>
      <c r="E72" s="5">
        <v>126.2</v>
      </c>
      <c r="F72" s="5">
        <v>128.63999999999999</v>
      </c>
      <c r="G72" s="5">
        <f t="shared" si="3"/>
        <v>-2.6215443279320461E-4</v>
      </c>
      <c r="H72" s="5">
        <f t="shared" si="3"/>
        <v>7.2662601626016343E-2</v>
      </c>
      <c r="I72" s="5">
        <f t="shared" si="3"/>
        <v>1.6512283527990279E-2</v>
      </c>
      <c r="J72" s="5">
        <f t="shared" si="3"/>
        <v>1.7131287961376085E-3</v>
      </c>
      <c r="K72" s="5"/>
      <c r="L72" s="5"/>
      <c r="M72" s="5"/>
      <c r="N72" s="5"/>
      <c r="O72" s="5"/>
      <c r="P72" s="5"/>
      <c r="Q72" s="5"/>
    </row>
    <row r="73" spans="1:17" ht="15.6">
      <c r="A73" s="5"/>
      <c r="B73" s="12">
        <v>43991</v>
      </c>
      <c r="C73" s="5">
        <v>434.05</v>
      </c>
      <c r="D73" s="5">
        <v>62.71</v>
      </c>
      <c r="E73" s="5">
        <v>130.04</v>
      </c>
      <c r="F73" s="5">
        <v>126.43</v>
      </c>
      <c r="G73" s="5">
        <f t="shared" si="3"/>
        <v>3.4708813082552581E-2</v>
      </c>
      <c r="H73" s="5">
        <f t="shared" si="3"/>
        <v>-9.7899889467866208E-3</v>
      </c>
      <c r="I73" s="5">
        <f t="shared" si="3"/>
        <v>3.0427892234548226E-2</v>
      </c>
      <c r="J73" s="5">
        <f t="shared" si="3"/>
        <v>-1.717972636815901E-2</v>
      </c>
      <c r="K73" s="5"/>
      <c r="L73" s="5"/>
      <c r="M73" s="5"/>
      <c r="N73" s="5"/>
      <c r="O73" s="5"/>
      <c r="P73" s="5"/>
      <c r="Q73" s="5"/>
    </row>
    <row r="74" spans="1:17" ht="15.6">
      <c r="A74" s="5"/>
      <c r="B74" s="12">
        <v>43992</v>
      </c>
      <c r="C74" s="5">
        <v>434.48</v>
      </c>
      <c r="D74" s="5">
        <v>68.34</v>
      </c>
      <c r="E74" s="5">
        <v>132.37</v>
      </c>
      <c r="F74" s="5">
        <v>128.31</v>
      </c>
      <c r="G74" s="5">
        <f t="shared" si="3"/>
        <v>9.9066927773305835E-4</v>
      </c>
      <c r="H74" s="5">
        <f t="shared" si="3"/>
        <v>8.9778344761600959E-2</v>
      </c>
      <c r="I74" s="5">
        <f t="shared" si="3"/>
        <v>1.7917563826514993E-2</v>
      </c>
      <c r="J74" s="5">
        <f t="shared" si="3"/>
        <v>1.4869888475836479E-2</v>
      </c>
      <c r="K74" s="5"/>
      <c r="L74" s="5"/>
      <c r="M74" s="5"/>
      <c r="N74" s="5"/>
      <c r="O74" s="5"/>
      <c r="P74" s="5"/>
      <c r="Q74" s="5"/>
    </row>
    <row r="75" spans="1:17" ht="15.6">
      <c r="A75" s="5"/>
      <c r="B75" s="12">
        <v>43993</v>
      </c>
      <c r="C75" s="5">
        <v>425.56</v>
      </c>
      <c r="D75" s="5">
        <v>64.86</v>
      </c>
      <c r="E75" s="5">
        <v>127.9</v>
      </c>
      <c r="F75" s="5">
        <v>122.4</v>
      </c>
      <c r="G75" s="5">
        <f t="shared" si="3"/>
        <v>-2.0530289081200581E-2</v>
      </c>
      <c r="H75" s="5">
        <f t="shared" si="3"/>
        <v>-5.0921861281826186E-2</v>
      </c>
      <c r="I75" s="5">
        <f t="shared" si="3"/>
        <v>-3.376898088690794E-2</v>
      </c>
      <c r="J75" s="5">
        <f t="shared" si="3"/>
        <v>-4.6060322656067298E-2</v>
      </c>
      <c r="K75" s="5"/>
      <c r="L75" s="5"/>
      <c r="M75" s="5"/>
      <c r="N75" s="5"/>
      <c r="O75" s="5"/>
      <c r="P75" s="5"/>
      <c r="Q75" s="5"/>
    </row>
    <row r="76" spans="1:17" ht="15.6">
      <c r="A76" s="5"/>
      <c r="B76" s="12">
        <v>43994</v>
      </c>
      <c r="C76" s="5">
        <v>418.07</v>
      </c>
      <c r="D76" s="5">
        <v>62.35</v>
      </c>
      <c r="E76" s="5">
        <v>127.25</v>
      </c>
      <c r="F76" s="5">
        <v>122.42</v>
      </c>
      <c r="G76" s="5">
        <f t="shared" si="3"/>
        <v>-1.7600338377667057E-2</v>
      </c>
      <c r="H76" s="5">
        <f t="shared" si="3"/>
        <v>-3.8698735738513679E-2</v>
      </c>
      <c r="I76" s="5">
        <f t="shared" si="3"/>
        <v>-5.0820953870212016E-3</v>
      </c>
      <c r="J76" s="5">
        <f t="shared" si="3"/>
        <v>1.6339869281045694E-4</v>
      </c>
      <c r="K76" s="5"/>
      <c r="L76" s="5"/>
      <c r="M76" s="5"/>
      <c r="N76" s="5"/>
      <c r="O76" s="5"/>
      <c r="P76" s="5"/>
      <c r="Q76" s="5"/>
    </row>
    <row r="77" spans="1:17" ht="15.6">
      <c r="A77" s="5"/>
      <c r="B77" s="12">
        <v>43997</v>
      </c>
      <c r="C77" s="5">
        <v>425.5</v>
      </c>
      <c r="D77" s="5">
        <v>66.06</v>
      </c>
      <c r="E77" s="5">
        <v>128.63</v>
      </c>
      <c r="F77" s="5">
        <v>123.39</v>
      </c>
      <c r="G77" s="5">
        <f t="shared" si="3"/>
        <v>1.777214342095812E-2</v>
      </c>
      <c r="H77" s="5">
        <f t="shared" si="3"/>
        <v>5.9502806736166702E-2</v>
      </c>
      <c r="I77" s="5">
        <f t="shared" si="3"/>
        <v>1.0844793713163048E-2</v>
      </c>
      <c r="J77" s="5">
        <f t="shared" si="3"/>
        <v>7.9235419049175082E-3</v>
      </c>
      <c r="K77" s="5"/>
      <c r="L77" s="5"/>
      <c r="M77" s="5"/>
      <c r="N77" s="5"/>
      <c r="O77" s="5"/>
      <c r="P77" s="5"/>
      <c r="Q77" s="5"/>
    </row>
    <row r="78" spans="1:17" ht="15.6">
      <c r="A78" s="5"/>
      <c r="B78" s="12">
        <v>43998</v>
      </c>
      <c r="C78" s="5">
        <v>436.13</v>
      </c>
      <c r="D78" s="5">
        <v>65.48</v>
      </c>
      <c r="E78" s="5">
        <v>130.76</v>
      </c>
      <c r="F78" s="5">
        <v>125.71</v>
      </c>
      <c r="G78" s="5">
        <f t="shared" si="3"/>
        <v>2.4982373678025915E-2</v>
      </c>
      <c r="H78" s="5">
        <f t="shared" si="3"/>
        <v>-8.7798970632757545E-3</v>
      </c>
      <c r="I78" s="5">
        <f t="shared" si="3"/>
        <v>1.655912306615881E-2</v>
      </c>
      <c r="J78" s="5">
        <f t="shared" si="3"/>
        <v>1.8802171975038418E-2</v>
      </c>
      <c r="K78" s="5"/>
      <c r="L78" s="5"/>
      <c r="M78" s="5"/>
      <c r="N78" s="5"/>
      <c r="O78" s="5"/>
      <c r="P78" s="5"/>
      <c r="Q78" s="5"/>
    </row>
    <row r="79" spans="1:17" ht="15.6">
      <c r="A79" s="5"/>
      <c r="B79" s="12">
        <v>43999</v>
      </c>
      <c r="C79" s="5">
        <v>447.77</v>
      </c>
      <c r="D79" s="5">
        <v>66.12</v>
      </c>
      <c r="E79" s="5">
        <v>132.05000000000001</v>
      </c>
      <c r="F79" s="5">
        <v>125.42</v>
      </c>
      <c r="G79" s="5">
        <f t="shared" si="3"/>
        <v>2.668928989062902E-2</v>
      </c>
      <c r="H79" s="5">
        <f t="shared" si="3"/>
        <v>9.7739767868052496E-3</v>
      </c>
      <c r="I79" s="5">
        <f t="shared" si="3"/>
        <v>9.8654022636892602E-3</v>
      </c>
      <c r="J79" s="5">
        <f t="shared" si="3"/>
        <v>-2.3068968260281375E-3</v>
      </c>
      <c r="K79" s="5"/>
      <c r="L79" s="5"/>
      <c r="M79" s="5"/>
      <c r="N79" s="5"/>
      <c r="O79" s="5"/>
      <c r="P79" s="5"/>
      <c r="Q79" s="5"/>
    </row>
    <row r="80" spans="1:17" ht="15.6">
      <c r="A80" s="5"/>
      <c r="B80" s="12">
        <v>44000</v>
      </c>
      <c r="C80" s="5">
        <v>449.87</v>
      </c>
      <c r="D80" s="5">
        <v>66.930000000000007</v>
      </c>
      <c r="E80" s="5">
        <v>132.69999999999999</v>
      </c>
      <c r="F80" s="5">
        <v>125.67</v>
      </c>
      <c r="G80" s="5">
        <f t="shared" si="3"/>
        <v>4.6899077651474386E-3</v>
      </c>
      <c r="H80" s="5">
        <f t="shared" si="3"/>
        <v>1.2250453720508148E-2</v>
      </c>
      <c r="I80" s="5">
        <f t="shared" si="3"/>
        <v>4.9223778871638757E-3</v>
      </c>
      <c r="J80" s="5">
        <f t="shared" si="3"/>
        <v>1.9933025035878682E-3</v>
      </c>
      <c r="K80" s="5"/>
      <c r="L80" s="5"/>
      <c r="M80" s="5"/>
      <c r="N80" s="5"/>
      <c r="O80" s="5"/>
      <c r="P80" s="5"/>
      <c r="Q80" s="5"/>
    </row>
    <row r="81" spans="1:17" ht="15.6">
      <c r="A81" s="5"/>
      <c r="B81" s="12">
        <v>44001</v>
      </c>
      <c r="C81" s="5">
        <v>453.72</v>
      </c>
      <c r="D81" s="5">
        <v>66.73</v>
      </c>
      <c r="E81" s="5">
        <v>133.75</v>
      </c>
      <c r="F81" s="5">
        <v>122.74</v>
      </c>
      <c r="G81" s="5">
        <f t="shared" si="3"/>
        <v>8.5580278747194871E-3</v>
      </c>
      <c r="H81" s="5">
        <f t="shared" si="3"/>
        <v>-2.9881966233378243E-3</v>
      </c>
      <c r="I81" s="5">
        <f t="shared" si="3"/>
        <v>7.9125847776941871E-3</v>
      </c>
      <c r="J81" s="5">
        <f t="shared" si="3"/>
        <v>-2.3315031431527022E-2</v>
      </c>
      <c r="K81" s="5"/>
      <c r="L81" s="5"/>
      <c r="M81" s="5"/>
      <c r="N81" s="5"/>
      <c r="O81" s="5"/>
      <c r="P81" s="5"/>
      <c r="Q81" s="5"/>
    </row>
    <row r="82" spans="1:17" ht="15.6">
      <c r="A82" s="5"/>
      <c r="B82" s="12">
        <v>44004</v>
      </c>
      <c r="C82" s="5">
        <v>468.04</v>
      </c>
      <c r="D82" s="5">
        <v>66.290000000000006</v>
      </c>
      <c r="E82" s="5">
        <v>135.69</v>
      </c>
      <c r="F82" s="5">
        <v>123.79</v>
      </c>
      <c r="G82" s="5">
        <f t="shared" si="3"/>
        <v>3.1561315348673125E-2</v>
      </c>
      <c r="H82" s="5">
        <f t="shared" si="3"/>
        <v>-6.5937359508466686E-3</v>
      </c>
      <c r="I82" s="5">
        <f t="shared" si="3"/>
        <v>1.4504672897196258E-2</v>
      </c>
      <c r="J82" s="5">
        <f t="shared" si="3"/>
        <v>8.5546684047581589E-3</v>
      </c>
      <c r="K82" s="5"/>
      <c r="L82" s="5"/>
      <c r="M82" s="5"/>
      <c r="N82" s="5"/>
      <c r="O82" s="5"/>
      <c r="P82" s="5"/>
      <c r="Q82" s="5"/>
    </row>
    <row r="83" spans="1:17" ht="15.6">
      <c r="A83" s="5"/>
      <c r="B83" s="12">
        <v>44005</v>
      </c>
      <c r="C83" s="5">
        <v>466.26</v>
      </c>
      <c r="D83" s="5">
        <v>66.790000000000006</v>
      </c>
      <c r="E83" s="5">
        <v>138.22</v>
      </c>
      <c r="F83" s="5">
        <v>123.5</v>
      </c>
      <c r="G83" s="5">
        <f t="shared" si="3"/>
        <v>-3.8030937526707387E-3</v>
      </c>
      <c r="H83" s="5">
        <f t="shared" si="3"/>
        <v>7.542615779152273E-3</v>
      </c>
      <c r="I83" s="5">
        <f t="shared" si="3"/>
        <v>1.8645441815903885E-2</v>
      </c>
      <c r="J83" s="5">
        <f t="shared" si="3"/>
        <v>-2.3426771144681169E-3</v>
      </c>
      <c r="K83" s="5"/>
      <c r="L83" s="5"/>
      <c r="M83" s="5"/>
      <c r="N83" s="5"/>
      <c r="O83" s="5"/>
      <c r="P83" s="5"/>
      <c r="Q83" s="5"/>
    </row>
    <row r="84" spans="1:17" ht="15.6">
      <c r="A84" s="5"/>
      <c r="B84" s="12">
        <v>44006</v>
      </c>
      <c r="C84" s="5">
        <v>457.85</v>
      </c>
      <c r="D84" s="5">
        <v>64.06</v>
      </c>
      <c r="E84" s="5">
        <v>136.72</v>
      </c>
      <c r="F84" s="5">
        <v>121.35</v>
      </c>
      <c r="G84" s="5">
        <f t="shared" si="3"/>
        <v>-1.8037146656371905E-2</v>
      </c>
      <c r="H84" s="5">
        <f t="shared" si="3"/>
        <v>-4.0874382392573794E-2</v>
      </c>
      <c r="I84" s="5">
        <f t="shared" si="3"/>
        <v>-1.0852264505860187E-2</v>
      </c>
      <c r="J84" s="5">
        <f t="shared" si="3"/>
        <v>-1.7408906882591113E-2</v>
      </c>
      <c r="K84" s="5"/>
      <c r="L84" s="5"/>
      <c r="M84" s="5"/>
      <c r="N84" s="5"/>
      <c r="O84" s="5"/>
      <c r="P84" s="5"/>
      <c r="Q84" s="5"/>
    </row>
    <row r="85" spans="1:17" ht="15.6">
      <c r="A85" s="5"/>
      <c r="B85" s="12">
        <v>44007</v>
      </c>
      <c r="C85" s="5">
        <v>465.91</v>
      </c>
      <c r="D85" s="5">
        <v>65.73</v>
      </c>
      <c r="E85" s="5">
        <v>137.72999999999999</v>
      </c>
      <c r="F85" s="5">
        <v>122</v>
      </c>
      <c r="G85" s="5">
        <f t="shared" si="3"/>
        <v>1.7604018783444308E-2</v>
      </c>
      <c r="H85" s="5">
        <f t="shared" si="3"/>
        <v>2.606931002185453E-2</v>
      </c>
      <c r="I85" s="5">
        <f t="shared" si="3"/>
        <v>7.3873610298420544E-3</v>
      </c>
      <c r="J85" s="5">
        <f t="shared" si="3"/>
        <v>5.3564070869387415E-3</v>
      </c>
      <c r="K85" s="5"/>
      <c r="L85" s="5"/>
      <c r="M85" s="5"/>
      <c r="N85" s="5"/>
      <c r="O85" s="5"/>
      <c r="P85" s="5"/>
      <c r="Q85" s="5"/>
    </row>
    <row r="86" spans="1:17" ht="15.6">
      <c r="A86" s="5"/>
      <c r="B86" s="12">
        <v>44008</v>
      </c>
      <c r="C86" s="5">
        <v>443.4</v>
      </c>
      <c r="D86" s="5">
        <v>63.98</v>
      </c>
      <c r="E86" s="5">
        <v>134.63999999999999</v>
      </c>
      <c r="F86" s="5">
        <v>119.33</v>
      </c>
      <c r="G86" s="5">
        <f t="shared" si="3"/>
        <v>-4.8314052070142388E-2</v>
      </c>
      <c r="H86" s="5">
        <f t="shared" si="3"/>
        <v>-2.6624068157614644E-2</v>
      </c>
      <c r="I86" s="5">
        <f t="shared" si="3"/>
        <v>-2.2435199302984099E-2</v>
      </c>
      <c r="J86" s="5">
        <f t="shared" si="3"/>
        <v>-2.1885245901639316E-2</v>
      </c>
      <c r="K86" s="5"/>
      <c r="L86" s="5"/>
      <c r="M86" s="5"/>
      <c r="N86" s="5"/>
      <c r="O86" s="5"/>
      <c r="P86" s="5"/>
      <c r="Q86" s="5"/>
    </row>
    <row r="87" spans="1:17" ht="15.6">
      <c r="A87" s="5"/>
      <c r="B87" s="12">
        <v>44011</v>
      </c>
      <c r="C87" s="5">
        <v>447.24</v>
      </c>
      <c r="D87" s="5">
        <v>67.290000000000006</v>
      </c>
      <c r="E87" s="5">
        <v>134.02000000000001</v>
      </c>
      <c r="F87" s="5">
        <v>121</v>
      </c>
      <c r="G87" s="5">
        <f t="shared" si="3"/>
        <v>8.6603518267931445E-3</v>
      </c>
      <c r="H87" s="5">
        <f t="shared" si="3"/>
        <v>5.1734917161613048E-2</v>
      </c>
      <c r="I87" s="5">
        <f t="shared" si="3"/>
        <v>-4.6048722519308471E-3</v>
      </c>
      <c r="J87" s="5">
        <f t="shared" si="3"/>
        <v>1.3994804324143129E-2</v>
      </c>
      <c r="K87" s="5"/>
      <c r="L87" s="5"/>
      <c r="M87" s="5"/>
      <c r="N87" s="5"/>
      <c r="O87" s="5"/>
      <c r="P87" s="5"/>
      <c r="Q87" s="5"/>
    </row>
    <row r="88" spans="1:17" ht="15.6">
      <c r="A88" s="5"/>
      <c r="B88" s="12">
        <v>44012</v>
      </c>
      <c r="C88" s="5">
        <v>455.04</v>
      </c>
      <c r="D88" s="5">
        <v>71.989999999999995</v>
      </c>
      <c r="E88" s="5">
        <v>137.94</v>
      </c>
      <c r="F88" s="5">
        <v>122.9</v>
      </c>
      <c r="G88" s="5">
        <f t="shared" si="3"/>
        <v>1.7440300509793394E-2</v>
      </c>
      <c r="H88" s="5">
        <f t="shared" si="3"/>
        <v>6.9846931193342066E-2</v>
      </c>
      <c r="I88" s="5">
        <f t="shared" si="3"/>
        <v>2.9249365766303548E-2</v>
      </c>
      <c r="J88" s="5">
        <f t="shared" si="3"/>
        <v>1.5702479338842945E-2</v>
      </c>
      <c r="K88" s="5"/>
      <c r="L88" s="5"/>
      <c r="M88" s="5"/>
      <c r="N88" s="5"/>
      <c r="O88" s="5"/>
      <c r="P88" s="5"/>
      <c r="Q88" s="5"/>
    </row>
    <row r="89" spans="1:17" ht="15.6">
      <c r="A89" s="5"/>
      <c r="B89" s="12">
        <v>44013</v>
      </c>
      <c r="C89" s="5">
        <v>485.64</v>
      </c>
      <c r="D89" s="5">
        <v>74.64</v>
      </c>
      <c r="E89" s="5">
        <v>143.93</v>
      </c>
      <c r="F89" s="5">
        <v>123.38</v>
      </c>
      <c r="G89" s="5">
        <f t="shared" si="3"/>
        <v>6.7246835443038E-2</v>
      </c>
      <c r="H89" s="5">
        <f t="shared" si="3"/>
        <v>3.6810668148353987E-2</v>
      </c>
      <c r="I89" s="5">
        <f t="shared" si="3"/>
        <v>4.3424677395969224E-2</v>
      </c>
      <c r="J89" s="5">
        <f t="shared" si="3"/>
        <v>3.9056143205857818E-3</v>
      </c>
      <c r="K89" s="5"/>
      <c r="L89" s="5"/>
      <c r="M89" s="5"/>
      <c r="N89" s="5"/>
      <c r="O89" s="5"/>
      <c r="P89" s="5"/>
      <c r="Q89" s="5"/>
    </row>
    <row r="90" spans="1:17" ht="15.6">
      <c r="A90" s="5"/>
      <c r="B90" s="12">
        <v>44014</v>
      </c>
      <c r="C90" s="5">
        <v>476.89</v>
      </c>
      <c r="D90" s="5">
        <v>80.58</v>
      </c>
      <c r="E90" s="5">
        <v>144.51</v>
      </c>
      <c r="F90" s="5">
        <v>123.13</v>
      </c>
      <c r="G90" s="5">
        <f t="shared" si="3"/>
        <v>-1.8017461494110876E-2</v>
      </c>
      <c r="H90" s="5">
        <f t="shared" si="3"/>
        <v>7.9581993569131759E-2</v>
      </c>
      <c r="I90" s="5">
        <f t="shared" si="3"/>
        <v>4.0297366775514654E-3</v>
      </c>
      <c r="J90" s="5">
        <f t="shared" si="3"/>
        <v>-2.0262603339277208E-3</v>
      </c>
      <c r="K90" s="5"/>
      <c r="L90" s="5"/>
      <c r="M90" s="5"/>
      <c r="N90" s="5"/>
      <c r="O90" s="5"/>
      <c r="P90" s="5"/>
      <c r="Q90" s="5"/>
    </row>
    <row r="91" spans="1:17" ht="15.6">
      <c r="A91" s="5"/>
      <c r="B91" s="12">
        <v>44018</v>
      </c>
      <c r="C91" s="5">
        <v>493.81</v>
      </c>
      <c r="D91" s="5">
        <v>91.44</v>
      </c>
      <c r="E91" s="5">
        <v>152.85</v>
      </c>
      <c r="F91" s="5">
        <v>122.74</v>
      </c>
      <c r="G91" s="5">
        <f t="shared" si="3"/>
        <v>3.547988005619751E-2</v>
      </c>
      <c r="H91" s="5">
        <f t="shared" si="3"/>
        <v>0.13477289650037227</v>
      </c>
      <c r="I91" s="5">
        <f t="shared" si="3"/>
        <v>5.7712269047124787E-2</v>
      </c>
      <c r="J91" s="5">
        <f t="shared" si="3"/>
        <v>-3.1673840656216701E-3</v>
      </c>
      <c r="K91" s="5"/>
      <c r="L91" s="5"/>
      <c r="M91" s="5"/>
      <c r="N91" s="5"/>
      <c r="O91" s="5"/>
      <c r="P91" s="5"/>
      <c r="Q91" s="5"/>
    </row>
    <row r="92" spans="1:17" ht="15.6">
      <c r="A92" s="5"/>
      <c r="B92" s="12">
        <v>44019</v>
      </c>
      <c r="C92" s="5">
        <v>493.16</v>
      </c>
      <c r="D92" s="5">
        <v>92.66</v>
      </c>
      <c r="E92" s="5">
        <v>150.01</v>
      </c>
      <c r="F92" s="5">
        <v>122.55</v>
      </c>
      <c r="G92" s="5">
        <f t="shared" si="3"/>
        <v>-1.3162957412770071E-3</v>
      </c>
      <c r="H92" s="5">
        <f t="shared" si="3"/>
        <v>1.334208223972011E-2</v>
      </c>
      <c r="I92" s="5">
        <f t="shared" si="3"/>
        <v>-1.8580307491004255E-2</v>
      </c>
      <c r="J92" s="5">
        <f t="shared" si="3"/>
        <v>-1.5479876160990891E-3</v>
      </c>
      <c r="K92" s="5"/>
      <c r="L92" s="5"/>
      <c r="M92" s="5"/>
      <c r="N92" s="5"/>
      <c r="O92" s="5"/>
      <c r="P92" s="5"/>
      <c r="Q92" s="5"/>
    </row>
    <row r="93" spans="1:17" ht="15.6">
      <c r="A93" s="5"/>
      <c r="B93" s="12">
        <v>44020</v>
      </c>
      <c r="C93" s="5">
        <v>502.78</v>
      </c>
      <c r="D93" s="5">
        <v>91.06</v>
      </c>
      <c r="E93" s="5">
        <v>154.06</v>
      </c>
      <c r="F93" s="5">
        <v>121.86</v>
      </c>
      <c r="G93" s="5">
        <f t="shared" si="3"/>
        <v>1.9506853759428955E-2</v>
      </c>
      <c r="H93" s="5">
        <f t="shared" si="3"/>
        <v>-1.7267429311461191E-2</v>
      </c>
      <c r="I93" s="5">
        <f t="shared" si="3"/>
        <v>2.6998200119991989E-2</v>
      </c>
      <c r="J93" s="5">
        <f t="shared" si="3"/>
        <v>-5.6303549571603551E-3</v>
      </c>
      <c r="K93" s="5"/>
      <c r="L93" s="5"/>
      <c r="M93" s="5"/>
      <c r="N93" s="5"/>
      <c r="O93" s="5"/>
      <c r="P93" s="5"/>
      <c r="Q93" s="5"/>
    </row>
    <row r="94" spans="1:17" ht="15.6">
      <c r="A94" s="5"/>
      <c r="B94" s="12">
        <v>44021</v>
      </c>
      <c r="C94" s="5">
        <v>507.76</v>
      </c>
      <c r="D94" s="5">
        <v>92.95</v>
      </c>
      <c r="E94" s="5">
        <v>159.13</v>
      </c>
      <c r="F94" s="5">
        <v>120.18</v>
      </c>
      <c r="G94" s="5">
        <f t="shared" si="3"/>
        <v>9.9049285970007617E-3</v>
      </c>
      <c r="H94" s="5">
        <f t="shared" si="3"/>
        <v>2.0755545793982089E-2</v>
      </c>
      <c r="I94" s="5">
        <f t="shared" si="3"/>
        <v>3.2909256133973663E-2</v>
      </c>
      <c r="J94" s="5">
        <f t="shared" si="3"/>
        <v>-1.3786312161496728E-2</v>
      </c>
      <c r="K94" s="5"/>
      <c r="L94" s="5"/>
      <c r="M94" s="5"/>
      <c r="N94" s="5"/>
      <c r="O94" s="5"/>
      <c r="P94" s="5"/>
      <c r="Q94" s="5"/>
    </row>
    <row r="95" spans="1:17" ht="15.6">
      <c r="A95" s="5"/>
      <c r="B95" s="12">
        <v>44022</v>
      </c>
      <c r="C95" s="5">
        <v>548.73</v>
      </c>
      <c r="D95" s="5">
        <v>102.98</v>
      </c>
      <c r="E95" s="5">
        <v>160</v>
      </c>
      <c r="F95" s="5">
        <v>121.13</v>
      </c>
      <c r="G95" s="5">
        <f t="shared" si="3"/>
        <v>8.0687726484953481E-2</v>
      </c>
      <c r="H95" s="5">
        <f t="shared" si="3"/>
        <v>0.10790747713824644</v>
      </c>
      <c r="I95" s="5">
        <f t="shared" si="3"/>
        <v>5.4672280525356332E-3</v>
      </c>
      <c r="J95" s="5">
        <f t="shared" si="3"/>
        <v>7.9048094524878376E-3</v>
      </c>
      <c r="K95" s="5"/>
      <c r="L95" s="5"/>
      <c r="M95" s="5"/>
      <c r="N95" s="5"/>
      <c r="O95" s="5"/>
      <c r="P95" s="5"/>
      <c r="Q95" s="5"/>
    </row>
    <row r="96" spans="1:17" ht="15.6">
      <c r="A96" s="5"/>
      <c r="B96" s="12">
        <v>44025</v>
      </c>
      <c r="C96" s="5">
        <v>525.5</v>
      </c>
      <c r="D96" s="5">
        <v>99.8</v>
      </c>
      <c r="E96" s="5">
        <v>155.19999999999999</v>
      </c>
      <c r="F96" s="5">
        <v>121.25</v>
      </c>
      <c r="G96" s="5">
        <f t="shared" si="3"/>
        <v>-4.233411696098266E-2</v>
      </c>
      <c r="H96" s="5">
        <f t="shared" si="3"/>
        <v>-3.0879782482035378E-2</v>
      </c>
      <c r="I96" s="5">
        <f t="shared" si="3"/>
        <v>-3.0000000000000027E-2</v>
      </c>
      <c r="J96" s="5">
        <f t="shared" si="3"/>
        <v>9.9067117972428953E-4</v>
      </c>
      <c r="K96" s="5"/>
      <c r="L96" s="5"/>
      <c r="M96" s="5"/>
      <c r="N96" s="5"/>
      <c r="O96" s="5"/>
      <c r="P96" s="5"/>
      <c r="Q96" s="5"/>
    </row>
    <row r="97" spans="1:17" ht="15.6">
      <c r="A97" s="5"/>
      <c r="B97" s="12">
        <v>44026</v>
      </c>
      <c r="C97" s="5">
        <v>524.88</v>
      </c>
      <c r="D97" s="5">
        <v>101.12</v>
      </c>
      <c r="E97" s="5">
        <v>154.19999999999999</v>
      </c>
      <c r="F97" s="5">
        <v>124.97</v>
      </c>
      <c r="G97" s="5">
        <f t="shared" si="3"/>
        <v>-1.1798287345385905E-3</v>
      </c>
      <c r="H97" s="5">
        <f t="shared" si="3"/>
        <v>1.3226452905811703E-2</v>
      </c>
      <c r="I97" s="5">
        <f t="shared" si="3"/>
        <v>-6.4432989690721421E-3</v>
      </c>
      <c r="J97" s="5">
        <f t="shared" si="3"/>
        <v>3.0680412371133947E-2</v>
      </c>
      <c r="K97" s="5"/>
      <c r="L97" s="5"/>
      <c r="M97" s="5"/>
      <c r="N97" s="5"/>
      <c r="O97" s="5"/>
      <c r="P97" s="5"/>
      <c r="Q97" s="5"/>
    </row>
    <row r="98" spans="1:17" ht="15.6">
      <c r="A98" s="5"/>
      <c r="B98" s="12">
        <v>44027</v>
      </c>
      <c r="C98" s="5">
        <v>523.26</v>
      </c>
      <c r="D98" s="5">
        <v>103.07</v>
      </c>
      <c r="E98" s="5">
        <v>150.44</v>
      </c>
      <c r="F98" s="5">
        <v>125.16</v>
      </c>
      <c r="G98" s="5">
        <f t="shared" si="3"/>
        <v>-3.0864197530864335E-3</v>
      </c>
      <c r="H98" s="5">
        <f t="shared" si="3"/>
        <v>1.9284018987341556E-2</v>
      </c>
      <c r="I98" s="5">
        <f t="shared" si="3"/>
        <v>-2.4383916990920795E-2</v>
      </c>
      <c r="J98" s="5">
        <f t="shared" si="3"/>
        <v>1.5203648875730114E-3</v>
      </c>
      <c r="K98" s="5"/>
      <c r="L98" s="5"/>
      <c r="M98" s="5"/>
      <c r="N98" s="5"/>
      <c r="O98" s="5"/>
      <c r="P98" s="5"/>
      <c r="Q98" s="5"/>
    </row>
    <row r="99" spans="1:17" ht="15.6">
      <c r="A99" s="5"/>
      <c r="B99" s="12">
        <v>44028</v>
      </c>
      <c r="C99" s="5">
        <v>527.39</v>
      </c>
      <c r="D99" s="5">
        <v>100.04</v>
      </c>
      <c r="E99" s="5">
        <v>149.99</v>
      </c>
      <c r="F99" s="5">
        <v>127.48</v>
      </c>
      <c r="G99" s="5">
        <f t="shared" si="3"/>
        <v>7.8928257462829166E-3</v>
      </c>
      <c r="H99" s="5">
        <f t="shared" si="3"/>
        <v>-2.939749684680304E-2</v>
      </c>
      <c r="I99" s="5">
        <f t="shared" si="3"/>
        <v>-2.9912257378356122E-3</v>
      </c>
      <c r="J99" s="5">
        <f t="shared" si="3"/>
        <v>1.8536273569830675E-2</v>
      </c>
      <c r="K99" s="5"/>
      <c r="L99" s="5"/>
      <c r="M99" s="5"/>
      <c r="N99" s="5"/>
      <c r="O99" s="5"/>
      <c r="P99" s="5"/>
      <c r="Q99" s="5"/>
    </row>
    <row r="100" spans="1:17" ht="15.6">
      <c r="A100" s="5"/>
      <c r="B100" s="12">
        <v>44029</v>
      </c>
      <c r="C100" s="5">
        <v>492.99</v>
      </c>
      <c r="D100" s="5">
        <v>100.06</v>
      </c>
      <c r="E100" s="5">
        <v>148.1</v>
      </c>
      <c r="F100" s="5">
        <v>129.33000000000001</v>
      </c>
      <c r="G100" s="5">
        <f t="shared" si="3"/>
        <v>-6.5226871954341181E-2</v>
      </c>
      <c r="H100" s="5">
        <f t="shared" si="3"/>
        <v>1.9992003198709973E-4</v>
      </c>
      <c r="I100" s="5">
        <f t="shared" si="3"/>
        <v>-1.2600840056003815E-2</v>
      </c>
      <c r="J100" s="5">
        <f t="shared" si="3"/>
        <v>1.4512080326325671E-2</v>
      </c>
      <c r="K100" s="5"/>
      <c r="L100" s="5"/>
      <c r="M100" s="5"/>
      <c r="N100" s="5"/>
      <c r="O100" s="5"/>
      <c r="P100" s="5"/>
      <c r="Q100" s="5"/>
    </row>
    <row r="101" spans="1:17" ht="15.6">
      <c r="A101" s="5"/>
      <c r="B101" s="12">
        <v>44032</v>
      </c>
      <c r="C101" s="5">
        <v>502.41</v>
      </c>
      <c r="D101" s="5">
        <v>109.53</v>
      </c>
      <c r="E101" s="5">
        <v>159.84</v>
      </c>
      <c r="F101" s="5">
        <v>128.49</v>
      </c>
      <c r="G101" s="5">
        <f t="shared" si="3"/>
        <v>1.910789265502344E-2</v>
      </c>
      <c r="H101" s="5">
        <f t="shared" si="3"/>
        <v>9.4643214071556958E-2</v>
      </c>
      <c r="I101" s="5">
        <f t="shared" si="3"/>
        <v>7.9270762997974309E-2</v>
      </c>
      <c r="J101" s="5">
        <f t="shared" si="3"/>
        <v>-6.4950127580607475E-3</v>
      </c>
      <c r="K101" s="5"/>
      <c r="L101" s="5"/>
      <c r="M101" s="5"/>
      <c r="N101" s="5"/>
      <c r="O101" s="5"/>
      <c r="P101" s="5"/>
      <c r="Q101" s="5"/>
    </row>
    <row r="102" spans="1:17" ht="15.6">
      <c r="A102" s="5"/>
      <c r="B102" s="12">
        <v>44033</v>
      </c>
      <c r="C102" s="5">
        <v>490.1</v>
      </c>
      <c r="D102" s="5">
        <v>104.56</v>
      </c>
      <c r="E102" s="5">
        <v>156.91</v>
      </c>
      <c r="F102" s="5">
        <v>130.19</v>
      </c>
      <c r="G102" s="5">
        <f t="shared" si="3"/>
        <v>-2.4501900837960999E-2</v>
      </c>
      <c r="H102" s="5">
        <f t="shared" si="3"/>
        <v>-4.5375696156304213E-2</v>
      </c>
      <c r="I102" s="5">
        <f t="shared" si="3"/>
        <v>-1.8330830830830869E-2</v>
      </c>
      <c r="J102" s="5">
        <f t="shared" si="3"/>
        <v>1.3230601603237524E-2</v>
      </c>
      <c r="K102" s="5"/>
      <c r="L102" s="5"/>
      <c r="M102" s="5"/>
      <c r="N102" s="5"/>
      <c r="O102" s="5"/>
      <c r="P102" s="5"/>
      <c r="Q102" s="5"/>
    </row>
    <row r="103" spans="1:17" ht="15.6">
      <c r="A103" s="5"/>
      <c r="B103" s="12">
        <v>44034</v>
      </c>
      <c r="C103" s="5">
        <v>489.82</v>
      </c>
      <c r="D103" s="5">
        <v>106.16</v>
      </c>
      <c r="E103" s="5">
        <v>155</v>
      </c>
      <c r="F103" s="5">
        <v>131.28</v>
      </c>
      <c r="G103" s="5">
        <f t="shared" si="3"/>
        <v>-5.7131197714754833E-4</v>
      </c>
      <c r="H103" s="5">
        <f t="shared" si="3"/>
        <v>1.5302218821729108E-2</v>
      </c>
      <c r="I103" s="5">
        <f t="shared" si="3"/>
        <v>-1.217258300936841E-2</v>
      </c>
      <c r="J103" s="5">
        <f t="shared" si="3"/>
        <v>8.372378830939331E-3</v>
      </c>
      <c r="K103" s="5"/>
      <c r="L103" s="5"/>
      <c r="M103" s="5"/>
      <c r="N103" s="5"/>
      <c r="O103" s="5"/>
      <c r="P103" s="5"/>
      <c r="Q103" s="5"/>
    </row>
    <row r="104" spans="1:17" ht="15.6">
      <c r="A104" s="5"/>
      <c r="B104" s="12">
        <v>44035</v>
      </c>
      <c r="C104" s="5">
        <v>477.58</v>
      </c>
      <c r="D104" s="5">
        <v>100.87</v>
      </c>
      <c r="E104" s="5">
        <v>149.33000000000001</v>
      </c>
      <c r="F104" s="5">
        <v>138.75</v>
      </c>
      <c r="G104" s="5">
        <f t="shared" si="3"/>
        <v>-2.4988771385406894E-2</v>
      </c>
      <c r="H104" s="5">
        <f t="shared" si="3"/>
        <v>-4.9830444611906444E-2</v>
      </c>
      <c r="I104" s="5">
        <f t="shared" si="3"/>
        <v>-3.6580645161290226E-2</v>
      </c>
      <c r="J104" s="5">
        <f t="shared" si="3"/>
        <v>5.6901279707495478E-2</v>
      </c>
      <c r="K104" s="5"/>
      <c r="L104" s="5"/>
      <c r="M104" s="5"/>
      <c r="N104" s="5"/>
      <c r="O104" s="5"/>
      <c r="P104" s="5"/>
      <c r="Q104" s="5"/>
    </row>
    <row r="105" spans="1:17" ht="15.6">
      <c r="A105" s="5"/>
      <c r="B105" s="12">
        <v>44036</v>
      </c>
      <c r="C105" s="5">
        <v>480.45</v>
      </c>
      <c r="D105" s="5">
        <v>94.47</v>
      </c>
      <c r="E105" s="5">
        <v>150.44999999999999</v>
      </c>
      <c r="F105" s="5">
        <v>138.13</v>
      </c>
      <c r="G105" s="5">
        <f t="shared" si="3"/>
        <v>6.0094643829307071E-3</v>
      </c>
      <c r="H105" s="5">
        <f t="shared" si="3"/>
        <v>-6.344800237930015E-2</v>
      </c>
      <c r="I105" s="5">
        <f t="shared" si="3"/>
        <v>7.5001674144510311E-3</v>
      </c>
      <c r="J105" s="5">
        <f t="shared" si="3"/>
        <v>-4.4684684684684894E-3</v>
      </c>
      <c r="K105" s="5"/>
      <c r="L105" s="5"/>
      <c r="M105" s="5"/>
      <c r="N105" s="5"/>
      <c r="O105" s="5"/>
      <c r="P105" s="5"/>
      <c r="Q105" s="5"/>
    </row>
    <row r="106" spans="1:17" ht="15.6">
      <c r="A106" s="5"/>
      <c r="B106" s="12">
        <v>44039</v>
      </c>
      <c r="C106" s="5">
        <v>495.65</v>
      </c>
      <c r="D106" s="5">
        <v>102.64</v>
      </c>
      <c r="E106" s="5">
        <v>152.76</v>
      </c>
      <c r="F106" s="5">
        <v>138.71</v>
      </c>
      <c r="G106" s="5">
        <f t="shared" si="3"/>
        <v>3.1637006972629722E-2</v>
      </c>
      <c r="H106" s="5">
        <f t="shared" si="3"/>
        <v>8.6482481210966355E-2</v>
      </c>
      <c r="I106" s="5">
        <f t="shared" si="3"/>
        <v>1.5353938185443727E-2</v>
      </c>
      <c r="J106" s="5">
        <f t="shared" si="3"/>
        <v>4.1989430246869297E-3</v>
      </c>
      <c r="K106" s="5"/>
      <c r="L106" s="5"/>
      <c r="M106" s="5"/>
      <c r="N106" s="5"/>
      <c r="O106" s="5"/>
      <c r="P106" s="5"/>
      <c r="Q106" s="5"/>
    </row>
    <row r="107" spans="1:17" ht="15.6">
      <c r="A107" s="5"/>
      <c r="B107" s="12">
        <v>44040</v>
      </c>
      <c r="C107" s="5">
        <v>488.51</v>
      </c>
      <c r="D107" s="5">
        <v>98.43</v>
      </c>
      <c r="E107" s="5">
        <v>150.02000000000001</v>
      </c>
      <c r="F107" s="5">
        <v>138.18</v>
      </c>
      <c r="G107" s="5">
        <f t="shared" si="3"/>
        <v>-1.4405326339150593E-2</v>
      </c>
      <c r="H107" s="5">
        <f t="shared" si="3"/>
        <v>-4.1017147310989821E-2</v>
      </c>
      <c r="I107" s="5">
        <f t="shared" si="3"/>
        <v>-1.793663262634182E-2</v>
      </c>
      <c r="J107" s="5">
        <f t="shared" si="3"/>
        <v>-3.8209213466945391E-3</v>
      </c>
      <c r="K107" s="5"/>
      <c r="L107" s="5"/>
      <c r="M107" s="5"/>
      <c r="N107" s="5"/>
      <c r="O107" s="5"/>
      <c r="P107" s="5"/>
      <c r="Q107" s="5"/>
    </row>
    <row r="108" spans="1:17" ht="15.6">
      <c r="A108" s="5"/>
      <c r="B108" s="12">
        <v>44041</v>
      </c>
      <c r="C108" s="5">
        <v>484.48</v>
      </c>
      <c r="D108" s="5">
        <v>99.94</v>
      </c>
      <c r="E108" s="5">
        <v>151.68</v>
      </c>
      <c r="F108" s="5">
        <v>138.25</v>
      </c>
      <c r="G108" s="5">
        <f t="shared" si="3"/>
        <v>-8.2495752389919463E-3</v>
      </c>
      <c r="H108" s="5">
        <f t="shared" si="3"/>
        <v>1.5340851366453245E-2</v>
      </c>
      <c r="I108" s="5">
        <f t="shared" si="3"/>
        <v>1.1065191307825684E-2</v>
      </c>
      <c r="J108" s="5">
        <f t="shared" si="3"/>
        <v>5.0658561296845761E-4</v>
      </c>
      <c r="K108" s="5"/>
      <c r="L108" s="5"/>
      <c r="M108" s="5"/>
      <c r="N108" s="5"/>
      <c r="O108" s="5"/>
      <c r="P108" s="5"/>
      <c r="Q108" s="5"/>
    </row>
    <row r="109" spans="1:17" ht="15.6">
      <c r="A109" s="5"/>
      <c r="B109" s="12">
        <v>44042</v>
      </c>
      <c r="C109" s="5">
        <v>485.8</v>
      </c>
      <c r="D109" s="5">
        <v>99.17</v>
      </c>
      <c r="E109" s="5">
        <v>152.59</v>
      </c>
      <c r="F109" s="5">
        <v>137.76</v>
      </c>
      <c r="G109" s="5">
        <f t="shared" si="3"/>
        <v>2.7245706737120123E-3</v>
      </c>
      <c r="H109" s="5">
        <f t="shared" si="3"/>
        <v>-7.7046227736641271E-3</v>
      </c>
      <c r="I109" s="5">
        <f t="shared" si="3"/>
        <v>5.9994725738397037E-3</v>
      </c>
      <c r="J109" s="5">
        <f t="shared" si="3"/>
        <v>-3.5443037974683955E-3</v>
      </c>
      <c r="K109" s="5"/>
      <c r="L109" s="5"/>
      <c r="M109" s="5"/>
      <c r="N109" s="5"/>
      <c r="O109" s="5"/>
      <c r="P109" s="5"/>
      <c r="Q109" s="5"/>
    </row>
    <row r="110" spans="1:17" ht="15.6">
      <c r="A110" s="5"/>
      <c r="B110" s="12">
        <v>44043</v>
      </c>
      <c r="C110" s="5">
        <v>488.88</v>
      </c>
      <c r="D110" s="5">
        <v>95.38</v>
      </c>
      <c r="E110" s="5">
        <v>158.22999999999999</v>
      </c>
      <c r="F110" s="5">
        <v>137.87</v>
      </c>
      <c r="G110" s="5">
        <f t="shared" si="3"/>
        <v>6.3400576368874972E-3</v>
      </c>
      <c r="H110" s="5">
        <f t="shared" si="3"/>
        <v>-3.8217202783099813E-2</v>
      </c>
      <c r="I110" s="5">
        <f t="shared" si="3"/>
        <v>3.6961793040172886E-2</v>
      </c>
      <c r="J110" s="5">
        <f t="shared" si="3"/>
        <v>7.9849012775845551E-4</v>
      </c>
      <c r="K110" s="5"/>
      <c r="L110" s="5"/>
      <c r="M110" s="5"/>
      <c r="N110" s="5"/>
      <c r="O110" s="5"/>
      <c r="P110" s="5"/>
      <c r="Q110" s="5"/>
    </row>
    <row r="111" spans="1:17" ht="15.6">
      <c r="A111" s="5"/>
      <c r="B111" s="12">
        <v>44046</v>
      </c>
      <c r="C111" s="5">
        <v>498.62</v>
      </c>
      <c r="D111" s="5">
        <v>99</v>
      </c>
      <c r="E111" s="5">
        <v>155.59</v>
      </c>
      <c r="F111" s="5">
        <v>137.43</v>
      </c>
      <c r="G111" s="5">
        <f t="shared" si="3"/>
        <v>1.9923089510718306E-2</v>
      </c>
      <c r="H111" s="5">
        <f t="shared" si="3"/>
        <v>3.7953449360452973E-2</v>
      </c>
      <c r="I111" s="5">
        <f t="shared" si="3"/>
        <v>-1.6684573089805865E-2</v>
      </c>
      <c r="J111" s="5">
        <f t="shared" si="3"/>
        <v>-3.1914121998984912E-3</v>
      </c>
      <c r="K111" s="5"/>
      <c r="L111" s="5"/>
      <c r="M111" s="5"/>
      <c r="N111" s="5"/>
      <c r="O111" s="5"/>
      <c r="P111" s="5"/>
      <c r="Q111" s="5"/>
    </row>
    <row r="112" spans="1:17" ht="15.6">
      <c r="A112" s="5"/>
      <c r="B112" s="12">
        <v>44047</v>
      </c>
      <c r="C112" s="5">
        <v>509.64</v>
      </c>
      <c r="D112" s="5">
        <v>99.13</v>
      </c>
      <c r="E112" s="5">
        <v>156.94</v>
      </c>
      <c r="F112" s="5">
        <v>136.82</v>
      </c>
      <c r="G112" s="5">
        <f t="shared" si="3"/>
        <v>2.2100998756568124E-2</v>
      </c>
      <c r="H112" s="5">
        <f t="shared" si="3"/>
        <v>1.3131313131313771E-3</v>
      </c>
      <c r="I112" s="5">
        <f t="shared" si="3"/>
        <v>8.6766501703194887E-3</v>
      </c>
      <c r="J112" s="5">
        <f t="shared" si="3"/>
        <v>-4.4386232991342478E-3</v>
      </c>
      <c r="K112" s="5"/>
      <c r="L112" s="5"/>
      <c r="M112" s="5"/>
      <c r="N112" s="5"/>
      <c r="O112" s="5"/>
      <c r="P112" s="5"/>
      <c r="Q112" s="5"/>
    </row>
    <row r="113" spans="1:17" ht="15.6">
      <c r="A113" s="5"/>
      <c r="B113" s="12">
        <v>44048</v>
      </c>
      <c r="C113" s="5">
        <v>502.11</v>
      </c>
      <c r="D113" s="5">
        <v>99</v>
      </c>
      <c r="E113" s="5">
        <v>160.25</v>
      </c>
      <c r="F113" s="5">
        <v>134.9</v>
      </c>
      <c r="G113" s="5">
        <f t="shared" si="3"/>
        <v>-1.4775135389686778E-2</v>
      </c>
      <c r="H113" s="5">
        <f t="shared" si="3"/>
        <v>-1.3114092605668315E-3</v>
      </c>
      <c r="I113" s="5">
        <f t="shared" si="3"/>
        <v>2.109086275009564E-2</v>
      </c>
      <c r="J113" s="5">
        <f t="shared" si="3"/>
        <v>-1.4033036105832397E-2</v>
      </c>
      <c r="K113" s="5"/>
      <c r="L113" s="5"/>
      <c r="M113" s="5"/>
      <c r="N113" s="5"/>
      <c r="O113" s="5"/>
      <c r="P113" s="5"/>
      <c r="Q113" s="5"/>
    </row>
    <row r="114" spans="1:17" ht="15.6">
      <c r="A114" s="5"/>
      <c r="B114" s="12">
        <v>44049</v>
      </c>
      <c r="C114" s="5">
        <v>509.08</v>
      </c>
      <c r="D114" s="5">
        <v>99.31</v>
      </c>
      <c r="E114" s="5">
        <v>161.25</v>
      </c>
      <c r="F114" s="5">
        <v>136.22</v>
      </c>
      <c r="G114" s="5">
        <f t="shared" si="3"/>
        <v>1.3881420405887024E-2</v>
      </c>
      <c r="H114" s="5">
        <f t="shared" si="3"/>
        <v>3.131313131313096E-3</v>
      </c>
      <c r="I114" s="5">
        <f t="shared" si="3"/>
        <v>6.2402496099844829E-3</v>
      </c>
      <c r="J114" s="5">
        <f t="shared" si="3"/>
        <v>9.7850259451444099E-3</v>
      </c>
      <c r="K114" s="5"/>
      <c r="L114" s="5"/>
      <c r="M114" s="5"/>
      <c r="N114" s="5"/>
      <c r="O114" s="5"/>
      <c r="P114" s="5"/>
      <c r="Q114" s="5"/>
    </row>
    <row r="115" spans="1:17" ht="15.6">
      <c r="A115" s="5"/>
      <c r="B115" s="12">
        <v>44050</v>
      </c>
      <c r="C115" s="5">
        <v>494.73</v>
      </c>
      <c r="D115" s="5">
        <v>96.85</v>
      </c>
      <c r="E115" s="5">
        <v>158.37</v>
      </c>
      <c r="F115" s="5">
        <v>136.46</v>
      </c>
      <c r="G115" s="5">
        <f t="shared" si="3"/>
        <v>-2.8188104030800631E-2</v>
      </c>
      <c r="H115" s="5">
        <f t="shared" si="3"/>
        <v>-2.4770919343469977E-2</v>
      </c>
      <c r="I115" s="5">
        <f t="shared" si="3"/>
        <v>-1.7860465116279034E-2</v>
      </c>
      <c r="J115" s="5">
        <f t="shared" si="3"/>
        <v>1.7618558214653746E-3</v>
      </c>
      <c r="K115" s="5"/>
      <c r="L115" s="5"/>
      <c r="M115" s="5"/>
      <c r="N115" s="5"/>
      <c r="O115" s="5"/>
      <c r="P115" s="5"/>
      <c r="Q115" s="5"/>
    </row>
    <row r="116" spans="1:17" ht="15.6">
      <c r="A116" s="5"/>
      <c r="B116" s="12">
        <v>44053</v>
      </c>
      <c r="C116" s="5">
        <v>483.38</v>
      </c>
      <c r="D116" s="5">
        <v>94.57</v>
      </c>
      <c r="E116" s="5">
        <v>157.41</v>
      </c>
      <c r="F116" s="5">
        <v>136.46</v>
      </c>
      <c r="G116" s="5">
        <f t="shared" si="3"/>
        <v>-2.2941806642006846E-2</v>
      </c>
      <c r="H116" s="5">
        <f t="shared" si="3"/>
        <v>-2.3541559112028931E-2</v>
      </c>
      <c r="I116" s="5">
        <f t="shared" si="3"/>
        <v>-6.0617541200985725E-3</v>
      </c>
      <c r="J116" s="5">
        <f t="shared" si="3"/>
        <v>0</v>
      </c>
      <c r="K116" s="5"/>
      <c r="L116" s="5"/>
      <c r="M116" s="5"/>
      <c r="N116" s="5"/>
      <c r="O116" s="5"/>
      <c r="P116" s="5"/>
      <c r="Q116" s="5"/>
    </row>
    <row r="117" spans="1:17" ht="15.6">
      <c r="A117" s="5"/>
      <c r="B117" s="12">
        <v>44054</v>
      </c>
      <c r="C117" s="5">
        <v>466.93</v>
      </c>
      <c r="D117" s="5">
        <v>91.63</v>
      </c>
      <c r="E117" s="5">
        <v>154.03</v>
      </c>
      <c r="F117" s="5">
        <v>135.12</v>
      </c>
      <c r="G117" s="5">
        <f t="shared" si="3"/>
        <v>-3.4031196987877044E-2</v>
      </c>
      <c r="H117" s="5">
        <f t="shared" si="3"/>
        <v>-3.1088082901554404E-2</v>
      </c>
      <c r="I117" s="5">
        <f t="shared" si="3"/>
        <v>-2.1472587510323327E-2</v>
      </c>
      <c r="J117" s="5">
        <f t="shared" si="3"/>
        <v>-9.8197273926425854E-3</v>
      </c>
      <c r="K117" s="5"/>
      <c r="L117" s="5"/>
      <c r="M117" s="5"/>
      <c r="N117" s="5"/>
      <c r="O117" s="5"/>
      <c r="P117" s="5"/>
      <c r="Q117" s="5"/>
    </row>
    <row r="118" spans="1:17" ht="15.6">
      <c r="A118" s="5"/>
      <c r="B118" s="12">
        <v>44055</v>
      </c>
      <c r="C118" s="5">
        <v>475.47</v>
      </c>
      <c r="D118" s="5">
        <v>103.65</v>
      </c>
      <c r="E118" s="5">
        <v>158.11000000000001</v>
      </c>
      <c r="F118" s="5">
        <v>138.44999999999999</v>
      </c>
      <c r="G118" s="5">
        <f t="shared" si="3"/>
        <v>1.8289679395198544E-2</v>
      </c>
      <c r="H118" s="5">
        <f t="shared" si="3"/>
        <v>0.13117974462512283</v>
      </c>
      <c r="I118" s="5">
        <f t="shared" si="3"/>
        <v>2.6488346426021048E-2</v>
      </c>
      <c r="J118" s="5">
        <f t="shared" si="3"/>
        <v>2.4644760213143657E-2</v>
      </c>
      <c r="K118" s="5"/>
      <c r="L118" s="5"/>
      <c r="M118" s="5"/>
      <c r="N118" s="5"/>
      <c r="O118" s="5"/>
      <c r="P118" s="5"/>
      <c r="Q118" s="5"/>
    </row>
    <row r="119" spans="1:17" ht="15.6">
      <c r="A119" s="5"/>
      <c r="B119" s="12">
        <v>44056</v>
      </c>
      <c r="C119" s="5">
        <v>481.33</v>
      </c>
      <c r="D119" s="5">
        <v>108.07</v>
      </c>
      <c r="E119" s="5">
        <v>158.05000000000001</v>
      </c>
      <c r="F119" s="5">
        <v>138.97</v>
      </c>
      <c r="G119" s="5">
        <f t="shared" si="3"/>
        <v>1.2324647191200189E-2</v>
      </c>
      <c r="H119" s="5">
        <f t="shared" si="3"/>
        <v>4.2643511818620139E-2</v>
      </c>
      <c r="I119" s="5">
        <f t="shared" si="3"/>
        <v>-3.7948263866927068E-4</v>
      </c>
      <c r="J119" s="5">
        <f t="shared" si="3"/>
        <v>3.755868544601082E-3</v>
      </c>
      <c r="K119" s="5"/>
      <c r="L119" s="5"/>
      <c r="M119" s="5"/>
      <c r="N119" s="5"/>
      <c r="O119" s="5"/>
      <c r="P119" s="5"/>
      <c r="Q119" s="5"/>
    </row>
    <row r="120" spans="1:17" ht="15.6">
      <c r="A120" s="5"/>
      <c r="B120" s="12">
        <v>44057</v>
      </c>
      <c r="C120" s="5">
        <v>482.68</v>
      </c>
      <c r="D120" s="5">
        <v>110.05</v>
      </c>
      <c r="E120" s="5">
        <v>157.4</v>
      </c>
      <c r="F120" s="5">
        <v>138.5</v>
      </c>
      <c r="G120" s="5">
        <f t="shared" si="3"/>
        <v>2.8047285646022324E-3</v>
      </c>
      <c r="H120" s="5">
        <f t="shared" si="3"/>
        <v>1.832145831405585E-2</v>
      </c>
      <c r="I120" s="5">
        <f t="shared" si="3"/>
        <v>-4.1126225877886613E-3</v>
      </c>
      <c r="J120" s="5">
        <f t="shared" si="3"/>
        <v>-3.3820248974598677E-3</v>
      </c>
      <c r="K120" s="5"/>
      <c r="L120" s="5"/>
      <c r="M120" s="5"/>
      <c r="N120" s="5"/>
      <c r="O120" s="5"/>
      <c r="P120" s="5"/>
      <c r="Q120" s="5"/>
    </row>
    <row r="121" spans="1:17" ht="15.6">
      <c r="A121" s="5"/>
      <c r="B121" s="12">
        <v>44060</v>
      </c>
      <c r="C121" s="5">
        <v>482.35</v>
      </c>
      <c r="D121" s="5">
        <v>122.38</v>
      </c>
      <c r="E121" s="5">
        <v>159.12</v>
      </c>
      <c r="F121" s="5">
        <v>140.63999999999999</v>
      </c>
      <c r="G121" s="5">
        <f t="shared" si="3"/>
        <v>-6.8368277119412735E-4</v>
      </c>
      <c r="H121" s="5">
        <f t="shared" si="3"/>
        <v>0.11203998182644259</v>
      </c>
      <c r="I121" s="5">
        <f t="shared" si="3"/>
        <v>1.0927573062261775E-2</v>
      </c>
      <c r="J121" s="5">
        <f t="shared" si="3"/>
        <v>1.5451263537906046E-2</v>
      </c>
      <c r="K121" s="5"/>
      <c r="L121" s="5"/>
      <c r="M121" s="5"/>
      <c r="N121" s="5"/>
      <c r="O121" s="5"/>
      <c r="P121" s="5"/>
      <c r="Q121" s="5"/>
    </row>
    <row r="122" spans="1:17" ht="15.6">
      <c r="A122" s="5"/>
      <c r="B122" s="12">
        <v>44061</v>
      </c>
      <c r="C122" s="5">
        <v>491.87</v>
      </c>
      <c r="D122" s="5">
        <v>125.81</v>
      </c>
      <c r="E122" s="5">
        <v>165.62</v>
      </c>
      <c r="F122" s="5">
        <v>141.84</v>
      </c>
      <c r="G122" s="5">
        <f t="shared" si="3"/>
        <v>1.9736705711620228E-2</v>
      </c>
      <c r="H122" s="5">
        <f t="shared" si="3"/>
        <v>2.8027455466579587E-2</v>
      </c>
      <c r="I122" s="5">
        <f t="shared" si="3"/>
        <v>4.0849673202614456E-2</v>
      </c>
      <c r="J122" s="5">
        <f t="shared" si="3"/>
        <v>8.5324232081911422E-3</v>
      </c>
      <c r="K122" s="5"/>
      <c r="L122" s="5"/>
      <c r="M122" s="5"/>
      <c r="N122" s="5"/>
      <c r="O122" s="5"/>
      <c r="P122" s="5"/>
      <c r="Q122" s="5"/>
    </row>
    <row r="123" spans="1:17" ht="15.6">
      <c r="A123" s="5"/>
      <c r="B123" s="12">
        <v>44062</v>
      </c>
      <c r="C123" s="5">
        <v>484.53</v>
      </c>
      <c r="D123" s="5">
        <v>125.24</v>
      </c>
      <c r="E123" s="5">
        <v>163.02000000000001</v>
      </c>
      <c r="F123" s="5">
        <v>140.1</v>
      </c>
      <c r="G123" s="5">
        <f t="shared" si="3"/>
        <v>-1.4922642161546817E-2</v>
      </c>
      <c r="H123" s="5">
        <f t="shared" si="3"/>
        <v>-4.5306414434465037E-3</v>
      </c>
      <c r="I123" s="5">
        <f t="shared" si="3"/>
        <v>-1.5698587127158548E-2</v>
      </c>
      <c r="J123" s="5">
        <f t="shared" si="3"/>
        <v>-1.2267343485617643E-2</v>
      </c>
      <c r="K123" s="5"/>
      <c r="L123" s="5"/>
      <c r="M123" s="5"/>
      <c r="N123" s="5"/>
      <c r="O123" s="5"/>
      <c r="P123" s="5"/>
      <c r="Q123" s="5"/>
    </row>
    <row r="124" spans="1:17" ht="15.6">
      <c r="A124" s="5"/>
      <c r="B124" s="12">
        <v>44063</v>
      </c>
      <c r="C124" s="5">
        <v>497.9</v>
      </c>
      <c r="D124" s="5">
        <v>133.46</v>
      </c>
      <c r="E124" s="5">
        <v>164.87</v>
      </c>
      <c r="F124" s="5">
        <v>140.85</v>
      </c>
      <c r="G124" s="5">
        <f t="shared" si="3"/>
        <v>2.759375064495484E-2</v>
      </c>
      <c r="H124" s="5">
        <f t="shared" si="3"/>
        <v>6.5633982753114051E-2</v>
      </c>
      <c r="I124" s="5">
        <f t="shared" si="3"/>
        <v>1.1348300821985013E-2</v>
      </c>
      <c r="J124" s="5">
        <f t="shared" si="3"/>
        <v>5.3533190578158862E-3</v>
      </c>
      <c r="K124" s="5"/>
      <c r="L124" s="5"/>
      <c r="M124" s="5"/>
      <c r="N124" s="5"/>
      <c r="O124" s="5"/>
      <c r="P124" s="5"/>
      <c r="Q124" s="5"/>
    </row>
    <row r="125" spans="1:17" ht="15.6">
      <c r="A125" s="5"/>
      <c r="B125" s="12">
        <v>44064</v>
      </c>
      <c r="C125" s="5">
        <v>492.31</v>
      </c>
      <c r="D125" s="5">
        <v>136.66999999999999</v>
      </c>
      <c r="E125" s="5">
        <v>164.24</v>
      </c>
      <c r="F125" s="5">
        <v>140.55000000000001</v>
      </c>
      <c r="G125" s="5">
        <f t="shared" si="3"/>
        <v>-1.1227154046997367E-2</v>
      </c>
      <c r="H125" s="5">
        <f t="shared" si="3"/>
        <v>2.4052150457065657E-2</v>
      </c>
      <c r="I125" s="5">
        <f t="shared" si="3"/>
        <v>-3.8211924546611709E-3</v>
      </c>
      <c r="J125" s="5">
        <f t="shared" si="3"/>
        <v>-2.1299254526090383E-3</v>
      </c>
      <c r="K125" s="5"/>
      <c r="L125" s="5"/>
      <c r="M125" s="5"/>
      <c r="N125" s="5"/>
      <c r="O125" s="5"/>
      <c r="P125" s="5"/>
      <c r="Q125" s="5"/>
    </row>
    <row r="126" spans="1:17" ht="15.6">
      <c r="A126" s="5"/>
      <c r="B126" s="12">
        <v>44067</v>
      </c>
      <c r="C126" s="5">
        <v>488.81</v>
      </c>
      <c r="D126" s="5">
        <v>134.28</v>
      </c>
      <c r="E126" s="5">
        <v>165.37</v>
      </c>
      <c r="F126" s="5">
        <v>141.9</v>
      </c>
      <c r="G126" s="5">
        <f t="shared" si="3"/>
        <v>-7.1093416749609117E-3</v>
      </c>
      <c r="H126" s="5">
        <f t="shared" si="3"/>
        <v>-1.7487378356625394E-2</v>
      </c>
      <c r="I126" s="5">
        <f t="shared" si="3"/>
        <v>6.880175353141782E-3</v>
      </c>
      <c r="J126" s="5">
        <f t="shared" si="3"/>
        <v>9.605122732123661E-3</v>
      </c>
      <c r="K126" s="5"/>
      <c r="L126" s="5"/>
      <c r="M126" s="5"/>
      <c r="N126" s="5"/>
      <c r="O126" s="5"/>
      <c r="P126" s="5"/>
      <c r="Q126" s="5"/>
    </row>
    <row r="127" spans="1:17" ht="15.6">
      <c r="A127" s="5"/>
      <c r="B127" s="12">
        <v>44068</v>
      </c>
      <c r="C127" s="5">
        <v>490.58</v>
      </c>
      <c r="D127" s="5">
        <v>134.88999999999999</v>
      </c>
      <c r="E127" s="5">
        <v>167.32</v>
      </c>
      <c r="F127" s="5">
        <v>141.74</v>
      </c>
      <c r="G127" s="5">
        <f t="shared" si="3"/>
        <v>3.6210388494506418E-3</v>
      </c>
      <c r="H127" s="5">
        <f t="shared" si="3"/>
        <v>4.5427464998508693E-3</v>
      </c>
      <c r="I127" s="5">
        <f t="shared" si="3"/>
        <v>1.1791739735139251E-2</v>
      </c>
      <c r="J127" s="5">
        <f t="shared" si="3"/>
        <v>-1.1275546159267291E-3</v>
      </c>
      <c r="K127" s="5"/>
      <c r="L127" s="5"/>
      <c r="M127" s="5"/>
      <c r="N127" s="5"/>
      <c r="O127" s="5"/>
      <c r="P127" s="5"/>
      <c r="Q127" s="5"/>
    </row>
    <row r="128" spans="1:17" ht="15.6">
      <c r="A128" s="5"/>
      <c r="B128" s="12">
        <v>44069</v>
      </c>
      <c r="C128" s="5">
        <v>547.53</v>
      </c>
      <c r="D128" s="5">
        <v>143.54</v>
      </c>
      <c r="E128" s="5">
        <v>172.09</v>
      </c>
      <c r="F128" s="5">
        <v>142.19</v>
      </c>
      <c r="G128" s="5">
        <f t="shared" si="3"/>
        <v>0.11608708059847528</v>
      </c>
      <c r="H128" s="5">
        <f t="shared" si="3"/>
        <v>6.41263251538291E-2</v>
      </c>
      <c r="I128" s="5">
        <f t="shared" si="3"/>
        <v>2.8508247669136955E-2</v>
      </c>
      <c r="J128" s="5">
        <f t="shared" si="3"/>
        <v>3.1748271482996415E-3</v>
      </c>
      <c r="K128" s="5"/>
      <c r="L128" s="5"/>
      <c r="M128" s="5"/>
      <c r="N128" s="5"/>
      <c r="O128" s="5"/>
      <c r="P128" s="5"/>
      <c r="Q128" s="5"/>
    </row>
    <row r="129" spans="1:17" ht="15.6">
      <c r="A129" s="5"/>
      <c r="B129" s="12">
        <v>44070</v>
      </c>
      <c r="C129" s="5">
        <v>526.27</v>
      </c>
      <c r="D129" s="5">
        <v>149.25</v>
      </c>
      <c r="E129" s="5">
        <v>170</v>
      </c>
      <c r="F129" s="5">
        <v>141.76</v>
      </c>
      <c r="G129" s="5">
        <f t="shared" si="3"/>
        <v>-3.8828922616112371E-2</v>
      </c>
      <c r="H129" s="5">
        <f t="shared" si="3"/>
        <v>3.9779852305977581E-2</v>
      </c>
      <c r="I129" s="5">
        <f t="shared" si="3"/>
        <v>-1.2144807949328817E-2</v>
      </c>
      <c r="J129" s="5">
        <f t="shared" si="3"/>
        <v>-3.0241226527886189E-3</v>
      </c>
      <c r="K129" s="5"/>
      <c r="L129" s="5"/>
      <c r="M129" s="5"/>
      <c r="N129" s="5"/>
      <c r="O129" s="5"/>
      <c r="P129" s="5"/>
      <c r="Q129" s="5"/>
    </row>
    <row r="130" spans="1:17" ht="15.6">
      <c r="A130" s="5"/>
      <c r="B130" s="12">
        <v>44071</v>
      </c>
      <c r="C130" s="5">
        <v>523.89</v>
      </c>
      <c r="D130" s="5">
        <v>147.56</v>
      </c>
      <c r="E130" s="5">
        <v>170.09</v>
      </c>
      <c r="F130" s="5">
        <v>142.24</v>
      </c>
      <c r="G130" s="5">
        <f t="shared" si="3"/>
        <v>-4.5223934482300221E-3</v>
      </c>
      <c r="H130" s="5">
        <f t="shared" si="3"/>
        <v>-1.1323283082077085E-2</v>
      </c>
      <c r="I130" s="5">
        <f t="shared" si="3"/>
        <v>5.2941176470588935E-4</v>
      </c>
      <c r="J130" s="5">
        <f t="shared" si="3"/>
        <v>3.3860045146727469E-3</v>
      </c>
      <c r="K130" s="5"/>
      <c r="L130" s="5"/>
      <c r="M130" s="5"/>
      <c r="N130" s="5"/>
      <c r="O130" s="5"/>
      <c r="P130" s="5"/>
      <c r="Q130" s="5"/>
    </row>
    <row r="131" spans="1:17" ht="15.6">
      <c r="A131" s="5"/>
      <c r="B131" s="12">
        <v>44074</v>
      </c>
      <c r="C131" s="5">
        <v>529.55999999999995</v>
      </c>
      <c r="D131" s="5">
        <v>166.11</v>
      </c>
      <c r="E131" s="5">
        <v>172.55</v>
      </c>
      <c r="F131" s="5">
        <v>141.71</v>
      </c>
      <c r="G131" s="5">
        <f t="shared" si="3"/>
        <v>1.0822882666208455E-2</v>
      </c>
      <c r="H131" s="5">
        <f t="shared" si="3"/>
        <v>0.12571157495256169</v>
      </c>
      <c r="I131" s="5">
        <f t="shared" si="3"/>
        <v>1.4462931389264577E-2</v>
      </c>
      <c r="J131" s="5">
        <f t="shared" si="3"/>
        <v>-3.7260967379078025E-3</v>
      </c>
      <c r="K131" s="5"/>
      <c r="L131" s="5"/>
      <c r="M131" s="5"/>
      <c r="N131" s="5"/>
      <c r="O131" s="5"/>
      <c r="P131" s="5"/>
      <c r="Q131" s="5"/>
    </row>
    <row r="132" spans="1:17" ht="15.6">
      <c r="A132" s="5"/>
      <c r="B132" s="12">
        <v>44075</v>
      </c>
      <c r="C132" s="5">
        <v>556.54999999999995</v>
      </c>
      <c r="D132" s="5">
        <v>158.35</v>
      </c>
      <c r="E132" s="5">
        <v>174.96</v>
      </c>
      <c r="F132" s="5">
        <v>141.5</v>
      </c>
      <c r="G132" s="5">
        <f t="shared" si="3"/>
        <v>5.096684039580035E-2</v>
      </c>
      <c r="H132" s="5">
        <f t="shared" si="3"/>
        <v>-4.6716031545361636E-2</v>
      </c>
      <c r="I132" s="5">
        <f t="shared" si="3"/>
        <v>1.3966966096783606E-2</v>
      </c>
      <c r="J132" s="5">
        <f t="shared" si="3"/>
        <v>-1.4818996542235174E-3</v>
      </c>
      <c r="K132" s="5"/>
      <c r="L132" s="5"/>
      <c r="M132" s="5"/>
      <c r="N132" s="5"/>
      <c r="O132" s="5"/>
      <c r="P132" s="5"/>
      <c r="Q132" s="5"/>
    </row>
    <row r="133" spans="1:17" ht="15.6">
      <c r="A133" s="5"/>
      <c r="B133" s="12">
        <v>44076</v>
      </c>
      <c r="C133" s="5">
        <v>552.84</v>
      </c>
      <c r="D133" s="5">
        <v>149.12</v>
      </c>
      <c r="E133" s="5">
        <v>176.57</v>
      </c>
      <c r="F133" s="5">
        <v>142.44999999999999</v>
      </c>
      <c r="G133" s="5">
        <f t="shared" si="3"/>
        <v>-6.6660677387474498E-3</v>
      </c>
      <c r="H133" s="5">
        <f t="shared" si="3"/>
        <v>-5.8288601199873669E-2</v>
      </c>
      <c r="I133" s="5">
        <f t="shared" si="3"/>
        <v>9.2021033379057204E-3</v>
      </c>
      <c r="J133" s="5">
        <f t="shared" ref="I133:J196" si="4">(F133/F132)-1</f>
        <v>6.7137809187278741E-3</v>
      </c>
      <c r="K133" s="5"/>
      <c r="L133" s="5"/>
      <c r="M133" s="5"/>
      <c r="N133" s="5"/>
      <c r="O133" s="5"/>
      <c r="P133" s="5"/>
      <c r="Q133" s="5"/>
    </row>
    <row r="134" spans="1:17" ht="15.6">
      <c r="A134" s="5"/>
      <c r="B134" s="12">
        <v>44077</v>
      </c>
      <c r="C134" s="5">
        <v>525.75</v>
      </c>
      <c r="D134" s="5">
        <v>135.66999999999999</v>
      </c>
      <c r="E134" s="5">
        <v>168.4</v>
      </c>
      <c r="F134" s="5">
        <v>141.44</v>
      </c>
      <c r="G134" s="5">
        <f t="shared" ref="G134:J197" si="5">(C134/C133)-1</f>
        <v>-4.9001519426959073E-2</v>
      </c>
      <c r="H134" s="5">
        <f t="shared" si="5"/>
        <v>-9.0195815450643924E-2</v>
      </c>
      <c r="I134" s="5">
        <f t="shared" si="4"/>
        <v>-4.627060089482915E-2</v>
      </c>
      <c r="J134" s="5">
        <f t="shared" si="4"/>
        <v>-7.0902070902070236E-3</v>
      </c>
      <c r="K134" s="5"/>
      <c r="L134" s="5"/>
      <c r="M134" s="5"/>
      <c r="N134" s="5"/>
      <c r="O134" s="5"/>
      <c r="P134" s="5"/>
      <c r="Q134" s="5"/>
    </row>
    <row r="135" spans="1:17" ht="15.6">
      <c r="A135" s="5"/>
      <c r="B135" s="12">
        <v>44078</v>
      </c>
      <c r="C135" s="5">
        <v>516.04999999999995</v>
      </c>
      <c r="D135" s="5">
        <v>139.44</v>
      </c>
      <c r="E135" s="5">
        <v>164.73</v>
      </c>
      <c r="F135" s="5">
        <v>141.86000000000001</v>
      </c>
      <c r="G135" s="5">
        <f t="shared" si="5"/>
        <v>-1.844983357108898E-2</v>
      </c>
      <c r="H135" s="5">
        <f t="shared" si="5"/>
        <v>2.7788015036485758E-2</v>
      </c>
      <c r="I135" s="5">
        <f t="shared" si="4"/>
        <v>-2.179334916864617E-2</v>
      </c>
      <c r="J135" s="5">
        <f t="shared" si="4"/>
        <v>2.9694570135747611E-3</v>
      </c>
      <c r="K135" s="5"/>
      <c r="L135" s="5"/>
      <c r="M135" s="5"/>
      <c r="N135" s="5"/>
      <c r="O135" s="5"/>
      <c r="P135" s="5"/>
      <c r="Q135" s="5"/>
    </row>
    <row r="136" spans="1:17" ht="15.6">
      <c r="A136" s="5"/>
      <c r="B136" s="12">
        <v>44082</v>
      </c>
      <c r="C136" s="5">
        <v>507.02</v>
      </c>
      <c r="D136" s="5">
        <v>110.07</v>
      </c>
      <c r="E136" s="5">
        <v>157.49</v>
      </c>
      <c r="F136" s="5">
        <v>138.72999999999999</v>
      </c>
      <c r="G136" s="5">
        <f t="shared" si="5"/>
        <v>-1.7498304427865485E-2</v>
      </c>
      <c r="H136" s="5">
        <f t="shared" si="5"/>
        <v>-0.21062822719449226</v>
      </c>
      <c r="I136" s="5">
        <f t="shared" si="4"/>
        <v>-4.3950707217871532E-2</v>
      </c>
      <c r="J136" s="5">
        <f t="shared" si="4"/>
        <v>-2.2064006767235522E-2</v>
      </c>
      <c r="K136" s="5"/>
      <c r="L136" s="5"/>
      <c r="M136" s="5"/>
      <c r="N136" s="5"/>
      <c r="O136" s="5"/>
      <c r="P136" s="5"/>
      <c r="Q136" s="5"/>
    </row>
    <row r="137" spans="1:17" ht="15.6">
      <c r="A137" s="5"/>
      <c r="B137" s="12">
        <v>44083</v>
      </c>
      <c r="C137" s="5">
        <v>500.19</v>
      </c>
      <c r="D137" s="5">
        <v>122.09</v>
      </c>
      <c r="E137" s="5">
        <v>163.43</v>
      </c>
      <c r="F137" s="5">
        <v>140.83000000000001</v>
      </c>
      <c r="G137" s="5">
        <f t="shared" si="5"/>
        <v>-1.347086899925054E-2</v>
      </c>
      <c r="H137" s="5">
        <f t="shared" si="5"/>
        <v>0.1092032343054421</v>
      </c>
      <c r="I137" s="5">
        <f t="shared" si="4"/>
        <v>3.7716680424153992E-2</v>
      </c>
      <c r="J137" s="5">
        <f t="shared" si="4"/>
        <v>1.5137317090752056E-2</v>
      </c>
      <c r="K137" s="5"/>
      <c r="L137" s="5"/>
      <c r="M137" s="5"/>
      <c r="N137" s="5"/>
      <c r="O137" s="5"/>
      <c r="P137" s="5"/>
      <c r="Q137" s="5"/>
    </row>
    <row r="138" spans="1:17" ht="15.6">
      <c r="A138" s="5"/>
      <c r="B138" s="12">
        <v>44084</v>
      </c>
      <c r="C138" s="5">
        <v>480.67</v>
      </c>
      <c r="D138" s="5">
        <v>123.78</v>
      </c>
      <c r="E138" s="5">
        <v>158.76</v>
      </c>
      <c r="F138" s="5">
        <v>138.38</v>
      </c>
      <c r="G138" s="5">
        <f t="shared" si="5"/>
        <v>-3.9025170435234569E-2</v>
      </c>
      <c r="H138" s="5">
        <f t="shared" si="5"/>
        <v>1.3842247522319662E-2</v>
      </c>
      <c r="I138" s="5">
        <f t="shared" si="4"/>
        <v>-2.8574925044361543E-2</v>
      </c>
      <c r="J138" s="5">
        <f t="shared" si="4"/>
        <v>-1.7396861464176738E-2</v>
      </c>
      <c r="K138" s="5"/>
      <c r="L138" s="5"/>
      <c r="M138" s="5"/>
      <c r="N138" s="5"/>
      <c r="O138" s="5"/>
      <c r="P138" s="5"/>
      <c r="Q138" s="5"/>
    </row>
    <row r="139" spans="1:17" ht="15.6">
      <c r="A139" s="5"/>
      <c r="B139" s="12">
        <v>44085</v>
      </c>
      <c r="C139" s="5">
        <v>482.03</v>
      </c>
      <c r="D139" s="5">
        <v>124.24</v>
      </c>
      <c r="E139" s="5">
        <v>155.81</v>
      </c>
      <c r="F139" s="5">
        <v>138.71</v>
      </c>
      <c r="G139" s="5">
        <f t="shared" si="5"/>
        <v>2.8293839848543278E-3</v>
      </c>
      <c r="H139" s="5">
        <f t="shared" si="5"/>
        <v>3.7162708030376024E-3</v>
      </c>
      <c r="I139" s="5">
        <f t="shared" si="4"/>
        <v>-1.8581506676744741E-2</v>
      </c>
      <c r="J139" s="5">
        <f t="shared" si="4"/>
        <v>2.3847376788554975E-3</v>
      </c>
      <c r="K139" s="5"/>
      <c r="L139" s="5"/>
      <c r="M139" s="5"/>
      <c r="N139" s="5"/>
      <c r="O139" s="5"/>
      <c r="P139" s="5"/>
      <c r="Q139" s="5"/>
    </row>
    <row r="140" spans="1:17" ht="15.6">
      <c r="A140" s="5"/>
      <c r="B140" s="12">
        <v>44088</v>
      </c>
      <c r="C140" s="5">
        <v>476.26</v>
      </c>
      <c r="D140" s="5">
        <v>139.87</v>
      </c>
      <c r="E140" s="5">
        <v>155.15</v>
      </c>
      <c r="F140" s="5">
        <v>137.76</v>
      </c>
      <c r="G140" s="5">
        <f t="shared" si="5"/>
        <v>-1.1970209323071135E-2</v>
      </c>
      <c r="H140" s="5">
        <f t="shared" si="5"/>
        <v>0.12580489375402459</v>
      </c>
      <c r="I140" s="5">
        <f t="shared" si="4"/>
        <v>-4.2359283743019782E-3</v>
      </c>
      <c r="J140" s="5">
        <f t="shared" si="4"/>
        <v>-6.8488212818110794E-3</v>
      </c>
      <c r="K140" s="5"/>
      <c r="L140" s="5"/>
      <c r="M140" s="5"/>
      <c r="N140" s="5"/>
      <c r="O140" s="5"/>
      <c r="P140" s="5"/>
      <c r="Q140" s="5"/>
    </row>
    <row r="141" spans="1:17" ht="15.6">
      <c r="A141" s="5"/>
      <c r="B141" s="12">
        <v>44089</v>
      </c>
      <c r="C141" s="5">
        <v>495.99</v>
      </c>
      <c r="D141" s="5">
        <v>149.91999999999999</v>
      </c>
      <c r="E141" s="5">
        <v>157.81</v>
      </c>
      <c r="F141" s="5">
        <v>137.61000000000001</v>
      </c>
      <c r="G141" s="5">
        <f t="shared" si="5"/>
        <v>4.1426951665056944E-2</v>
      </c>
      <c r="H141" s="5">
        <f t="shared" si="5"/>
        <v>7.185243440337441E-2</v>
      </c>
      <c r="I141" s="5">
        <f t="shared" si="4"/>
        <v>1.7144698678698056E-2</v>
      </c>
      <c r="J141" s="5">
        <f t="shared" si="4"/>
        <v>-1.088850174215894E-3</v>
      </c>
      <c r="K141" s="5"/>
      <c r="L141" s="5"/>
      <c r="M141" s="5"/>
      <c r="N141" s="5"/>
      <c r="O141" s="5"/>
      <c r="P141" s="5"/>
      <c r="Q141" s="5"/>
    </row>
    <row r="142" spans="1:17" ht="15.6">
      <c r="A142" s="5"/>
      <c r="B142" s="12">
        <v>44090</v>
      </c>
      <c r="C142" s="5">
        <v>483.86</v>
      </c>
      <c r="D142" s="5">
        <v>147.25</v>
      </c>
      <c r="E142" s="5">
        <v>153.9</v>
      </c>
      <c r="F142" s="5">
        <v>136.51</v>
      </c>
      <c r="G142" s="5">
        <f t="shared" si="5"/>
        <v>-2.4456138228593272E-2</v>
      </c>
      <c r="H142" s="5">
        <f t="shared" si="5"/>
        <v>-1.780949839914614E-2</v>
      </c>
      <c r="I142" s="5">
        <f t="shared" si="4"/>
        <v>-2.4776630124833665E-2</v>
      </c>
      <c r="J142" s="5">
        <f t="shared" si="4"/>
        <v>-7.9936051159074095E-3</v>
      </c>
      <c r="K142" s="5"/>
      <c r="L142" s="5"/>
      <c r="M142" s="5"/>
      <c r="N142" s="5"/>
      <c r="O142" s="5"/>
      <c r="P142" s="5"/>
      <c r="Q142" s="5"/>
    </row>
    <row r="143" spans="1:17" ht="15.6">
      <c r="A143" s="5"/>
      <c r="B143" s="12">
        <v>44091</v>
      </c>
      <c r="C143" s="5">
        <v>470.2</v>
      </c>
      <c r="D143" s="5">
        <v>141.13999999999999</v>
      </c>
      <c r="E143" s="5">
        <v>150.44</v>
      </c>
      <c r="F143" s="5">
        <v>133.94999999999999</v>
      </c>
      <c r="G143" s="5">
        <f t="shared" si="5"/>
        <v>-2.8231306576282478E-2</v>
      </c>
      <c r="H143" s="5">
        <f t="shared" si="5"/>
        <v>-4.1494057724957623E-2</v>
      </c>
      <c r="I143" s="5">
        <f t="shared" si="4"/>
        <v>-2.2482131254061177E-2</v>
      </c>
      <c r="J143" s="5">
        <f t="shared" si="4"/>
        <v>-1.8753204893414366E-2</v>
      </c>
      <c r="K143" s="5"/>
      <c r="L143" s="5"/>
      <c r="M143" s="5"/>
      <c r="N143" s="5"/>
      <c r="O143" s="5"/>
      <c r="P143" s="5"/>
      <c r="Q143" s="5"/>
    </row>
    <row r="144" spans="1:17" ht="15.6">
      <c r="A144" s="5"/>
      <c r="B144" s="12">
        <v>44092</v>
      </c>
      <c r="C144" s="5">
        <v>469.96</v>
      </c>
      <c r="D144" s="5">
        <v>147.38</v>
      </c>
      <c r="E144" s="5">
        <v>147.75</v>
      </c>
      <c r="F144" s="5">
        <v>132.44</v>
      </c>
      <c r="G144" s="5">
        <f t="shared" si="5"/>
        <v>-5.104210974054002E-4</v>
      </c>
      <c r="H144" s="5">
        <f t="shared" si="5"/>
        <v>4.421142128383182E-2</v>
      </c>
      <c r="I144" s="5">
        <f t="shared" si="4"/>
        <v>-1.7880882743951054E-2</v>
      </c>
      <c r="J144" s="5">
        <f t="shared" si="4"/>
        <v>-1.127286300858521E-2</v>
      </c>
      <c r="K144" s="5"/>
      <c r="L144" s="5"/>
      <c r="M144" s="5"/>
      <c r="N144" s="5"/>
      <c r="O144" s="5"/>
      <c r="P144" s="5"/>
      <c r="Q144" s="5"/>
    </row>
    <row r="145" spans="1:17" ht="15.6">
      <c r="A145" s="5"/>
      <c r="B145" s="12">
        <v>44095</v>
      </c>
      <c r="C145" s="5">
        <v>487.35</v>
      </c>
      <c r="D145" s="5">
        <v>149.80000000000001</v>
      </c>
      <c r="E145" s="5">
        <v>148.02000000000001</v>
      </c>
      <c r="F145" s="5">
        <v>130.61000000000001</v>
      </c>
      <c r="G145" s="5">
        <f t="shared" si="5"/>
        <v>3.7003149204187791E-2</v>
      </c>
      <c r="H145" s="5">
        <f t="shared" si="5"/>
        <v>1.6420138417695851E-2</v>
      </c>
      <c r="I145" s="5">
        <f t="shared" si="4"/>
        <v>1.8274111675127269E-3</v>
      </c>
      <c r="J145" s="5">
        <f t="shared" si="4"/>
        <v>-1.381757777106607E-2</v>
      </c>
      <c r="K145" s="5"/>
      <c r="L145" s="5"/>
      <c r="M145" s="5"/>
      <c r="N145" s="5"/>
      <c r="O145" s="5"/>
      <c r="P145" s="5"/>
      <c r="Q145" s="5"/>
    </row>
    <row r="146" spans="1:17" ht="15.6">
      <c r="A146" s="5"/>
      <c r="B146" s="12">
        <v>44096</v>
      </c>
      <c r="C146" s="5">
        <v>491.17</v>
      </c>
      <c r="D146" s="5">
        <v>141.41</v>
      </c>
      <c r="E146" s="5">
        <v>156.44999999999999</v>
      </c>
      <c r="F146" s="5">
        <v>131.02000000000001</v>
      </c>
      <c r="G146" s="5">
        <f t="shared" si="5"/>
        <v>7.8383092233507146E-3</v>
      </c>
      <c r="H146" s="5">
        <f t="shared" si="5"/>
        <v>-5.6008010680907994E-2</v>
      </c>
      <c r="I146" s="5">
        <f t="shared" si="4"/>
        <v>5.6951763275232992E-2</v>
      </c>
      <c r="J146" s="5">
        <f t="shared" si="4"/>
        <v>3.1391164535641281E-3</v>
      </c>
      <c r="K146" s="5"/>
      <c r="L146" s="5"/>
      <c r="M146" s="5"/>
      <c r="N146" s="5"/>
      <c r="O146" s="5"/>
      <c r="P146" s="5"/>
      <c r="Q146" s="5"/>
    </row>
    <row r="147" spans="1:17" ht="15.6">
      <c r="A147" s="5"/>
      <c r="B147" s="12">
        <v>44097</v>
      </c>
      <c r="C147" s="5">
        <v>470.61</v>
      </c>
      <c r="D147" s="5">
        <v>126.79</v>
      </c>
      <c r="E147" s="5">
        <v>149.99</v>
      </c>
      <c r="F147" s="5">
        <v>128.07</v>
      </c>
      <c r="G147" s="5">
        <f t="shared" si="5"/>
        <v>-4.1859234073742257E-2</v>
      </c>
      <c r="H147" s="5">
        <f t="shared" si="5"/>
        <v>-0.10338731348560914</v>
      </c>
      <c r="I147" s="5">
        <f t="shared" si="4"/>
        <v>-4.1291147331415701E-2</v>
      </c>
      <c r="J147" s="5">
        <f t="shared" si="4"/>
        <v>-2.2515646466188532E-2</v>
      </c>
      <c r="K147" s="5"/>
      <c r="L147" s="5"/>
      <c r="M147" s="5"/>
      <c r="N147" s="5"/>
      <c r="O147" s="5"/>
      <c r="P147" s="5"/>
      <c r="Q147" s="5"/>
    </row>
    <row r="148" spans="1:17" ht="15.6">
      <c r="A148" s="5"/>
      <c r="B148" s="12">
        <v>44098</v>
      </c>
      <c r="C148" s="5">
        <v>473.08</v>
      </c>
      <c r="D148" s="5">
        <v>129.26</v>
      </c>
      <c r="E148" s="5">
        <v>150.99</v>
      </c>
      <c r="F148" s="5">
        <v>131.24</v>
      </c>
      <c r="G148" s="5">
        <f t="shared" si="5"/>
        <v>5.2485072565393587E-3</v>
      </c>
      <c r="H148" s="5">
        <f t="shared" si="5"/>
        <v>1.948103162709991E-2</v>
      </c>
      <c r="I148" s="5">
        <f t="shared" si="4"/>
        <v>6.6671111407428096E-3</v>
      </c>
      <c r="J148" s="5">
        <f t="shared" si="4"/>
        <v>2.4752088701491592E-2</v>
      </c>
      <c r="K148" s="5"/>
      <c r="L148" s="5"/>
      <c r="M148" s="5"/>
      <c r="N148" s="5"/>
      <c r="O148" s="5"/>
      <c r="P148" s="5"/>
      <c r="Q148" s="5"/>
    </row>
    <row r="149" spans="1:17" ht="15.6">
      <c r="A149" s="5"/>
      <c r="B149" s="12">
        <v>44099</v>
      </c>
      <c r="C149" s="5">
        <v>482.88</v>
      </c>
      <c r="D149" s="5">
        <v>135.78</v>
      </c>
      <c r="E149" s="5">
        <v>154.76</v>
      </c>
      <c r="F149" s="5">
        <v>133.01</v>
      </c>
      <c r="G149" s="5">
        <f t="shared" si="5"/>
        <v>2.0715312420732213E-2</v>
      </c>
      <c r="H149" s="5">
        <f t="shared" si="5"/>
        <v>5.0440971684976077E-2</v>
      </c>
      <c r="I149" s="5">
        <f t="shared" si="4"/>
        <v>2.4968540962977626E-2</v>
      </c>
      <c r="J149" s="5">
        <f t="shared" si="4"/>
        <v>1.3486741846997718E-2</v>
      </c>
      <c r="K149" s="5"/>
      <c r="L149" s="5"/>
      <c r="M149" s="5"/>
      <c r="N149" s="5"/>
      <c r="O149" s="5"/>
      <c r="P149" s="5"/>
      <c r="Q149" s="5"/>
    </row>
    <row r="150" spans="1:17" ht="15.6">
      <c r="A150" s="5"/>
      <c r="B150" s="12">
        <v>44102</v>
      </c>
      <c r="C150" s="5">
        <v>490.65</v>
      </c>
      <c r="D150" s="5">
        <v>140.4</v>
      </c>
      <c r="E150" s="5">
        <v>158.69999999999999</v>
      </c>
      <c r="F150" s="5">
        <v>133.86000000000001</v>
      </c>
      <c r="G150" s="5">
        <f t="shared" si="5"/>
        <v>1.6090954274353919E-2</v>
      </c>
      <c r="H150" s="5">
        <f t="shared" si="5"/>
        <v>3.402562969509515E-2</v>
      </c>
      <c r="I150" s="5">
        <f t="shared" si="4"/>
        <v>2.5458774877229251E-2</v>
      </c>
      <c r="J150" s="5">
        <f t="shared" si="4"/>
        <v>6.3904969551162871E-3</v>
      </c>
      <c r="K150" s="5"/>
      <c r="L150" s="5"/>
      <c r="M150" s="5"/>
      <c r="N150" s="5"/>
      <c r="O150" s="5"/>
      <c r="P150" s="5"/>
      <c r="Q150" s="5"/>
    </row>
    <row r="151" spans="1:17" ht="15.6">
      <c r="A151" s="5"/>
      <c r="B151" s="12">
        <v>44103</v>
      </c>
      <c r="C151" s="5">
        <v>493.48</v>
      </c>
      <c r="D151" s="5">
        <v>139.69</v>
      </c>
      <c r="E151" s="5">
        <v>157.24</v>
      </c>
      <c r="F151" s="5">
        <v>134.61000000000001</v>
      </c>
      <c r="G151" s="5">
        <f t="shared" si="5"/>
        <v>5.7678589626006804E-3</v>
      </c>
      <c r="H151" s="5">
        <f t="shared" si="5"/>
        <v>-5.056980056980076E-3</v>
      </c>
      <c r="I151" s="5">
        <f t="shared" si="4"/>
        <v>-9.1997479521107595E-3</v>
      </c>
      <c r="J151" s="5">
        <f t="shared" si="4"/>
        <v>5.6028686687583651E-3</v>
      </c>
      <c r="K151" s="5"/>
      <c r="L151" s="5"/>
      <c r="M151" s="5"/>
      <c r="N151" s="5"/>
      <c r="O151" s="5"/>
      <c r="P151" s="5"/>
      <c r="Q151" s="5"/>
    </row>
    <row r="152" spans="1:17" ht="15.6">
      <c r="A152" s="5"/>
      <c r="B152" s="12">
        <v>44104</v>
      </c>
      <c r="C152" s="5">
        <v>500.03</v>
      </c>
      <c r="D152" s="5">
        <v>143</v>
      </c>
      <c r="E152" s="5">
        <v>157.44</v>
      </c>
      <c r="F152" s="5">
        <v>136.65</v>
      </c>
      <c r="G152" s="5">
        <f t="shared" si="5"/>
        <v>1.3273080975926055E-2</v>
      </c>
      <c r="H152" s="5">
        <f t="shared" si="5"/>
        <v>2.3695325363304542E-2</v>
      </c>
      <c r="I152" s="5">
        <f t="shared" si="4"/>
        <v>1.2719409819383909E-3</v>
      </c>
      <c r="J152" s="5">
        <f t="shared" si="4"/>
        <v>1.5154891909961998E-2</v>
      </c>
      <c r="K152" s="5"/>
      <c r="L152" s="5"/>
      <c r="M152" s="5"/>
      <c r="N152" s="5"/>
      <c r="O152" s="5"/>
      <c r="P152" s="5"/>
      <c r="Q152" s="5"/>
    </row>
    <row r="153" spans="1:17" ht="15.6">
      <c r="A153" s="5"/>
      <c r="B153" s="12">
        <v>44105</v>
      </c>
      <c r="C153" s="5">
        <v>527.51</v>
      </c>
      <c r="D153" s="5">
        <v>149.38999999999999</v>
      </c>
      <c r="E153" s="5">
        <v>161.06</v>
      </c>
      <c r="F153" s="5">
        <v>137.22</v>
      </c>
      <c r="G153" s="5">
        <f t="shared" si="5"/>
        <v>5.4956702597844131E-2</v>
      </c>
      <c r="H153" s="5">
        <f t="shared" si="5"/>
        <v>4.4685314685314559E-2</v>
      </c>
      <c r="I153" s="5">
        <f t="shared" si="4"/>
        <v>2.2992886178861749E-2</v>
      </c>
      <c r="J153" s="5">
        <f t="shared" si="4"/>
        <v>4.1712403951701393E-3</v>
      </c>
      <c r="K153" s="5"/>
      <c r="L153" s="5"/>
      <c r="M153" s="5"/>
      <c r="N153" s="5"/>
      <c r="O153" s="5"/>
      <c r="P153" s="5"/>
      <c r="Q153" s="5"/>
    </row>
    <row r="154" spans="1:17" ht="15.6">
      <c r="A154" s="5"/>
      <c r="B154" s="12">
        <v>44106</v>
      </c>
      <c r="C154" s="5">
        <v>503.06</v>
      </c>
      <c r="D154" s="5">
        <v>138.36000000000001</v>
      </c>
      <c r="E154" s="5">
        <v>156.25</v>
      </c>
      <c r="F154" s="5">
        <v>136.25</v>
      </c>
      <c r="G154" s="5">
        <f t="shared" si="5"/>
        <v>-4.6349832230668575E-2</v>
      </c>
      <c r="H154" s="5">
        <f t="shared" si="5"/>
        <v>-7.383358993239153E-2</v>
      </c>
      <c r="I154" s="5">
        <f t="shared" si="4"/>
        <v>-2.9864646715509813E-2</v>
      </c>
      <c r="J154" s="5">
        <f t="shared" si="4"/>
        <v>-7.0689403876985635E-3</v>
      </c>
      <c r="K154" s="5"/>
      <c r="L154" s="5"/>
      <c r="M154" s="5"/>
      <c r="N154" s="5"/>
      <c r="O154" s="5"/>
      <c r="P154" s="5"/>
      <c r="Q154" s="5"/>
    </row>
    <row r="155" spans="1:17" ht="15.6">
      <c r="A155" s="5"/>
      <c r="B155" s="12">
        <v>44109</v>
      </c>
      <c r="C155" s="5">
        <v>520.65</v>
      </c>
      <c r="D155" s="5">
        <v>141.88999999999999</v>
      </c>
      <c r="E155" s="5">
        <v>159.96</v>
      </c>
      <c r="F155" s="5">
        <v>137.06</v>
      </c>
      <c r="G155" s="5">
        <f t="shared" si="5"/>
        <v>3.4966008030851148E-2</v>
      </c>
      <c r="H155" s="5">
        <f t="shared" si="5"/>
        <v>2.551315409077759E-2</v>
      </c>
      <c r="I155" s="5">
        <f t="shared" si="4"/>
        <v>2.3743999999999987E-2</v>
      </c>
      <c r="J155" s="5">
        <f t="shared" si="4"/>
        <v>5.9449541284404273E-3</v>
      </c>
      <c r="K155" s="5"/>
      <c r="L155" s="5"/>
      <c r="M155" s="5"/>
      <c r="N155" s="5"/>
      <c r="O155" s="5"/>
      <c r="P155" s="5"/>
      <c r="Q155" s="5"/>
    </row>
    <row r="156" spans="1:17" ht="15.6">
      <c r="A156" s="5"/>
      <c r="B156" s="12">
        <v>44110</v>
      </c>
      <c r="C156" s="5">
        <v>505.87</v>
      </c>
      <c r="D156" s="5">
        <v>137.99</v>
      </c>
      <c r="E156" s="5">
        <v>155</v>
      </c>
      <c r="F156" s="5">
        <v>134.96</v>
      </c>
      <c r="G156" s="5">
        <f t="shared" si="5"/>
        <v>-2.8387592432536191E-2</v>
      </c>
      <c r="H156" s="5">
        <f t="shared" si="5"/>
        <v>-2.7486080766791043E-2</v>
      </c>
      <c r="I156" s="5">
        <f t="shared" si="4"/>
        <v>-3.1007751937984551E-2</v>
      </c>
      <c r="J156" s="5">
        <f t="shared" si="4"/>
        <v>-1.5321756894790539E-2</v>
      </c>
      <c r="K156" s="5"/>
      <c r="L156" s="5"/>
      <c r="M156" s="5"/>
      <c r="N156" s="5"/>
      <c r="O156" s="5"/>
      <c r="P156" s="5"/>
      <c r="Q156" s="5"/>
    </row>
    <row r="157" spans="1:17" ht="15.6">
      <c r="A157" s="5"/>
      <c r="B157" s="12">
        <v>44111</v>
      </c>
      <c r="C157" s="5">
        <v>534.66</v>
      </c>
      <c r="D157" s="5">
        <v>141.77000000000001</v>
      </c>
      <c r="E157" s="5">
        <v>159.78</v>
      </c>
      <c r="F157" s="5">
        <v>136.72</v>
      </c>
      <c r="G157" s="5">
        <f t="shared" si="5"/>
        <v>5.6911854824361896E-2</v>
      </c>
      <c r="H157" s="5">
        <f t="shared" si="5"/>
        <v>2.7393289368794926E-2</v>
      </c>
      <c r="I157" s="5">
        <f t="shared" si="4"/>
        <v>3.0838709677419418E-2</v>
      </c>
      <c r="J157" s="5">
        <f t="shared" si="4"/>
        <v>1.3040901007705941E-2</v>
      </c>
      <c r="K157" s="5"/>
      <c r="L157" s="5"/>
      <c r="M157" s="5"/>
      <c r="N157" s="5"/>
      <c r="O157" s="5"/>
      <c r="P157" s="5"/>
      <c r="Q157" s="5"/>
    </row>
    <row r="158" spans="1:17" ht="15.6">
      <c r="A158" s="5"/>
      <c r="B158" s="12">
        <v>44112</v>
      </c>
      <c r="C158" s="5">
        <v>531.79</v>
      </c>
      <c r="D158" s="5">
        <v>141.97</v>
      </c>
      <c r="E158" s="5">
        <v>159.53</v>
      </c>
      <c r="F158" s="5">
        <v>136.82</v>
      </c>
      <c r="G158" s="5">
        <f t="shared" si="5"/>
        <v>-5.3678973553286102E-3</v>
      </c>
      <c r="H158" s="5">
        <f t="shared" si="5"/>
        <v>1.4107356986667874E-3</v>
      </c>
      <c r="I158" s="5">
        <f t="shared" si="4"/>
        <v>-1.5646513956690811E-3</v>
      </c>
      <c r="J158" s="5">
        <f t="shared" si="4"/>
        <v>7.3142188414276887E-4</v>
      </c>
      <c r="K158" s="5"/>
      <c r="L158" s="5"/>
      <c r="M158" s="5"/>
      <c r="N158" s="5"/>
      <c r="O158" s="5"/>
      <c r="P158" s="5"/>
      <c r="Q158" s="5"/>
    </row>
    <row r="159" spans="1:17" ht="15.6">
      <c r="A159" s="5"/>
      <c r="B159" s="12">
        <v>44113</v>
      </c>
      <c r="C159" s="5">
        <v>539.44000000000005</v>
      </c>
      <c r="D159" s="5">
        <v>144.66999999999999</v>
      </c>
      <c r="E159" s="5">
        <v>164.33</v>
      </c>
      <c r="F159" s="5">
        <v>138.84</v>
      </c>
      <c r="G159" s="5">
        <f t="shared" si="5"/>
        <v>1.4385377686680911E-2</v>
      </c>
      <c r="H159" s="5">
        <f t="shared" si="5"/>
        <v>1.9018102416003213E-2</v>
      </c>
      <c r="I159" s="5">
        <f t="shared" si="4"/>
        <v>3.0088384629850307E-2</v>
      </c>
      <c r="J159" s="5">
        <f t="shared" si="4"/>
        <v>1.4763923403011248E-2</v>
      </c>
      <c r="K159" s="5"/>
      <c r="L159" s="5"/>
      <c r="M159" s="5"/>
      <c r="N159" s="5"/>
      <c r="O159" s="5"/>
      <c r="P159" s="5"/>
      <c r="Q159" s="5"/>
    </row>
    <row r="160" spans="1:17" ht="15.6">
      <c r="A160" s="5"/>
      <c r="B160" s="12">
        <v>44116</v>
      </c>
      <c r="C160" s="5">
        <v>539.80999999999995</v>
      </c>
      <c r="D160" s="5">
        <v>147.43</v>
      </c>
      <c r="E160" s="5">
        <v>172.15</v>
      </c>
      <c r="F160" s="5">
        <v>141.16999999999999</v>
      </c>
      <c r="G160" s="5">
        <f t="shared" si="5"/>
        <v>6.8589648524386426E-4</v>
      </c>
      <c r="H160" s="5">
        <f t="shared" si="5"/>
        <v>1.9077901430842648E-2</v>
      </c>
      <c r="I160" s="5">
        <f t="shared" si="4"/>
        <v>4.7587172153593427E-2</v>
      </c>
      <c r="J160" s="5">
        <f t="shared" si="4"/>
        <v>1.6781907231345317E-2</v>
      </c>
      <c r="K160" s="5"/>
      <c r="L160" s="5"/>
      <c r="M160" s="5"/>
      <c r="N160" s="5"/>
      <c r="O160" s="5"/>
      <c r="P160" s="5"/>
      <c r="Q160" s="5"/>
    </row>
    <row r="161" spans="1:17" ht="15.6">
      <c r="A161" s="5"/>
      <c r="B161" s="12">
        <v>44117</v>
      </c>
      <c r="C161" s="5">
        <v>554.09</v>
      </c>
      <c r="D161" s="5">
        <v>148.88</v>
      </c>
      <c r="E161" s="5">
        <v>172.18</v>
      </c>
      <c r="F161" s="5">
        <v>141.91</v>
      </c>
      <c r="G161" s="5">
        <f t="shared" si="5"/>
        <v>2.6453752246160755E-2</v>
      </c>
      <c r="H161" s="5">
        <f t="shared" si="5"/>
        <v>9.8351760157362467E-3</v>
      </c>
      <c r="I161" s="5">
        <f t="shared" si="4"/>
        <v>1.7426662794073344E-4</v>
      </c>
      <c r="J161" s="5">
        <f t="shared" si="4"/>
        <v>5.2419069207338964E-3</v>
      </c>
      <c r="K161" s="5"/>
      <c r="L161" s="5"/>
      <c r="M161" s="5"/>
      <c r="N161" s="5"/>
      <c r="O161" s="5"/>
      <c r="P161" s="5"/>
      <c r="Q161" s="5"/>
    </row>
    <row r="162" spans="1:17" ht="15.6">
      <c r="A162" s="5"/>
      <c r="B162" s="12">
        <v>44118</v>
      </c>
      <c r="C162" s="5">
        <v>541.45000000000005</v>
      </c>
      <c r="D162" s="5">
        <v>153.77000000000001</v>
      </c>
      <c r="E162" s="5">
        <v>168.19</v>
      </c>
      <c r="F162" s="5">
        <v>142.5</v>
      </c>
      <c r="G162" s="5">
        <f t="shared" si="5"/>
        <v>-2.2812178526954052E-2</v>
      </c>
      <c r="H162" s="5">
        <f t="shared" si="5"/>
        <v>3.2845244492208492E-2</v>
      </c>
      <c r="I162" s="5">
        <f t="shared" si="4"/>
        <v>-2.3173423161807483E-2</v>
      </c>
      <c r="J162" s="5">
        <f t="shared" si="4"/>
        <v>4.1575646536538002E-3</v>
      </c>
      <c r="K162" s="5"/>
      <c r="L162" s="5"/>
      <c r="M162" s="5"/>
      <c r="N162" s="5"/>
      <c r="O162" s="5"/>
      <c r="P162" s="5"/>
      <c r="Q162" s="5"/>
    </row>
    <row r="163" spans="1:17" ht="15.6">
      <c r="A163" s="5"/>
      <c r="B163" s="12">
        <v>44119</v>
      </c>
      <c r="C163" s="5">
        <v>541.94000000000005</v>
      </c>
      <c r="D163" s="5">
        <v>149.63</v>
      </c>
      <c r="E163" s="5">
        <v>166.93</v>
      </c>
      <c r="F163" s="5">
        <v>143.4</v>
      </c>
      <c r="G163" s="5">
        <f t="shared" si="5"/>
        <v>9.0497737556560764E-4</v>
      </c>
      <c r="H163" s="5">
        <f t="shared" si="5"/>
        <v>-2.6923327046888268E-2</v>
      </c>
      <c r="I163" s="5">
        <f t="shared" si="4"/>
        <v>-7.4915274392055586E-3</v>
      </c>
      <c r="J163" s="5">
        <f t="shared" si="4"/>
        <v>6.3157894736842746E-3</v>
      </c>
      <c r="K163" s="5"/>
      <c r="L163" s="5"/>
      <c r="M163" s="5"/>
      <c r="N163" s="5"/>
      <c r="O163" s="5"/>
      <c r="P163" s="5"/>
      <c r="Q163" s="5"/>
    </row>
    <row r="164" spans="1:17" ht="15.6">
      <c r="A164" s="5"/>
      <c r="B164" s="12">
        <v>44120</v>
      </c>
      <c r="C164" s="5">
        <v>530.79</v>
      </c>
      <c r="D164" s="5">
        <v>146.56</v>
      </c>
      <c r="E164" s="5">
        <v>163.63999999999999</v>
      </c>
      <c r="F164" s="5">
        <v>142.93</v>
      </c>
      <c r="G164" s="5">
        <f t="shared" si="5"/>
        <v>-2.0574233309960666E-2</v>
      </c>
      <c r="H164" s="5">
        <f t="shared" si="5"/>
        <v>-2.0517275947336766E-2</v>
      </c>
      <c r="I164" s="5">
        <f t="shared" si="4"/>
        <v>-1.9708860001198203E-2</v>
      </c>
      <c r="J164" s="5">
        <f t="shared" si="4"/>
        <v>-3.277545327754483E-3</v>
      </c>
      <c r="K164" s="5"/>
      <c r="L164" s="5"/>
      <c r="M164" s="5"/>
      <c r="N164" s="5"/>
      <c r="O164" s="5"/>
      <c r="P164" s="5"/>
      <c r="Q164" s="5"/>
    </row>
    <row r="165" spans="1:17" ht="15.6">
      <c r="A165" s="5"/>
      <c r="B165" s="12">
        <v>44123</v>
      </c>
      <c r="C165" s="5">
        <v>530.72</v>
      </c>
      <c r="D165" s="5">
        <v>143.61000000000001</v>
      </c>
      <c r="E165" s="5">
        <v>160.36000000000001</v>
      </c>
      <c r="F165" s="5">
        <v>140.62</v>
      </c>
      <c r="G165" s="5">
        <f t="shared" si="5"/>
        <v>-1.3187889749233239E-4</v>
      </c>
      <c r="H165" s="5">
        <f t="shared" si="5"/>
        <v>-2.0128275109170257E-2</v>
      </c>
      <c r="I165" s="5">
        <f t="shared" si="4"/>
        <v>-2.0043999022243741E-2</v>
      </c>
      <c r="J165" s="5">
        <f t="shared" si="4"/>
        <v>-1.6161757503673102E-2</v>
      </c>
      <c r="K165" s="5"/>
      <c r="L165" s="5"/>
      <c r="M165" s="5"/>
      <c r="N165" s="5"/>
      <c r="O165" s="5"/>
      <c r="P165" s="5"/>
      <c r="Q165" s="5"/>
    </row>
    <row r="166" spans="1:17" ht="15.6">
      <c r="A166" s="5"/>
      <c r="B166" s="12">
        <v>44124</v>
      </c>
      <c r="C166" s="5">
        <v>525.41999999999996</v>
      </c>
      <c r="D166" s="5">
        <v>140.65</v>
      </c>
      <c r="E166" s="5">
        <v>160.85</v>
      </c>
      <c r="F166" s="5">
        <v>140.03</v>
      </c>
      <c r="G166" s="5">
        <f t="shared" si="5"/>
        <v>-9.9864335242690894E-3</v>
      </c>
      <c r="H166" s="5">
        <f t="shared" si="5"/>
        <v>-2.0611378037741157E-2</v>
      </c>
      <c r="I166" s="5">
        <f t="shared" si="4"/>
        <v>3.0556248441007128E-3</v>
      </c>
      <c r="J166" s="5">
        <f t="shared" si="4"/>
        <v>-4.1957047361683708E-3</v>
      </c>
      <c r="K166" s="5"/>
      <c r="L166" s="5"/>
      <c r="M166" s="5"/>
      <c r="N166" s="5"/>
      <c r="O166" s="5"/>
      <c r="P166" s="5"/>
      <c r="Q166" s="5"/>
    </row>
    <row r="167" spans="1:17" ht="15.6">
      <c r="A167" s="5"/>
      <c r="B167" s="12">
        <v>44125</v>
      </c>
      <c r="C167" s="5">
        <v>489.05</v>
      </c>
      <c r="D167" s="5">
        <v>140.88</v>
      </c>
      <c r="E167" s="5">
        <v>159.25</v>
      </c>
      <c r="F167" s="5">
        <v>138.79</v>
      </c>
      <c r="G167" s="5">
        <f t="shared" si="5"/>
        <v>-6.9220813825130234E-2</v>
      </c>
      <c r="H167" s="5">
        <f t="shared" si="5"/>
        <v>1.6352648418058724E-3</v>
      </c>
      <c r="I167" s="5">
        <f t="shared" si="4"/>
        <v>-9.9471557351569206E-3</v>
      </c>
      <c r="J167" s="5">
        <f t="shared" si="4"/>
        <v>-8.855245304577708E-3</v>
      </c>
      <c r="K167" s="5"/>
      <c r="L167" s="5"/>
      <c r="M167" s="5"/>
      <c r="N167" s="5"/>
      <c r="O167" s="5"/>
      <c r="P167" s="5"/>
      <c r="Q167" s="5"/>
    </row>
    <row r="168" spans="1:17" ht="15.6">
      <c r="A168" s="5"/>
      <c r="B168" s="12">
        <v>44126</v>
      </c>
      <c r="C168" s="5">
        <v>485.23</v>
      </c>
      <c r="D168" s="5">
        <v>141.93</v>
      </c>
      <c r="E168" s="5">
        <v>158.82</v>
      </c>
      <c r="F168" s="5">
        <v>138.66</v>
      </c>
      <c r="G168" s="5">
        <f t="shared" si="5"/>
        <v>-7.8110622635721993E-3</v>
      </c>
      <c r="H168" s="5">
        <f t="shared" si="5"/>
        <v>7.4531516183986568E-3</v>
      </c>
      <c r="I168" s="5">
        <f t="shared" si="4"/>
        <v>-2.7001569858713381E-3</v>
      </c>
      <c r="J168" s="5">
        <f t="shared" si="4"/>
        <v>-9.3666690683769094E-4</v>
      </c>
      <c r="K168" s="5"/>
      <c r="L168" s="5"/>
      <c r="M168" s="5"/>
      <c r="N168" s="5"/>
      <c r="O168" s="5"/>
      <c r="P168" s="5"/>
      <c r="Q168" s="5"/>
    </row>
    <row r="169" spans="1:17" ht="15.6">
      <c r="A169" s="5"/>
      <c r="B169" s="12">
        <v>44127</v>
      </c>
      <c r="C169" s="5">
        <v>488.28</v>
      </c>
      <c r="D169" s="5">
        <v>140.21</v>
      </c>
      <c r="E169" s="5">
        <v>160.22</v>
      </c>
      <c r="F169" s="5">
        <v>139.51</v>
      </c>
      <c r="G169" s="5">
        <f t="shared" si="5"/>
        <v>6.2856789563712212E-3</v>
      </c>
      <c r="H169" s="5">
        <f t="shared" si="5"/>
        <v>-1.2118650038751455E-2</v>
      </c>
      <c r="I169" s="5">
        <f t="shared" si="4"/>
        <v>8.8150107039415282E-3</v>
      </c>
      <c r="J169" s="5">
        <f t="shared" si="4"/>
        <v>6.1301024087696554E-3</v>
      </c>
      <c r="K169" s="5"/>
      <c r="L169" s="5"/>
      <c r="M169" s="5"/>
      <c r="N169" s="5"/>
      <c r="O169" s="5"/>
      <c r="P169" s="5"/>
      <c r="Q169" s="5"/>
    </row>
    <row r="170" spans="1:17" ht="15.6">
      <c r="A170" s="5"/>
      <c r="B170" s="12">
        <v>44130</v>
      </c>
      <c r="C170" s="5">
        <v>488.24</v>
      </c>
      <c r="D170" s="5">
        <v>140.09</v>
      </c>
      <c r="E170" s="5">
        <v>160.35</v>
      </c>
      <c r="F170" s="5">
        <v>137.47</v>
      </c>
      <c r="G170" s="5">
        <f t="shared" si="5"/>
        <v>-8.1920209715646841E-5</v>
      </c>
      <c r="H170" s="5">
        <f t="shared" si="5"/>
        <v>-8.5585906854013238E-4</v>
      </c>
      <c r="I170" s="5">
        <f t="shared" si="4"/>
        <v>8.1138434652339164E-4</v>
      </c>
      <c r="J170" s="5">
        <f t="shared" si="4"/>
        <v>-1.4622607698372869E-2</v>
      </c>
      <c r="K170" s="5"/>
      <c r="L170" s="5"/>
      <c r="M170" s="5"/>
      <c r="N170" s="5"/>
      <c r="O170" s="5"/>
      <c r="P170" s="5"/>
      <c r="Q170" s="5"/>
    </row>
    <row r="171" spans="1:17" ht="15.6">
      <c r="A171" s="5"/>
      <c r="B171" s="12">
        <v>44131</v>
      </c>
      <c r="C171" s="5">
        <v>488.93</v>
      </c>
      <c r="D171" s="5">
        <v>141.56</v>
      </c>
      <c r="E171" s="5">
        <v>164.32</v>
      </c>
      <c r="F171" s="5">
        <v>135.85</v>
      </c>
      <c r="G171" s="5">
        <f t="shared" si="5"/>
        <v>1.413239390463783E-3</v>
      </c>
      <c r="H171" s="5">
        <f t="shared" si="5"/>
        <v>1.0493254336497948E-2</v>
      </c>
      <c r="I171" s="5">
        <f t="shared" si="4"/>
        <v>2.4758341128780836E-2</v>
      </c>
      <c r="J171" s="5">
        <f t="shared" si="4"/>
        <v>-1.1784389321306543E-2</v>
      </c>
      <c r="K171" s="5"/>
      <c r="L171" s="5"/>
      <c r="M171" s="5"/>
      <c r="N171" s="5"/>
      <c r="O171" s="5"/>
      <c r="P171" s="5"/>
      <c r="Q171" s="5"/>
    </row>
    <row r="172" spans="1:17" ht="15.6">
      <c r="A172" s="5"/>
      <c r="B172" s="12">
        <v>44132</v>
      </c>
      <c r="C172" s="5">
        <v>486.24</v>
      </c>
      <c r="D172" s="5">
        <v>135.34</v>
      </c>
      <c r="E172" s="5">
        <v>158.13999999999999</v>
      </c>
      <c r="F172" s="5">
        <v>131.75</v>
      </c>
      <c r="G172" s="5">
        <f t="shared" si="5"/>
        <v>-5.501810075061897E-3</v>
      </c>
      <c r="H172" s="5">
        <f t="shared" si="5"/>
        <v>-4.3938965809550701E-2</v>
      </c>
      <c r="I172" s="5">
        <f t="shared" si="4"/>
        <v>-3.7609542356377812E-2</v>
      </c>
      <c r="J172" s="5">
        <f t="shared" si="4"/>
        <v>-3.0180345969819666E-2</v>
      </c>
      <c r="K172" s="5"/>
      <c r="L172" s="5"/>
      <c r="M172" s="5"/>
      <c r="N172" s="5"/>
      <c r="O172" s="5"/>
      <c r="P172" s="5"/>
      <c r="Q172" s="5"/>
    </row>
    <row r="173" spans="1:17" ht="15.6">
      <c r="A173" s="5"/>
      <c r="B173" s="12">
        <v>44133</v>
      </c>
      <c r="C173" s="5">
        <v>504.21</v>
      </c>
      <c r="D173" s="5">
        <v>136.94</v>
      </c>
      <c r="E173" s="5">
        <v>160.55000000000001</v>
      </c>
      <c r="F173" s="5">
        <v>131.4</v>
      </c>
      <c r="G173" s="5">
        <f t="shared" si="5"/>
        <v>3.69570582428429E-2</v>
      </c>
      <c r="H173" s="5">
        <f t="shared" si="5"/>
        <v>1.1822077730160974E-2</v>
      </c>
      <c r="I173" s="5">
        <f t="shared" si="4"/>
        <v>1.5239661059820664E-2</v>
      </c>
      <c r="J173" s="5">
        <f t="shared" si="4"/>
        <v>-2.6565464895634827E-3</v>
      </c>
      <c r="K173" s="5"/>
      <c r="L173" s="5"/>
      <c r="M173" s="5"/>
      <c r="N173" s="5"/>
      <c r="O173" s="5"/>
      <c r="P173" s="5"/>
      <c r="Q173" s="5"/>
    </row>
    <row r="174" spans="1:17" ht="15.6">
      <c r="A174" s="5"/>
      <c r="B174" s="12">
        <v>44134</v>
      </c>
      <c r="C174" s="5">
        <v>475.74</v>
      </c>
      <c r="D174" s="5">
        <v>129.35</v>
      </c>
      <c r="E174" s="5">
        <v>151.81</v>
      </c>
      <c r="F174" s="5">
        <v>131.05000000000001</v>
      </c>
      <c r="G174" s="5">
        <f t="shared" si="5"/>
        <v>-5.6464568334622434E-2</v>
      </c>
      <c r="H174" s="5">
        <f t="shared" si="5"/>
        <v>-5.5425733898057605E-2</v>
      </c>
      <c r="I174" s="5">
        <f t="shared" si="4"/>
        <v>-5.4437869822485219E-2</v>
      </c>
      <c r="J174" s="5">
        <f t="shared" si="4"/>
        <v>-2.6636225266362112E-3</v>
      </c>
      <c r="K174" s="5"/>
      <c r="L174" s="5"/>
      <c r="M174" s="5"/>
      <c r="N174" s="5"/>
      <c r="O174" s="5"/>
      <c r="P174" s="5"/>
      <c r="Q174" s="5"/>
    </row>
    <row r="175" spans="1:17" ht="15.6">
      <c r="A175" s="5"/>
      <c r="B175" s="12">
        <v>44137</v>
      </c>
      <c r="C175" s="5">
        <v>484.12</v>
      </c>
      <c r="D175" s="5">
        <v>133.5</v>
      </c>
      <c r="E175" s="5">
        <v>150.22</v>
      </c>
      <c r="F175" s="5">
        <v>134.21</v>
      </c>
      <c r="G175" s="5">
        <f t="shared" si="5"/>
        <v>1.7614663471644088E-2</v>
      </c>
      <c r="H175" s="5">
        <f t="shared" si="5"/>
        <v>3.2083494395052314E-2</v>
      </c>
      <c r="I175" s="5">
        <f t="shared" si="4"/>
        <v>-1.0473618338712853E-2</v>
      </c>
      <c r="J175" s="5">
        <f t="shared" si="4"/>
        <v>2.4112933994658414E-2</v>
      </c>
      <c r="K175" s="5"/>
      <c r="L175" s="5"/>
      <c r="M175" s="5"/>
      <c r="N175" s="5"/>
      <c r="O175" s="5"/>
      <c r="P175" s="5"/>
      <c r="Q175" s="5"/>
    </row>
    <row r="176" spans="1:17" ht="15.6">
      <c r="A176" s="5"/>
      <c r="B176" s="12">
        <v>44138</v>
      </c>
      <c r="C176" s="5">
        <v>487.22</v>
      </c>
      <c r="D176" s="5">
        <v>141.30000000000001</v>
      </c>
      <c r="E176" s="5">
        <v>152.41999999999999</v>
      </c>
      <c r="F176" s="5">
        <v>136.06</v>
      </c>
      <c r="G176" s="5">
        <f t="shared" si="5"/>
        <v>6.4033710650253095E-3</v>
      </c>
      <c r="H176" s="5">
        <f t="shared" si="5"/>
        <v>5.8426966292134841E-2</v>
      </c>
      <c r="I176" s="5">
        <f t="shared" si="4"/>
        <v>1.4645187058980103E-2</v>
      </c>
      <c r="J176" s="5">
        <f t="shared" si="4"/>
        <v>1.3784367781834339E-2</v>
      </c>
      <c r="K176" s="5"/>
      <c r="L176" s="5"/>
      <c r="M176" s="5"/>
      <c r="N176" s="5"/>
      <c r="O176" s="5"/>
      <c r="P176" s="5"/>
      <c r="Q176" s="5"/>
    </row>
    <row r="177" spans="1:17" ht="15.6">
      <c r="A177" s="5"/>
      <c r="B177" s="12">
        <v>44139</v>
      </c>
      <c r="C177" s="5">
        <v>496.95</v>
      </c>
      <c r="D177" s="5">
        <v>140.33000000000001</v>
      </c>
      <c r="E177" s="5">
        <v>162.06</v>
      </c>
      <c r="F177" s="5">
        <v>137.22999999999999</v>
      </c>
      <c r="G177" s="5">
        <f t="shared" si="5"/>
        <v>1.9970444563031098E-2</v>
      </c>
      <c r="H177" s="5">
        <f t="shared" si="5"/>
        <v>-6.8648266100495015E-3</v>
      </c>
      <c r="I177" s="5">
        <f t="shared" si="4"/>
        <v>6.3246293137383613E-2</v>
      </c>
      <c r="J177" s="5">
        <f t="shared" si="4"/>
        <v>8.5991474349551567E-3</v>
      </c>
      <c r="K177" s="5"/>
      <c r="L177" s="5"/>
      <c r="M177" s="5"/>
      <c r="N177" s="5"/>
      <c r="O177" s="5"/>
      <c r="P177" s="5"/>
      <c r="Q177" s="5"/>
    </row>
    <row r="178" spans="1:17" ht="15.6">
      <c r="A178" s="5"/>
      <c r="B178" s="12">
        <v>44140</v>
      </c>
      <c r="C178" s="5">
        <v>513.76</v>
      </c>
      <c r="D178" s="5">
        <v>146.03</v>
      </c>
      <c r="E178" s="5">
        <v>166.1</v>
      </c>
      <c r="F178" s="5">
        <v>137.86000000000001</v>
      </c>
      <c r="G178" s="5">
        <f t="shared" si="5"/>
        <v>3.3826340678136724E-2</v>
      </c>
      <c r="H178" s="5">
        <f t="shared" si="5"/>
        <v>4.0618542008123537E-2</v>
      </c>
      <c r="I178" s="5">
        <f t="shared" si="4"/>
        <v>2.492903862766882E-2</v>
      </c>
      <c r="J178" s="5">
        <f t="shared" si="4"/>
        <v>4.5908329082564592E-3</v>
      </c>
      <c r="K178" s="5"/>
      <c r="L178" s="5"/>
      <c r="M178" s="5"/>
      <c r="N178" s="5"/>
      <c r="O178" s="5"/>
      <c r="P178" s="5"/>
      <c r="Q178" s="5"/>
    </row>
    <row r="179" spans="1:17" ht="15.6">
      <c r="A179" s="5"/>
      <c r="B179" s="12">
        <v>44141</v>
      </c>
      <c r="C179" s="5">
        <v>514.73</v>
      </c>
      <c r="D179" s="5">
        <v>143.32</v>
      </c>
      <c r="E179" s="5">
        <v>165.57</v>
      </c>
      <c r="F179" s="5">
        <v>142.43</v>
      </c>
      <c r="G179" s="5">
        <f t="shared" si="5"/>
        <v>1.8880411086890092E-3</v>
      </c>
      <c r="H179" s="5">
        <f t="shared" si="5"/>
        <v>-1.8557830582757062E-2</v>
      </c>
      <c r="I179" s="5">
        <f t="shared" si="4"/>
        <v>-3.1908488862131268E-3</v>
      </c>
      <c r="J179" s="5">
        <f t="shared" si="4"/>
        <v>3.314957202959512E-2</v>
      </c>
      <c r="K179" s="5"/>
      <c r="L179" s="5"/>
      <c r="M179" s="5"/>
      <c r="N179" s="5"/>
      <c r="O179" s="5"/>
      <c r="P179" s="5"/>
      <c r="Q179" s="5"/>
    </row>
    <row r="180" spans="1:17" ht="15.6">
      <c r="A180" s="5"/>
      <c r="B180" s="12">
        <v>44144</v>
      </c>
      <c r="C180" s="5">
        <v>470.5</v>
      </c>
      <c r="D180" s="5">
        <v>140.41999999999999</v>
      </c>
      <c r="E180" s="5">
        <v>157.19</v>
      </c>
      <c r="F180" s="5">
        <v>142.74</v>
      </c>
      <c r="G180" s="5">
        <f t="shared" si="5"/>
        <v>-8.5928545062459949E-2</v>
      </c>
      <c r="H180" s="5">
        <f t="shared" si="5"/>
        <v>-2.0234440413061772E-2</v>
      </c>
      <c r="I180" s="5">
        <f t="shared" si="4"/>
        <v>-5.061303376215498E-2</v>
      </c>
      <c r="J180" s="5">
        <f t="shared" si="4"/>
        <v>2.1765077581969994E-3</v>
      </c>
      <c r="K180" s="5"/>
      <c r="L180" s="5"/>
      <c r="M180" s="5"/>
      <c r="N180" s="5"/>
      <c r="O180" s="5"/>
      <c r="P180" s="5"/>
      <c r="Q180" s="5"/>
    </row>
    <row r="181" spans="1:17" ht="15.6">
      <c r="A181" s="5"/>
      <c r="B181" s="12">
        <v>44145</v>
      </c>
      <c r="C181" s="5">
        <v>480.24</v>
      </c>
      <c r="D181" s="5">
        <v>136.79</v>
      </c>
      <c r="E181" s="5">
        <v>151.75</v>
      </c>
      <c r="F181" s="5">
        <v>145.16</v>
      </c>
      <c r="G181" s="5">
        <f t="shared" si="5"/>
        <v>2.070138150903289E-2</v>
      </c>
      <c r="H181" s="5">
        <f t="shared" si="5"/>
        <v>-2.5851018373451051E-2</v>
      </c>
      <c r="I181" s="5">
        <f t="shared" si="4"/>
        <v>-3.4607799478338253E-2</v>
      </c>
      <c r="J181" s="5">
        <f t="shared" si="4"/>
        <v>1.695390219980375E-2</v>
      </c>
      <c r="K181" s="5"/>
      <c r="L181" s="5"/>
      <c r="M181" s="5"/>
      <c r="N181" s="5"/>
      <c r="O181" s="5"/>
      <c r="P181" s="5"/>
      <c r="Q181" s="5"/>
    </row>
    <row r="182" spans="1:17" ht="15.6">
      <c r="A182" s="5"/>
      <c r="B182" s="12">
        <v>44146</v>
      </c>
      <c r="C182" s="5">
        <v>490.76</v>
      </c>
      <c r="D182" s="5">
        <v>139.04</v>
      </c>
      <c r="E182" s="5">
        <v>156.87</v>
      </c>
      <c r="F182" s="5">
        <v>146.49</v>
      </c>
      <c r="G182" s="5">
        <f t="shared" si="5"/>
        <v>2.1905713809761806E-2</v>
      </c>
      <c r="H182" s="5">
        <f t="shared" si="5"/>
        <v>1.6448570801959272E-2</v>
      </c>
      <c r="I182" s="5">
        <f t="shared" si="4"/>
        <v>3.3739703459637616E-2</v>
      </c>
      <c r="J182" s="5">
        <f t="shared" si="4"/>
        <v>9.162303664921545E-3</v>
      </c>
      <c r="K182" s="5"/>
      <c r="L182" s="5"/>
      <c r="M182" s="5"/>
      <c r="N182" s="5"/>
      <c r="O182" s="5"/>
      <c r="P182" s="5"/>
      <c r="Q182" s="5"/>
    </row>
    <row r="183" spans="1:17" ht="15.6">
      <c r="A183" s="5"/>
      <c r="B183" s="12">
        <v>44147</v>
      </c>
      <c r="C183" s="5">
        <v>486.77</v>
      </c>
      <c r="D183" s="5">
        <v>137.25</v>
      </c>
      <c r="E183" s="5">
        <v>155.51</v>
      </c>
      <c r="F183" s="5">
        <v>146.4</v>
      </c>
      <c r="G183" s="5">
        <f t="shared" si="5"/>
        <v>-8.130246963892751E-3</v>
      </c>
      <c r="H183" s="5">
        <f t="shared" si="5"/>
        <v>-1.2873993095512071E-2</v>
      </c>
      <c r="I183" s="5">
        <f t="shared" si="4"/>
        <v>-8.6695990310449167E-3</v>
      </c>
      <c r="J183" s="5">
        <f t="shared" si="4"/>
        <v>-6.1437640794592685E-4</v>
      </c>
      <c r="K183" s="5"/>
      <c r="L183" s="5"/>
      <c r="M183" s="5"/>
      <c r="N183" s="5"/>
      <c r="O183" s="5"/>
      <c r="P183" s="5"/>
      <c r="Q183" s="5"/>
    </row>
    <row r="184" spans="1:17" ht="15.6">
      <c r="A184" s="5"/>
      <c r="B184" s="12">
        <v>44148</v>
      </c>
      <c r="C184" s="5">
        <v>482.84</v>
      </c>
      <c r="D184" s="5">
        <v>136.16999999999999</v>
      </c>
      <c r="E184" s="5">
        <v>156.44</v>
      </c>
      <c r="F184" s="5">
        <v>146.82</v>
      </c>
      <c r="G184" s="5">
        <f t="shared" si="5"/>
        <v>-8.0736282022310091E-3</v>
      </c>
      <c r="H184" s="5">
        <f t="shared" si="5"/>
        <v>-7.8688524590164732E-3</v>
      </c>
      <c r="I184" s="5">
        <f t="shared" si="4"/>
        <v>5.9803228088226579E-3</v>
      </c>
      <c r="J184" s="5">
        <f t="shared" si="4"/>
        <v>2.8688524590163578E-3</v>
      </c>
      <c r="K184" s="5"/>
      <c r="L184" s="5"/>
      <c r="M184" s="5"/>
      <c r="N184" s="5"/>
      <c r="O184" s="5"/>
      <c r="P184" s="5"/>
      <c r="Q184" s="5"/>
    </row>
    <row r="185" spans="1:17" ht="15.6">
      <c r="A185" s="5"/>
      <c r="B185" s="12">
        <v>44151</v>
      </c>
      <c r="C185" s="5">
        <v>479.1</v>
      </c>
      <c r="D185" s="5">
        <v>136.03</v>
      </c>
      <c r="E185" s="5">
        <v>156.55000000000001</v>
      </c>
      <c r="F185" s="5">
        <v>147.88999999999999</v>
      </c>
      <c r="G185" s="5">
        <f t="shared" si="5"/>
        <v>-7.7458371303121831E-3</v>
      </c>
      <c r="H185" s="5">
        <f t="shared" si="5"/>
        <v>-1.0281266064476879E-3</v>
      </c>
      <c r="I185" s="5">
        <f t="shared" si="4"/>
        <v>7.0314497570955758E-4</v>
      </c>
      <c r="J185" s="5">
        <f t="shared" si="4"/>
        <v>7.2878354447623028E-3</v>
      </c>
      <c r="K185" s="5"/>
      <c r="L185" s="5"/>
      <c r="M185" s="5"/>
      <c r="N185" s="5"/>
      <c r="O185" s="5"/>
      <c r="P185" s="5"/>
      <c r="Q185" s="5"/>
    </row>
    <row r="186" spans="1:17" ht="15.6">
      <c r="A186" s="5"/>
      <c r="B186" s="12">
        <v>44152</v>
      </c>
      <c r="C186" s="5">
        <v>480.63</v>
      </c>
      <c r="D186" s="5">
        <v>147.19999999999999</v>
      </c>
      <c r="E186" s="5">
        <v>156.78</v>
      </c>
      <c r="F186" s="5">
        <v>145.80000000000001</v>
      </c>
      <c r="G186" s="5">
        <f t="shared" si="5"/>
        <v>3.1934877896053759E-3</v>
      </c>
      <c r="H186" s="5">
        <f t="shared" si="5"/>
        <v>8.2114239505991282E-2</v>
      </c>
      <c r="I186" s="5">
        <f t="shared" si="4"/>
        <v>1.4691791759819939E-3</v>
      </c>
      <c r="J186" s="5">
        <f t="shared" si="4"/>
        <v>-1.4132125228209946E-2</v>
      </c>
      <c r="K186" s="5"/>
      <c r="L186" s="5"/>
      <c r="M186" s="5"/>
      <c r="N186" s="5"/>
      <c r="O186" s="5"/>
      <c r="P186" s="5"/>
      <c r="Q186" s="5"/>
    </row>
    <row r="187" spans="1:17" ht="15.6">
      <c r="A187" s="5"/>
      <c r="B187" s="12">
        <v>44153</v>
      </c>
      <c r="C187" s="5">
        <v>481.79</v>
      </c>
      <c r="D187" s="5">
        <v>162.21</v>
      </c>
      <c r="E187" s="5">
        <v>155.27000000000001</v>
      </c>
      <c r="F187" s="5">
        <v>143.61000000000001</v>
      </c>
      <c r="G187" s="5">
        <f t="shared" si="5"/>
        <v>2.413498949295878E-3</v>
      </c>
      <c r="H187" s="5">
        <f t="shared" si="5"/>
        <v>0.10197010869565237</v>
      </c>
      <c r="I187" s="5">
        <f t="shared" si="4"/>
        <v>-9.6313305268528326E-3</v>
      </c>
      <c r="J187" s="5">
        <f t="shared" si="4"/>
        <v>-1.502057613168728E-2</v>
      </c>
      <c r="K187" s="5"/>
      <c r="L187" s="5"/>
      <c r="M187" s="5"/>
      <c r="N187" s="5"/>
      <c r="O187" s="5"/>
      <c r="P187" s="5"/>
      <c r="Q187" s="5"/>
    </row>
    <row r="188" spans="1:17" ht="15.6">
      <c r="A188" s="5"/>
      <c r="B188" s="12">
        <v>44154</v>
      </c>
      <c r="C188" s="5">
        <v>484.67</v>
      </c>
      <c r="D188" s="5">
        <v>166.42</v>
      </c>
      <c r="E188" s="5">
        <v>155.85</v>
      </c>
      <c r="F188" s="5">
        <v>143.19999999999999</v>
      </c>
      <c r="G188" s="5">
        <f t="shared" si="5"/>
        <v>5.977708130098236E-3</v>
      </c>
      <c r="H188" s="5">
        <f t="shared" si="5"/>
        <v>2.5954010233647518E-2</v>
      </c>
      <c r="I188" s="5">
        <f t="shared" si="4"/>
        <v>3.7354286082307286E-3</v>
      </c>
      <c r="J188" s="5">
        <f t="shared" si="4"/>
        <v>-2.8549543903629848E-3</v>
      </c>
      <c r="K188" s="5"/>
      <c r="L188" s="5"/>
      <c r="M188" s="5"/>
      <c r="N188" s="5"/>
      <c r="O188" s="5"/>
      <c r="P188" s="5"/>
      <c r="Q188" s="5"/>
    </row>
    <row r="189" spans="1:17" ht="15.6">
      <c r="A189" s="5"/>
      <c r="B189" s="12">
        <v>44155</v>
      </c>
      <c r="C189" s="5">
        <v>488.24</v>
      </c>
      <c r="D189" s="5">
        <v>163.19999999999999</v>
      </c>
      <c r="E189" s="5">
        <v>154.97</v>
      </c>
      <c r="F189" s="5">
        <v>141.63999999999999</v>
      </c>
      <c r="G189" s="5">
        <f t="shared" si="5"/>
        <v>7.3658365485793631E-3</v>
      </c>
      <c r="H189" s="5">
        <f t="shared" si="5"/>
        <v>-1.9348635981252249E-2</v>
      </c>
      <c r="I189" s="5">
        <f t="shared" si="4"/>
        <v>-5.646454924606914E-3</v>
      </c>
      <c r="J189" s="5">
        <f t="shared" si="4"/>
        <v>-1.0893854748603382E-2</v>
      </c>
      <c r="K189" s="5"/>
      <c r="L189" s="5"/>
      <c r="M189" s="5"/>
      <c r="N189" s="5"/>
      <c r="O189" s="5"/>
      <c r="P189" s="5"/>
      <c r="Q189" s="5"/>
    </row>
    <row r="190" spans="1:17" ht="15.6">
      <c r="A190" s="5"/>
      <c r="B190" s="12">
        <v>44158</v>
      </c>
      <c r="C190" s="5">
        <v>476.62</v>
      </c>
      <c r="D190" s="5">
        <v>173.95</v>
      </c>
      <c r="E190" s="5">
        <v>154.91999999999999</v>
      </c>
      <c r="F190" s="5">
        <v>140.72999999999999</v>
      </c>
      <c r="G190" s="5">
        <f t="shared" si="5"/>
        <v>-2.3799770604620685E-2</v>
      </c>
      <c r="H190" s="5">
        <f t="shared" si="5"/>
        <v>6.587009803921573E-2</v>
      </c>
      <c r="I190" s="5">
        <f t="shared" si="4"/>
        <v>-3.2264309221141652E-4</v>
      </c>
      <c r="J190" s="5">
        <f t="shared" si="4"/>
        <v>-6.4247387743574524E-3</v>
      </c>
      <c r="K190" s="5"/>
      <c r="L190" s="5"/>
      <c r="M190" s="5"/>
      <c r="N190" s="5"/>
      <c r="O190" s="5"/>
      <c r="P190" s="5"/>
      <c r="Q190" s="5"/>
    </row>
    <row r="191" spans="1:17" ht="15.6">
      <c r="A191" s="5"/>
      <c r="B191" s="12">
        <v>44159</v>
      </c>
      <c r="C191" s="5">
        <v>482.88</v>
      </c>
      <c r="D191" s="5">
        <v>185.13</v>
      </c>
      <c r="E191" s="5">
        <v>155.9</v>
      </c>
      <c r="F191" s="5">
        <v>142.06</v>
      </c>
      <c r="G191" s="5">
        <f t="shared" si="5"/>
        <v>1.3134152993999448E-2</v>
      </c>
      <c r="H191" s="5">
        <f t="shared" si="5"/>
        <v>6.4271342339752735E-2</v>
      </c>
      <c r="I191" s="5">
        <f t="shared" si="4"/>
        <v>6.3258455977279748E-3</v>
      </c>
      <c r="J191" s="5">
        <f t="shared" si="4"/>
        <v>9.450721239252502E-3</v>
      </c>
      <c r="K191" s="5"/>
      <c r="L191" s="5"/>
      <c r="M191" s="5"/>
      <c r="N191" s="5"/>
      <c r="O191" s="5"/>
      <c r="P191" s="5"/>
      <c r="Q191" s="5"/>
    </row>
    <row r="192" spans="1:17" ht="15.6">
      <c r="A192" s="5"/>
      <c r="B192" s="12">
        <v>44160</v>
      </c>
      <c r="C192" s="5">
        <v>485</v>
      </c>
      <c r="D192" s="5">
        <v>191.33</v>
      </c>
      <c r="E192" s="5">
        <v>159.25</v>
      </c>
      <c r="F192" s="5">
        <v>142</v>
      </c>
      <c r="G192" s="5">
        <f t="shared" si="5"/>
        <v>4.3903247183565419E-3</v>
      </c>
      <c r="H192" s="5">
        <f t="shared" si="5"/>
        <v>3.3489980014044241E-2</v>
      </c>
      <c r="I192" s="5">
        <f t="shared" si="4"/>
        <v>2.1488133418858135E-2</v>
      </c>
      <c r="J192" s="5">
        <f t="shared" si="4"/>
        <v>-4.2235675066870648E-4</v>
      </c>
      <c r="K192" s="5"/>
      <c r="L192" s="5"/>
      <c r="M192" s="5"/>
      <c r="N192" s="5"/>
      <c r="O192" s="5"/>
      <c r="P192" s="5"/>
      <c r="Q192" s="5"/>
    </row>
    <row r="193" spans="1:17" ht="15.6">
      <c r="A193" s="5"/>
      <c r="B193" s="12">
        <v>44162</v>
      </c>
      <c r="C193" s="5">
        <v>491.36</v>
      </c>
      <c r="D193" s="5">
        <v>195.25</v>
      </c>
      <c r="E193" s="5">
        <v>159.77000000000001</v>
      </c>
      <c r="F193" s="5">
        <v>141.9</v>
      </c>
      <c r="G193" s="5">
        <f t="shared" si="5"/>
        <v>1.3113402061855739E-2</v>
      </c>
      <c r="H193" s="5">
        <f t="shared" si="5"/>
        <v>2.0488161814665728E-2</v>
      </c>
      <c r="I193" s="5">
        <f t="shared" si="4"/>
        <v>3.2653061224490187E-3</v>
      </c>
      <c r="J193" s="5">
        <f t="shared" si="4"/>
        <v>-7.0422535211267512E-4</v>
      </c>
      <c r="K193" s="5"/>
      <c r="L193" s="5"/>
      <c r="M193" s="5"/>
      <c r="N193" s="5"/>
      <c r="O193" s="5"/>
      <c r="P193" s="5"/>
      <c r="Q193" s="5"/>
    </row>
    <row r="194" spans="1:17" ht="15.6">
      <c r="A194" s="5"/>
      <c r="B194" s="12">
        <v>44165</v>
      </c>
      <c r="C194" s="5">
        <v>490.7</v>
      </c>
      <c r="D194" s="5">
        <v>189.2</v>
      </c>
      <c r="E194" s="5">
        <v>158.4</v>
      </c>
      <c r="F194" s="5">
        <v>141.75</v>
      </c>
      <c r="G194" s="5">
        <f t="shared" si="5"/>
        <v>-1.3432106805600919E-3</v>
      </c>
      <c r="H194" s="5">
        <f t="shared" si="5"/>
        <v>-3.0985915492957816E-2</v>
      </c>
      <c r="I194" s="5">
        <f t="shared" si="4"/>
        <v>-8.5748263128246904E-3</v>
      </c>
      <c r="J194" s="5">
        <f t="shared" si="4"/>
        <v>-1.0570824524313016E-3</v>
      </c>
      <c r="K194" s="5"/>
      <c r="L194" s="5"/>
      <c r="M194" s="5"/>
      <c r="N194" s="5"/>
      <c r="O194" s="5"/>
      <c r="P194" s="5"/>
      <c r="Q194" s="5"/>
    </row>
    <row r="195" spans="1:17" ht="15.6">
      <c r="A195" s="5"/>
      <c r="B195" s="12">
        <v>44166</v>
      </c>
      <c r="C195" s="5">
        <v>504.58</v>
      </c>
      <c r="D195" s="5">
        <v>194.92</v>
      </c>
      <c r="E195" s="5">
        <v>161</v>
      </c>
      <c r="F195" s="5">
        <v>143.81</v>
      </c>
      <c r="G195" s="5">
        <f t="shared" si="5"/>
        <v>2.828612186672097E-2</v>
      </c>
      <c r="H195" s="5">
        <f t="shared" si="5"/>
        <v>3.0232558139534849E-2</v>
      </c>
      <c r="I195" s="5">
        <f t="shared" si="4"/>
        <v>1.6414141414141437E-2</v>
      </c>
      <c r="J195" s="5">
        <f t="shared" si="4"/>
        <v>1.4532627865961212E-2</v>
      </c>
      <c r="K195" s="5"/>
      <c r="L195" s="5"/>
      <c r="M195" s="5"/>
      <c r="N195" s="5"/>
      <c r="O195" s="5"/>
      <c r="P195" s="5"/>
      <c r="Q195" s="5"/>
    </row>
    <row r="196" spans="1:17" ht="15.6">
      <c r="A196" s="5"/>
      <c r="B196" s="12">
        <v>44167</v>
      </c>
      <c r="C196" s="5">
        <v>503.38</v>
      </c>
      <c r="D196" s="5">
        <v>189.61</v>
      </c>
      <c r="E196" s="5">
        <v>160.18</v>
      </c>
      <c r="F196" s="5">
        <v>143.05000000000001</v>
      </c>
      <c r="G196" s="5">
        <f t="shared" si="5"/>
        <v>-2.3782155456022469E-3</v>
      </c>
      <c r="H196" s="5">
        <f t="shared" si="5"/>
        <v>-2.7241945413502888E-2</v>
      </c>
      <c r="I196" s="5">
        <f t="shared" si="4"/>
        <v>-5.0931677018632993E-3</v>
      </c>
      <c r="J196" s="5">
        <f t="shared" si="4"/>
        <v>-5.2847507127459226E-3</v>
      </c>
      <c r="K196" s="5"/>
      <c r="L196" s="5"/>
      <c r="M196" s="5"/>
      <c r="N196" s="5"/>
      <c r="O196" s="5"/>
      <c r="P196" s="5"/>
      <c r="Q196" s="5"/>
    </row>
    <row r="197" spans="1:17" ht="15.6">
      <c r="A197" s="5"/>
      <c r="B197" s="12">
        <v>44168</v>
      </c>
      <c r="C197" s="5">
        <v>497.52</v>
      </c>
      <c r="D197" s="5">
        <v>197.79</v>
      </c>
      <c r="E197" s="5">
        <v>159.34</v>
      </c>
      <c r="F197" s="5">
        <v>143.61000000000001</v>
      </c>
      <c r="G197" s="5">
        <f t="shared" si="5"/>
        <v>-1.1641304779689277E-2</v>
      </c>
      <c r="H197" s="5">
        <f t="shared" si="5"/>
        <v>4.3141184536680477E-2</v>
      </c>
      <c r="I197" s="5">
        <f t="shared" si="5"/>
        <v>-5.2441003870645764E-3</v>
      </c>
      <c r="J197" s="5">
        <f t="shared" si="5"/>
        <v>3.914715134568425E-3</v>
      </c>
      <c r="K197" s="5"/>
      <c r="L197" s="5"/>
      <c r="M197" s="5"/>
      <c r="N197" s="5"/>
      <c r="O197" s="5"/>
      <c r="P197" s="5"/>
      <c r="Q197" s="5"/>
    </row>
    <row r="198" spans="1:17" ht="15.6">
      <c r="A198" s="5"/>
      <c r="B198" s="12">
        <v>44169</v>
      </c>
      <c r="C198" s="5">
        <v>498.31</v>
      </c>
      <c r="D198" s="5">
        <v>199.68</v>
      </c>
      <c r="E198" s="5">
        <v>158.13</v>
      </c>
      <c r="F198" s="5">
        <v>144.61000000000001</v>
      </c>
      <c r="G198" s="5">
        <f t="shared" ref="G198:J261" si="6">(C198/C197)-1</f>
        <v>1.5878758642868807E-3</v>
      </c>
      <c r="H198" s="5">
        <f t="shared" si="6"/>
        <v>9.5555892613379267E-3</v>
      </c>
      <c r="I198" s="5">
        <f t="shared" si="6"/>
        <v>-7.5938245261705228E-3</v>
      </c>
      <c r="J198" s="5">
        <f t="shared" si="6"/>
        <v>6.9633033911287168E-3</v>
      </c>
      <c r="K198" s="5"/>
      <c r="L198" s="5"/>
      <c r="M198" s="5"/>
      <c r="N198" s="5"/>
      <c r="O198" s="5"/>
      <c r="P198" s="5"/>
      <c r="Q198" s="5"/>
    </row>
    <row r="199" spans="1:17" ht="15.6">
      <c r="A199" s="5"/>
      <c r="B199" s="12">
        <v>44172</v>
      </c>
      <c r="C199" s="5">
        <v>515.78</v>
      </c>
      <c r="D199" s="5">
        <v>213.92</v>
      </c>
      <c r="E199" s="5">
        <v>157.9</v>
      </c>
      <c r="F199" s="5">
        <v>143.5</v>
      </c>
      <c r="G199" s="5">
        <f t="shared" si="6"/>
        <v>3.5058497722301407E-2</v>
      </c>
      <c r="H199" s="5">
        <f t="shared" si="6"/>
        <v>7.1314102564102422E-2</v>
      </c>
      <c r="I199" s="5">
        <f t="shared" si="6"/>
        <v>-1.4544994624675622E-3</v>
      </c>
      <c r="J199" s="5">
        <f t="shared" si="6"/>
        <v>-7.6758177166171837E-3</v>
      </c>
      <c r="K199" s="5"/>
      <c r="L199" s="5"/>
      <c r="M199" s="5"/>
      <c r="N199" s="5"/>
      <c r="O199" s="5"/>
      <c r="P199" s="5"/>
      <c r="Q199" s="5"/>
    </row>
    <row r="200" spans="1:17" ht="15.6">
      <c r="A200" s="5"/>
      <c r="B200" s="12">
        <v>44173</v>
      </c>
      <c r="C200" s="5">
        <v>512.66</v>
      </c>
      <c r="D200" s="5">
        <v>216.63</v>
      </c>
      <c r="E200" s="5">
        <v>158.86000000000001</v>
      </c>
      <c r="F200" s="5">
        <v>144.38</v>
      </c>
      <c r="G200" s="5">
        <f t="shared" si="6"/>
        <v>-6.0490906975843028E-3</v>
      </c>
      <c r="H200" s="5">
        <f t="shared" si="6"/>
        <v>1.2668287210171991E-2</v>
      </c>
      <c r="I200" s="5">
        <f t="shared" si="6"/>
        <v>6.0797973400887884E-3</v>
      </c>
      <c r="J200" s="5">
        <f t="shared" si="6"/>
        <v>6.1324041811845476E-3</v>
      </c>
      <c r="K200" s="5"/>
      <c r="L200" s="5"/>
      <c r="M200" s="5"/>
      <c r="N200" s="5"/>
      <c r="O200" s="5"/>
      <c r="P200" s="5"/>
      <c r="Q200" s="5"/>
    </row>
    <row r="201" spans="1:17" ht="15.6">
      <c r="A201" s="5"/>
      <c r="B201" s="12">
        <v>44174</v>
      </c>
      <c r="C201" s="5">
        <v>493.6</v>
      </c>
      <c r="D201" s="5">
        <v>201.49</v>
      </c>
      <c r="E201" s="5">
        <v>155.21</v>
      </c>
      <c r="F201" s="5">
        <v>145.82</v>
      </c>
      <c r="G201" s="5">
        <f t="shared" si="6"/>
        <v>-3.7178636913353769E-2</v>
      </c>
      <c r="H201" s="5">
        <f t="shared" si="6"/>
        <v>-6.9888750403914401E-2</v>
      </c>
      <c r="I201" s="5">
        <f t="shared" si="6"/>
        <v>-2.2976205463930532E-2</v>
      </c>
      <c r="J201" s="5">
        <f t="shared" si="6"/>
        <v>9.9736805651751137E-3</v>
      </c>
      <c r="K201" s="5"/>
      <c r="L201" s="5"/>
      <c r="M201" s="5"/>
      <c r="N201" s="5"/>
      <c r="O201" s="5"/>
      <c r="P201" s="5"/>
      <c r="Q201" s="5"/>
    </row>
    <row r="202" spans="1:17" ht="15.6">
      <c r="A202" s="5"/>
      <c r="B202" s="12">
        <v>44175</v>
      </c>
      <c r="C202" s="5">
        <v>501.09</v>
      </c>
      <c r="D202" s="5">
        <v>209.02</v>
      </c>
      <c r="E202" s="5">
        <v>155.07</v>
      </c>
      <c r="F202" s="5">
        <v>143.47999999999999</v>
      </c>
      <c r="G202" s="5">
        <f t="shared" si="6"/>
        <v>1.5174230145867051E-2</v>
      </c>
      <c r="H202" s="5">
        <f t="shared" si="6"/>
        <v>3.7371581716214131E-2</v>
      </c>
      <c r="I202" s="5">
        <f t="shared" si="6"/>
        <v>-9.0200373687276958E-4</v>
      </c>
      <c r="J202" s="5">
        <f t="shared" si="6"/>
        <v>-1.6047181456590343E-2</v>
      </c>
      <c r="K202" s="5"/>
      <c r="L202" s="5"/>
      <c r="M202" s="5"/>
      <c r="N202" s="5"/>
      <c r="O202" s="5"/>
      <c r="P202" s="5"/>
      <c r="Q202" s="5"/>
    </row>
    <row r="203" spans="1:17" ht="15.6">
      <c r="A203" s="5"/>
      <c r="B203" s="12">
        <v>44176</v>
      </c>
      <c r="C203" s="5">
        <v>503.22</v>
      </c>
      <c r="D203" s="5">
        <v>203.33</v>
      </c>
      <c r="E203" s="5">
        <v>155.82</v>
      </c>
      <c r="F203" s="5">
        <v>142.91999999999999</v>
      </c>
      <c r="G203" s="5">
        <f t="shared" si="6"/>
        <v>4.2507334011854248E-3</v>
      </c>
      <c r="H203" s="5">
        <f t="shared" si="6"/>
        <v>-2.7222275380346383E-2</v>
      </c>
      <c r="I203" s="5">
        <f t="shared" si="6"/>
        <v>4.8365254401239177E-3</v>
      </c>
      <c r="J203" s="5">
        <f t="shared" si="6"/>
        <v>-3.9029829941454874E-3</v>
      </c>
      <c r="K203" s="5"/>
      <c r="L203" s="5"/>
      <c r="M203" s="5"/>
      <c r="N203" s="5"/>
      <c r="O203" s="5"/>
      <c r="P203" s="5"/>
      <c r="Q203" s="5"/>
    </row>
    <row r="204" spans="1:17" ht="15.6">
      <c r="A204" s="5"/>
      <c r="B204" s="12">
        <v>44179</v>
      </c>
      <c r="C204" s="5">
        <v>522.41999999999996</v>
      </c>
      <c r="D204" s="5">
        <v>213.28</v>
      </c>
      <c r="E204" s="5">
        <v>157.85</v>
      </c>
      <c r="F204" s="5">
        <v>142.94999999999999</v>
      </c>
      <c r="G204" s="5">
        <f t="shared" si="6"/>
        <v>3.8154286395612136E-2</v>
      </c>
      <c r="H204" s="5">
        <f t="shared" si="6"/>
        <v>4.8935228446367995E-2</v>
      </c>
      <c r="I204" s="5">
        <f t="shared" si="6"/>
        <v>1.3027852650494109E-2</v>
      </c>
      <c r="J204" s="5">
        <f t="shared" si="6"/>
        <v>2.099076406381073E-4</v>
      </c>
      <c r="K204" s="5"/>
      <c r="L204" s="5"/>
      <c r="M204" s="5"/>
      <c r="N204" s="5"/>
      <c r="O204" s="5"/>
      <c r="P204" s="5"/>
      <c r="Q204" s="5"/>
    </row>
    <row r="205" spans="1:17" ht="15.6">
      <c r="A205" s="5"/>
      <c r="B205" s="12">
        <v>44180</v>
      </c>
      <c r="C205" s="5">
        <v>519.78</v>
      </c>
      <c r="D205" s="5">
        <v>211.08</v>
      </c>
      <c r="E205" s="5">
        <v>158.26</v>
      </c>
      <c r="F205" s="5">
        <v>143.99</v>
      </c>
      <c r="G205" s="5">
        <f t="shared" si="6"/>
        <v>-5.0534053060755646E-3</v>
      </c>
      <c r="H205" s="5">
        <f t="shared" si="6"/>
        <v>-1.0315078769692398E-2</v>
      </c>
      <c r="I205" s="5">
        <f t="shared" si="6"/>
        <v>2.5974025974024872E-3</v>
      </c>
      <c r="J205" s="5">
        <f t="shared" si="6"/>
        <v>7.2752710738022142E-3</v>
      </c>
      <c r="K205" s="5"/>
      <c r="L205" s="5"/>
      <c r="M205" s="5"/>
      <c r="N205" s="5"/>
      <c r="O205" s="5"/>
      <c r="P205" s="5"/>
      <c r="Q205" s="5"/>
    </row>
    <row r="206" spans="1:17" ht="15.6">
      <c r="A206" s="5"/>
      <c r="B206" s="12">
        <v>44181</v>
      </c>
      <c r="C206" s="5">
        <v>524.83000000000004</v>
      </c>
      <c r="D206" s="5">
        <v>207.59</v>
      </c>
      <c r="E206" s="5">
        <v>162.05000000000001</v>
      </c>
      <c r="F206" s="5">
        <v>144.04</v>
      </c>
      <c r="G206" s="5">
        <f t="shared" si="6"/>
        <v>9.7156489283929393E-3</v>
      </c>
      <c r="H206" s="5">
        <f t="shared" si="6"/>
        <v>-1.6534015539132141E-2</v>
      </c>
      <c r="I206" s="5">
        <f t="shared" si="6"/>
        <v>2.3947933779856045E-2</v>
      </c>
      <c r="J206" s="5">
        <f t="shared" si="6"/>
        <v>3.4724633655103254E-4</v>
      </c>
      <c r="K206" s="5"/>
      <c r="L206" s="5"/>
      <c r="M206" s="5"/>
      <c r="N206" s="5"/>
      <c r="O206" s="5"/>
      <c r="P206" s="5"/>
      <c r="Q206" s="5"/>
    </row>
    <row r="207" spans="1:17" ht="15.6">
      <c r="A207" s="5"/>
      <c r="B207" s="12">
        <v>44182</v>
      </c>
      <c r="C207" s="5">
        <v>532.9</v>
      </c>
      <c r="D207" s="5">
        <v>218.63</v>
      </c>
      <c r="E207" s="5">
        <v>161.80000000000001</v>
      </c>
      <c r="F207" s="5">
        <v>145.31</v>
      </c>
      <c r="G207" s="5">
        <f t="shared" si="6"/>
        <v>1.5376407598650887E-2</v>
      </c>
      <c r="H207" s="5">
        <f t="shared" si="6"/>
        <v>5.3181752492894585E-2</v>
      </c>
      <c r="I207" s="5">
        <f t="shared" si="6"/>
        <v>-1.5427337241592509E-3</v>
      </c>
      <c r="J207" s="5">
        <f t="shared" si="6"/>
        <v>8.8169952790893014E-3</v>
      </c>
      <c r="K207" s="5"/>
      <c r="L207" s="5"/>
      <c r="M207" s="5"/>
      <c r="N207" s="5"/>
      <c r="O207" s="5"/>
      <c r="P207" s="5"/>
      <c r="Q207" s="5"/>
    </row>
    <row r="208" spans="1:17" ht="15.6">
      <c r="A208" s="5"/>
      <c r="B208" s="12">
        <v>44183</v>
      </c>
      <c r="C208" s="5">
        <v>534.45000000000005</v>
      </c>
      <c r="D208" s="5">
        <v>231.67</v>
      </c>
      <c r="E208" s="5">
        <v>160.08000000000001</v>
      </c>
      <c r="F208" s="5">
        <v>144.61000000000001</v>
      </c>
      <c r="G208" s="5">
        <f t="shared" si="6"/>
        <v>2.9086132482643023E-3</v>
      </c>
      <c r="H208" s="5">
        <f t="shared" si="6"/>
        <v>5.9644147646709111E-2</v>
      </c>
      <c r="I208" s="5">
        <f t="shared" si="6"/>
        <v>-1.0630407911001227E-2</v>
      </c>
      <c r="J208" s="5">
        <f t="shared" si="6"/>
        <v>-4.8172871791342109E-3</v>
      </c>
      <c r="K208" s="5"/>
      <c r="L208" s="5"/>
      <c r="M208" s="5"/>
      <c r="N208" s="5"/>
      <c r="O208" s="5"/>
      <c r="P208" s="5"/>
      <c r="Q208" s="5"/>
    </row>
    <row r="209" spans="1:17" ht="15.6">
      <c r="A209" s="5"/>
      <c r="B209" s="12">
        <v>44186</v>
      </c>
      <c r="C209" s="5">
        <v>528.91</v>
      </c>
      <c r="D209" s="5">
        <v>216.62</v>
      </c>
      <c r="E209" s="5">
        <v>160.31</v>
      </c>
      <c r="F209" s="5">
        <v>143.44999999999999</v>
      </c>
      <c r="G209" s="5">
        <f t="shared" si="6"/>
        <v>-1.0365796613340916E-2</v>
      </c>
      <c r="H209" s="5">
        <f t="shared" si="6"/>
        <v>-6.4963094056200599E-2</v>
      </c>
      <c r="I209" s="5">
        <f t="shared" si="6"/>
        <v>1.4367816091953589E-3</v>
      </c>
      <c r="J209" s="5">
        <f t="shared" si="6"/>
        <v>-8.0215752714198896E-3</v>
      </c>
      <c r="K209" s="5"/>
      <c r="L209" s="5"/>
      <c r="M209" s="5"/>
      <c r="N209" s="5"/>
      <c r="O209" s="5"/>
      <c r="P209" s="5"/>
      <c r="Q209" s="5"/>
    </row>
    <row r="210" spans="1:17" ht="15.6">
      <c r="A210" s="5"/>
      <c r="B210" s="12">
        <v>44187</v>
      </c>
      <c r="C210" s="5">
        <v>527.33000000000004</v>
      </c>
      <c r="D210" s="5">
        <v>213.45</v>
      </c>
      <c r="E210" s="5">
        <v>160.33000000000001</v>
      </c>
      <c r="F210" s="5">
        <v>142.44999999999999</v>
      </c>
      <c r="G210" s="5">
        <f t="shared" si="6"/>
        <v>-2.9872757179859599E-3</v>
      </c>
      <c r="H210" s="5">
        <f t="shared" si="6"/>
        <v>-1.4633921152248264E-2</v>
      </c>
      <c r="I210" s="5">
        <f t="shared" si="6"/>
        <v>1.2475828083102769E-4</v>
      </c>
      <c r="J210" s="5">
        <f t="shared" si="6"/>
        <v>-6.9710700592541253E-3</v>
      </c>
      <c r="K210" s="5"/>
      <c r="L210" s="5"/>
      <c r="M210" s="5"/>
      <c r="N210" s="5"/>
      <c r="O210" s="5"/>
      <c r="P210" s="5"/>
      <c r="Q210" s="5"/>
    </row>
    <row r="211" spans="1:17" ht="15.6">
      <c r="A211" s="5"/>
      <c r="B211" s="12">
        <v>44188</v>
      </c>
      <c r="C211" s="5">
        <v>514.48</v>
      </c>
      <c r="D211" s="5">
        <v>215.33</v>
      </c>
      <c r="E211" s="5">
        <v>159.26</v>
      </c>
      <c r="F211" s="5">
        <v>143.24</v>
      </c>
      <c r="G211" s="5">
        <f t="shared" si="6"/>
        <v>-2.4368042781560018E-2</v>
      </c>
      <c r="H211" s="5">
        <f t="shared" si="6"/>
        <v>8.8076832981964781E-3</v>
      </c>
      <c r="I211" s="5">
        <f t="shared" si="6"/>
        <v>-6.6737354206949373E-3</v>
      </c>
      <c r="J211" s="5">
        <f t="shared" si="6"/>
        <v>5.5458055458057487E-3</v>
      </c>
      <c r="K211" s="5"/>
      <c r="L211" s="5"/>
      <c r="M211" s="5"/>
      <c r="N211" s="5"/>
      <c r="O211" s="5"/>
      <c r="P211" s="5"/>
      <c r="Q211" s="5"/>
    </row>
    <row r="212" spans="1:17" ht="15.6">
      <c r="A212" s="5"/>
      <c r="B212" s="12">
        <v>44189</v>
      </c>
      <c r="C212" s="5">
        <v>513.97</v>
      </c>
      <c r="D212" s="5">
        <v>220.59</v>
      </c>
      <c r="E212" s="5">
        <v>158.63</v>
      </c>
      <c r="F212" s="5">
        <v>143.72</v>
      </c>
      <c r="G212" s="5">
        <f t="shared" si="6"/>
        <v>-9.9129217851035012E-4</v>
      </c>
      <c r="H212" s="5">
        <f t="shared" si="6"/>
        <v>2.4427622718617981E-2</v>
      </c>
      <c r="I212" s="5">
        <f t="shared" si="6"/>
        <v>-3.9557955544392565E-3</v>
      </c>
      <c r="J212" s="5">
        <f t="shared" si="6"/>
        <v>3.3510192683607887E-3</v>
      </c>
      <c r="K212" s="5"/>
      <c r="L212" s="5"/>
      <c r="M212" s="5"/>
      <c r="N212" s="5"/>
      <c r="O212" s="5"/>
      <c r="P212" s="5"/>
      <c r="Q212" s="5"/>
    </row>
    <row r="213" spans="1:17" ht="15.6">
      <c r="A213" s="5"/>
      <c r="B213" s="12">
        <v>44193</v>
      </c>
      <c r="C213" s="5">
        <v>519.12</v>
      </c>
      <c r="D213" s="5">
        <v>221.23</v>
      </c>
      <c r="E213" s="5">
        <v>164.2</v>
      </c>
      <c r="F213" s="5">
        <v>145.5</v>
      </c>
      <c r="G213" s="5">
        <f t="shared" si="6"/>
        <v>1.002004008016022E-2</v>
      </c>
      <c r="H213" s="5">
        <f t="shared" si="6"/>
        <v>2.9013101228523297E-3</v>
      </c>
      <c r="I213" s="5">
        <f t="shared" si="6"/>
        <v>3.5113156401689327E-2</v>
      </c>
      <c r="J213" s="5">
        <f t="shared" si="6"/>
        <v>1.238519343167277E-2</v>
      </c>
      <c r="K213" s="5"/>
      <c r="L213" s="5"/>
      <c r="M213" s="5"/>
      <c r="N213" s="5"/>
      <c r="O213" s="5"/>
      <c r="P213" s="5"/>
      <c r="Q213" s="5"/>
    </row>
    <row r="214" spans="1:17" ht="15.6">
      <c r="A214" s="5"/>
      <c r="B214" s="12">
        <v>44194</v>
      </c>
      <c r="C214" s="5">
        <v>530.87</v>
      </c>
      <c r="D214" s="5">
        <v>222</v>
      </c>
      <c r="E214" s="5">
        <v>166.1</v>
      </c>
      <c r="F214" s="5">
        <v>145.15</v>
      </c>
      <c r="G214" s="5">
        <f t="shared" si="6"/>
        <v>2.2634458314070072E-2</v>
      </c>
      <c r="H214" s="5">
        <f t="shared" si="6"/>
        <v>3.4805406138409545E-3</v>
      </c>
      <c r="I214" s="5">
        <f t="shared" si="6"/>
        <v>1.1571254567600553E-2</v>
      </c>
      <c r="J214" s="5">
        <f t="shared" si="6"/>
        <v>-2.405498281786933E-3</v>
      </c>
      <c r="K214" s="5"/>
      <c r="L214" s="5"/>
      <c r="M214" s="5"/>
      <c r="N214" s="5"/>
      <c r="O214" s="5"/>
      <c r="P214" s="5"/>
      <c r="Q214" s="5"/>
    </row>
    <row r="215" spans="1:17" ht="15.6">
      <c r="A215" s="5"/>
      <c r="B215" s="12">
        <v>44195</v>
      </c>
      <c r="C215" s="5">
        <v>524.59</v>
      </c>
      <c r="D215" s="5">
        <v>231.59</v>
      </c>
      <c r="E215" s="5">
        <v>164.29</v>
      </c>
      <c r="F215" s="5">
        <v>144.28</v>
      </c>
      <c r="G215" s="5">
        <f t="shared" si="6"/>
        <v>-1.1829638141164445E-2</v>
      </c>
      <c r="H215" s="5">
        <f t="shared" si="6"/>
        <v>4.3198198198198146E-2</v>
      </c>
      <c r="I215" s="5">
        <f t="shared" si="6"/>
        <v>-1.089704996989771E-2</v>
      </c>
      <c r="J215" s="5">
        <f t="shared" si="6"/>
        <v>-5.9937995177402614E-3</v>
      </c>
      <c r="K215" s="5"/>
      <c r="L215" s="5"/>
      <c r="M215" s="5"/>
      <c r="N215" s="5"/>
      <c r="O215" s="5"/>
      <c r="P215" s="5"/>
      <c r="Q215" s="5"/>
    </row>
    <row r="216" spans="1:17" ht="15.6">
      <c r="A216" s="5"/>
      <c r="B216" s="12">
        <v>44196</v>
      </c>
      <c r="C216" s="5">
        <v>540.73</v>
      </c>
      <c r="D216" s="5">
        <v>235.22</v>
      </c>
      <c r="E216" s="5">
        <v>162.85</v>
      </c>
      <c r="F216" s="5">
        <v>146</v>
      </c>
      <c r="G216" s="5">
        <f t="shared" si="6"/>
        <v>3.076688461465138E-2</v>
      </c>
      <c r="H216" s="5">
        <f t="shared" si="6"/>
        <v>1.5674251910704262E-2</v>
      </c>
      <c r="I216" s="5">
        <f t="shared" si="6"/>
        <v>-8.7649887394242176E-3</v>
      </c>
      <c r="J216" s="5">
        <f t="shared" si="6"/>
        <v>1.1921264208483606E-2</v>
      </c>
      <c r="K216" s="5"/>
      <c r="L216" s="5"/>
      <c r="M216" s="5"/>
      <c r="N216" s="5"/>
      <c r="O216" s="5"/>
      <c r="P216" s="5"/>
      <c r="Q216" s="5"/>
    </row>
    <row r="217" spans="1:17" ht="15.6">
      <c r="A217" s="5"/>
      <c r="B217" s="12">
        <v>44200</v>
      </c>
      <c r="C217" s="5">
        <v>522.86</v>
      </c>
      <c r="D217" s="5">
        <v>243.26</v>
      </c>
      <c r="E217" s="5">
        <v>159.33000000000001</v>
      </c>
      <c r="F217" s="5">
        <v>144.63</v>
      </c>
      <c r="G217" s="5">
        <f t="shared" si="6"/>
        <v>-3.3047916705194802E-2</v>
      </c>
      <c r="H217" s="5">
        <f t="shared" si="6"/>
        <v>3.418076694158656E-2</v>
      </c>
      <c r="I217" s="5">
        <f t="shared" si="6"/>
        <v>-2.161498311329435E-2</v>
      </c>
      <c r="J217" s="5">
        <f t="shared" si="6"/>
        <v>-9.3835616438356917E-3</v>
      </c>
      <c r="K217" s="5"/>
      <c r="L217" s="5"/>
      <c r="M217" s="5"/>
      <c r="N217" s="5"/>
      <c r="O217" s="5"/>
      <c r="P217" s="5"/>
      <c r="Q217" s="5"/>
    </row>
    <row r="218" spans="1:17" ht="15.6">
      <c r="A218" s="5"/>
      <c r="B218" s="12">
        <v>44201</v>
      </c>
      <c r="C218" s="5">
        <v>520.79999999999995</v>
      </c>
      <c r="D218" s="5">
        <v>245.04</v>
      </c>
      <c r="E218" s="5">
        <v>160.93</v>
      </c>
      <c r="F218" s="5">
        <v>144.47</v>
      </c>
      <c r="G218" s="5">
        <f t="shared" si="6"/>
        <v>-3.9398691810428321E-3</v>
      </c>
      <c r="H218" s="5">
        <f t="shared" si="6"/>
        <v>7.317273698922877E-3</v>
      </c>
      <c r="I218" s="5">
        <f t="shared" si="6"/>
        <v>1.0042051088934967E-2</v>
      </c>
      <c r="J218" s="5">
        <f t="shared" si="6"/>
        <v>-1.1062711747217291E-3</v>
      </c>
      <c r="K218" s="5"/>
      <c r="L218" s="5"/>
      <c r="M218" s="5"/>
      <c r="N218" s="5"/>
      <c r="O218" s="5"/>
      <c r="P218" s="5"/>
      <c r="Q218" s="5"/>
    </row>
    <row r="219" spans="1:17" ht="15.6">
      <c r="A219" s="5"/>
      <c r="B219" s="12">
        <v>44202</v>
      </c>
      <c r="C219" s="5">
        <v>500.49</v>
      </c>
      <c r="D219" s="5">
        <v>251.99</v>
      </c>
      <c r="E219" s="5">
        <v>156.91999999999999</v>
      </c>
      <c r="F219" s="5">
        <v>144.97999999999999</v>
      </c>
      <c r="G219" s="5">
        <f t="shared" si="6"/>
        <v>-3.8997695852534431E-2</v>
      </c>
      <c r="H219" s="5">
        <f t="shared" si="6"/>
        <v>2.8362716291217893E-2</v>
      </c>
      <c r="I219" s="5">
        <f t="shared" si="6"/>
        <v>-2.4917666065991551E-2</v>
      </c>
      <c r="J219" s="5">
        <f t="shared" si="6"/>
        <v>3.5301446667126424E-3</v>
      </c>
      <c r="K219" s="5"/>
      <c r="L219" s="5"/>
      <c r="M219" s="5"/>
      <c r="N219" s="5"/>
      <c r="O219" s="5"/>
      <c r="P219" s="5"/>
      <c r="Q219" s="5"/>
    </row>
    <row r="220" spans="1:17" ht="15.6">
      <c r="A220" s="5"/>
      <c r="B220" s="12">
        <v>44203</v>
      </c>
      <c r="C220" s="5">
        <v>508.89</v>
      </c>
      <c r="D220" s="5">
        <v>272.01</v>
      </c>
      <c r="E220" s="5">
        <v>158.11000000000001</v>
      </c>
      <c r="F220" s="5">
        <v>144.88999999999999</v>
      </c>
      <c r="G220" s="5">
        <f t="shared" si="6"/>
        <v>1.6783552118923462E-2</v>
      </c>
      <c r="H220" s="5">
        <f t="shared" si="6"/>
        <v>7.9447597126869995E-2</v>
      </c>
      <c r="I220" s="5">
        <f t="shared" si="6"/>
        <v>7.5834820290594518E-3</v>
      </c>
      <c r="J220" s="5">
        <f t="shared" si="6"/>
        <v>-6.207752793488952E-4</v>
      </c>
      <c r="K220" s="5"/>
      <c r="L220" s="5"/>
      <c r="M220" s="5"/>
      <c r="N220" s="5"/>
      <c r="O220" s="5"/>
      <c r="P220" s="5"/>
      <c r="Q220" s="5"/>
    </row>
    <row r="221" spans="1:17" ht="15.6">
      <c r="A221" s="5"/>
      <c r="B221" s="12">
        <v>44204</v>
      </c>
      <c r="C221" s="5">
        <v>510.4</v>
      </c>
      <c r="D221" s="5">
        <v>293.33999999999997</v>
      </c>
      <c r="E221" s="5">
        <v>159.13</v>
      </c>
      <c r="F221" s="5">
        <v>145.72</v>
      </c>
      <c r="G221" s="5">
        <f t="shared" si="6"/>
        <v>2.9672424296016686E-3</v>
      </c>
      <c r="H221" s="5">
        <f t="shared" si="6"/>
        <v>7.8416234697253673E-2</v>
      </c>
      <c r="I221" s="5">
        <f t="shared" si="6"/>
        <v>6.4512048573777125E-3</v>
      </c>
      <c r="J221" s="5">
        <f t="shared" si="6"/>
        <v>5.7284836772724113E-3</v>
      </c>
      <c r="K221" s="5"/>
      <c r="L221" s="5"/>
      <c r="M221" s="5"/>
      <c r="N221" s="5"/>
      <c r="O221" s="5"/>
      <c r="P221" s="5"/>
      <c r="Q221" s="5"/>
    </row>
    <row r="222" spans="1:17" ht="15.6">
      <c r="A222" s="5"/>
      <c r="B222" s="12">
        <v>44207</v>
      </c>
      <c r="C222" s="5">
        <v>499.1</v>
      </c>
      <c r="D222" s="5">
        <v>270.39999999999998</v>
      </c>
      <c r="E222" s="5">
        <v>155.71</v>
      </c>
      <c r="F222" s="5">
        <v>143.88</v>
      </c>
      <c r="G222" s="5">
        <f t="shared" si="6"/>
        <v>-2.2139498432601767E-2</v>
      </c>
      <c r="H222" s="5">
        <f t="shared" si="6"/>
        <v>-7.8202768118906363E-2</v>
      </c>
      <c r="I222" s="5">
        <f t="shared" si="6"/>
        <v>-2.149186199962283E-2</v>
      </c>
      <c r="J222" s="5">
        <f t="shared" si="6"/>
        <v>-1.2626955805654649E-2</v>
      </c>
      <c r="K222" s="5"/>
      <c r="L222" s="5"/>
      <c r="M222" s="5"/>
      <c r="N222" s="5"/>
      <c r="O222" s="5"/>
      <c r="P222" s="5"/>
      <c r="Q222" s="5"/>
    </row>
    <row r="223" spans="1:17" ht="15.6">
      <c r="A223" s="5"/>
      <c r="B223" s="12">
        <v>44208</v>
      </c>
      <c r="C223" s="5">
        <v>494.25</v>
      </c>
      <c r="D223" s="5">
        <v>283.14999999999998</v>
      </c>
      <c r="E223" s="5">
        <v>156.04</v>
      </c>
      <c r="F223" s="5">
        <v>143.18</v>
      </c>
      <c r="G223" s="5">
        <f t="shared" si="6"/>
        <v>-9.7174914846724914E-3</v>
      </c>
      <c r="H223" s="5">
        <f t="shared" si="6"/>
        <v>4.7152366863905337E-2</v>
      </c>
      <c r="I223" s="5">
        <f t="shared" si="6"/>
        <v>2.1193243850747834E-3</v>
      </c>
      <c r="J223" s="5">
        <f t="shared" si="6"/>
        <v>-4.8651654156240953E-3</v>
      </c>
      <c r="K223" s="5"/>
      <c r="L223" s="5"/>
      <c r="M223" s="5"/>
      <c r="N223" s="5"/>
      <c r="O223" s="5"/>
      <c r="P223" s="5"/>
      <c r="Q223" s="5"/>
    </row>
    <row r="224" spans="1:17" ht="15.6">
      <c r="A224" s="5"/>
      <c r="B224" s="12">
        <v>44209</v>
      </c>
      <c r="C224" s="5">
        <v>507.79</v>
      </c>
      <c r="D224" s="5">
        <v>284.8</v>
      </c>
      <c r="E224" s="5">
        <v>158.29</v>
      </c>
      <c r="F224" s="5">
        <v>143.69</v>
      </c>
      <c r="G224" s="5">
        <f t="shared" si="6"/>
        <v>2.739504299443607E-2</v>
      </c>
      <c r="H224" s="5">
        <f t="shared" si="6"/>
        <v>5.827300017658521E-3</v>
      </c>
      <c r="I224" s="5">
        <f t="shared" si="6"/>
        <v>1.4419379646244623E-2</v>
      </c>
      <c r="J224" s="5">
        <f t="shared" si="6"/>
        <v>3.5619499930157339E-3</v>
      </c>
      <c r="K224" s="5"/>
      <c r="L224" s="5"/>
      <c r="M224" s="5"/>
      <c r="N224" s="5"/>
      <c r="O224" s="5"/>
      <c r="P224" s="5"/>
      <c r="Q224" s="5"/>
    </row>
    <row r="225" spans="1:17" ht="15.6">
      <c r="A225" s="5"/>
      <c r="B225" s="12">
        <v>44210</v>
      </c>
      <c r="C225" s="5">
        <v>500.86</v>
      </c>
      <c r="D225" s="5">
        <v>281.67</v>
      </c>
      <c r="E225" s="5">
        <v>156.37</v>
      </c>
      <c r="F225" s="5">
        <v>141.30000000000001</v>
      </c>
      <c r="G225" s="5">
        <f t="shared" si="6"/>
        <v>-1.3647373914413397E-2</v>
      </c>
      <c r="H225" s="5">
        <f t="shared" si="6"/>
        <v>-1.0990168539325773E-2</v>
      </c>
      <c r="I225" s="5">
        <f t="shared" si="6"/>
        <v>-1.2129635479183665E-2</v>
      </c>
      <c r="J225" s="5">
        <f t="shared" si="6"/>
        <v>-1.6633029438374192E-2</v>
      </c>
      <c r="K225" s="5"/>
      <c r="L225" s="5"/>
      <c r="M225" s="5"/>
      <c r="N225" s="5"/>
      <c r="O225" s="5"/>
      <c r="P225" s="5"/>
      <c r="Q225" s="5"/>
    </row>
    <row r="226" spans="1:17" ht="15.6">
      <c r="A226" s="5"/>
      <c r="B226" s="12">
        <v>44211</v>
      </c>
      <c r="C226" s="5">
        <v>497.98</v>
      </c>
      <c r="D226" s="5">
        <v>275.39</v>
      </c>
      <c r="E226" s="5">
        <v>155.21</v>
      </c>
      <c r="F226" s="5">
        <v>142.30000000000001</v>
      </c>
      <c r="G226" s="5">
        <f t="shared" si="6"/>
        <v>-5.7501098111248927E-3</v>
      </c>
      <c r="H226" s="5">
        <f t="shared" si="6"/>
        <v>-2.2295594134980723E-2</v>
      </c>
      <c r="I226" s="5">
        <f t="shared" si="6"/>
        <v>-7.4183027434929771E-3</v>
      </c>
      <c r="J226" s="5">
        <f t="shared" si="6"/>
        <v>7.077140835102691E-3</v>
      </c>
      <c r="K226" s="5"/>
      <c r="L226" s="5"/>
      <c r="M226" s="5"/>
      <c r="N226" s="5"/>
      <c r="O226" s="5"/>
      <c r="P226" s="5"/>
      <c r="Q226" s="5"/>
    </row>
    <row r="227" spans="1:17" ht="15.6">
      <c r="A227" s="5"/>
      <c r="B227" s="12">
        <v>44215</v>
      </c>
      <c r="C227" s="5">
        <v>501.77</v>
      </c>
      <c r="D227" s="5">
        <v>281.52</v>
      </c>
      <c r="E227" s="5">
        <v>156.04</v>
      </c>
      <c r="F227" s="5">
        <v>142.57</v>
      </c>
      <c r="G227" s="5">
        <f t="shared" si="6"/>
        <v>7.6107474195750147E-3</v>
      </c>
      <c r="H227" s="5">
        <f t="shared" si="6"/>
        <v>2.2259341297795832E-2</v>
      </c>
      <c r="I227" s="5">
        <f t="shared" si="6"/>
        <v>5.3475935828874999E-3</v>
      </c>
      <c r="J227" s="5">
        <f t="shared" si="6"/>
        <v>1.8973998594518093E-3</v>
      </c>
      <c r="K227" s="5"/>
      <c r="L227" s="5"/>
      <c r="M227" s="5"/>
      <c r="N227" s="5"/>
      <c r="O227" s="5"/>
      <c r="P227" s="5"/>
      <c r="Q227" s="5"/>
    </row>
    <row r="228" spans="1:17" ht="15.6">
      <c r="A228" s="5"/>
      <c r="B228" s="12">
        <v>44216</v>
      </c>
      <c r="C228" s="5">
        <v>586.34</v>
      </c>
      <c r="D228" s="5">
        <v>283.48</v>
      </c>
      <c r="E228" s="5">
        <v>163.16999999999999</v>
      </c>
      <c r="F228" s="5">
        <v>143.41999999999999</v>
      </c>
      <c r="G228" s="5">
        <f t="shared" si="6"/>
        <v>0.16854335651792662</v>
      </c>
      <c r="H228" s="5">
        <f t="shared" si="6"/>
        <v>6.9622051719240297E-3</v>
      </c>
      <c r="I228" s="5">
        <f t="shared" si="6"/>
        <v>4.5693411945654905E-2</v>
      </c>
      <c r="J228" s="5">
        <f t="shared" si="6"/>
        <v>5.9619835870099447E-3</v>
      </c>
      <c r="K228" s="5"/>
      <c r="L228" s="5"/>
      <c r="M228" s="5"/>
      <c r="N228" s="5"/>
      <c r="O228" s="5"/>
      <c r="P228" s="5"/>
      <c r="Q228" s="5"/>
    </row>
    <row r="229" spans="1:17" ht="15.6">
      <c r="A229" s="5"/>
      <c r="B229" s="12">
        <v>44217</v>
      </c>
      <c r="C229" s="5">
        <v>579.84</v>
      </c>
      <c r="D229" s="5">
        <v>281.66000000000003</v>
      </c>
      <c r="E229" s="5">
        <v>165.35</v>
      </c>
      <c r="F229" s="5">
        <v>142.79</v>
      </c>
      <c r="G229" s="5">
        <f t="shared" si="6"/>
        <v>-1.1085718183988846E-2</v>
      </c>
      <c r="H229" s="5">
        <f t="shared" si="6"/>
        <v>-6.4202060110060133E-3</v>
      </c>
      <c r="I229" s="5">
        <f t="shared" si="6"/>
        <v>1.3360299074584914E-2</v>
      </c>
      <c r="J229" s="5">
        <f t="shared" si="6"/>
        <v>-4.3926927904057722E-3</v>
      </c>
      <c r="K229" s="5"/>
      <c r="L229" s="5"/>
      <c r="M229" s="5"/>
      <c r="N229" s="5"/>
      <c r="O229" s="5"/>
      <c r="P229" s="5"/>
      <c r="Q229" s="5"/>
    </row>
    <row r="230" spans="1:17" ht="15.6">
      <c r="A230" s="5"/>
      <c r="B230" s="12">
        <v>44218</v>
      </c>
      <c r="C230" s="5">
        <v>565.16999999999996</v>
      </c>
      <c r="D230" s="5">
        <v>282.20999999999998</v>
      </c>
      <c r="E230" s="5">
        <v>164.61</v>
      </c>
      <c r="F230" s="5">
        <v>142.05000000000001</v>
      </c>
      <c r="G230" s="5">
        <f t="shared" si="6"/>
        <v>-2.5300082781457123E-2</v>
      </c>
      <c r="H230" s="5">
        <f t="shared" si="6"/>
        <v>1.9527089398563291E-3</v>
      </c>
      <c r="I230" s="5">
        <f t="shared" si="6"/>
        <v>-4.4753553069245555E-3</v>
      </c>
      <c r="J230" s="5">
        <f t="shared" si="6"/>
        <v>-5.1824357447999292E-3</v>
      </c>
      <c r="K230" s="5"/>
      <c r="L230" s="5"/>
      <c r="M230" s="5"/>
      <c r="N230" s="5"/>
      <c r="O230" s="5"/>
      <c r="P230" s="5"/>
      <c r="Q230" s="5"/>
    </row>
    <row r="231" spans="1:17" ht="15.6">
      <c r="A231" s="5"/>
      <c r="B231" s="12">
        <v>44221</v>
      </c>
      <c r="C231" s="5">
        <v>556.78</v>
      </c>
      <c r="D231" s="5">
        <v>293.60000000000002</v>
      </c>
      <c r="E231" s="5">
        <v>164.7</v>
      </c>
      <c r="F231" s="5">
        <v>141.4</v>
      </c>
      <c r="G231" s="5">
        <f t="shared" si="6"/>
        <v>-1.4845090857618093E-2</v>
      </c>
      <c r="H231" s="5">
        <f t="shared" si="6"/>
        <v>4.0360015591226484E-2</v>
      </c>
      <c r="I231" s="5">
        <f t="shared" si="6"/>
        <v>5.4674685620548225E-4</v>
      </c>
      <c r="J231" s="5">
        <f t="shared" si="6"/>
        <v>-4.5758535726857508E-3</v>
      </c>
      <c r="K231" s="5"/>
      <c r="L231" s="5"/>
      <c r="M231" s="5"/>
      <c r="N231" s="5"/>
      <c r="O231" s="5"/>
      <c r="P231" s="5"/>
      <c r="Q231" s="5"/>
    </row>
    <row r="232" spans="1:17" ht="15.6">
      <c r="A232" s="5"/>
      <c r="B232" s="12">
        <v>44222</v>
      </c>
      <c r="C232" s="5">
        <v>561.92999999999995</v>
      </c>
      <c r="D232" s="5">
        <v>294.36</v>
      </c>
      <c r="E232" s="5">
        <v>166.31</v>
      </c>
      <c r="F232" s="5">
        <v>143.31</v>
      </c>
      <c r="G232" s="5">
        <f t="shared" si="6"/>
        <v>9.2496138510722581E-3</v>
      </c>
      <c r="H232" s="5">
        <f t="shared" si="6"/>
        <v>2.5885558583105261E-3</v>
      </c>
      <c r="I232" s="5">
        <f t="shared" si="6"/>
        <v>9.7753491196115316E-3</v>
      </c>
      <c r="J232" s="5">
        <f t="shared" si="6"/>
        <v>1.3507779349363425E-2</v>
      </c>
      <c r="K232" s="5"/>
      <c r="L232" s="5"/>
      <c r="M232" s="5"/>
      <c r="N232" s="5"/>
      <c r="O232" s="5"/>
      <c r="P232" s="5"/>
      <c r="Q232" s="5"/>
    </row>
    <row r="233" spans="1:17" ht="15.6">
      <c r="A233" s="5"/>
      <c r="B233" s="12">
        <v>44223</v>
      </c>
      <c r="C233" s="5">
        <v>523.28</v>
      </c>
      <c r="D233" s="5">
        <v>288.05</v>
      </c>
      <c r="E233" s="5">
        <v>161.63</v>
      </c>
      <c r="F233" s="5">
        <v>140.12</v>
      </c>
      <c r="G233" s="5">
        <f t="shared" si="6"/>
        <v>-6.8780808997561893E-2</v>
      </c>
      <c r="H233" s="5">
        <f t="shared" si="6"/>
        <v>-2.1436336458757976E-2</v>
      </c>
      <c r="I233" s="5">
        <f t="shared" si="6"/>
        <v>-2.8140220070951849E-2</v>
      </c>
      <c r="J233" s="5">
        <f t="shared" si="6"/>
        <v>-2.2259437582862307E-2</v>
      </c>
      <c r="K233" s="5"/>
      <c r="L233" s="5"/>
      <c r="M233" s="5"/>
      <c r="N233" s="5"/>
      <c r="O233" s="5"/>
      <c r="P233" s="5"/>
      <c r="Q233" s="5"/>
    </row>
    <row r="234" spans="1:17" ht="15.6">
      <c r="A234" s="5"/>
      <c r="B234" s="12">
        <v>44224</v>
      </c>
      <c r="C234" s="5">
        <v>538.6</v>
      </c>
      <c r="D234" s="5">
        <v>278.48</v>
      </c>
      <c r="E234" s="5">
        <v>161.88</v>
      </c>
      <c r="F234" s="5">
        <v>142.06</v>
      </c>
      <c r="G234" s="5">
        <f t="shared" si="6"/>
        <v>2.9276868980278259E-2</v>
      </c>
      <c r="H234" s="5">
        <f t="shared" si="6"/>
        <v>-3.3223398715500729E-2</v>
      </c>
      <c r="I234" s="5">
        <f t="shared" si="6"/>
        <v>1.5467425601682905E-3</v>
      </c>
      <c r="J234" s="5">
        <f t="shared" si="6"/>
        <v>1.3845275478161501E-2</v>
      </c>
      <c r="K234" s="5"/>
      <c r="L234" s="5"/>
      <c r="M234" s="5"/>
      <c r="N234" s="5"/>
      <c r="O234" s="5"/>
      <c r="P234" s="5"/>
      <c r="Q234" s="5"/>
    </row>
    <row r="235" spans="1:17" ht="15.6">
      <c r="A235" s="5"/>
      <c r="B235" s="12">
        <v>44225</v>
      </c>
      <c r="C235" s="5">
        <v>532.39</v>
      </c>
      <c r="D235" s="5">
        <v>264.51</v>
      </c>
      <c r="E235" s="5">
        <v>160.31</v>
      </c>
      <c r="F235" s="5">
        <v>139.4</v>
      </c>
      <c r="G235" s="5">
        <f t="shared" si="6"/>
        <v>-1.1529892313405177E-2</v>
      </c>
      <c r="H235" s="5">
        <f t="shared" si="6"/>
        <v>-5.0165182418845267E-2</v>
      </c>
      <c r="I235" s="5">
        <f t="shared" si="6"/>
        <v>-9.698542129972787E-3</v>
      </c>
      <c r="J235" s="5">
        <f t="shared" si="6"/>
        <v>-1.8724482612980431E-2</v>
      </c>
      <c r="K235" s="5"/>
      <c r="L235" s="5"/>
      <c r="M235" s="5"/>
      <c r="N235" s="5"/>
      <c r="O235" s="5"/>
      <c r="P235" s="5"/>
      <c r="Q235" s="5"/>
    </row>
    <row r="236" spans="1:17" ht="15.6">
      <c r="A236" s="5"/>
      <c r="B236" s="12">
        <v>44228</v>
      </c>
      <c r="C236" s="5">
        <v>539.04</v>
      </c>
      <c r="D236" s="5">
        <v>279.94</v>
      </c>
      <c r="E236" s="5">
        <v>167.14</v>
      </c>
      <c r="F236" s="5">
        <v>139.08000000000001</v>
      </c>
      <c r="G236" s="5">
        <f t="shared" si="6"/>
        <v>1.2490843178872613E-2</v>
      </c>
      <c r="H236" s="5">
        <f t="shared" si="6"/>
        <v>5.8334278477184309E-2</v>
      </c>
      <c r="I236" s="5">
        <f t="shared" si="6"/>
        <v>4.2604952903748883E-2</v>
      </c>
      <c r="J236" s="5">
        <f t="shared" si="6"/>
        <v>-2.2955523672882894E-3</v>
      </c>
      <c r="K236" s="5"/>
      <c r="L236" s="5"/>
      <c r="M236" s="5"/>
      <c r="N236" s="5"/>
      <c r="O236" s="5"/>
      <c r="P236" s="5"/>
      <c r="Q236" s="5"/>
    </row>
    <row r="237" spans="1:17" ht="15.6">
      <c r="A237" s="5"/>
      <c r="B237" s="12">
        <v>44229</v>
      </c>
      <c r="C237" s="5">
        <v>548.16</v>
      </c>
      <c r="D237" s="5">
        <v>290.93</v>
      </c>
      <c r="E237" s="5">
        <v>169</v>
      </c>
      <c r="F237" s="5">
        <v>141.01</v>
      </c>
      <c r="G237" s="5">
        <f t="shared" si="6"/>
        <v>1.6918967052537814E-2</v>
      </c>
      <c r="H237" s="5">
        <f t="shared" si="6"/>
        <v>3.9258412516967933E-2</v>
      </c>
      <c r="I237" s="5">
        <f t="shared" si="6"/>
        <v>1.1128395357185683E-2</v>
      </c>
      <c r="J237" s="5">
        <f t="shared" si="6"/>
        <v>1.3876905378199522E-2</v>
      </c>
      <c r="K237" s="5"/>
      <c r="L237" s="5"/>
      <c r="M237" s="5"/>
      <c r="N237" s="5"/>
      <c r="O237" s="5"/>
      <c r="P237" s="5"/>
      <c r="Q237" s="5"/>
    </row>
    <row r="238" spans="1:17" ht="15.6">
      <c r="A238" s="5"/>
      <c r="B238" s="12">
        <v>44230</v>
      </c>
      <c r="C238" s="5">
        <v>539.45000000000005</v>
      </c>
      <c r="D238" s="5">
        <v>284.89999999999998</v>
      </c>
      <c r="E238" s="5">
        <v>165.63</v>
      </c>
      <c r="F238" s="5">
        <v>140.49</v>
      </c>
      <c r="G238" s="5">
        <f t="shared" si="6"/>
        <v>-1.5889521307647314E-2</v>
      </c>
      <c r="H238" s="5">
        <f t="shared" si="6"/>
        <v>-2.0726635273089822E-2</v>
      </c>
      <c r="I238" s="5">
        <f t="shared" si="6"/>
        <v>-1.9940828402366884E-2</v>
      </c>
      <c r="J238" s="5">
        <f t="shared" si="6"/>
        <v>-3.6876817247002425E-3</v>
      </c>
      <c r="K238" s="5"/>
      <c r="L238" s="5"/>
      <c r="M238" s="5"/>
      <c r="N238" s="5"/>
      <c r="O238" s="5"/>
      <c r="P238" s="5"/>
      <c r="Q238" s="5"/>
    </row>
    <row r="239" spans="1:17" ht="15.6">
      <c r="A239" s="5"/>
      <c r="B239" s="12">
        <v>44231</v>
      </c>
      <c r="C239" s="5">
        <v>552.16</v>
      </c>
      <c r="D239" s="5">
        <v>283.33</v>
      </c>
      <c r="E239" s="5">
        <v>166.55</v>
      </c>
      <c r="F239" s="5">
        <v>141.11000000000001</v>
      </c>
      <c r="G239" s="5">
        <f t="shared" si="6"/>
        <v>2.356103438687529E-2</v>
      </c>
      <c r="H239" s="5">
        <f t="shared" si="6"/>
        <v>-5.510705510705538E-3</v>
      </c>
      <c r="I239" s="5">
        <f t="shared" si="6"/>
        <v>5.5545492966251331E-3</v>
      </c>
      <c r="J239" s="5">
        <f t="shared" si="6"/>
        <v>4.4131254893586824E-3</v>
      </c>
      <c r="K239" s="5"/>
      <c r="L239" s="5"/>
      <c r="M239" s="5"/>
      <c r="N239" s="5"/>
      <c r="O239" s="5"/>
      <c r="P239" s="5"/>
      <c r="Q239" s="5"/>
    </row>
    <row r="240" spans="1:17" ht="15.6">
      <c r="A240" s="5"/>
      <c r="B240" s="12">
        <v>44232</v>
      </c>
      <c r="C240" s="5">
        <v>550.79</v>
      </c>
      <c r="D240" s="5">
        <v>284.08</v>
      </c>
      <c r="E240" s="5">
        <v>167.61</v>
      </c>
      <c r="F240" s="5">
        <v>140.51</v>
      </c>
      <c r="G240" s="5">
        <f t="shared" si="6"/>
        <v>-2.4811648797450347E-3</v>
      </c>
      <c r="H240" s="5">
        <f t="shared" si="6"/>
        <v>2.6470899657642377E-3</v>
      </c>
      <c r="I240" s="5">
        <f t="shared" si="6"/>
        <v>6.3644551185830789E-3</v>
      </c>
      <c r="J240" s="5">
        <f t="shared" si="6"/>
        <v>-4.2520019842677836E-3</v>
      </c>
      <c r="K240" s="5"/>
      <c r="L240" s="5"/>
      <c r="M240" s="5"/>
      <c r="N240" s="5"/>
      <c r="O240" s="5"/>
      <c r="P240" s="5"/>
      <c r="Q240" s="5"/>
    </row>
    <row r="241" spans="1:17" ht="15.6">
      <c r="A241" s="5"/>
      <c r="B241" s="12">
        <v>44235</v>
      </c>
      <c r="C241" s="5">
        <v>547.91999999999996</v>
      </c>
      <c r="D241" s="5">
        <v>287.81</v>
      </c>
      <c r="E241" s="5">
        <v>166.15</v>
      </c>
      <c r="F241" s="5">
        <v>143.13</v>
      </c>
      <c r="G241" s="5">
        <f t="shared" si="6"/>
        <v>-5.2106973619709951E-3</v>
      </c>
      <c r="H241" s="5">
        <f t="shared" si="6"/>
        <v>1.3130104196001247E-2</v>
      </c>
      <c r="I241" s="5">
        <f t="shared" si="6"/>
        <v>-8.7106974524193692E-3</v>
      </c>
      <c r="J241" s="5">
        <f t="shared" si="6"/>
        <v>1.8646359689701741E-2</v>
      </c>
      <c r="K241" s="5"/>
      <c r="L241" s="5"/>
      <c r="M241" s="5"/>
      <c r="N241" s="5"/>
      <c r="O241" s="5"/>
      <c r="P241" s="5"/>
      <c r="Q241" s="5"/>
    </row>
    <row r="242" spans="1:17" ht="15.6">
      <c r="A242" s="5"/>
      <c r="B242" s="12">
        <v>44236</v>
      </c>
      <c r="C242" s="5">
        <v>559.07000000000005</v>
      </c>
      <c r="D242" s="5">
        <v>283.14999999999998</v>
      </c>
      <c r="E242" s="5">
        <v>165.25</v>
      </c>
      <c r="F242" s="5">
        <v>143.41</v>
      </c>
      <c r="G242" s="5">
        <f t="shared" si="6"/>
        <v>2.0349686085560093E-2</v>
      </c>
      <c r="H242" s="5">
        <f t="shared" si="6"/>
        <v>-1.6191237274590931E-2</v>
      </c>
      <c r="I242" s="5">
        <f t="shared" si="6"/>
        <v>-5.4167920553717108E-3</v>
      </c>
      <c r="J242" s="5">
        <f t="shared" si="6"/>
        <v>1.9562635366450198E-3</v>
      </c>
      <c r="K242" s="5"/>
      <c r="L242" s="5"/>
      <c r="M242" s="5"/>
      <c r="N242" s="5"/>
      <c r="O242" s="5"/>
      <c r="P242" s="5"/>
      <c r="Q242" s="5"/>
    </row>
    <row r="243" spans="1:17" ht="15.6">
      <c r="A243" s="5"/>
      <c r="B243" s="12">
        <v>44237</v>
      </c>
      <c r="C243" s="5">
        <v>563.59</v>
      </c>
      <c r="D243" s="5">
        <v>268.27</v>
      </c>
      <c r="E243" s="5">
        <v>164.33</v>
      </c>
      <c r="F243" s="5">
        <v>143.77000000000001</v>
      </c>
      <c r="G243" s="5">
        <f t="shared" si="6"/>
        <v>8.0848552059669121E-3</v>
      </c>
      <c r="H243" s="5">
        <f t="shared" si="6"/>
        <v>-5.2551651068338368E-2</v>
      </c>
      <c r="I243" s="5">
        <f t="shared" si="6"/>
        <v>-5.567322239031669E-3</v>
      </c>
      <c r="J243" s="5">
        <f t="shared" si="6"/>
        <v>2.5102851962903738E-3</v>
      </c>
      <c r="K243" s="5"/>
      <c r="L243" s="5"/>
      <c r="M243" s="5"/>
      <c r="N243" s="5"/>
      <c r="O243" s="5"/>
      <c r="P243" s="5"/>
      <c r="Q243" s="5"/>
    </row>
    <row r="244" spans="1:17" ht="15.6">
      <c r="A244" s="5"/>
      <c r="B244" s="12">
        <v>44238</v>
      </c>
      <c r="C244" s="5">
        <v>557.59</v>
      </c>
      <c r="D244" s="5">
        <v>270.55</v>
      </c>
      <c r="E244" s="5">
        <v>163.11000000000001</v>
      </c>
      <c r="F244" s="5">
        <v>144.16999999999999</v>
      </c>
      <c r="G244" s="5">
        <f t="shared" si="6"/>
        <v>-1.0646037012722043E-2</v>
      </c>
      <c r="H244" s="5">
        <f t="shared" si="6"/>
        <v>8.4989003615760783E-3</v>
      </c>
      <c r="I244" s="5">
        <f t="shared" si="6"/>
        <v>-7.4240856812510803E-3</v>
      </c>
      <c r="J244" s="5">
        <f t="shared" si="6"/>
        <v>2.7822216039505854E-3</v>
      </c>
      <c r="K244" s="5"/>
      <c r="L244" s="5"/>
      <c r="M244" s="5"/>
      <c r="N244" s="5"/>
      <c r="O244" s="5"/>
      <c r="P244" s="5"/>
      <c r="Q244" s="5"/>
    </row>
    <row r="245" spans="1:17" ht="15.6">
      <c r="A245" s="5"/>
      <c r="B245" s="12">
        <v>44239</v>
      </c>
      <c r="C245" s="5">
        <v>556.52</v>
      </c>
      <c r="D245" s="5">
        <v>272.04000000000002</v>
      </c>
      <c r="E245" s="5">
        <v>163.89</v>
      </c>
      <c r="F245" s="5">
        <v>145.09</v>
      </c>
      <c r="G245" s="5">
        <f t="shared" si="6"/>
        <v>-1.9189727218925645E-3</v>
      </c>
      <c r="H245" s="5">
        <f t="shared" si="6"/>
        <v>5.5072999445573423E-3</v>
      </c>
      <c r="I245" s="5">
        <f t="shared" si="6"/>
        <v>4.7820489240388842E-3</v>
      </c>
      <c r="J245" s="5">
        <f t="shared" si="6"/>
        <v>6.38135534438522E-3</v>
      </c>
      <c r="K245" s="5"/>
      <c r="L245" s="5"/>
      <c r="M245" s="5"/>
      <c r="N245" s="5"/>
      <c r="O245" s="5"/>
      <c r="P245" s="5"/>
      <c r="Q245" s="5"/>
    </row>
    <row r="246" spans="1:17" ht="15.6">
      <c r="A246" s="5"/>
      <c r="B246" s="12">
        <v>44243</v>
      </c>
      <c r="C246" s="5">
        <v>557.28</v>
      </c>
      <c r="D246" s="5">
        <v>265.41000000000003</v>
      </c>
      <c r="E246" s="5">
        <v>163.44999999999999</v>
      </c>
      <c r="F246" s="5">
        <v>145.09</v>
      </c>
      <c r="G246" s="5">
        <f t="shared" si="6"/>
        <v>1.3656292675914283E-3</v>
      </c>
      <c r="H246" s="5">
        <f t="shared" si="6"/>
        <v>-2.4371415968239996E-2</v>
      </c>
      <c r="I246" s="5">
        <f t="shared" si="6"/>
        <v>-2.684727561169109E-3</v>
      </c>
      <c r="J246" s="5">
        <f t="shared" si="6"/>
        <v>0</v>
      </c>
      <c r="K246" s="5"/>
      <c r="L246" s="5"/>
      <c r="M246" s="5"/>
      <c r="N246" s="5"/>
      <c r="O246" s="5"/>
      <c r="P246" s="5"/>
      <c r="Q246" s="5"/>
    </row>
    <row r="247" spans="1:17" ht="15.6">
      <c r="A247" s="5"/>
      <c r="B247" s="12">
        <v>44244</v>
      </c>
      <c r="C247" s="5">
        <v>551.34</v>
      </c>
      <c r="D247" s="5">
        <v>266.05</v>
      </c>
      <c r="E247" s="5">
        <v>165.43</v>
      </c>
      <c r="F247" s="5">
        <v>145.01</v>
      </c>
      <c r="G247" s="5">
        <f t="shared" si="6"/>
        <v>-1.0658914728682078E-2</v>
      </c>
      <c r="H247" s="5">
        <f t="shared" si="6"/>
        <v>2.4113635507327924E-3</v>
      </c>
      <c r="I247" s="5">
        <f t="shared" si="6"/>
        <v>1.2113796267972043E-2</v>
      </c>
      <c r="J247" s="5">
        <f t="shared" si="6"/>
        <v>-5.5138190088921402E-4</v>
      </c>
      <c r="K247" s="5"/>
      <c r="L247" s="5"/>
      <c r="M247" s="5"/>
      <c r="N247" s="5"/>
      <c r="O247" s="5"/>
      <c r="P247" s="5"/>
      <c r="Q247" s="5"/>
    </row>
    <row r="248" spans="1:17" ht="15.6">
      <c r="A248" s="5"/>
      <c r="B248" s="12">
        <v>44245</v>
      </c>
      <c r="C248" s="5">
        <v>548.22</v>
      </c>
      <c r="D248" s="5">
        <v>262.45999999999998</v>
      </c>
      <c r="E248" s="5">
        <v>166.41</v>
      </c>
      <c r="F248" s="5">
        <v>147.41999999999999</v>
      </c>
      <c r="G248" s="5">
        <f t="shared" si="6"/>
        <v>-5.658940037000737E-3</v>
      </c>
      <c r="H248" s="5">
        <f t="shared" si="6"/>
        <v>-1.3493704190941647E-2</v>
      </c>
      <c r="I248" s="5">
        <f t="shared" si="6"/>
        <v>5.9239557516774788E-3</v>
      </c>
      <c r="J248" s="5">
        <f t="shared" si="6"/>
        <v>1.6619543479760024E-2</v>
      </c>
      <c r="K248" s="5"/>
      <c r="L248" s="5"/>
      <c r="M248" s="5"/>
      <c r="N248" s="5"/>
      <c r="O248" s="5"/>
      <c r="P248" s="5"/>
      <c r="Q248" s="5"/>
    </row>
    <row r="249" spans="1:17" ht="15.6">
      <c r="A249" s="5"/>
      <c r="B249" s="12">
        <v>44246</v>
      </c>
      <c r="C249" s="5">
        <v>540.22</v>
      </c>
      <c r="D249" s="5">
        <v>260.43</v>
      </c>
      <c r="E249" s="5">
        <v>162.49</v>
      </c>
      <c r="F249" s="5">
        <v>143.43</v>
      </c>
      <c r="G249" s="5">
        <f t="shared" si="6"/>
        <v>-1.4592681770092319E-2</v>
      </c>
      <c r="H249" s="5">
        <f t="shared" si="6"/>
        <v>-7.7345119256266859E-3</v>
      </c>
      <c r="I249" s="5">
        <f t="shared" si="6"/>
        <v>-2.3556276666065634E-2</v>
      </c>
      <c r="J249" s="5">
        <f t="shared" si="6"/>
        <v>-2.7065527065526895E-2</v>
      </c>
      <c r="K249" s="5"/>
      <c r="L249" s="5"/>
      <c r="M249" s="5"/>
      <c r="N249" s="5"/>
      <c r="O249" s="5"/>
      <c r="P249" s="5"/>
      <c r="Q249" s="5"/>
    </row>
    <row r="250" spans="1:17" ht="15.6">
      <c r="A250" s="5"/>
      <c r="B250" s="12">
        <v>44249</v>
      </c>
      <c r="C250" s="5">
        <v>533.78</v>
      </c>
      <c r="D250" s="5">
        <v>238.17</v>
      </c>
      <c r="E250" s="5">
        <v>159.04</v>
      </c>
      <c r="F250" s="5">
        <v>142.85</v>
      </c>
      <c r="G250" s="5">
        <f t="shared" si="6"/>
        <v>-1.192106919403213E-2</v>
      </c>
      <c r="H250" s="5">
        <f t="shared" si="6"/>
        <v>-8.5474023729985138E-2</v>
      </c>
      <c r="I250" s="5">
        <f t="shared" si="6"/>
        <v>-2.12320758200506E-2</v>
      </c>
      <c r="J250" s="5">
        <f t="shared" si="6"/>
        <v>-4.0437844244579635E-3</v>
      </c>
      <c r="K250" s="5"/>
      <c r="L250" s="5"/>
      <c r="M250" s="5"/>
      <c r="N250" s="5"/>
      <c r="O250" s="5"/>
      <c r="P250" s="5"/>
      <c r="Q250" s="5"/>
    </row>
    <row r="251" spans="1:17" ht="15.6">
      <c r="A251" s="5"/>
      <c r="B251" s="12">
        <v>44250</v>
      </c>
      <c r="C251" s="5">
        <v>546.15</v>
      </c>
      <c r="D251" s="5">
        <v>232.95</v>
      </c>
      <c r="E251" s="5">
        <v>159.72999999999999</v>
      </c>
      <c r="F251" s="5">
        <v>142.59</v>
      </c>
      <c r="G251" s="5">
        <f t="shared" si="6"/>
        <v>2.3174341489002881E-2</v>
      </c>
      <c r="H251" s="5">
        <f t="shared" si="6"/>
        <v>-2.1917118024940119E-2</v>
      </c>
      <c r="I251" s="5">
        <f t="shared" si="6"/>
        <v>4.338531187122685E-3</v>
      </c>
      <c r="J251" s="5">
        <f t="shared" si="6"/>
        <v>-1.8200910045501617E-3</v>
      </c>
      <c r="K251" s="5"/>
      <c r="L251" s="5"/>
      <c r="M251" s="5"/>
      <c r="N251" s="5"/>
      <c r="O251" s="5"/>
      <c r="P251" s="5"/>
      <c r="Q251" s="5"/>
    </row>
    <row r="252" spans="1:17" ht="15.6">
      <c r="A252" s="5"/>
      <c r="B252" s="12">
        <v>44251</v>
      </c>
      <c r="C252" s="5">
        <v>553.41</v>
      </c>
      <c r="D252" s="5">
        <v>247.34</v>
      </c>
      <c r="E252" s="5">
        <v>157.97999999999999</v>
      </c>
      <c r="F252" s="5">
        <v>142.19999999999999</v>
      </c>
      <c r="G252" s="5">
        <f t="shared" si="6"/>
        <v>1.3293051359516639E-2</v>
      </c>
      <c r="H252" s="5">
        <f t="shared" si="6"/>
        <v>6.1772912642197975E-2</v>
      </c>
      <c r="I252" s="5">
        <f t="shared" si="6"/>
        <v>-1.0955988230138325E-2</v>
      </c>
      <c r="J252" s="5">
        <f t="shared" si="6"/>
        <v>-2.7351146644225555E-3</v>
      </c>
      <c r="K252" s="5"/>
      <c r="L252" s="5"/>
      <c r="M252" s="5"/>
      <c r="N252" s="5"/>
      <c r="O252" s="5"/>
      <c r="P252" s="5"/>
      <c r="Q252" s="5"/>
    </row>
    <row r="253" spans="1:17" ht="15.6">
      <c r="A253" s="5"/>
      <c r="B253" s="12">
        <v>44252</v>
      </c>
      <c r="C253" s="5">
        <v>546.70000000000005</v>
      </c>
      <c r="D253" s="5">
        <v>227.41</v>
      </c>
      <c r="E253" s="5">
        <v>152.86000000000001</v>
      </c>
      <c r="F253" s="5">
        <v>142.19999999999999</v>
      </c>
      <c r="G253" s="5">
        <f t="shared" si="6"/>
        <v>-1.2124826078314332E-2</v>
      </c>
      <c r="H253" s="5">
        <f t="shared" si="6"/>
        <v>-8.0577342928762064E-2</v>
      </c>
      <c r="I253" s="5">
        <f t="shared" si="6"/>
        <v>-3.2409165717179222E-2</v>
      </c>
      <c r="J253" s="5">
        <f t="shared" si="6"/>
        <v>0</v>
      </c>
      <c r="K253" s="5"/>
      <c r="L253" s="5"/>
      <c r="M253" s="5"/>
      <c r="N253" s="5"/>
      <c r="O253" s="5"/>
      <c r="P253" s="5"/>
      <c r="Q253" s="5"/>
    </row>
    <row r="254" spans="1:17" ht="15.6">
      <c r="A254" s="5"/>
      <c r="B254" s="12">
        <v>44253</v>
      </c>
      <c r="C254" s="5">
        <v>538.85</v>
      </c>
      <c r="D254" s="5">
        <v>225.17</v>
      </c>
      <c r="E254" s="5">
        <v>154.65</v>
      </c>
      <c r="F254" s="5">
        <v>140.35</v>
      </c>
      <c r="G254" s="5">
        <f t="shared" si="6"/>
        <v>-1.4358880556063713E-2</v>
      </c>
      <c r="H254" s="5">
        <f t="shared" si="6"/>
        <v>-9.8500505694560925E-3</v>
      </c>
      <c r="I254" s="5">
        <f t="shared" si="6"/>
        <v>1.1710061494177637E-2</v>
      </c>
      <c r="J254" s="5">
        <f t="shared" si="6"/>
        <v>-1.3009845288326272E-2</v>
      </c>
      <c r="K254" s="5"/>
      <c r="L254" s="5"/>
      <c r="M254" s="5"/>
      <c r="N254" s="5"/>
      <c r="O254" s="5"/>
      <c r="P254" s="5"/>
      <c r="Q254" s="5"/>
    </row>
    <row r="255" spans="1:17" ht="15.6">
      <c r="A255" s="5"/>
      <c r="B255" s="12">
        <v>44256</v>
      </c>
      <c r="C255" s="5">
        <v>550.64</v>
      </c>
      <c r="D255" s="5">
        <v>239.48</v>
      </c>
      <c r="E255" s="5">
        <v>157.31</v>
      </c>
      <c r="F255" s="5">
        <v>139.9</v>
      </c>
      <c r="G255" s="5">
        <f t="shared" si="6"/>
        <v>2.1879929479446947E-2</v>
      </c>
      <c r="H255" s="5">
        <f t="shared" si="6"/>
        <v>6.3551982946218333E-2</v>
      </c>
      <c r="I255" s="5">
        <f t="shared" si="6"/>
        <v>1.7200129324280722E-2</v>
      </c>
      <c r="J255" s="5">
        <f t="shared" si="6"/>
        <v>-3.2062700391876087E-3</v>
      </c>
      <c r="K255" s="5"/>
      <c r="L255" s="5"/>
      <c r="M255" s="5"/>
      <c r="N255" s="5"/>
      <c r="O255" s="5"/>
      <c r="P255" s="5"/>
      <c r="Q255" s="5"/>
    </row>
    <row r="256" spans="1:17" ht="15.6">
      <c r="A256" s="5"/>
      <c r="B256" s="12">
        <v>44257</v>
      </c>
      <c r="C256" s="5">
        <v>547.82000000000005</v>
      </c>
      <c r="D256" s="5">
        <v>228.81</v>
      </c>
      <c r="E256" s="5">
        <v>154.72999999999999</v>
      </c>
      <c r="F256" s="5">
        <v>140.06</v>
      </c>
      <c r="G256" s="5">
        <f t="shared" si="6"/>
        <v>-5.1213133807931355E-3</v>
      </c>
      <c r="H256" s="5">
        <f t="shared" si="6"/>
        <v>-4.4554868882578869E-2</v>
      </c>
      <c r="I256" s="5">
        <f t="shared" si="6"/>
        <v>-1.640073739749548E-2</v>
      </c>
      <c r="J256" s="5">
        <f t="shared" si="6"/>
        <v>1.1436740528949496E-3</v>
      </c>
      <c r="K256" s="5"/>
      <c r="L256" s="5"/>
      <c r="M256" s="5"/>
      <c r="N256" s="5"/>
      <c r="O256" s="5"/>
      <c r="P256" s="5"/>
      <c r="Q256" s="5"/>
    </row>
    <row r="257" spans="1:17" ht="15.6">
      <c r="A257" s="5"/>
      <c r="B257" s="12">
        <v>44258</v>
      </c>
      <c r="C257" s="5">
        <v>520.70000000000005</v>
      </c>
      <c r="D257" s="5">
        <v>217.73</v>
      </c>
      <c r="E257" s="5">
        <v>150.25</v>
      </c>
      <c r="F257" s="5">
        <v>139.11000000000001</v>
      </c>
      <c r="G257" s="5">
        <f t="shared" si="6"/>
        <v>-4.9505311963783716E-2</v>
      </c>
      <c r="H257" s="5">
        <f t="shared" si="6"/>
        <v>-4.8424456973034435E-2</v>
      </c>
      <c r="I257" s="5">
        <f t="shared" si="6"/>
        <v>-2.8953661216312265E-2</v>
      </c>
      <c r="J257" s="5">
        <f t="shared" si="6"/>
        <v>-6.782807368270638E-3</v>
      </c>
      <c r="K257" s="5"/>
      <c r="L257" s="5"/>
      <c r="M257" s="5"/>
      <c r="N257" s="5"/>
      <c r="O257" s="5"/>
      <c r="P257" s="5"/>
      <c r="Q257" s="5"/>
    </row>
    <row r="258" spans="1:17" ht="15.6">
      <c r="A258" s="5"/>
      <c r="B258" s="12">
        <v>44259</v>
      </c>
      <c r="C258" s="5">
        <v>511.29</v>
      </c>
      <c r="D258" s="5">
        <v>207.15</v>
      </c>
      <c r="E258" s="5">
        <v>148.88</v>
      </c>
      <c r="F258" s="5">
        <v>140.77000000000001</v>
      </c>
      <c r="G258" s="5">
        <f t="shared" si="6"/>
        <v>-1.8071826387555223E-2</v>
      </c>
      <c r="H258" s="5">
        <f t="shared" si="6"/>
        <v>-4.8592293207183168E-2</v>
      </c>
      <c r="I258" s="5">
        <f t="shared" si="6"/>
        <v>-9.1181364392679543E-3</v>
      </c>
      <c r="J258" s="5">
        <f t="shared" si="6"/>
        <v>1.1933002659765712E-2</v>
      </c>
      <c r="K258" s="5"/>
      <c r="L258" s="5"/>
      <c r="M258" s="5"/>
      <c r="N258" s="5"/>
      <c r="O258" s="5"/>
      <c r="P258" s="5"/>
      <c r="Q258" s="5"/>
    </row>
    <row r="259" spans="1:17" ht="15.6">
      <c r="A259" s="5"/>
      <c r="B259" s="12">
        <v>44260</v>
      </c>
      <c r="C259" s="5">
        <v>516.39</v>
      </c>
      <c r="D259" s="5">
        <v>199.32</v>
      </c>
      <c r="E259" s="5">
        <v>150.02000000000001</v>
      </c>
      <c r="F259" s="5">
        <v>144.91</v>
      </c>
      <c r="G259" s="5">
        <f t="shared" si="6"/>
        <v>9.974769700170194E-3</v>
      </c>
      <c r="H259" s="5">
        <f t="shared" si="6"/>
        <v>-3.7798696596669124E-2</v>
      </c>
      <c r="I259" s="5">
        <f t="shared" si="6"/>
        <v>7.6571735626007609E-3</v>
      </c>
      <c r="J259" s="5">
        <f t="shared" si="6"/>
        <v>2.9409675356965259E-2</v>
      </c>
      <c r="K259" s="5"/>
      <c r="L259" s="5"/>
      <c r="M259" s="5"/>
      <c r="N259" s="5"/>
      <c r="O259" s="5"/>
      <c r="P259" s="5"/>
      <c r="Q259" s="5"/>
    </row>
    <row r="260" spans="1:17" ht="15.6">
      <c r="A260" s="5"/>
      <c r="B260" s="12">
        <v>44263</v>
      </c>
      <c r="C260" s="5">
        <v>493.33</v>
      </c>
      <c r="D260" s="5">
        <v>187.67</v>
      </c>
      <c r="E260" s="5">
        <v>147.6</v>
      </c>
      <c r="F260" s="5">
        <v>146.26</v>
      </c>
      <c r="G260" s="5">
        <f t="shared" si="6"/>
        <v>-4.465617072367789E-2</v>
      </c>
      <c r="H260" s="5">
        <f t="shared" si="6"/>
        <v>-5.8448725667268775E-2</v>
      </c>
      <c r="I260" s="5">
        <f t="shared" si="6"/>
        <v>-1.613118250899892E-2</v>
      </c>
      <c r="J260" s="5">
        <f t="shared" si="6"/>
        <v>9.3161272513972992E-3</v>
      </c>
      <c r="K260" s="5"/>
      <c r="L260" s="5"/>
      <c r="M260" s="5"/>
      <c r="N260" s="5"/>
      <c r="O260" s="5"/>
      <c r="P260" s="5"/>
      <c r="Q260" s="5"/>
    </row>
    <row r="261" spans="1:17" ht="15.6">
      <c r="A261" s="5"/>
      <c r="B261" s="12">
        <v>44264</v>
      </c>
      <c r="C261" s="5">
        <v>506.44</v>
      </c>
      <c r="D261" s="5">
        <v>224.53</v>
      </c>
      <c r="E261" s="5">
        <v>153.13999999999999</v>
      </c>
      <c r="F261" s="5">
        <v>145.08000000000001</v>
      </c>
      <c r="G261" s="5">
        <f t="shared" si="6"/>
        <v>2.6574503881783063E-2</v>
      </c>
      <c r="H261" s="5">
        <f t="shared" si="6"/>
        <v>0.1964085895454788</v>
      </c>
      <c r="I261" s="5">
        <f t="shared" si="6"/>
        <v>3.7533875338753298E-2</v>
      </c>
      <c r="J261" s="5">
        <f t="shared" ref="I261:J324" si="7">(F261/F260)-1</f>
        <v>-8.0678244222616158E-3</v>
      </c>
      <c r="K261" s="5"/>
      <c r="L261" s="5"/>
      <c r="M261" s="5"/>
      <c r="N261" s="5"/>
      <c r="O261" s="5"/>
      <c r="P261" s="5"/>
      <c r="Q261" s="5"/>
    </row>
    <row r="262" spans="1:17" ht="15.6">
      <c r="A262" s="5"/>
      <c r="B262" s="12">
        <v>44265</v>
      </c>
      <c r="C262" s="5">
        <v>504.54</v>
      </c>
      <c r="D262" s="5">
        <v>222.69</v>
      </c>
      <c r="E262" s="5">
        <v>152.88</v>
      </c>
      <c r="F262" s="5">
        <v>147.09</v>
      </c>
      <c r="G262" s="5">
        <f t="shared" ref="G262:J325" si="8">(C262/C261)-1</f>
        <v>-3.751678382434176E-3</v>
      </c>
      <c r="H262" s="5">
        <f t="shared" si="8"/>
        <v>-8.1948960049882391E-3</v>
      </c>
      <c r="I262" s="5">
        <f t="shared" si="7"/>
        <v>-1.6977928692698541E-3</v>
      </c>
      <c r="J262" s="5">
        <f t="shared" si="7"/>
        <v>1.3854425144747662E-2</v>
      </c>
      <c r="K262" s="5"/>
      <c r="L262" s="5"/>
      <c r="M262" s="5"/>
      <c r="N262" s="5"/>
      <c r="O262" s="5"/>
      <c r="P262" s="5"/>
      <c r="Q262" s="5"/>
    </row>
    <row r="263" spans="1:17" ht="15.6">
      <c r="A263" s="5"/>
      <c r="B263" s="12">
        <v>44266</v>
      </c>
      <c r="C263" s="5">
        <v>523.05999999999995</v>
      </c>
      <c r="D263" s="5">
        <v>233.2</v>
      </c>
      <c r="E263" s="5">
        <v>155.68</v>
      </c>
      <c r="F263" s="5">
        <v>146.37</v>
      </c>
      <c r="G263" s="5">
        <f t="shared" si="8"/>
        <v>3.6706703135529262E-2</v>
      </c>
      <c r="H263" s="5">
        <f t="shared" si="8"/>
        <v>4.7195653150118977E-2</v>
      </c>
      <c r="I263" s="5">
        <f t="shared" si="7"/>
        <v>1.8315018315018472E-2</v>
      </c>
      <c r="J263" s="5">
        <f t="shared" si="7"/>
        <v>-4.8949622679991256E-3</v>
      </c>
      <c r="K263" s="5"/>
      <c r="L263" s="5"/>
      <c r="M263" s="5"/>
      <c r="N263" s="5"/>
      <c r="O263" s="5"/>
      <c r="P263" s="5"/>
      <c r="Q263" s="5"/>
    </row>
    <row r="264" spans="1:17" ht="15.6">
      <c r="A264" s="5"/>
      <c r="B264" s="12">
        <v>44267</v>
      </c>
      <c r="C264" s="5">
        <v>518.02</v>
      </c>
      <c r="D264" s="5">
        <v>231.24</v>
      </c>
      <c r="E264" s="5">
        <v>154.47</v>
      </c>
      <c r="F264" s="5">
        <v>146.88999999999999</v>
      </c>
      <c r="G264" s="5">
        <f t="shared" si="8"/>
        <v>-9.6356058578365156E-3</v>
      </c>
      <c r="H264" s="5">
        <f t="shared" si="8"/>
        <v>-8.4048027444253437E-3</v>
      </c>
      <c r="I264" s="5">
        <f t="shared" si="7"/>
        <v>-7.7723535457349113E-3</v>
      </c>
      <c r="J264" s="5">
        <f t="shared" si="7"/>
        <v>3.552640568422305E-3</v>
      </c>
      <c r="K264" s="5"/>
      <c r="L264" s="5"/>
      <c r="M264" s="5"/>
      <c r="N264" s="5"/>
      <c r="O264" s="5"/>
      <c r="P264" s="5"/>
      <c r="Q264" s="5"/>
    </row>
    <row r="265" spans="1:17" ht="15.6">
      <c r="A265" s="5"/>
      <c r="B265" s="12">
        <v>44270</v>
      </c>
      <c r="C265" s="5">
        <v>520.25</v>
      </c>
      <c r="D265" s="5">
        <v>235.98</v>
      </c>
      <c r="E265" s="5">
        <v>154.08000000000001</v>
      </c>
      <c r="F265" s="5">
        <v>147.74</v>
      </c>
      <c r="G265" s="5">
        <f t="shared" si="8"/>
        <v>4.3048530944751473E-3</v>
      </c>
      <c r="H265" s="5">
        <f t="shared" si="8"/>
        <v>2.0498183705241146E-2</v>
      </c>
      <c r="I265" s="5">
        <f t="shared" si="7"/>
        <v>-2.5247620897260736E-3</v>
      </c>
      <c r="J265" s="5">
        <f t="shared" si="7"/>
        <v>5.7866430662401047E-3</v>
      </c>
      <c r="K265" s="5"/>
      <c r="L265" s="5"/>
      <c r="M265" s="5"/>
      <c r="N265" s="5"/>
      <c r="O265" s="5"/>
      <c r="P265" s="5"/>
      <c r="Q265" s="5"/>
    </row>
    <row r="266" spans="1:17" ht="15.6">
      <c r="A266" s="5"/>
      <c r="B266" s="12">
        <v>44271</v>
      </c>
      <c r="C266" s="5">
        <v>524.03</v>
      </c>
      <c r="D266" s="5">
        <v>225.63</v>
      </c>
      <c r="E266" s="5">
        <v>154.59</v>
      </c>
      <c r="F266" s="5">
        <v>147.9</v>
      </c>
      <c r="G266" s="5">
        <f t="shared" si="8"/>
        <v>7.2657376261411333E-3</v>
      </c>
      <c r="H266" s="5">
        <f t="shared" si="8"/>
        <v>-4.3859649122807043E-2</v>
      </c>
      <c r="I266" s="5">
        <f t="shared" si="7"/>
        <v>3.3099688473519073E-3</v>
      </c>
      <c r="J266" s="5">
        <f t="shared" si="7"/>
        <v>1.0829836198726905E-3</v>
      </c>
      <c r="K266" s="5"/>
      <c r="L266" s="5"/>
      <c r="M266" s="5"/>
      <c r="N266" s="5"/>
      <c r="O266" s="5"/>
      <c r="P266" s="5"/>
      <c r="Q266" s="5"/>
    </row>
    <row r="267" spans="1:17" ht="15.6">
      <c r="A267" s="5"/>
      <c r="B267" s="12">
        <v>44272</v>
      </c>
      <c r="C267" s="5">
        <v>524.44000000000005</v>
      </c>
      <c r="D267" s="5">
        <v>233.94</v>
      </c>
      <c r="E267" s="5">
        <v>156.79</v>
      </c>
      <c r="F267" s="5">
        <v>148.93</v>
      </c>
      <c r="G267" s="5">
        <f t="shared" si="8"/>
        <v>7.8239795431578329E-4</v>
      </c>
      <c r="H267" s="5">
        <f t="shared" si="8"/>
        <v>3.6830208748836579E-2</v>
      </c>
      <c r="I267" s="5">
        <f t="shared" si="7"/>
        <v>1.4231192185781616E-2</v>
      </c>
      <c r="J267" s="5">
        <f t="shared" si="7"/>
        <v>6.9641649763354518E-3</v>
      </c>
      <c r="K267" s="5"/>
      <c r="L267" s="5"/>
      <c r="M267" s="5"/>
      <c r="N267" s="5"/>
      <c r="O267" s="5"/>
      <c r="P267" s="5"/>
      <c r="Q267" s="5"/>
    </row>
    <row r="268" spans="1:17" ht="15.6">
      <c r="A268" s="5"/>
      <c r="B268" s="12">
        <v>44273</v>
      </c>
      <c r="C268" s="5">
        <v>504.79</v>
      </c>
      <c r="D268" s="5">
        <v>217.72</v>
      </c>
      <c r="E268" s="5">
        <v>151.4</v>
      </c>
      <c r="F268" s="5">
        <v>150.38999999999999</v>
      </c>
      <c r="G268" s="5">
        <f t="shared" si="8"/>
        <v>-3.7468537868965091E-2</v>
      </c>
      <c r="H268" s="5">
        <f t="shared" si="8"/>
        <v>-6.9334017269385262E-2</v>
      </c>
      <c r="I268" s="5">
        <f t="shared" si="7"/>
        <v>-3.4377192422986091E-2</v>
      </c>
      <c r="J268" s="5">
        <f t="shared" si="7"/>
        <v>9.8032632780500339E-3</v>
      </c>
      <c r="K268" s="5"/>
      <c r="L268" s="5"/>
      <c r="M268" s="5"/>
      <c r="N268" s="5"/>
      <c r="O268" s="5"/>
      <c r="P268" s="5"/>
      <c r="Q268" s="5"/>
    </row>
    <row r="269" spans="1:17" ht="15.6">
      <c r="A269" s="5"/>
      <c r="B269" s="12">
        <v>44274</v>
      </c>
      <c r="C269" s="5">
        <v>512.17999999999995</v>
      </c>
      <c r="D269" s="5">
        <v>218.29</v>
      </c>
      <c r="E269" s="5">
        <v>153.75</v>
      </c>
      <c r="F269" s="5">
        <v>149.07</v>
      </c>
      <c r="G269" s="5">
        <f t="shared" si="8"/>
        <v>1.4639751183660454E-2</v>
      </c>
      <c r="H269" s="5">
        <f t="shared" si="8"/>
        <v>2.6180415212198049E-3</v>
      </c>
      <c r="I269" s="5">
        <f t="shared" si="7"/>
        <v>1.5521796565389767E-2</v>
      </c>
      <c r="J269" s="5">
        <f t="shared" si="7"/>
        <v>-8.7771793337322324E-3</v>
      </c>
      <c r="K269" s="5"/>
      <c r="L269" s="5"/>
      <c r="M269" s="5"/>
      <c r="N269" s="5"/>
      <c r="O269" s="5"/>
      <c r="P269" s="5"/>
      <c r="Q269" s="5"/>
    </row>
    <row r="270" spans="1:17" ht="15.6">
      <c r="A270" s="5"/>
      <c r="B270" s="12">
        <v>44277</v>
      </c>
      <c r="C270" s="5">
        <v>523.11</v>
      </c>
      <c r="D270" s="5">
        <v>223.33</v>
      </c>
      <c r="E270" s="5">
        <v>155.54</v>
      </c>
      <c r="F270" s="5">
        <v>150.69</v>
      </c>
      <c r="G270" s="5">
        <f t="shared" si="8"/>
        <v>2.134015385216137E-2</v>
      </c>
      <c r="H270" s="5">
        <f t="shared" si="8"/>
        <v>2.3088551926336631E-2</v>
      </c>
      <c r="I270" s="5">
        <f t="shared" si="7"/>
        <v>1.1642276422764164E-2</v>
      </c>
      <c r="J270" s="5">
        <f t="shared" si="7"/>
        <v>1.0867377742000528E-2</v>
      </c>
      <c r="K270" s="5"/>
      <c r="L270" s="5"/>
      <c r="M270" s="5"/>
      <c r="N270" s="5"/>
      <c r="O270" s="5"/>
      <c r="P270" s="5"/>
      <c r="Q270" s="5"/>
    </row>
    <row r="271" spans="1:17" ht="15.6">
      <c r="A271" s="5"/>
      <c r="B271" s="12">
        <v>44278</v>
      </c>
      <c r="C271" s="5">
        <v>535.09</v>
      </c>
      <c r="D271" s="5">
        <v>220.72</v>
      </c>
      <c r="E271" s="5">
        <v>156.88</v>
      </c>
      <c r="F271" s="5">
        <v>151.21</v>
      </c>
      <c r="G271" s="5">
        <f t="shared" si="8"/>
        <v>2.2901492993825379E-2</v>
      </c>
      <c r="H271" s="5">
        <f t="shared" si="8"/>
        <v>-1.168674159315819E-2</v>
      </c>
      <c r="I271" s="5">
        <f t="shared" si="7"/>
        <v>8.6151472290085795E-3</v>
      </c>
      <c r="J271" s="5">
        <f t="shared" si="7"/>
        <v>3.4507930187803737E-3</v>
      </c>
      <c r="K271" s="5"/>
      <c r="L271" s="5"/>
      <c r="M271" s="5"/>
      <c r="N271" s="5"/>
      <c r="O271" s="5"/>
      <c r="P271" s="5"/>
      <c r="Q271" s="5"/>
    </row>
    <row r="272" spans="1:17" ht="15.6">
      <c r="A272" s="5"/>
      <c r="B272" s="12">
        <v>44279</v>
      </c>
      <c r="C272" s="5">
        <v>520.80999999999995</v>
      </c>
      <c r="D272" s="5">
        <v>210.09</v>
      </c>
      <c r="E272" s="5">
        <v>154.35</v>
      </c>
      <c r="F272" s="5">
        <v>151.54</v>
      </c>
      <c r="G272" s="5">
        <f t="shared" si="8"/>
        <v>-2.6687099366461853E-2</v>
      </c>
      <c r="H272" s="5">
        <f t="shared" si="8"/>
        <v>-4.8160565422254442E-2</v>
      </c>
      <c r="I272" s="5">
        <f t="shared" si="7"/>
        <v>-1.6126976032636464E-2</v>
      </c>
      <c r="J272" s="5">
        <f t="shared" si="7"/>
        <v>2.1823953442232646E-3</v>
      </c>
      <c r="K272" s="5"/>
      <c r="L272" s="5"/>
      <c r="M272" s="5"/>
      <c r="N272" s="5"/>
      <c r="O272" s="5"/>
      <c r="P272" s="5"/>
      <c r="Q272" s="5"/>
    </row>
    <row r="273" spans="1:17" ht="15.6">
      <c r="A273" s="5"/>
      <c r="B273" s="12">
        <v>44280</v>
      </c>
      <c r="C273" s="5">
        <v>502.86</v>
      </c>
      <c r="D273" s="5">
        <v>213.46</v>
      </c>
      <c r="E273" s="5">
        <v>152.31</v>
      </c>
      <c r="F273" s="5">
        <v>151.32</v>
      </c>
      <c r="G273" s="5">
        <f t="shared" si="8"/>
        <v>-3.4465544056373587E-2</v>
      </c>
      <c r="H273" s="5">
        <f t="shared" si="8"/>
        <v>1.6040744442857857E-2</v>
      </c>
      <c r="I273" s="5">
        <f t="shared" si="7"/>
        <v>-1.3216715257531542E-2</v>
      </c>
      <c r="J273" s="5">
        <f t="shared" si="7"/>
        <v>-1.4517619110465674E-3</v>
      </c>
      <c r="K273" s="5"/>
      <c r="L273" s="5"/>
      <c r="M273" s="5"/>
      <c r="N273" s="5"/>
      <c r="O273" s="5"/>
      <c r="P273" s="5"/>
      <c r="Q273" s="5"/>
    </row>
    <row r="274" spans="1:17" ht="15.6">
      <c r="A274" s="5"/>
      <c r="B274" s="12">
        <v>44281</v>
      </c>
      <c r="C274" s="5">
        <v>508.05</v>
      </c>
      <c r="D274" s="5">
        <v>206.24</v>
      </c>
      <c r="E274" s="5">
        <v>152.6</v>
      </c>
      <c r="F274" s="5">
        <v>153.47</v>
      </c>
      <c r="G274" s="5">
        <f t="shared" si="8"/>
        <v>1.0320964085431372E-2</v>
      </c>
      <c r="H274" s="5">
        <f t="shared" si="8"/>
        <v>-3.3823667197601437E-2</v>
      </c>
      <c r="I274" s="5">
        <f t="shared" si="7"/>
        <v>1.9040115553803361E-3</v>
      </c>
      <c r="J274" s="5">
        <f t="shared" si="7"/>
        <v>1.4208300290774467E-2</v>
      </c>
      <c r="K274" s="5"/>
      <c r="L274" s="5"/>
      <c r="M274" s="5"/>
      <c r="N274" s="5"/>
      <c r="O274" s="5"/>
      <c r="P274" s="5"/>
      <c r="Q274" s="5"/>
    </row>
    <row r="275" spans="1:17" ht="15.6">
      <c r="A275" s="5"/>
      <c r="B275" s="12">
        <v>44284</v>
      </c>
      <c r="C275" s="5">
        <v>513.95000000000005</v>
      </c>
      <c r="D275" s="5">
        <v>203.76</v>
      </c>
      <c r="E275" s="5">
        <v>153.79</v>
      </c>
      <c r="F275" s="5">
        <v>155.26</v>
      </c>
      <c r="G275" s="5">
        <f t="shared" si="8"/>
        <v>1.1613030213561748E-2</v>
      </c>
      <c r="H275" s="5">
        <f t="shared" si="8"/>
        <v>-1.2024825446082299E-2</v>
      </c>
      <c r="I275" s="5">
        <f t="shared" si="7"/>
        <v>7.7981651376146655E-3</v>
      </c>
      <c r="J275" s="5">
        <f t="shared" si="7"/>
        <v>1.1663517299797865E-2</v>
      </c>
      <c r="K275" s="5"/>
      <c r="L275" s="5"/>
      <c r="M275" s="5"/>
      <c r="N275" s="5"/>
      <c r="O275" s="5"/>
      <c r="P275" s="5"/>
      <c r="Q275" s="5"/>
    </row>
    <row r="276" spans="1:17" ht="15.6">
      <c r="A276" s="5"/>
      <c r="B276" s="12">
        <v>44285</v>
      </c>
      <c r="C276" s="5">
        <v>513.39</v>
      </c>
      <c r="D276" s="5">
        <v>211.87</v>
      </c>
      <c r="E276" s="5">
        <v>152.76</v>
      </c>
      <c r="F276" s="5">
        <v>153.08000000000001</v>
      </c>
      <c r="G276" s="5">
        <f t="shared" si="8"/>
        <v>-1.0896001556572887E-3</v>
      </c>
      <c r="H276" s="5">
        <f t="shared" si="8"/>
        <v>3.9801727522575714E-2</v>
      </c>
      <c r="I276" s="5">
        <f t="shared" si="7"/>
        <v>-6.6974445672670635E-3</v>
      </c>
      <c r="J276" s="5">
        <f t="shared" si="7"/>
        <v>-1.4040963545021157E-2</v>
      </c>
      <c r="K276" s="5"/>
      <c r="L276" s="5"/>
      <c r="M276" s="5"/>
      <c r="N276" s="5"/>
      <c r="O276" s="5"/>
      <c r="P276" s="5"/>
      <c r="Q276" s="5"/>
    </row>
    <row r="277" spans="1:17" ht="15.6">
      <c r="A277" s="5"/>
      <c r="B277" s="12">
        <v>44286</v>
      </c>
      <c r="C277" s="5">
        <v>521.66</v>
      </c>
      <c r="D277" s="5">
        <v>222.64</v>
      </c>
      <c r="E277" s="5">
        <v>154.69999999999999</v>
      </c>
      <c r="F277" s="5">
        <v>152.4</v>
      </c>
      <c r="G277" s="5">
        <f t="shared" si="8"/>
        <v>1.610861138705455E-2</v>
      </c>
      <c r="H277" s="5">
        <f t="shared" si="8"/>
        <v>5.083305800726845E-2</v>
      </c>
      <c r="I277" s="5">
        <f t="shared" si="7"/>
        <v>1.269965959675301E-2</v>
      </c>
      <c r="J277" s="5">
        <f t="shared" si="7"/>
        <v>-4.4421217663966894E-3</v>
      </c>
      <c r="K277" s="5"/>
      <c r="L277" s="5"/>
      <c r="M277" s="5"/>
      <c r="N277" s="5"/>
      <c r="O277" s="5"/>
      <c r="P277" s="5"/>
      <c r="Q277" s="5"/>
    </row>
    <row r="278" spans="1:17" ht="15.6">
      <c r="A278" s="5"/>
      <c r="B278" s="12">
        <v>44287</v>
      </c>
      <c r="C278" s="5">
        <v>539.41999999999996</v>
      </c>
      <c r="D278" s="5">
        <v>220.58</v>
      </c>
      <c r="E278" s="5">
        <v>158.05000000000001</v>
      </c>
      <c r="F278" s="5">
        <v>152.97999999999999</v>
      </c>
      <c r="G278" s="5">
        <f t="shared" si="8"/>
        <v>3.4045163516466692E-2</v>
      </c>
      <c r="H278" s="5">
        <f t="shared" si="8"/>
        <v>-9.2526051024073297E-3</v>
      </c>
      <c r="I278" s="5">
        <f t="shared" si="7"/>
        <v>2.1654815772462976E-2</v>
      </c>
      <c r="J278" s="5">
        <f t="shared" si="7"/>
        <v>3.8057742782151571E-3</v>
      </c>
      <c r="K278" s="5"/>
      <c r="L278" s="5"/>
      <c r="M278" s="5"/>
      <c r="N278" s="5"/>
      <c r="O278" s="5"/>
      <c r="P278" s="5"/>
      <c r="Q278" s="5"/>
    </row>
    <row r="279" spans="1:17" ht="15.6">
      <c r="A279" s="5"/>
      <c r="B279" s="12">
        <v>44291</v>
      </c>
      <c r="C279" s="5">
        <v>540.66999999999996</v>
      </c>
      <c r="D279" s="5">
        <v>230.35</v>
      </c>
      <c r="E279" s="5">
        <v>161.34</v>
      </c>
      <c r="F279" s="5">
        <v>153.55000000000001</v>
      </c>
      <c r="G279" s="5">
        <f t="shared" si="8"/>
        <v>2.3173037707167055E-3</v>
      </c>
      <c r="H279" s="5">
        <f t="shared" si="8"/>
        <v>4.4292320246622552E-2</v>
      </c>
      <c r="I279" s="5">
        <f t="shared" si="7"/>
        <v>2.0816197405884251E-2</v>
      </c>
      <c r="J279" s="5">
        <f t="shared" si="7"/>
        <v>3.7259772519284695E-3</v>
      </c>
      <c r="K279" s="5"/>
      <c r="L279" s="5"/>
      <c r="M279" s="5"/>
      <c r="N279" s="5"/>
      <c r="O279" s="5"/>
      <c r="P279" s="5"/>
      <c r="Q279" s="5"/>
    </row>
    <row r="280" spans="1:17" ht="15.6">
      <c r="A280" s="5"/>
      <c r="B280" s="12">
        <v>44292</v>
      </c>
      <c r="C280" s="5">
        <v>544.53</v>
      </c>
      <c r="D280" s="5">
        <v>230.54</v>
      </c>
      <c r="E280" s="5">
        <v>161.19</v>
      </c>
      <c r="F280" s="5">
        <v>154.91</v>
      </c>
      <c r="G280" s="5">
        <f t="shared" si="8"/>
        <v>7.1392901400115782E-3</v>
      </c>
      <c r="H280" s="5">
        <f t="shared" si="8"/>
        <v>8.2483177772951777E-4</v>
      </c>
      <c r="I280" s="5">
        <f t="shared" si="7"/>
        <v>-9.2971364819638413E-4</v>
      </c>
      <c r="J280" s="5">
        <f t="shared" si="7"/>
        <v>8.8570498209050719E-3</v>
      </c>
      <c r="K280" s="5"/>
      <c r="L280" s="5"/>
      <c r="M280" s="5"/>
      <c r="N280" s="5"/>
      <c r="O280" s="5"/>
      <c r="P280" s="5"/>
      <c r="Q280" s="5"/>
    </row>
    <row r="281" spans="1:17" ht="15.6">
      <c r="A281" s="5"/>
      <c r="B281" s="12">
        <v>44293</v>
      </c>
      <c r="C281" s="5">
        <v>546.99</v>
      </c>
      <c r="D281" s="5">
        <v>223.66</v>
      </c>
      <c r="E281" s="5">
        <v>163.97</v>
      </c>
      <c r="F281" s="5">
        <v>154.72</v>
      </c>
      <c r="G281" s="5">
        <f t="shared" si="8"/>
        <v>4.5176574293428473E-3</v>
      </c>
      <c r="H281" s="5">
        <f t="shared" si="8"/>
        <v>-2.9842977357508405E-2</v>
      </c>
      <c r="I281" s="5">
        <f t="shared" si="7"/>
        <v>1.7246727464482969E-2</v>
      </c>
      <c r="J281" s="5">
        <f t="shared" si="7"/>
        <v>-1.2265186237170322E-3</v>
      </c>
      <c r="K281" s="5"/>
      <c r="L281" s="5"/>
      <c r="M281" s="5"/>
      <c r="N281" s="5"/>
      <c r="O281" s="5"/>
      <c r="P281" s="5"/>
      <c r="Q281" s="5"/>
    </row>
    <row r="282" spans="1:17" ht="15.6">
      <c r="A282" s="5"/>
      <c r="B282" s="12">
        <v>44294</v>
      </c>
      <c r="C282" s="5">
        <v>554.58000000000004</v>
      </c>
      <c r="D282" s="5">
        <v>227.93</v>
      </c>
      <c r="E282" s="5">
        <v>164.96</v>
      </c>
      <c r="F282" s="5">
        <v>154.28</v>
      </c>
      <c r="G282" s="5">
        <f t="shared" si="8"/>
        <v>1.387593923106456E-2</v>
      </c>
      <c r="H282" s="5">
        <f t="shared" si="8"/>
        <v>1.9091478136457063E-2</v>
      </c>
      <c r="I282" s="5">
        <f t="shared" si="7"/>
        <v>6.0376898213088115E-3</v>
      </c>
      <c r="J282" s="5">
        <f t="shared" si="7"/>
        <v>-2.8438469493278218E-3</v>
      </c>
      <c r="K282" s="5"/>
      <c r="L282" s="5"/>
      <c r="M282" s="5"/>
      <c r="N282" s="5"/>
      <c r="O282" s="5"/>
      <c r="P282" s="5"/>
      <c r="Q282" s="5"/>
    </row>
    <row r="283" spans="1:17" ht="15.6">
      <c r="A283" s="5"/>
      <c r="B283" s="12">
        <v>44295</v>
      </c>
      <c r="C283" s="5">
        <v>555.30999999999995</v>
      </c>
      <c r="D283" s="5">
        <v>225.67</v>
      </c>
      <c r="E283" s="5">
        <v>168.61</v>
      </c>
      <c r="F283" s="5">
        <v>153.69</v>
      </c>
      <c r="G283" s="5">
        <f t="shared" si="8"/>
        <v>1.3163114428935696E-3</v>
      </c>
      <c r="H283" s="5">
        <f t="shared" si="8"/>
        <v>-9.915324880445886E-3</v>
      </c>
      <c r="I283" s="5">
        <f t="shared" si="7"/>
        <v>2.2126576139670284E-2</v>
      </c>
      <c r="J283" s="5">
        <f t="shared" si="7"/>
        <v>-3.824215711693002E-3</v>
      </c>
      <c r="K283" s="5"/>
      <c r="L283" s="5"/>
      <c r="M283" s="5"/>
      <c r="N283" s="5"/>
      <c r="O283" s="5"/>
      <c r="P283" s="5"/>
      <c r="Q283" s="5"/>
    </row>
    <row r="284" spans="1:17" ht="15.6">
      <c r="A284" s="5"/>
      <c r="B284" s="12">
        <v>44298</v>
      </c>
      <c r="C284" s="5">
        <v>552.78</v>
      </c>
      <c r="D284" s="5">
        <v>233.99</v>
      </c>
      <c r="E284" s="5">
        <v>168.97</v>
      </c>
      <c r="F284" s="5">
        <v>153.79</v>
      </c>
      <c r="G284" s="5">
        <f t="shared" si="8"/>
        <v>-4.5560137580810123E-3</v>
      </c>
      <c r="H284" s="5">
        <f t="shared" si="8"/>
        <v>3.6867993087251305E-2</v>
      </c>
      <c r="I284" s="5">
        <f t="shared" si="7"/>
        <v>2.1351046794375605E-3</v>
      </c>
      <c r="J284" s="5">
        <f t="shared" si="7"/>
        <v>6.5066042032668747E-4</v>
      </c>
      <c r="K284" s="5"/>
      <c r="L284" s="5"/>
      <c r="M284" s="5"/>
      <c r="N284" s="5"/>
      <c r="O284" s="5"/>
      <c r="P284" s="5"/>
      <c r="Q284" s="5"/>
    </row>
    <row r="285" spans="1:17" ht="15.6">
      <c r="A285" s="5"/>
      <c r="B285" s="12">
        <v>44299</v>
      </c>
      <c r="C285" s="5">
        <v>553.73</v>
      </c>
      <c r="D285" s="5">
        <v>254.11</v>
      </c>
      <c r="E285" s="5">
        <v>170</v>
      </c>
      <c r="F285" s="5">
        <v>153.04</v>
      </c>
      <c r="G285" s="5">
        <f t="shared" si="8"/>
        <v>1.7185860559354449E-3</v>
      </c>
      <c r="H285" s="5">
        <f t="shared" si="8"/>
        <v>8.5986580623103492E-2</v>
      </c>
      <c r="I285" s="5">
        <f t="shared" si="7"/>
        <v>6.0957566431911747E-3</v>
      </c>
      <c r="J285" s="5">
        <f t="shared" si="7"/>
        <v>-4.8767800247090376E-3</v>
      </c>
      <c r="K285" s="5"/>
      <c r="L285" s="5"/>
      <c r="M285" s="5"/>
      <c r="N285" s="5"/>
      <c r="O285" s="5"/>
      <c r="P285" s="5"/>
      <c r="Q285" s="5"/>
    </row>
    <row r="286" spans="1:17" ht="15.6">
      <c r="A286" s="5"/>
      <c r="B286" s="12">
        <v>44300</v>
      </c>
      <c r="C286" s="5">
        <v>540.02</v>
      </c>
      <c r="D286" s="5">
        <v>244.08</v>
      </c>
      <c r="E286" s="5">
        <v>166.65</v>
      </c>
      <c r="F286" s="5">
        <v>152.43</v>
      </c>
      <c r="G286" s="5">
        <f t="shared" si="8"/>
        <v>-2.4759359254510338E-2</v>
      </c>
      <c r="H286" s="5">
        <f t="shared" si="8"/>
        <v>-3.9471095194994255E-2</v>
      </c>
      <c r="I286" s="5">
        <f t="shared" si="7"/>
        <v>-1.9705882352941129E-2</v>
      </c>
      <c r="J286" s="5">
        <f t="shared" si="7"/>
        <v>-3.9858860428645393E-3</v>
      </c>
      <c r="K286" s="5"/>
      <c r="L286" s="5"/>
      <c r="M286" s="5"/>
      <c r="N286" s="5"/>
      <c r="O286" s="5"/>
      <c r="P286" s="5"/>
      <c r="Q286" s="5"/>
    </row>
    <row r="287" spans="1:17" ht="15.6">
      <c r="A287" s="5"/>
      <c r="B287" s="12">
        <v>44301</v>
      </c>
      <c r="C287" s="5">
        <v>549.22</v>
      </c>
      <c r="D287" s="5">
        <v>246.28</v>
      </c>
      <c r="E287" s="5">
        <v>168.95</v>
      </c>
      <c r="F287" s="5">
        <v>155.04</v>
      </c>
      <c r="G287" s="5">
        <f t="shared" si="8"/>
        <v>1.7036406059034892E-2</v>
      </c>
      <c r="H287" s="5">
        <f t="shared" si="8"/>
        <v>9.0134382169779759E-3</v>
      </c>
      <c r="I287" s="5">
        <f t="shared" si="7"/>
        <v>1.3801380138013686E-2</v>
      </c>
      <c r="J287" s="5">
        <f t="shared" si="7"/>
        <v>1.712261365872858E-2</v>
      </c>
      <c r="K287" s="5"/>
      <c r="L287" s="5"/>
      <c r="M287" s="5"/>
      <c r="N287" s="5"/>
      <c r="O287" s="5"/>
      <c r="P287" s="5"/>
      <c r="Q287" s="5"/>
    </row>
    <row r="288" spans="1:17" ht="15.6">
      <c r="A288" s="5"/>
      <c r="B288" s="12">
        <v>44302</v>
      </c>
      <c r="C288" s="5">
        <v>546.54</v>
      </c>
      <c r="D288" s="5">
        <v>246.59</v>
      </c>
      <c r="E288" s="5">
        <v>169.97</v>
      </c>
      <c r="F288" s="5">
        <v>155.13</v>
      </c>
      <c r="G288" s="5">
        <f t="shared" si="8"/>
        <v>-4.8796475000911776E-3</v>
      </c>
      <c r="H288" s="5">
        <f t="shared" si="8"/>
        <v>1.2587299009256814E-3</v>
      </c>
      <c r="I288" s="5">
        <f t="shared" si="7"/>
        <v>6.0372891387985295E-3</v>
      </c>
      <c r="J288" s="5">
        <f t="shared" si="7"/>
        <v>5.8049535603710289E-4</v>
      </c>
      <c r="K288" s="5"/>
      <c r="L288" s="5"/>
      <c r="M288" s="5"/>
      <c r="N288" s="5"/>
      <c r="O288" s="5"/>
      <c r="P288" s="5"/>
      <c r="Q288" s="5"/>
    </row>
    <row r="289" spans="1:17" ht="15.6">
      <c r="A289" s="5"/>
      <c r="B289" s="12">
        <v>44305</v>
      </c>
      <c r="C289" s="5">
        <v>554.44000000000005</v>
      </c>
      <c r="D289" s="5">
        <v>238.21</v>
      </c>
      <c r="E289" s="5">
        <v>168.6</v>
      </c>
      <c r="F289" s="5">
        <v>155.12</v>
      </c>
      <c r="G289" s="5">
        <f t="shared" si="8"/>
        <v>1.4454568741537832E-2</v>
      </c>
      <c r="H289" s="5">
        <f t="shared" si="8"/>
        <v>-3.3983535423172007E-2</v>
      </c>
      <c r="I289" s="5">
        <f t="shared" si="7"/>
        <v>-8.0602459257516079E-3</v>
      </c>
      <c r="J289" s="5">
        <f t="shared" si="7"/>
        <v>-6.4462064075287984E-5</v>
      </c>
      <c r="K289" s="5"/>
      <c r="L289" s="5"/>
      <c r="M289" s="5"/>
      <c r="N289" s="5"/>
      <c r="O289" s="5"/>
      <c r="P289" s="5"/>
      <c r="Q289" s="5"/>
    </row>
    <row r="290" spans="1:17" ht="15.6">
      <c r="A290" s="5"/>
      <c r="B290" s="12">
        <v>44306</v>
      </c>
      <c r="C290" s="5">
        <v>549.57000000000005</v>
      </c>
      <c r="D290" s="5">
        <v>239.66</v>
      </c>
      <c r="E290" s="5">
        <v>166.73</v>
      </c>
      <c r="F290" s="5">
        <v>156.29</v>
      </c>
      <c r="G290" s="5">
        <f t="shared" si="8"/>
        <v>-8.7836375441887604E-3</v>
      </c>
      <c r="H290" s="5">
        <f t="shared" si="8"/>
        <v>6.0870660341714178E-3</v>
      </c>
      <c r="I290" s="5">
        <f t="shared" si="7"/>
        <v>-1.1091340450771092E-2</v>
      </c>
      <c r="J290" s="5">
        <f t="shared" si="7"/>
        <v>7.5425477050024003E-3</v>
      </c>
      <c r="K290" s="5"/>
      <c r="L290" s="5"/>
      <c r="M290" s="5"/>
      <c r="N290" s="5"/>
      <c r="O290" s="5"/>
      <c r="P290" s="5"/>
      <c r="Q290" s="5"/>
    </row>
    <row r="291" spans="1:17" ht="15.6">
      <c r="A291" s="5"/>
      <c r="B291" s="12">
        <v>44307</v>
      </c>
      <c r="C291" s="5">
        <v>508.9</v>
      </c>
      <c r="D291" s="5">
        <v>248.04</v>
      </c>
      <c r="E291" s="5">
        <v>168.1</v>
      </c>
      <c r="F291" s="5">
        <v>157.01</v>
      </c>
      <c r="G291" s="5">
        <f t="shared" si="8"/>
        <v>-7.4003311680040929E-2</v>
      </c>
      <c r="H291" s="5">
        <f t="shared" si="8"/>
        <v>3.4966202119669498E-2</v>
      </c>
      <c r="I291" s="5">
        <f t="shared" si="7"/>
        <v>8.216877586517235E-3</v>
      </c>
      <c r="J291" s="5">
        <f t="shared" si="7"/>
        <v>4.6068206539124912E-3</v>
      </c>
      <c r="K291" s="5"/>
      <c r="L291" s="5"/>
      <c r="M291" s="5"/>
      <c r="N291" s="5"/>
      <c r="O291" s="5"/>
      <c r="P291" s="5"/>
      <c r="Q291" s="5"/>
    </row>
    <row r="292" spans="1:17" ht="15.6">
      <c r="A292" s="5"/>
      <c r="B292" s="12">
        <v>44308</v>
      </c>
      <c r="C292" s="5">
        <v>508.78</v>
      </c>
      <c r="D292" s="5">
        <v>239.9</v>
      </c>
      <c r="E292" s="5">
        <v>165.45</v>
      </c>
      <c r="F292" s="5">
        <v>156.33000000000001</v>
      </c>
      <c r="G292" s="5">
        <f t="shared" si="8"/>
        <v>-2.3580271173118117E-4</v>
      </c>
      <c r="H292" s="5">
        <f t="shared" si="8"/>
        <v>-3.2817287534268602E-2</v>
      </c>
      <c r="I292" s="5">
        <f t="shared" si="7"/>
        <v>-1.5764425936942383E-2</v>
      </c>
      <c r="J292" s="5">
        <f t="shared" si="7"/>
        <v>-4.3309343353925556E-3</v>
      </c>
      <c r="K292" s="5"/>
      <c r="L292" s="5"/>
      <c r="M292" s="5"/>
      <c r="N292" s="5"/>
      <c r="O292" s="5"/>
      <c r="P292" s="5"/>
      <c r="Q292" s="5"/>
    </row>
    <row r="293" spans="1:17" ht="15.6">
      <c r="A293" s="5"/>
      <c r="B293" s="12">
        <v>44309</v>
      </c>
      <c r="C293" s="5">
        <v>505.55</v>
      </c>
      <c r="D293" s="5">
        <v>243.13</v>
      </c>
      <c r="E293" s="5">
        <v>167.04</v>
      </c>
      <c r="F293" s="5">
        <v>155.55000000000001</v>
      </c>
      <c r="G293" s="5">
        <f t="shared" si="8"/>
        <v>-6.3485199889932176E-3</v>
      </c>
      <c r="H293" s="5">
        <f t="shared" si="8"/>
        <v>1.3463943309712345E-2</v>
      </c>
      <c r="I293" s="5">
        <f t="shared" si="7"/>
        <v>9.610154125113457E-3</v>
      </c>
      <c r="J293" s="5">
        <f t="shared" si="7"/>
        <v>-4.9894454039531855E-3</v>
      </c>
      <c r="K293" s="5"/>
      <c r="L293" s="5"/>
      <c r="M293" s="5"/>
      <c r="N293" s="5"/>
      <c r="O293" s="5"/>
      <c r="P293" s="5"/>
      <c r="Q293" s="5"/>
    </row>
    <row r="294" spans="1:17" ht="15.6">
      <c r="A294" s="5"/>
      <c r="B294" s="12">
        <v>44312</v>
      </c>
      <c r="C294" s="5">
        <v>510.3</v>
      </c>
      <c r="D294" s="5">
        <v>246.07</v>
      </c>
      <c r="E294" s="5">
        <v>170.45</v>
      </c>
      <c r="F294" s="5">
        <v>153.24</v>
      </c>
      <c r="G294" s="5">
        <f t="shared" si="8"/>
        <v>9.3957076451389732E-3</v>
      </c>
      <c r="H294" s="5">
        <f t="shared" si="8"/>
        <v>1.2092296302389727E-2</v>
      </c>
      <c r="I294" s="5">
        <f t="shared" si="7"/>
        <v>2.041427203065127E-2</v>
      </c>
      <c r="J294" s="5">
        <f t="shared" si="7"/>
        <v>-1.4850530376084858E-2</v>
      </c>
      <c r="K294" s="5"/>
      <c r="L294" s="5"/>
      <c r="M294" s="5"/>
      <c r="N294" s="5"/>
      <c r="O294" s="5"/>
      <c r="P294" s="5"/>
      <c r="Q294" s="5"/>
    </row>
    <row r="295" spans="1:17" ht="15.6">
      <c r="A295" s="5"/>
      <c r="B295" s="12">
        <v>44313</v>
      </c>
      <c r="C295" s="5">
        <v>505.55</v>
      </c>
      <c r="D295" s="5">
        <v>234.91</v>
      </c>
      <c r="E295" s="5">
        <v>170.87</v>
      </c>
      <c r="F295" s="5">
        <v>152.93</v>
      </c>
      <c r="G295" s="5">
        <f t="shared" si="8"/>
        <v>-9.3082500489908293E-3</v>
      </c>
      <c r="H295" s="5">
        <f t="shared" si="8"/>
        <v>-4.5352948348031052E-2</v>
      </c>
      <c r="I295" s="5">
        <f t="shared" si="7"/>
        <v>2.4640657084189499E-3</v>
      </c>
      <c r="J295" s="5">
        <f t="shared" si="7"/>
        <v>-2.022970503784971E-3</v>
      </c>
      <c r="K295" s="5"/>
      <c r="L295" s="5"/>
      <c r="M295" s="5"/>
      <c r="N295" s="5"/>
      <c r="O295" s="5"/>
      <c r="P295" s="5"/>
      <c r="Q295" s="5"/>
    </row>
    <row r="296" spans="1:17" ht="15.6">
      <c r="A296" s="5"/>
      <c r="B296" s="12">
        <v>44314</v>
      </c>
      <c r="C296" s="5">
        <v>506.52</v>
      </c>
      <c r="D296" s="5">
        <v>231.47</v>
      </c>
      <c r="E296" s="5">
        <v>172.93</v>
      </c>
      <c r="F296" s="5">
        <v>153.08000000000001</v>
      </c>
      <c r="G296" s="5">
        <f t="shared" si="8"/>
        <v>1.918702403323147E-3</v>
      </c>
      <c r="H296" s="5">
        <f t="shared" si="8"/>
        <v>-1.4643906176833643E-2</v>
      </c>
      <c r="I296" s="5">
        <f t="shared" si="7"/>
        <v>1.2055948967051089E-2</v>
      </c>
      <c r="J296" s="5">
        <f t="shared" si="7"/>
        <v>9.8084090760486298E-4</v>
      </c>
      <c r="K296" s="5"/>
      <c r="L296" s="5"/>
      <c r="M296" s="5"/>
      <c r="N296" s="5"/>
      <c r="O296" s="5"/>
      <c r="P296" s="5"/>
      <c r="Q296" s="5"/>
    </row>
    <row r="297" spans="1:17" ht="15.6">
      <c r="A297" s="5"/>
      <c r="B297" s="12">
        <v>44315</v>
      </c>
      <c r="C297" s="5">
        <v>509</v>
      </c>
      <c r="D297" s="5">
        <v>225.67</v>
      </c>
      <c r="E297" s="5">
        <v>173.57</v>
      </c>
      <c r="F297" s="5">
        <v>158.24</v>
      </c>
      <c r="G297" s="5">
        <f t="shared" si="8"/>
        <v>4.8961541498855343E-3</v>
      </c>
      <c r="H297" s="5">
        <f t="shared" si="8"/>
        <v>-2.5057242839244931E-2</v>
      </c>
      <c r="I297" s="5">
        <f t="shared" si="7"/>
        <v>3.7009194471750995E-3</v>
      </c>
      <c r="J297" s="5">
        <f t="shared" si="7"/>
        <v>3.3707865168539408E-2</v>
      </c>
      <c r="K297" s="5"/>
      <c r="L297" s="5"/>
      <c r="M297" s="5"/>
      <c r="N297" s="5"/>
      <c r="O297" s="5"/>
      <c r="P297" s="5"/>
      <c r="Q297" s="5"/>
    </row>
    <row r="298" spans="1:17" ht="15.6">
      <c r="A298" s="5"/>
      <c r="B298" s="12">
        <v>44316</v>
      </c>
      <c r="C298" s="5">
        <v>513.47</v>
      </c>
      <c r="D298" s="5">
        <v>236.48</v>
      </c>
      <c r="E298" s="5">
        <v>173.37</v>
      </c>
      <c r="F298" s="5">
        <v>158.32</v>
      </c>
      <c r="G298" s="5">
        <f t="shared" si="8"/>
        <v>8.781925343811503E-3</v>
      </c>
      <c r="H298" s="5">
        <f t="shared" si="8"/>
        <v>4.7901803518411779E-2</v>
      </c>
      <c r="I298" s="5">
        <f t="shared" si="7"/>
        <v>-1.1522728582127328E-3</v>
      </c>
      <c r="J298" s="5">
        <f t="shared" si="7"/>
        <v>5.0556117290190272E-4</v>
      </c>
      <c r="K298" s="5"/>
      <c r="L298" s="5"/>
      <c r="M298" s="5"/>
      <c r="N298" s="5"/>
      <c r="O298" s="5"/>
      <c r="P298" s="5"/>
      <c r="Q298" s="5"/>
    </row>
    <row r="299" spans="1:17" ht="15.6">
      <c r="A299" s="5"/>
      <c r="B299" s="12">
        <v>44319</v>
      </c>
      <c r="C299" s="5">
        <v>509.11</v>
      </c>
      <c r="D299" s="5">
        <v>228.3</v>
      </c>
      <c r="E299" s="5">
        <v>169.32</v>
      </c>
      <c r="F299" s="5">
        <v>160.66999999999999</v>
      </c>
      <c r="G299" s="5">
        <f t="shared" si="8"/>
        <v>-8.4912458371473321E-3</v>
      </c>
      <c r="H299" s="5">
        <f t="shared" si="8"/>
        <v>-3.4590663058186699E-2</v>
      </c>
      <c r="I299" s="5">
        <f t="shared" si="7"/>
        <v>-2.3360442983215157E-2</v>
      </c>
      <c r="J299" s="5">
        <f t="shared" si="7"/>
        <v>1.484335522991409E-2</v>
      </c>
      <c r="K299" s="5"/>
      <c r="L299" s="5"/>
      <c r="M299" s="5"/>
      <c r="N299" s="5"/>
      <c r="O299" s="5"/>
      <c r="P299" s="5"/>
      <c r="Q299" s="5"/>
    </row>
    <row r="300" spans="1:17" ht="15.6">
      <c r="A300" s="5"/>
      <c r="B300" s="12">
        <v>44320</v>
      </c>
      <c r="C300" s="5">
        <v>503.18</v>
      </c>
      <c r="D300" s="5">
        <v>224.53</v>
      </c>
      <c r="E300" s="5">
        <v>165.59</v>
      </c>
      <c r="F300" s="5">
        <v>160.83000000000001</v>
      </c>
      <c r="G300" s="5">
        <f t="shared" si="8"/>
        <v>-1.164777749405832E-2</v>
      </c>
      <c r="H300" s="5">
        <f t="shared" si="8"/>
        <v>-1.6513359614542367E-2</v>
      </c>
      <c r="I300" s="5">
        <f t="shared" si="7"/>
        <v>-2.2029293645168813E-2</v>
      </c>
      <c r="J300" s="5">
        <f t="shared" si="7"/>
        <v>9.9582996203406715E-4</v>
      </c>
      <c r="K300" s="5"/>
      <c r="L300" s="5"/>
      <c r="M300" s="5"/>
      <c r="N300" s="5"/>
      <c r="O300" s="5"/>
      <c r="P300" s="5"/>
      <c r="Q300" s="5"/>
    </row>
    <row r="301" spans="1:17" ht="15.6">
      <c r="A301" s="5"/>
      <c r="B301" s="12">
        <v>44321</v>
      </c>
      <c r="C301" s="5">
        <v>496.08</v>
      </c>
      <c r="D301" s="5">
        <v>223.65</v>
      </c>
      <c r="E301" s="5">
        <v>163.53</v>
      </c>
      <c r="F301" s="5">
        <v>162.22999999999999</v>
      </c>
      <c r="G301" s="5">
        <f t="shared" si="8"/>
        <v>-1.4110258754322591E-2</v>
      </c>
      <c r="H301" s="5">
        <f t="shared" si="8"/>
        <v>-3.9192980893422158E-3</v>
      </c>
      <c r="I301" s="5">
        <f t="shared" si="7"/>
        <v>-1.2440364756325928E-2</v>
      </c>
      <c r="J301" s="5">
        <f t="shared" si="7"/>
        <v>8.7048436237018301E-3</v>
      </c>
      <c r="K301" s="5"/>
      <c r="L301" s="5"/>
      <c r="M301" s="5"/>
      <c r="N301" s="5"/>
      <c r="O301" s="5"/>
      <c r="P301" s="5"/>
      <c r="Q301" s="5"/>
    </row>
    <row r="302" spans="1:17" ht="15.6">
      <c r="A302" s="5"/>
      <c r="B302" s="12">
        <v>44322</v>
      </c>
      <c r="C302" s="5">
        <v>499.55</v>
      </c>
      <c r="D302" s="5">
        <v>221.18</v>
      </c>
      <c r="E302" s="5">
        <v>165.32</v>
      </c>
      <c r="F302" s="5">
        <v>162.49</v>
      </c>
      <c r="G302" s="5">
        <f t="shared" si="8"/>
        <v>6.9948395420094123E-3</v>
      </c>
      <c r="H302" s="5">
        <f t="shared" si="8"/>
        <v>-1.1044042029957568E-2</v>
      </c>
      <c r="I302" s="5">
        <f t="shared" si="7"/>
        <v>1.0946003791353132E-2</v>
      </c>
      <c r="J302" s="5">
        <f t="shared" si="7"/>
        <v>1.6026628860261738E-3</v>
      </c>
      <c r="K302" s="5"/>
      <c r="L302" s="5"/>
      <c r="M302" s="5"/>
      <c r="N302" s="5"/>
      <c r="O302" s="5"/>
      <c r="P302" s="5"/>
      <c r="Q302" s="5"/>
    </row>
    <row r="303" spans="1:17" ht="15.6">
      <c r="A303" s="5"/>
      <c r="B303" s="12">
        <v>44323</v>
      </c>
      <c r="C303" s="5">
        <v>503.84</v>
      </c>
      <c r="D303" s="5">
        <v>224.12</v>
      </c>
      <c r="E303" s="5">
        <v>164.58</v>
      </c>
      <c r="F303" s="5">
        <v>162.36000000000001</v>
      </c>
      <c r="G303" s="5">
        <f t="shared" si="8"/>
        <v>8.5877289560603032E-3</v>
      </c>
      <c r="H303" s="5">
        <f t="shared" si="8"/>
        <v>1.3292341079663705E-2</v>
      </c>
      <c r="I303" s="5">
        <f t="shared" si="7"/>
        <v>-4.4761674328573919E-3</v>
      </c>
      <c r="J303" s="5">
        <f t="shared" si="7"/>
        <v>-8.0004923379894954E-4</v>
      </c>
      <c r="K303" s="5"/>
      <c r="L303" s="5"/>
      <c r="M303" s="5"/>
      <c r="N303" s="5"/>
      <c r="O303" s="5"/>
      <c r="P303" s="5"/>
      <c r="Q303" s="5"/>
    </row>
    <row r="304" spans="1:17" ht="15.6">
      <c r="A304" s="5"/>
      <c r="B304" s="12">
        <v>44326</v>
      </c>
      <c r="C304" s="5">
        <v>486.69</v>
      </c>
      <c r="D304" s="5">
        <v>209.68</v>
      </c>
      <c r="E304" s="5">
        <v>159.52000000000001</v>
      </c>
      <c r="F304" s="5">
        <v>164.11</v>
      </c>
      <c r="G304" s="5">
        <f t="shared" si="8"/>
        <v>-3.4038583677357903E-2</v>
      </c>
      <c r="H304" s="5">
        <f t="shared" si="8"/>
        <v>-6.4429769766196632E-2</v>
      </c>
      <c r="I304" s="5">
        <f t="shared" si="7"/>
        <v>-3.0744926479523649E-2</v>
      </c>
      <c r="J304" s="5">
        <f t="shared" si="7"/>
        <v>1.0778516876077893E-2</v>
      </c>
      <c r="K304" s="5"/>
      <c r="L304" s="5"/>
      <c r="M304" s="5"/>
      <c r="N304" s="5"/>
      <c r="O304" s="5"/>
      <c r="P304" s="5"/>
      <c r="Q304" s="5"/>
    </row>
    <row r="305" spans="1:17" ht="15.6">
      <c r="A305" s="5"/>
      <c r="B305" s="12">
        <v>44327</v>
      </c>
      <c r="C305" s="5">
        <v>495.08</v>
      </c>
      <c r="D305" s="5">
        <v>205.73</v>
      </c>
      <c r="E305" s="5">
        <v>161.19999999999999</v>
      </c>
      <c r="F305" s="5">
        <v>162.77000000000001</v>
      </c>
      <c r="G305" s="5">
        <f t="shared" si="8"/>
        <v>1.7238899504818272E-2</v>
      </c>
      <c r="H305" s="5">
        <f t="shared" si="8"/>
        <v>-1.8838229683327046E-2</v>
      </c>
      <c r="I305" s="5">
        <f t="shared" si="7"/>
        <v>1.0531594784352949E-2</v>
      </c>
      <c r="J305" s="5">
        <f t="shared" si="7"/>
        <v>-8.1652550118822553E-3</v>
      </c>
      <c r="K305" s="5"/>
      <c r="L305" s="5"/>
      <c r="M305" s="5"/>
      <c r="N305" s="5"/>
      <c r="O305" s="5"/>
      <c r="P305" s="5"/>
      <c r="Q305" s="5"/>
    </row>
    <row r="306" spans="1:17" ht="15.6">
      <c r="A306" s="5"/>
      <c r="B306" s="12">
        <v>44328</v>
      </c>
      <c r="C306" s="5">
        <v>484.98</v>
      </c>
      <c r="D306" s="5">
        <v>196.63</v>
      </c>
      <c r="E306" s="5">
        <v>157.6</v>
      </c>
      <c r="F306" s="5">
        <v>161.5</v>
      </c>
      <c r="G306" s="5">
        <f t="shared" si="8"/>
        <v>-2.0400743314211822E-2</v>
      </c>
      <c r="H306" s="5">
        <f t="shared" si="8"/>
        <v>-4.4232732221844095E-2</v>
      </c>
      <c r="I306" s="5">
        <f t="shared" si="7"/>
        <v>-2.2332506203473934E-2</v>
      </c>
      <c r="J306" s="5">
        <f t="shared" si="7"/>
        <v>-7.8024205934754676E-3</v>
      </c>
      <c r="K306" s="5"/>
      <c r="L306" s="5"/>
      <c r="M306" s="5"/>
      <c r="N306" s="5"/>
      <c r="O306" s="5"/>
      <c r="P306" s="5"/>
      <c r="Q306" s="5"/>
    </row>
    <row r="307" spans="1:17" ht="15.6">
      <c r="A307" s="5"/>
      <c r="B307" s="12">
        <v>44329</v>
      </c>
      <c r="C307" s="5">
        <v>486.66</v>
      </c>
      <c r="D307" s="5">
        <v>190.56</v>
      </c>
      <c r="E307" s="5">
        <v>158.07</v>
      </c>
      <c r="F307" s="5">
        <v>165.35</v>
      </c>
      <c r="G307" s="5">
        <f t="shared" si="8"/>
        <v>3.4640603736235676E-3</v>
      </c>
      <c r="H307" s="5">
        <f t="shared" si="8"/>
        <v>-3.08701622336367E-2</v>
      </c>
      <c r="I307" s="5">
        <f t="shared" si="7"/>
        <v>2.982233502538012E-3</v>
      </c>
      <c r="J307" s="5">
        <f t="shared" si="7"/>
        <v>2.3839009287925705E-2</v>
      </c>
      <c r="K307" s="5"/>
      <c r="L307" s="5"/>
      <c r="M307" s="5"/>
      <c r="N307" s="5"/>
      <c r="O307" s="5"/>
      <c r="P307" s="5"/>
      <c r="Q307" s="5"/>
    </row>
    <row r="308" spans="1:17" ht="15.6">
      <c r="A308" s="5"/>
      <c r="B308" s="12">
        <v>44330</v>
      </c>
      <c r="C308" s="5">
        <v>493.37</v>
      </c>
      <c r="D308" s="5">
        <v>196.58</v>
      </c>
      <c r="E308" s="5">
        <v>161.15</v>
      </c>
      <c r="F308" s="5">
        <v>164.88</v>
      </c>
      <c r="G308" s="5">
        <f t="shared" si="8"/>
        <v>1.3787860107672634E-2</v>
      </c>
      <c r="H308" s="5">
        <f t="shared" si="8"/>
        <v>3.1591099916036924E-2</v>
      </c>
      <c r="I308" s="5">
        <f t="shared" si="7"/>
        <v>1.9485038274182465E-2</v>
      </c>
      <c r="J308" s="5">
        <f t="shared" si="7"/>
        <v>-2.8424553976413858E-3</v>
      </c>
      <c r="K308" s="5"/>
      <c r="L308" s="5"/>
      <c r="M308" s="5"/>
      <c r="N308" s="5"/>
      <c r="O308" s="5"/>
      <c r="P308" s="5"/>
      <c r="Q308" s="5"/>
    </row>
    <row r="309" spans="1:17" ht="15.6">
      <c r="A309" s="5"/>
      <c r="B309" s="12">
        <v>44333</v>
      </c>
      <c r="C309" s="5">
        <v>488.94</v>
      </c>
      <c r="D309" s="5">
        <v>192.28</v>
      </c>
      <c r="E309" s="5">
        <v>163.52000000000001</v>
      </c>
      <c r="F309" s="5">
        <v>166.21</v>
      </c>
      <c r="G309" s="5">
        <f t="shared" si="8"/>
        <v>-8.9790623669862013E-3</v>
      </c>
      <c r="H309" s="5">
        <f t="shared" si="8"/>
        <v>-2.1874046189846452E-2</v>
      </c>
      <c r="I309" s="5">
        <f t="shared" si="7"/>
        <v>1.4706794911573118E-2</v>
      </c>
      <c r="J309" s="5">
        <f t="shared" si="7"/>
        <v>8.0664725861232522E-3</v>
      </c>
      <c r="K309" s="5"/>
      <c r="L309" s="5"/>
      <c r="M309" s="5"/>
      <c r="N309" s="5"/>
      <c r="O309" s="5"/>
      <c r="P309" s="5"/>
      <c r="Q309" s="5"/>
    </row>
    <row r="310" spans="1:17" ht="15.6">
      <c r="A310" s="5"/>
      <c r="B310" s="12">
        <v>44334</v>
      </c>
      <c r="C310" s="5">
        <v>486.28</v>
      </c>
      <c r="D310" s="5">
        <v>192.62</v>
      </c>
      <c r="E310" s="5">
        <v>161.61000000000001</v>
      </c>
      <c r="F310" s="5">
        <v>166.5</v>
      </c>
      <c r="G310" s="5">
        <f t="shared" si="8"/>
        <v>-5.4403403280566254E-3</v>
      </c>
      <c r="H310" s="5">
        <f t="shared" si="8"/>
        <v>1.7682546286665879E-3</v>
      </c>
      <c r="I310" s="5">
        <f t="shared" si="7"/>
        <v>-1.1680528375733856E-2</v>
      </c>
      <c r="J310" s="5">
        <f t="shared" si="7"/>
        <v>1.7447806991155446E-3</v>
      </c>
      <c r="K310" s="5"/>
      <c r="L310" s="5"/>
      <c r="M310" s="5"/>
      <c r="N310" s="5"/>
      <c r="O310" s="5"/>
      <c r="P310" s="5"/>
      <c r="Q310" s="5"/>
    </row>
    <row r="311" spans="1:17" ht="15.6">
      <c r="A311" s="5"/>
      <c r="B311" s="12">
        <v>44335</v>
      </c>
      <c r="C311" s="5">
        <v>487.7</v>
      </c>
      <c r="D311" s="5">
        <v>187.82</v>
      </c>
      <c r="E311" s="5">
        <v>161.59</v>
      </c>
      <c r="F311" s="5">
        <v>166.01</v>
      </c>
      <c r="G311" s="5">
        <f t="shared" si="8"/>
        <v>2.9201283211319762E-3</v>
      </c>
      <c r="H311" s="5">
        <f t="shared" si="8"/>
        <v>-2.4919530682172231E-2</v>
      </c>
      <c r="I311" s="5">
        <f t="shared" si="7"/>
        <v>-1.2375471814873862E-4</v>
      </c>
      <c r="J311" s="5">
        <f t="shared" si="7"/>
        <v>-2.9429429429429499E-3</v>
      </c>
      <c r="K311" s="5"/>
      <c r="L311" s="5"/>
      <c r="M311" s="5"/>
      <c r="N311" s="5"/>
      <c r="O311" s="5"/>
      <c r="P311" s="5"/>
      <c r="Q311" s="5"/>
    </row>
    <row r="312" spans="1:17" ht="15.6">
      <c r="A312" s="5"/>
      <c r="B312" s="12">
        <v>44336</v>
      </c>
      <c r="C312" s="5">
        <v>501.67</v>
      </c>
      <c r="D312" s="5">
        <v>195.59</v>
      </c>
      <c r="E312" s="5">
        <v>162.38</v>
      </c>
      <c r="F312" s="5">
        <v>167.57</v>
      </c>
      <c r="G312" s="5">
        <f t="shared" si="8"/>
        <v>2.8644658601599371E-2</v>
      </c>
      <c r="H312" s="5">
        <f t="shared" si="8"/>
        <v>4.1369396230433342E-2</v>
      </c>
      <c r="I312" s="5">
        <f t="shared" si="7"/>
        <v>4.8889163933412139E-3</v>
      </c>
      <c r="J312" s="5">
        <f t="shared" si="7"/>
        <v>9.3970242756460376E-3</v>
      </c>
      <c r="K312" s="5"/>
      <c r="L312" s="5"/>
      <c r="M312" s="5"/>
      <c r="N312" s="5"/>
      <c r="O312" s="5"/>
      <c r="P312" s="5"/>
      <c r="Q312" s="5"/>
    </row>
    <row r="313" spans="1:17" ht="15.6">
      <c r="A313" s="5"/>
      <c r="B313" s="12">
        <v>44337</v>
      </c>
      <c r="C313" s="5">
        <v>497.89</v>
      </c>
      <c r="D313" s="5">
        <v>193.63</v>
      </c>
      <c r="E313" s="5">
        <v>160.15</v>
      </c>
      <c r="F313" s="5">
        <v>168.22</v>
      </c>
      <c r="G313" s="5">
        <f t="shared" si="8"/>
        <v>-7.5348336555903783E-3</v>
      </c>
      <c r="H313" s="5">
        <f t="shared" si="8"/>
        <v>-1.0020962216882312E-2</v>
      </c>
      <c r="I313" s="5">
        <f t="shared" si="7"/>
        <v>-1.3733218376647316E-2</v>
      </c>
      <c r="J313" s="5">
        <f t="shared" si="7"/>
        <v>3.8789759503492505E-3</v>
      </c>
      <c r="K313" s="5"/>
      <c r="L313" s="5"/>
      <c r="M313" s="5"/>
      <c r="N313" s="5"/>
      <c r="O313" s="5"/>
      <c r="P313" s="5"/>
      <c r="Q313" s="5"/>
    </row>
    <row r="314" spans="1:17" ht="15.6">
      <c r="A314" s="5"/>
      <c r="B314" s="12">
        <v>44340</v>
      </c>
      <c r="C314" s="5">
        <v>502.9</v>
      </c>
      <c r="D314" s="5">
        <v>202.15</v>
      </c>
      <c r="E314" s="5">
        <v>162.25</v>
      </c>
      <c r="F314" s="5">
        <v>168.55</v>
      </c>
      <c r="G314" s="5">
        <f t="shared" si="8"/>
        <v>1.0062463596376636E-2</v>
      </c>
      <c r="H314" s="5">
        <f t="shared" si="8"/>
        <v>4.4001446056912696E-2</v>
      </c>
      <c r="I314" s="5">
        <f t="shared" si="7"/>
        <v>1.3112706837340005E-2</v>
      </c>
      <c r="J314" s="5">
        <f t="shared" si="7"/>
        <v>1.9617167994294693E-3</v>
      </c>
      <c r="K314" s="5"/>
      <c r="L314" s="5"/>
      <c r="M314" s="5"/>
      <c r="N314" s="5"/>
      <c r="O314" s="5"/>
      <c r="P314" s="5"/>
      <c r="Q314" s="5"/>
    </row>
    <row r="315" spans="1:17" ht="15.6">
      <c r="A315" s="5"/>
      <c r="B315" s="12">
        <v>44341</v>
      </c>
      <c r="C315" s="5">
        <v>501.34</v>
      </c>
      <c r="D315" s="5">
        <v>201.56</v>
      </c>
      <c r="E315" s="5">
        <v>162.94999999999999</v>
      </c>
      <c r="F315" s="5">
        <v>169.15</v>
      </c>
      <c r="G315" s="5">
        <f t="shared" si="8"/>
        <v>-3.1020083515609365E-3</v>
      </c>
      <c r="H315" s="5">
        <f t="shared" si="8"/>
        <v>-2.9186247835765178E-3</v>
      </c>
      <c r="I315" s="5">
        <f t="shared" si="7"/>
        <v>4.3143297380585643E-3</v>
      </c>
      <c r="J315" s="5">
        <f t="shared" si="7"/>
        <v>3.5597745476119158E-3</v>
      </c>
      <c r="K315" s="5"/>
      <c r="L315" s="5"/>
      <c r="M315" s="5"/>
      <c r="N315" s="5"/>
      <c r="O315" s="5"/>
      <c r="P315" s="5"/>
      <c r="Q315" s="5"/>
    </row>
    <row r="316" spans="1:17" ht="15.6">
      <c r="A316" s="5"/>
      <c r="B316" s="12">
        <v>44342</v>
      </c>
      <c r="C316" s="5">
        <v>502.36</v>
      </c>
      <c r="D316" s="5">
        <v>206.38</v>
      </c>
      <c r="E316" s="5">
        <v>163.26</v>
      </c>
      <c r="F316" s="5">
        <v>168.74</v>
      </c>
      <c r="G316" s="5">
        <f t="shared" si="8"/>
        <v>2.0345474129335184E-3</v>
      </c>
      <c r="H316" s="5">
        <f t="shared" si="8"/>
        <v>2.3913474895812525E-2</v>
      </c>
      <c r="I316" s="5">
        <f t="shared" si="7"/>
        <v>1.9024240564591288E-3</v>
      </c>
      <c r="J316" s="5">
        <f t="shared" si="7"/>
        <v>-2.4238841265149524E-3</v>
      </c>
      <c r="K316" s="5"/>
      <c r="L316" s="5"/>
      <c r="M316" s="5"/>
      <c r="N316" s="5"/>
      <c r="O316" s="5"/>
      <c r="P316" s="5"/>
      <c r="Q316" s="5"/>
    </row>
    <row r="317" spans="1:17" ht="15.6">
      <c r="A317" s="5"/>
      <c r="B317" s="12">
        <v>44343</v>
      </c>
      <c r="C317" s="5">
        <v>503.86</v>
      </c>
      <c r="D317" s="5">
        <v>210.28</v>
      </c>
      <c r="E317" s="5">
        <v>161.51</v>
      </c>
      <c r="F317" s="5">
        <v>167.92</v>
      </c>
      <c r="G317" s="5">
        <f t="shared" si="8"/>
        <v>2.9859065212198832E-3</v>
      </c>
      <c r="H317" s="5">
        <f t="shared" si="8"/>
        <v>1.8897179959298516E-2</v>
      </c>
      <c r="I317" s="5">
        <f t="shared" si="7"/>
        <v>-1.0719098370697067E-2</v>
      </c>
      <c r="J317" s="5">
        <f t="shared" si="7"/>
        <v>-4.8595472324287625E-3</v>
      </c>
      <c r="K317" s="5"/>
      <c r="L317" s="5"/>
      <c r="M317" s="5"/>
      <c r="N317" s="5"/>
      <c r="O317" s="5"/>
      <c r="P317" s="5"/>
      <c r="Q317" s="5"/>
    </row>
    <row r="318" spans="1:17" ht="15.6">
      <c r="A318" s="5"/>
      <c r="B318" s="12">
        <v>44344</v>
      </c>
      <c r="C318" s="5">
        <v>502.81</v>
      </c>
      <c r="D318" s="5">
        <v>208.41</v>
      </c>
      <c r="E318" s="5">
        <v>161.15</v>
      </c>
      <c r="F318" s="5">
        <v>167.53</v>
      </c>
      <c r="G318" s="5">
        <f t="shared" si="8"/>
        <v>-2.0839121978327713E-3</v>
      </c>
      <c r="H318" s="5">
        <f t="shared" si="8"/>
        <v>-8.8929046984972393E-3</v>
      </c>
      <c r="I318" s="5">
        <f t="shared" si="7"/>
        <v>-2.2289641508265179E-3</v>
      </c>
      <c r="J318" s="5">
        <f t="shared" si="7"/>
        <v>-2.3225345402572151E-3</v>
      </c>
      <c r="K318" s="5"/>
      <c r="L318" s="5"/>
      <c r="M318" s="5"/>
      <c r="N318" s="5"/>
      <c r="O318" s="5"/>
      <c r="P318" s="5"/>
      <c r="Q318" s="5"/>
    </row>
    <row r="319" spans="1:17" ht="15.6">
      <c r="A319" s="5"/>
      <c r="B319" s="12">
        <v>44348</v>
      </c>
      <c r="C319" s="5">
        <v>499.08</v>
      </c>
      <c r="D319" s="5">
        <v>207.97</v>
      </c>
      <c r="E319" s="5">
        <v>160.93</v>
      </c>
      <c r="F319" s="5">
        <v>167.15</v>
      </c>
      <c r="G319" s="5">
        <f t="shared" si="8"/>
        <v>-7.4183091028420245E-3</v>
      </c>
      <c r="H319" s="5">
        <f t="shared" si="8"/>
        <v>-2.1112230699102952E-3</v>
      </c>
      <c r="I319" s="5">
        <f t="shared" si="7"/>
        <v>-1.3651877133106227E-3</v>
      </c>
      <c r="J319" s="5">
        <f t="shared" si="7"/>
        <v>-2.2682504626037048E-3</v>
      </c>
      <c r="K319" s="5"/>
      <c r="L319" s="5"/>
      <c r="M319" s="5"/>
      <c r="N319" s="5"/>
      <c r="O319" s="5"/>
      <c r="P319" s="5"/>
      <c r="Q319" s="5"/>
    </row>
    <row r="320" spans="1:17" ht="15.6">
      <c r="A320" s="5"/>
      <c r="B320" s="12">
        <v>44349</v>
      </c>
      <c r="C320" s="5">
        <v>499.24</v>
      </c>
      <c r="D320" s="5">
        <v>201.71</v>
      </c>
      <c r="E320" s="5">
        <v>161.69999999999999</v>
      </c>
      <c r="F320" s="5">
        <v>168.01</v>
      </c>
      <c r="G320" s="5">
        <f t="shared" si="8"/>
        <v>3.2058988538907762E-4</v>
      </c>
      <c r="H320" s="5">
        <f t="shared" si="8"/>
        <v>-3.0100495263739924E-2</v>
      </c>
      <c r="I320" s="5">
        <f t="shared" si="7"/>
        <v>4.7846889952152249E-3</v>
      </c>
      <c r="J320" s="5">
        <f t="shared" si="7"/>
        <v>5.1450792701166481E-3</v>
      </c>
      <c r="K320" s="5"/>
      <c r="L320" s="5"/>
      <c r="M320" s="5"/>
      <c r="N320" s="5"/>
      <c r="O320" s="5"/>
      <c r="P320" s="5"/>
      <c r="Q320" s="5"/>
    </row>
    <row r="321" spans="1:17" ht="15.6">
      <c r="A321" s="5"/>
      <c r="B321" s="12">
        <v>44350</v>
      </c>
      <c r="C321" s="5">
        <v>489.43</v>
      </c>
      <c r="D321" s="5">
        <v>190.95</v>
      </c>
      <c r="E321" s="5">
        <v>159.35</v>
      </c>
      <c r="F321" s="5">
        <v>168.97</v>
      </c>
      <c r="G321" s="5">
        <f t="shared" si="8"/>
        <v>-1.9649867799054532E-2</v>
      </c>
      <c r="H321" s="5">
        <f t="shared" si="8"/>
        <v>-5.3343909573149717E-2</v>
      </c>
      <c r="I321" s="5">
        <f t="shared" si="7"/>
        <v>-1.4533085961657366E-2</v>
      </c>
      <c r="J321" s="5">
        <f t="shared" si="7"/>
        <v>5.7139455984762666E-3</v>
      </c>
      <c r="K321" s="5"/>
      <c r="L321" s="5"/>
      <c r="M321" s="5"/>
      <c r="N321" s="5"/>
      <c r="O321" s="5"/>
      <c r="P321" s="5"/>
      <c r="Q321" s="5"/>
    </row>
    <row r="322" spans="1:17" ht="15.6">
      <c r="A322" s="5"/>
      <c r="B322" s="12">
        <v>44351</v>
      </c>
      <c r="C322" s="5">
        <v>494.74</v>
      </c>
      <c r="D322" s="5">
        <v>199.68</v>
      </c>
      <c r="E322" s="5">
        <v>160.31</v>
      </c>
      <c r="F322" s="5">
        <v>169.32</v>
      </c>
      <c r="G322" s="5">
        <f t="shared" si="8"/>
        <v>1.0849355372576364E-2</v>
      </c>
      <c r="H322" s="5">
        <f t="shared" si="8"/>
        <v>4.5718774548311192E-2</v>
      </c>
      <c r="I322" s="5">
        <f t="shared" si="7"/>
        <v>6.0244744273612039E-3</v>
      </c>
      <c r="J322" s="5">
        <f t="shared" si="7"/>
        <v>2.0713736166182439E-3</v>
      </c>
      <c r="K322" s="5"/>
      <c r="L322" s="5"/>
      <c r="M322" s="5"/>
      <c r="N322" s="5"/>
      <c r="O322" s="5"/>
      <c r="P322" s="5"/>
      <c r="Q322" s="5"/>
    </row>
    <row r="323" spans="1:17" ht="15.6">
      <c r="A323" s="5"/>
      <c r="B323" s="12">
        <v>44354</v>
      </c>
      <c r="C323" s="5">
        <v>494.66</v>
      </c>
      <c r="D323" s="5">
        <v>201.71</v>
      </c>
      <c r="E323" s="5">
        <v>159.9</v>
      </c>
      <c r="F323" s="5">
        <v>168.44</v>
      </c>
      <c r="G323" s="5">
        <f t="shared" si="8"/>
        <v>-1.6170109552493539E-4</v>
      </c>
      <c r="H323" s="5">
        <f t="shared" si="8"/>
        <v>1.0166266025640969E-2</v>
      </c>
      <c r="I323" s="5">
        <f t="shared" si="7"/>
        <v>-2.5575447570331811E-3</v>
      </c>
      <c r="J323" s="5">
        <f t="shared" si="7"/>
        <v>-5.1972596267422233E-3</v>
      </c>
      <c r="K323" s="5"/>
      <c r="L323" s="5"/>
      <c r="M323" s="5"/>
      <c r="N323" s="5"/>
      <c r="O323" s="5"/>
      <c r="P323" s="5"/>
      <c r="Q323" s="5"/>
    </row>
    <row r="324" spans="1:17" ht="15.6">
      <c r="A324" s="5"/>
      <c r="B324" s="12">
        <v>44355</v>
      </c>
      <c r="C324" s="5">
        <v>492.39</v>
      </c>
      <c r="D324" s="5">
        <v>201.2</v>
      </c>
      <c r="E324" s="5">
        <v>163.21</v>
      </c>
      <c r="F324" s="5">
        <v>168.05</v>
      </c>
      <c r="G324" s="5">
        <f t="shared" si="8"/>
        <v>-4.589010633566537E-3</v>
      </c>
      <c r="H324" s="5">
        <f t="shared" si="8"/>
        <v>-2.5283823310694453E-3</v>
      </c>
      <c r="I324" s="5">
        <f t="shared" si="7"/>
        <v>2.0700437773608416E-2</v>
      </c>
      <c r="J324" s="5">
        <f t="shared" si="7"/>
        <v>-2.315364521491281E-3</v>
      </c>
      <c r="K324" s="5"/>
      <c r="L324" s="5"/>
      <c r="M324" s="5"/>
      <c r="N324" s="5"/>
      <c r="O324" s="5"/>
      <c r="P324" s="5"/>
      <c r="Q324" s="5"/>
    </row>
    <row r="325" spans="1:17" ht="15.6">
      <c r="A325" s="5"/>
      <c r="B325" s="12">
        <v>44356</v>
      </c>
      <c r="C325" s="5">
        <v>485.81</v>
      </c>
      <c r="D325" s="5">
        <v>199.59</v>
      </c>
      <c r="E325" s="5">
        <v>164.06</v>
      </c>
      <c r="F325" s="5">
        <v>167.35</v>
      </c>
      <c r="G325" s="5">
        <f t="shared" si="8"/>
        <v>-1.3363390808099229E-2</v>
      </c>
      <c r="H325" s="5">
        <f t="shared" si="8"/>
        <v>-8.0019880715704872E-3</v>
      </c>
      <c r="I325" s="5">
        <f t="shared" si="8"/>
        <v>5.2080142148152042E-3</v>
      </c>
      <c r="J325" s="5">
        <f t="shared" si="8"/>
        <v>-4.1654269562630963E-3</v>
      </c>
      <c r="K325" s="5"/>
      <c r="L325" s="5"/>
      <c r="M325" s="5"/>
      <c r="N325" s="5"/>
      <c r="O325" s="5"/>
      <c r="P325" s="5"/>
      <c r="Q325" s="5"/>
    </row>
    <row r="326" spans="1:17" ht="15.6">
      <c r="A326" s="5"/>
      <c r="B326" s="12">
        <v>44357</v>
      </c>
      <c r="C326" s="5">
        <v>487.27</v>
      </c>
      <c r="D326" s="5">
        <v>203.37</v>
      </c>
      <c r="E326" s="5">
        <v>167.48</v>
      </c>
      <c r="F326" s="5">
        <v>168.82</v>
      </c>
      <c r="G326" s="5">
        <f t="shared" ref="G326:J389" si="9">(C326/C325)-1</f>
        <v>3.0052901340029692E-3</v>
      </c>
      <c r="H326" s="5">
        <f t="shared" si="9"/>
        <v>1.8938824590410297E-2</v>
      </c>
      <c r="I326" s="5">
        <f t="shared" si="9"/>
        <v>2.0846031939534271E-2</v>
      </c>
      <c r="J326" s="5">
        <f t="shared" si="9"/>
        <v>8.7839856587990095E-3</v>
      </c>
      <c r="K326" s="5"/>
      <c r="L326" s="5"/>
      <c r="M326" s="5"/>
      <c r="N326" s="5"/>
      <c r="O326" s="5"/>
      <c r="P326" s="5"/>
      <c r="Q326" s="5"/>
    </row>
    <row r="327" spans="1:17" ht="15.6">
      <c r="A327" s="5"/>
      <c r="B327" s="12">
        <v>44358</v>
      </c>
      <c r="C327" s="5">
        <v>488.77</v>
      </c>
      <c r="D327" s="5">
        <v>203.3</v>
      </c>
      <c r="E327" s="5">
        <v>167.34</v>
      </c>
      <c r="F327" s="5">
        <v>169.23</v>
      </c>
      <c r="G327" s="5">
        <f t="shared" si="9"/>
        <v>3.0783754386685125E-3</v>
      </c>
      <c r="H327" s="5">
        <f t="shared" si="9"/>
        <v>-3.442002261886401E-4</v>
      </c>
      <c r="I327" s="5">
        <f t="shared" si="9"/>
        <v>-8.3592070695004406E-4</v>
      </c>
      <c r="J327" s="5">
        <f t="shared" si="9"/>
        <v>2.4286222011609127E-3</v>
      </c>
      <c r="K327" s="5"/>
      <c r="L327" s="5"/>
      <c r="M327" s="5"/>
      <c r="N327" s="5"/>
      <c r="O327" s="5"/>
      <c r="P327" s="5"/>
      <c r="Q327" s="5"/>
    </row>
    <row r="328" spans="1:17" ht="15.6">
      <c r="A328" s="5"/>
      <c r="B328" s="12">
        <v>44361</v>
      </c>
      <c r="C328" s="5">
        <v>499.89</v>
      </c>
      <c r="D328" s="5">
        <v>205.9</v>
      </c>
      <c r="E328" s="5">
        <v>169.19</v>
      </c>
      <c r="F328" s="5">
        <v>169.1</v>
      </c>
      <c r="G328" s="5">
        <f t="shared" si="9"/>
        <v>2.275098717188051E-2</v>
      </c>
      <c r="H328" s="5">
        <f t="shared" si="9"/>
        <v>1.2788981800295085E-2</v>
      </c>
      <c r="I328" s="5">
        <f t="shared" si="9"/>
        <v>1.1055336440779273E-2</v>
      </c>
      <c r="J328" s="5">
        <f t="shared" si="9"/>
        <v>-7.6818530993316703E-4</v>
      </c>
      <c r="K328" s="5"/>
      <c r="L328" s="5"/>
      <c r="M328" s="5"/>
      <c r="N328" s="5"/>
      <c r="O328" s="5"/>
      <c r="P328" s="5"/>
      <c r="Q328" s="5"/>
    </row>
    <row r="329" spans="1:17" ht="15.6">
      <c r="A329" s="5"/>
      <c r="B329" s="12">
        <v>44362</v>
      </c>
      <c r="C329" s="5">
        <v>491.9</v>
      </c>
      <c r="D329" s="5">
        <v>199.79</v>
      </c>
      <c r="E329" s="5">
        <v>169.16</v>
      </c>
      <c r="F329" s="5">
        <v>169.27</v>
      </c>
      <c r="G329" s="5">
        <f t="shared" si="9"/>
        <v>-1.598351637360218E-2</v>
      </c>
      <c r="H329" s="5">
        <f t="shared" si="9"/>
        <v>-2.9674599320058337E-2</v>
      </c>
      <c r="I329" s="5">
        <f t="shared" si="9"/>
        <v>-1.7731544417520784E-4</v>
      </c>
      <c r="J329" s="5">
        <f t="shared" si="9"/>
        <v>1.0053222945003437E-3</v>
      </c>
      <c r="K329" s="5"/>
      <c r="L329" s="5"/>
      <c r="M329" s="5"/>
      <c r="N329" s="5"/>
      <c r="O329" s="5"/>
      <c r="P329" s="5"/>
      <c r="Q329" s="5"/>
    </row>
    <row r="330" spans="1:17" ht="15.6">
      <c r="A330" s="5"/>
      <c r="B330" s="12">
        <v>44363</v>
      </c>
      <c r="C330" s="5">
        <v>492.41</v>
      </c>
      <c r="D330" s="5">
        <v>201.62</v>
      </c>
      <c r="E330" s="5">
        <v>170.76</v>
      </c>
      <c r="F330" s="5">
        <v>167.16</v>
      </c>
      <c r="G330" s="5">
        <f t="shared" si="9"/>
        <v>1.0367960967676559E-3</v>
      </c>
      <c r="H330" s="5">
        <f t="shared" si="9"/>
        <v>9.1596175984784978E-3</v>
      </c>
      <c r="I330" s="5">
        <f t="shared" si="9"/>
        <v>9.4585008276188987E-3</v>
      </c>
      <c r="J330" s="5">
        <f t="shared" si="9"/>
        <v>-1.2465292136822903E-2</v>
      </c>
      <c r="K330" s="5"/>
      <c r="L330" s="5"/>
      <c r="M330" s="5"/>
      <c r="N330" s="5"/>
      <c r="O330" s="5"/>
      <c r="P330" s="5"/>
      <c r="Q330" s="5"/>
    </row>
    <row r="331" spans="1:17" ht="15.6">
      <c r="A331" s="5"/>
      <c r="B331" s="12">
        <v>44364</v>
      </c>
      <c r="C331" s="5">
        <v>498.34</v>
      </c>
      <c r="D331" s="5">
        <v>205.53</v>
      </c>
      <c r="E331" s="5">
        <v>174.46</v>
      </c>
      <c r="F331" s="5">
        <v>167.98</v>
      </c>
      <c r="G331" s="5">
        <f t="shared" si="9"/>
        <v>1.2042809853577197E-2</v>
      </c>
      <c r="H331" s="5">
        <f t="shared" si="9"/>
        <v>1.9392917369308593E-2</v>
      </c>
      <c r="I331" s="5">
        <f t="shared" si="9"/>
        <v>2.1667837901147902E-2</v>
      </c>
      <c r="J331" s="5">
        <f t="shared" si="9"/>
        <v>4.9054797798515626E-3</v>
      </c>
      <c r="K331" s="5"/>
      <c r="L331" s="5"/>
      <c r="M331" s="5"/>
      <c r="N331" s="5"/>
      <c r="O331" s="5"/>
      <c r="P331" s="5"/>
      <c r="Q331" s="5"/>
    </row>
    <row r="332" spans="1:17" ht="15.6">
      <c r="A332" s="5"/>
      <c r="B332" s="12">
        <v>44365</v>
      </c>
      <c r="C332" s="5">
        <v>500.77</v>
      </c>
      <c r="D332" s="5">
        <v>207.77</v>
      </c>
      <c r="E332" s="5">
        <v>174.35</v>
      </c>
      <c r="F332" s="5">
        <v>165.05</v>
      </c>
      <c r="G332" s="5">
        <f t="shared" si="9"/>
        <v>4.8761889473050157E-3</v>
      </c>
      <c r="H332" s="5">
        <f t="shared" si="9"/>
        <v>1.0898652264876185E-2</v>
      </c>
      <c r="I332" s="5">
        <f t="shared" si="9"/>
        <v>-6.3051702395977571E-4</v>
      </c>
      <c r="J332" s="5">
        <f t="shared" si="9"/>
        <v>-1.7442552684843293E-2</v>
      </c>
      <c r="K332" s="5"/>
      <c r="L332" s="5"/>
      <c r="M332" s="5"/>
      <c r="N332" s="5"/>
      <c r="O332" s="5"/>
      <c r="P332" s="5"/>
      <c r="Q332" s="5"/>
    </row>
    <row r="333" spans="1:17" ht="15.6">
      <c r="A333" s="5"/>
      <c r="B333" s="12">
        <v>44368</v>
      </c>
      <c r="C333" s="5">
        <v>497</v>
      </c>
      <c r="D333" s="5">
        <v>206.94</v>
      </c>
      <c r="E333" s="5">
        <v>172.7</v>
      </c>
      <c r="F333" s="5">
        <v>166.75</v>
      </c>
      <c r="G333" s="5">
        <f t="shared" si="9"/>
        <v>-7.5284062543682362E-3</v>
      </c>
      <c r="H333" s="5">
        <f t="shared" si="9"/>
        <v>-3.9948019444578931E-3</v>
      </c>
      <c r="I333" s="5">
        <f t="shared" si="9"/>
        <v>-9.4637223974763929E-3</v>
      </c>
      <c r="J333" s="5">
        <f t="shared" si="9"/>
        <v>1.0299909118448802E-2</v>
      </c>
      <c r="K333" s="5"/>
      <c r="L333" s="5"/>
      <c r="M333" s="5"/>
      <c r="N333" s="5"/>
      <c r="O333" s="5"/>
      <c r="P333" s="5"/>
      <c r="Q333" s="5"/>
    </row>
    <row r="334" spans="1:17" ht="15.6">
      <c r="A334" s="5"/>
      <c r="B334" s="12">
        <v>44369</v>
      </c>
      <c r="C334" s="5">
        <v>508.82</v>
      </c>
      <c r="D334" s="5">
        <v>207.9</v>
      </c>
      <c r="E334" s="5">
        <v>175.27</v>
      </c>
      <c r="F334" s="5">
        <v>166.78</v>
      </c>
      <c r="G334" s="5">
        <f t="shared" si="9"/>
        <v>2.3782696177062412E-2</v>
      </c>
      <c r="H334" s="5">
        <f t="shared" si="9"/>
        <v>4.6390258045809762E-3</v>
      </c>
      <c r="I334" s="5">
        <f t="shared" si="9"/>
        <v>1.4881297046902331E-2</v>
      </c>
      <c r="J334" s="5">
        <f t="shared" si="9"/>
        <v>1.7991004497752705E-4</v>
      </c>
      <c r="K334" s="5"/>
      <c r="L334" s="5"/>
      <c r="M334" s="5"/>
      <c r="N334" s="5"/>
      <c r="O334" s="5"/>
      <c r="P334" s="5"/>
      <c r="Q334" s="5"/>
    </row>
    <row r="335" spans="1:17" ht="15.6">
      <c r="A335" s="5"/>
      <c r="B335" s="12">
        <v>44370</v>
      </c>
      <c r="C335" s="5">
        <v>512.74</v>
      </c>
      <c r="D335" s="5">
        <v>218.86</v>
      </c>
      <c r="E335" s="5">
        <v>175.19</v>
      </c>
      <c r="F335" s="5">
        <v>164.94</v>
      </c>
      <c r="G335" s="5">
        <f t="shared" si="9"/>
        <v>7.7040996816162277E-3</v>
      </c>
      <c r="H335" s="5">
        <f t="shared" si="9"/>
        <v>5.2717652717652719E-2</v>
      </c>
      <c r="I335" s="5">
        <f t="shared" si="9"/>
        <v>-4.5643863753075387E-4</v>
      </c>
      <c r="J335" s="5">
        <f t="shared" si="9"/>
        <v>-1.1032497901427019E-2</v>
      </c>
      <c r="K335" s="5"/>
      <c r="L335" s="5"/>
      <c r="M335" s="5"/>
      <c r="N335" s="5"/>
      <c r="O335" s="5"/>
      <c r="P335" s="5"/>
      <c r="Q335" s="5"/>
    </row>
    <row r="336" spans="1:17" ht="15.6">
      <c r="A336" s="5"/>
      <c r="B336" s="12">
        <v>44371</v>
      </c>
      <c r="C336" s="5">
        <v>518.05999999999995</v>
      </c>
      <c r="D336" s="5">
        <v>226.61</v>
      </c>
      <c r="E336" s="5">
        <v>172.45</v>
      </c>
      <c r="F336" s="5">
        <v>166.89</v>
      </c>
      <c r="G336" s="5">
        <f t="shared" si="9"/>
        <v>1.0375628973748663E-2</v>
      </c>
      <c r="H336" s="5">
        <f t="shared" si="9"/>
        <v>3.5410764872521261E-2</v>
      </c>
      <c r="I336" s="5">
        <f t="shared" si="9"/>
        <v>-1.5640162109709532E-2</v>
      </c>
      <c r="J336" s="5">
        <f t="shared" si="9"/>
        <v>1.1822480902146104E-2</v>
      </c>
      <c r="K336" s="5"/>
      <c r="L336" s="5"/>
      <c r="M336" s="5"/>
      <c r="N336" s="5"/>
      <c r="O336" s="5"/>
      <c r="P336" s="5"/>
      <c r="Q336" s="5"/>
    </row>
    <row r="337" spans="1:17" ht="15.6">
      <c r="A337" s="5"/>
      <c r="B337" s="12">
        <v>44372</v>
      </c>
      <c r="C337" s="5">
        <v>527.07000000000005</v>
      </c>
      <c r="D337" s="5">
        <v>223.96</v>
      </c>
      <c r="E337" s="5">
        <v>170.07</v>
      </c>
      <c r="F337" s="5">
        <v>169.54</v>
      </c>
      <c r="G337" s="5">
        <f t="shared" si="9"/>
        <v>1.7391807898699208E-2</v>
      </c>
      <c r="H337" s="5">
        <f t="shared" si="9"/>
        <v>-1.1694099995587126E-2</v>
      </c>
      <c r="I337" s="5">
        <f t="shared" si="9"/>
        <v>-1.3801101768628588E-2</v>
      </c>
      <c r="J337" s="5">
        <f t="shared" si="9"/>
        <v>1.5878722511834198E-2</v>
      </c>
      <c r="K337" s="5"/>
      <c r="L337" s="5"/>
      <c r="M337" s="5"/>
      <c r="N337" s="5"/>
      <c r="O337" s="5"/>
      <c r="P337" s="5"/>
      <c r="Q337" s="5"/>
    </row>
    <row r="338" spans="1:17" ht="15.6">
      <c r="A338" s="5"/>
      <c r="B338" s="12">
        <v>44375</v>
      </c>
      <c r="C338" s="5">
        <v>533.03</v>
      </c>
      <c r="D338" s="5">
        <v>229.57</v>
      </c>
      <c r="E338" s="5">
        <v>172.19</v>
      </c>
      <c r="F338" s="5">
        <v>168.97</v>
      </c>
      <c r="G338" s="5">
        <f t="shared" si="9"/>
        <v>1.130779592843445E-2</v>
      </c>
      <c r="H338" s="5">
        <f t="shared" si="9"/>
        <v>2.5049115913555964E-2</v>
      </c>
      <c r="I338" s="5">
        <f t="shared" si="9"/>
        <v>1.2465455400717307E-2</v>
      </c>
      <c r="J338" s="5">
        <f t="shared" si="9"/>
        <v>-3.3620384570012263E-3</v>
      </c>
      <c r="K338" s="5"/>
      <c r="L338" s="5"/>
      <c r="M338" s="5"/>
      <c r="N338" s="5"/>
      <c r="O338" s="5"/>
      <c r="P338" s="5"/>
      <c r="Q338" s="5"/>
    </row>
    <row r="339" spans="1:17" ht="15.6">
      <c r="A339" s="5"/>
      <c r="B339" s="12">
        <v>44376</v>
      </c>
      <c r="C339" s="5">
        <v>533.5</v>
      </c>
      <c r="D339" s="5">
        <v>226.92</v>
      </c>
      <c r="E339" s="5">
        <v>172.41</v>
      </c>
      <c r="F339" s="5">
        <v>166.52</v>
      </c>
      <c r="G339" s="5">
        <f t="shared" si="9"/>
        <v>8.8175149616342985E-4</v>
      </c>
      <c r="H339" s="5">
        <f t="shared" si="9"/>
        <v>-1.1543320120224743E-2</v>
      </c>
      <c r="I339" s="5">
        <f t="shared" si="9"/>
        <v>1.2776584006040093E-3</v>
      </c>
      <c r="J339" s="5">
        <f t="shared" si="9"/>
        <v>-1.4499615316328263E-2</v>
      </c>
      <c r="K339" s="5"/>
      <c r="L339" s="5"/>
      <c r="M339" s="5"/>
      <c r="N339" s="5"/>
      <c r="O339" s="5"/>
      <c r="P339" s="5"/>
      <c r="Q339" s="5"/>
    </row>
    <row r="340" spans="1:17" ht="15.6">
      <c r="A340" s="5"/>
      <c r="B340" s="12">
        <v>44377</v>
      </c>
      <c r="C340" s="5">
        <v>528.21</v>
      </c>
      <c r="D340" s="5">
        <v>226.57</v>
      </c>
      <c r="E340" s="5">
        <v>172.01</v>
      </c>
      <c r="F340" s="5">
        <v>168.63</v>
      </c>
      <c r="G340" s="5">
        <f t="shared" si="9"/>
        <v>-9.9156513589502282E-3</v>
      </c>
      <c r="H340" s="5">
        <f t="shared" si="9"/>
        <v>-1.5423937951700717E-3</v>
      </c>
      <c r="I340" s="5">
        <f t="shared" si="9"/>
        <v>-2.3200510411229835E-3</v>
      </c>
      <c r="J340" s="5">
        <f t="shared" si="9"/>
        <v>1.2671150612538984E-2</v>
      </c>
      <c r="K340" s="5"/>
      <c r="L340" s="5"/>
      <c r="M340" s="5"/>
      <c r="N340" s="5"/>
      <c r="O340" s="5"/>
      <c r="P340" s="5"/>
      <c r="Q340" s="5"/>
    </row>
    <row r="341" spans="1:17" ht="15.6">
      <c r="A341" s="5"/>
      <c r="B341" s="12">
        <v>44378</v>
      </c>
      <c r="C341" s="5">
        <v>533.54</v>
      </c>
      <c r="D341" s="5">
        <v>225.97</v>
      </c>
      <c r="E341" s="5">
        <v>171.65</v>
      </c>
      <c r="F341" s="5">
        <v>168.16</v>
      </c>
      <c r="G341" s="5">
        <f t="shared" si="9"/>
        <v>1.0090683629616848E-2</v>
      </c>
      <c r="H341" s="5">
        <f t="shared" si="9"/>
        <v>-2.648188197907908E-3</v>
      </c>
      <c r="I341" s="5">
        <f t="shared" si="9"/>
        <v>-2.0929015754896918E-3</v>
      </c>
      <c r="J341" s="5">
        <f t="shared" si="9"/>
        <v>-2.7871671707287993E-3</v>
      </c>
      <c r="K341" s="5"/>
      <c r="L341" s="5"/>
      <c r="M341" s="5"/>
      <c r="N341" s="5"/>
      <c r="O341" s="5"/>
      <c r="P341" s="5"/>
      <c r="Q341" s="5"/>
    </row>
    <row r="342" spans="1:17" ht="15.6">
      <c r="A342" s="5"/>
      <c r="B342" s="12">
        <v>44379</v>
      </c>
      <c r="C342" s="5">
        <v>533.98</v>
      </c>
      <c r="D342" s="5">
        <v>226.3</v>
      </c>
      <c r="E342" s="5">
        <v>175.55</v>
      </c>
      <c r="F342" s="5">
        <v>168.45</v>
      </c>
      <c r="G342" s="5">
        <f t="shared" si="9"/>
        <v>8.2468043633099342E-4</v>
      </c>
      <c r="H342" s="5">
        <f t="shared" si="9"/>
        <v>1.4603708456875086E-3</v>
      </c>
      <c r="I342" s="5">
        <f t="shared" si="9"/>
        <v>2.2720652490533011E-2</v>
      </c>
      <c r="J342" s="5">
        <f t="shared" si="9"/>
        <v>1.7245480494767484E-3</v>
      </c>
      <c r="K342" s="5"/>
      <c r="L342" s="5"/>
      <c r="M342" s="5"/>
      <c r="N342" s="5"/>
      <c r="O342" s="5"/>
      <c r="P342" s="5"/>
      <c r="Q342" s="5"/>
    </row>
    <row r="343" spans="1:17" ht="15.6">
      <c r="A343" s="5"/>
      <c r="B343" s="12">
        <v>44383</v>
      </c>
      <c r="C343" s="5">
        <v>541.64</v>
      </c>
      <c r="D343" s="5">
        <v>219.86</v>
      </c>
      <c r="E343" s="5">
        <v>183.79</v>
      </c>
      <c r="F343" s="5">
        <v>169.52</v>
      </c>
      <c r="G343" s="5">
        <f t="shared" si="9"/>
        <v>1.4345106558298015E-2</v>
      </c>
      <c r="H343" s="5">
        <f t="shared" si="9"/>
        <v>-2.8457799381352178E-2</v>
      </c>
      <c r="I343" s="5">
        <f t="shared" si="9"/>
        <v>4.6938194246653353E-2</v>
      </c>
      <c r="J343" s="5">
        <f t="shared" si="9"/>
        <v>6.3520332442863481E-3</v>
      </c>
      <c r="K343" s="5"/>
      <c r="L343" s="5"/>
      <c r="M343" s="5"/>
      <c r="N343" s="5"/>
      <c r="O343" s="5"/>
      <c r="P343" s="5"/>
      <c r="Q343" s="5"/>
    </row>
    <row r="344" spans="1:17" ht="15.6">
      <c r="A344" s="5"/>
      <c r="B344" s="12">
        <v>44384</v>
      </c>
      <c r="C344" s="5">
        <v>535.96</v>
      </c>
      <c r="D344" s="5">
        <v>214.88</v>
      </c>
      <c r="E344" s="5">
        <v>184.83</v>
      </c>
      <c r="F344" s="5">
        <v>170.94</v>
      </c>
      <c r="G344" s="5">
        <f t="shared" si="9"/>
        <v>-1.0486670112990093E-2</v>
      </c>
      <c r="H344" s="5">
        <f t="shared" si="9"/>
        <v>-2.2650777767670438E-2</v>
      </c>
      <c r="I344" s="5">
        <f t="shared" si="9"/>
        <v>5.6586321345013513E-3</v>
      </c>
      <c r="J344" s="5">
        <f t="shared" si="9"/>
        <v>8.3765927324208622E-3</v>
      </c>
      <c r="K344" s="5"/>
      <c r="L344" s="5"/>
      <c r="M344" s="5"/>
      <c r="N344" s="5"/>
      <c r="O344" s="5"/>
      <c r="P344" s="5"/>
      <c r="Q344" s="5"/>
    </row>
    <row r="345" spans="1:17" ht="15.6">
      <c r="A345" s="5"/>
      <c r="B345" s="12">
        <v>44385</v>
      </c>
      <c r="C345" s="5">
        <v>530.76</v>
      </c>
      <c r="D345" s="5">
        <v>217.6</v>
      </c>
      <c r="E345" s="5">
        <v>186.57</v>
      </c>
      <c r="F345" s="5">
        <v>170.18</v>
      </c>
      <c r="G345" s="5">
        <f t="shared" si="9"/>
        <v>-9.7022165833271501E-3</v>
      </c>
      <c r="H345" s="5">
        <f t="shared" si="9"/>
        <v>1.2658227848101333E-2</v>
      </c>
      <c r="I345" s="5">
        <f t="shared" si="9"/>
        <v>9.4140561597142458E-3</v>
      </c>
      <c r="J345" s="5">
        <f t="shared" si="9"/>
        <v>-4.4460044460044035E-3</v>
      </c>
      <c r="K345" s="5"/>
      <c r="L345" s="5"/>
      <c r="M345" s="5"/>
      <c r="N345" s="5"/>
      <c r="O345" s="5"/>
      <c r="P345" s="5"/>
      <c r="Q345" s="5"/>
    </row>
    <row r="346" spans="1:17" ht="15.6">
      <c r="A346" s="5"/>
      <c r="B346" s="12">
        <v>44386</v>
      </c>
      <c r="C346" s="5">
        <v>535.98</v>
      </c>
      <c r="D346" s="5">
        <v>218.98</v>
      </c>
      <c r="E346" s="5">
        <v>185.97</v>
      </c>
      <c r="F346" s="5">
        <v>171.11</v>
      </c>
      <c r="G346" s="5">
        <f t="shared" si="9"/>
        <v>9.8349536513679947E-3</v>
      </c>
      <c r="H346" s="5">
        <f t="shared" si="9"/>
        <v>6.3419117647058876E-3</v>
      </c>
      <c r="I346" s="5">
        <f t="shared" si="9"/>
        <v>-3.2159511175430255E-3</v>
      </c>
      <c r="J346" s="5">
        <f t="shared" si="9"/>
        <v>5.4648019743801513E-3</v>
      </c>
      <c r="K346" s="5"/>
      <c r="L346" s="5"/>
      <c r="M346" s="5"/>
      <c r="N346" s="5"/>
      <c r="O346" s="5"/>
      <c r="P346" s="5"/>
      <c r="Q346" s="5"/>
    </row>
    <row r="347" spans="1:17" ht="15.6">
      <c r="A347" s="5"/>
      <c r="B347" s="12">
        <v>44389</v>
      </c>
      <c r="C347" s="5">
        <v>537.30999999999995</v>
      </c>
      <c r="D347" s="5">
        <v>228.57</v>
      </c>
      <c r="E347" s="5">
        <v>185.93</v>
      </c>
      <c r="F347" s="5">
        <v>171.18</v>
      </c>
      <c r="G347" s="5">
        <f t="shared" si="9"/>
        <v>2.4814358744726928E-3</v>
      </c>
      <c r="H347" s="5">
        <f t="shared" si="9"/>
        <v>4.3793953785733919E-2</v>
      </c>
      <c r="I347" s="5">
        <f t="shared" si="9"/>
        <v>-2.1508845512707708E-4</v>
      </c>
      <c r="J347" s="5">
        <f t="shared" si="9"/>
        <v>4.0909356554252874E-4</v>
      </c>
      <c r="K347" s="5"/>
      <c r="L347" s="5"/>
      <c r="M347" s="5"/>
      <c r="N347" s="5"/>
      <c r="O347" s="5"/>
      <c r="P347" s="5"/>
      <c r="Q347" s="5"/>
    </row>
    <row r="348" spans="1:17" ht="15.6">
      <c r="A348" s="5"/>
      <c r="B348" s="12">
        <v>44390</v>
      </c>
      <c r="C348" s="5">
        <v>540.67999999999995</v>
      </c>
      <c r="D348" s="5">
        <v>222.85</v>
      </c>
      <c r="E348" s="5">
        <v>183.87</v>
      </c>
      <c r="F348" s="5">
        <v>170.32</v>
      </c>
      <c r="G348" s="5">
        <f t="shared" si="9"/>
        <v>6.27198451545663E-3</v>
      </c>
      <c r="H348" s="5">
        <f t="shared" si="9"/>
        <v>-2.5025156407227578E-2</v>
      </c>
      <c r="I348" s="5">
        <f t="shared" si="9"/>
        <v>-1.1079438498359573E-2</v>
      </c>
      <c r="J348" s="5">
        <f t="shared" si="9"/>
        <v>-5.023951396191273E-3</v>
      </c>
      <c r="K348" s="5"/>
      <c r="L348" s="5"/>
      <c r="M348" s="5"/>
      <c r="N348" s="5"/>
      <c r="O348" s="5"/>
      <c r="P348" s="5"/>
      <c r="Q348" s="5"/>
    </row>
    <row r="349" spans="1:17" ht="15.6">
      <c r="A349" s="5"/>
      <c r="B349" s="12">
        <v>44391</v>
      </c>
      <c r="C349" s="5">
        <v>547.95000000000005</v>
      </c>
      <c r="D349" s="5">
        <v>217.79</v>
      </c>
      <c r="E349" s="5">
        <v>184.08</v>
      </c>
      <c r="F349" s="5">
        <v>171.91</v>
      </c>
      <c r="G349" s="5">
        <f t="shared" si="9"/>
        <v>1.3446030924021857E-2</v>
      </c>
      <c r="H349" s="5">
        <f t="shared" si="9"/>
        <v>-2.2705855956921761E-2</v>
      </c>
      <c r="I349" s="5">
        <f t="shared" si="9"/>
        <v>1.1421112742699968E-3</v>
      </c>
      <c r="J349" s="5">
        <f t="shared" si="9"/>
        <v>9.3353687177077926E-3</v>
      </c>
      <c r="K349" s="5"/>
      <c r="L349" s="5"/>
      <c r="M349" s="5"/>
      <c r="N349" s="5"/>
      <c r="O349" s="5"/>
      <c r="P349" s="5"/>
      <c r="Q349" s="5"/>
    </row>
    <row r="350" spans="1:17" ht="15.6">
      <c r="A350" s="5"/>
      <c r="B350" s="12">
        <v>44392</v>
      </c>
      <c r="C350" s="5">
        <v>542.95000000000005</v>
      </c>
      <c r="D350" s="5">
        <v>216.87</v>
      </c>
      <c r="E350" s="5">
        <v>181.56</v>
      </c>
      <c r="F350" s="5">
        <v>173.77</v>
      </c>
      <c r="G350" s="5">
        <f t="shared" si="9"/>
        <v>-9.1249201569486571E-3</v>
      </c>
      <c r="H350" s="5">
        <f t="shared" si="9"/>
        <v>-4.224252720510524E-3</v>
      </c>
      <c r="I350" s="5">
        <f t="shared" si="9"/>
        <v>-1.368970013037818E-2</v>
      </c>
      <c r="J350" s="5">
        <f t="shared" si="9"/>
        <v>1.0819614914781006E-2</v>
      </c>
      <c r="K350" s="5"/>
      <c r="L350" s="5"/>
      <c r="M350" s="5"/>
      <c r="N350" s="5"/>
      <c r="O350" s="5"/>
      <c r="P350" s="5"/>
      <c r="Q350" s="5"/>
    </row>
    <row r="351" spans="1:17" ht="15.6">
      <c r="A351" s="5"/>
      <c r="B351" s="12">
        <v>44393</v>
      </c>
      <c r="C351" s="5">
        <v>530.30999999999995</v>
      </c>
      <c r="D351" s="5">
        <v>214.74</v>
      </c>
      <c r="E351" s="5">
        <v>178.68</v>
      </c>
      <c r="F351" s="5">
        <v>174.25</v>
      </c>
      <c r="G351" s="5">
        <f t="shared" si="9"/>
        <v>-2.3280228381987511E-2</v>
      </c>
      <c r="H351" s="5">
        <f t="shared" si="9"/>
        <v>-9.8215520818923929E-3</v>
      </c>
      <c r="I351" s="5">
        <f t="shared" si="9"/>
        <v>-1.5862524785194898E-2</v>
      </c>
      <c r="J351" s="5">
        <f t="shared" si="9"/>
        <v>2.7622719686941632E-3</v>
      </c>
      <c r="K351" s="5"/>
      <c r="L351" s="5"/>
      <c r="M351" s="5"/>
      <c r="N351" s="5"/>
      <c r="O351" s="5"/>
      <c r="P351" s="5"/>
      <c r="Q351" s="5"/>
    </row>
    <row r="352" spans="1:17" ht="15.6">
      <c r="A352" s="5"/>
      <c r="B352" s="12">
        <v>44396</v>
      </c>
      <c r="C352" s="5">
        <v>532.28</v>
      </c>
      <c r="D352" s="5">
        <v>215.41</v>
      </c>
      <c r="E352" s="5">
        <v>177.48</v>
      </c>
      <c r="F352" s="5">
        <v>173.71</v>
      </c>
      <c r="G352" s="5">
        <f t="shared" si="9"/>
        <v>3.7148083196620885E-3</v>
      </c>
      <c r="H352" s="5">
        <f t="shared" si="9"/>
        <v>3.1200521560956762E-3</v>
      </c>
      <c r="I352" s="5">
        <f t="shared" si="9"/>
        <v>-6.7159167226327199E-3</v>
      </c>
      <c r="J352" s="5">
        <f t="shared" si="9"/>
        <v>-3.0989956958392684E-3</v>
      </c>
      <c r="K352" s="5"/>
      <c r="L352" s="5"/>
      <c r="M352" s="5"/>
      <c r="N352" s="5"/>
      <c r="O352" s="5"/>
      <c r="P352" s="5"/>
      <c r="Q352" s="5"/>
    </row>
    <row r="353" spans="1:17" ht="15.6">
      <c r="A353" s="5"/>
      <c r="B353" s="12">
        <v>44397</v>
      </c>
      <c r="C353" s="5">
        <v>531.04999999999995</v>
      </c>
      <c r="D353" s="5">
        <v>220.17</v>
      </c>
      <c r="E353" s="5">
        <v>178.66</v>
      </c>
      <c r="F353" s="5">
        <v>174.53</v>
      </c>
      <c r="G353" s="5">
        <f t="shared" si="9"/>
        <v>-2.3108138573683101E-3</v>
      </c>
      <c r="H353" s="5">
        <f t="shared" si="9"/>
        <v>2.209739566408242E-2</v>
      </c>
      <c r="I353" s="5">
        <f t="shared" si="9"/>
        <v>6.6486364660807151E-3</v>
      </c>
      <c r="J353" s="5">
        <f t="shared" si="9"/>
        <v>4.7205111968222635E-3</v>
      </c>
      <c r="K353" s="5"/>
      <c r="L353" s="5"/>
      <c r="M353" s="5"/>
      <c r="N353" s="5"/>
      <c r="O353" s="5"/>
      <c r="P353" s="5"/>
      <c r="Q353" s="5"/>
    </row>
    <row r="354" spans="1:17" ht="15.6">
      <c r="A354" s="5"/>
      <c r="B354" s="12">
        <v>44398</v>
      </c>
      <c r="C354" s="5">
        <v>513.63</v>
      </c>
      <c r="D354" s="5">
        <v>218.43</v>
      </c>
      <c r="E354" s="5">
        <v>179.26</v>
      </c>
      <c r="F354" s="5">
        <v>172.34</v>
      </c>
      <c r="G354" s="5">
        <f t="shared" si="9"/>
        <v>-3.2802937576499325E-2</v>
      </c>
      <c r="H354" s="5">
        <f t="shared" si="9"/>
        <v>-7.9029840577734545E-3</v>
      </c>
      <c r="I354" s="5">
        <f t="shared" si="9"/>
        <v>3.3583342662040216E-3</v>
      </c>
      <c r="J354" s="5">
        <f t="shared" si="9"/>
        <v>-1.2547986019595503E-2</v>
      </c>
      <c r="K354" s="5"/>
      <c r="L354" s="5"/>
      <c r="M354" s="5"/>
      <c r="N354" s="5"/>
      <c r="O354" s="5"/>
      <c r="P354" s="5"/>
      <c r="Q354" s="5"/>
    </row>
    <row r="355" spans="1:17" ht="15.6">
      <c r="A355" s="5"/>
      <c r="B355" s="12">
        <v>44399</v>
      </c>
      <c r="C355" s="5">
        <v>511.77</v>
      </c>
      <c r="D355" s="5">
        <v>216.42</v>
      </c>
      <c r="E355" s="5">
        <v>181.9</v>
      </c>
      <c r="F355" s="5">
        <v>171.27</v>
      </c>
      <c r="G355" s="5">
        <f t="shared" si="9"/>
        <v>-3.6212838035162287E-3</v>
      </c>
      <c r="H355" s="5">
        <f t="shared" si="9"/>
        <v>-9.2020326878177183E-3</v>
      </c>
      <c r="I355" s="5">
        <f t="shared" si="9"/>
        <v>1.4727211871025325E-2</v>
      </c>
      <c r="J355" s="5">
        <f t="shared" si="9"/>
        <v>-6.2086573053266036E-3</v>
      </c>
      <c r="K355" s="5"/>
      <c r="L355" s="5"/>
      <c r="M355" s="5"/>
      <c r="N355" s="5"/>
      <c r="O355" s="5"/>
      <c r="P355" s="5"/>
      <c r="Q355" s="5"/>
    </row>
    <row r="356" spans="1:17" ht="15.6">
      <c r="A356" s="5"/>
      <c r="B356" s="12">
        <v>44400</v>
      </c>
      <c r="C356" s="5">
        <v>515.41</v>
      </c>
      <c r="D356" s="5">
        <v>214.46</v>
      </c>
      <c r="E356" s="5">
        <v>182.83</v>
      </c>
      <c r="F356" s="5">
        <v>173.54</v>
      </c>
      <c r="G356" s="5">
        <f t="shared" si="9"/>
        <v>7.1125700998495578E-3</v>
      </c>
      <c r="H356" s="5">
        <f t="shared" si="9"/>
        <v>-9.0564642824136898E-3</v>
      </c>
      <c r="I356" s="5">
        <f t="shared" si="9"/>
        <v>5.1126992853216535E-3</v>
      </c>
      <c r="J356" s="5">
        <f t="shared" si="9"/>
        <v>1.3253926548724149E-2</v>
      </c>
      <c r="K356" s="5"/>
      <c r="L356" s="5"/>
      <c r="M356" s="5"/>
      <c r="N356" s="5"/>
      <c r="O356" s="5"/>
      <c r="P356" s="5"/>
      <c r="Q356" s="5"/>
    </row>
    <row r="357" spans="1:17" ht="15.6">
      <c r="A357" s="5"/>
      <c r="B357" s="12">
        <v>44403</v>
      </c>
      <c r="C357" s="5">
        <v>516.49</v>
      </c>
      <c r="D357" s="5">
        <v>219.21</v>
      </c>
      <c r="E357" s="5">
        <v>184.99</v>
      </c>
      <c r="F357" s="5">
        <v>172.32</v>
      </c>
      <c r="G357" s="5">
        <f t="shared" si="9"/>
        <v>2.0954191808464362E-3</v>
      </c>
      <c r="H357" s="5">
        <f t="shared" si="9"/>
        <v>2.2148652429357485E-2</v>
      </c>
      <c r="I357" s="5">
        <f t="shared" si="9"/>
        <v>1.1814253678280373E-2</v>
      </c>
      <c r="J357" s="5">
        <f t="shared" si="9"/>
        <v>-7.0300795205716637E-3</v>
      </c>
      <c r="K357" s="5"/>
      <c r="L357" s="5"/>
      <c r="M357" s="5"/>
      <c r="N357" s="5"/>
      <c r="O357" s="5"/>
      <c r="P357" s="5"/>
      <c r="Q357" s="5"/>
    </row>
    <row r="358" spans="1:17" ht="15.6">
      <c r="A358" s="5"/>
      <c r="B358" s="12">
        <v>44404</v>
      </c>
      <c r="C358" s="5">
        <v>518.91</v>
      </c>
      <c r="D358" s="5">
        <v>214.93</v>
      </c>
      <c r="E358" s="5">
        <v>181.32</v>
      </c>
      <c r="F358" s="5">
        <v>173.53</v>
      </c>
      <c r="G358" s="5">
        <f t="shared" si="9"/>
        <v>4.6854730972525349E-3</v>
      </c>
      <c r="H358" s="5">
        <f t="shared" si="9"/>
        <v>-1.9524656721864875E-2</v>
      </c>
      <c r="I358" s="5">
        <f t="shared" si="9"/>
        <v>-1.9838910211362859E-2</v>
      </c>
      <c r="J358" s="5">
        <f t="shared" si="9"/>
        <v>7.0218198700093826E-3</v>
      </c>
      <c r="K358" s="5"/>
      <c r="L358" s="5"/>
      <c r="M358" s="5"/>
      <c r="N358" s="5"/>
      <c r="O358" s="5"/>
      <c r="P358" s="5"/>
      <c r="Q358" s="5"/>
    </row>
    <row r="359" spans="1:17" ht="15.6">
      <c r="A359" s="5"/>
      <c r="B359" s="12">
        <v>44405</v>
      </c>
      <c r="C359" s="5">
        <v>519.29999999999995</v>
      </c>
      <c r="D359" s="5">
        <v>215.66</v>
      </c>
      <c r="E359" s="5">
        <v>181.52</v>
      </c>
      <c r="F359" s="5">
        <v>170.87</v>
      </c>
      <c r="G359" s="5">
        <f t="shared" si="9"/>
        <v>7.5157541770254355E-4</v>
      </c>
      <c r="H359" s="5">
        <f t="shared" si="9"/>
        <v>3.3964546596565448E-3</v>
      </c>
      <c r="I359" s="5">
        <f t="shared" si="9"/>
        <v>1.1030222810501922E-3</v>
      </c>
      <c r="J359" s="5">
        <f t="shared" si="9"/>
        <v>-1.532876159741825E-2</v>
      </c>
      <c r="K359" s="5"/>
      <c r="L359" s="5"/>
      <c r="M359" s="5"/>
      <c r="N359" s="5"/>
      <c r="O359" s="5"/>
      <c r="P359" s="5"/>
      <c r="Q359" s="5"/>
    </row>
    <row r="360" spans="1:17" ht="15.6">
      <c r="A360" s="5"/>
      <c r="B360" s="12">
        <v>44406</v>
      </c>
      <c r="C360" s="5">
        <v>514.25</v>
      </c>
      <c r="D360" s="5">
        <v>225.78</v>
      </c>
      <c r="E360" s="5">
        <v>180</v>
      </c>
      <c r="F360" s="5">
        <v>172.83</v>
      </c>
      <c r="G360" s="5">
        <f t="shared" si="9"/>
        <v>-9.7246293086846736E-3</v>
      </c>
      <c r="H360" s="5">
        <f t="shared" si="9"/>
        <v>4.6925716405453066E-2</v>
      </c>
      <c r="I360" s="5">
        <f t="shared" si="9"/>
        <v>-8.3737329219921719E-3</v>
      </c>
      <c r="J360" s="5">
        <f t="shared" si="9"/>
        <v>1.1470708725932033E-2</v>
      </c>
      <c r="K360" s="5"/>
      <c r="L360" s="5"/>
      <c r="M360" s="5"/>
      <c r="N360" s="5"/>
      <c r="O360" s="5"/>
      <c r="P360" s="5"/>
      <c r="Q360" s="5"/>
    </row>
    <row r="361" spans="1:17" ht="15.6">
      <c r="A361" s="5"/>
      <c r="B361" s="12">
        <v>44407</v>
      </c>
      <c r="C361" s="5">
        <v>517.57000000000005</v>
      </c>
      <c r="D361" s="5">
        <v>229.07</v>
      </c>
      <c r="E361" s="5">
        <v>166.38</v>
      </c>
      <c r="F361" s="5">
        <v>173.18</v>
      </c>
      <c r="G361" s="5">
        <f t="shared" si="9"/>
        <v>6.4560038891590121E-3</v>
      </c>
      <c r="H361" s="5">
        <f t="shared" si="9"/>
        <v>1.4571706971387988E-2</v>
      </c>
      <c r="I361" s="5">
        <f t="shared" si="9"/>
        <v>-7.566666666666666E-2</v>
      </c>
      <c r="J361" s="5">
        <f t="shared" si="9"/>
        <v>2.0251113811258215E-3</v>
      </c>
      <c r="K361" s="5"/>
      <c r="L361" s="5"/>
      <c r="M361" s="5"/>
      <c r="N361" s="5"/>
      <c r="O361" s="5"/>
      <c r="P361" s="5"/>
      <c r="Q361" s="5"/>
    </row>
    <row r="362" spans="1:17" ht="15.6">
      <c r="A362" s="5"/>
      <c r="B362" s="12">
        <v>44410</v>
      </c>
      <c r="C362" s="5">
        <v>515.15</v>
      </c>
      <c r="D362" s="5">
        <v>236.56</v>
      </c>
      <c r="E362" s="5">
        <v>166.57</v>
      </c>
      <c r="F362" s="5">
        <v>172.72</v>
      </c>
      <c r="G362" s="5">
        <f t="shared" si="9"/>
        <v>-4.6756960411153958E-3</v>
      </c>
      <c r="H362" s="5">
        <f t="shared" si="9"/>
        <v>3.269742873357484E-2</v>
      </c>
      <c r="I362" s="5">
        <f t="shared" si="9"/>
        <v>1.1419641783867451E-3</v>
      </c>
      <c r="J362" s="5">
        <f t="shared" si="9"/>
        <v>-2.6561958655734186E-3</v>
      </c>
      <c r="K362" s="5"/>
      <c r="L362" s="5"/>
      <c r="M362" s="5"/>
      <c r="N362" s="5"/>
      <c r="O362" s="5"/>
      <c r="P362" s="5"/>
      <c r="Q362" s="5"/>
    </row>
    <row r="363" spans="1:17" ht="15.6">
      <c r="A363" s="5"/>
      <c r="B363" s="12">
        <v>44411</v>
      </c>
      <c r="C363" s="5">
        <v>510.82</v>
      </c>
      <c r="D363" s="5">
        <v>236.58</v>
      </c>
      <c r="E363" s="5">
        <v>168.31</v>
      </c>
      <c r="F363" s="5">
        <v>174.12</v>
      </c>
      <c r="G363" s="5">
        <f t="shared" si="9"/>
        <v>-8.4053188391730593E-3</v>
      </c>
      <c r="H363" s="5">
        <f t="shared" si="9"/>
        <v>8.4545147108538998E-5</v>
      </c>
      <c r="I363" s="5">
        <f t="shared" si="9"/>
        <v>1.044605871405424E-2</v>
      </c>
      <c r="J363" s="5">
        <f t="shared" si="9"/>
        <v>8.1056044465031007E-3</v>
      </c>
      <c r="K363" s="5"/>
      <c r="L363" s="5"/>
      <c r="M363" s="5"/>
      <c r="N363" s="5"/>
      <c r="O363" s="5"/>
      <c r="P363" s="5"/>
      <c r="Q363" s="5"/>
    </row>
    <row r="364" spans="1:17" ht="15.6">
      <c r="A364" s="5"/>
      <c r="B364" s="12">
        <v>44412</v>
      </c>
      <c r="C364" s="5">
        <v>517.35</v>
      </c>
      <c r="D364" s="5">
        <v>236.97</v>
      </c>
      <c r="E364" s="5">
        <v>167.74</v>
      </c>
      <c r="F364" s="5">
        <v>172.48</v>
      </c>
      <c r="G364" s="5">
        <f t="shared" si="9"/>
        <v>1.2783367918249189E-2</v>
      </c>
      <c r="H364" s="5">
        <f t="shared" si="9"/>
        <v>1.6484909967029449E-3</v>
      </c>
      <c r="I364" s="5">
        <f t="shared" si="9"/>
        <v>-3.3866080446793845E-3</v>
      </c>
      <c r="J364" s="5">
        <f t="shared" si="9"/>
        <v>-9.4187916379508962E-3</v>
      </c>
      <c r="K364" s="5"/>
      <c r="L364" s="5"/>
      <c r="M364" s="5"/>
      <c r="N364" s="5"/>
      <c r="O364" s="5"/>
      <c r="P364" s="5"/>
      <c r="Q364" s="5"/>
    </row>
    <row r="365" spans="1:17" ht="15.6">
      <c r="A365" s="5"/>
      <c r="B365" s="12">
        <v>44413</v>
      </c>
      <c r="C365" s="5">
        <v>524.89</v>
      </c>
      <c r="D365" s="5">
        <v>238.21</v>
      </c>
      <c r="E365" s="5">
        <v>168.8</v>
      </c>
      <c r="F365" s="5">
        <v>173.05</v>
      </c>
      <c r="G365" s="5">
        <f t="shared" si="9"/>
        <v>1.4574272736058713E-2</v>
      </c>
      <c r="H365" s="5">
        <f t="shared" si="9"/>
        <v>5.232729881419651E-3</v>
      </c>
      <c r="I365" s="5">
        <f t="shared" si="9"/>
        <v>6.3193036842732475E-3</v>
      </c>
      <c r="J365" s="5">
        <f t="shared" si="9"/>
        <v>3.3047309833025285E-3</v>
      </c>
      <c r="K365" s="5"/>
      <c r="L365" s="5"/>
      <c r="M365" s="5"/>
      <c r="N365" s="5"/>
      <c r="O365" s="5"/>
      <c r="P365" s="5"/>
      <c r="Q365" s="5"/>
    </row>
    <row r="366" spans="1:17" ht="15.6">
      <c r="A366" s="5"/>
      <c r="B366" s="12">
        <v>44414</v>
      </c>
      <c r="C366" s="5">
        <v>520.54999999999995</v>
      </c>
      <c r="D366" s="5">
        <v>233.03</v>
      </c>
      <c r="E366" s="5">
        <v>167.25</v>
      </c>
      <c r="F366" s="5">
        <v>172.9</v>
      </c>
      <c r="G366" s="5">
        <f t="shared" si="9"/>
        <v>-8.2683990931433637E-3</v>
      </c>
      <c r="H366" s="5">
        <f t="shared" si="9"/>
        <v>-2.1745518660005958E-2</v>
      </c>
      <c r="I366" s="5">
        <f t="shared" si="9"/>
        <v>-9.1824644549763912E-3</v>
      </c>
      <c r="J366" s="5">
        <f t="shared" si="9"/>
        <v>-8.6680150245599386E-4</v>
      </c>
      <c r="K366" s="5"/>
      <c r="L366" s="5"/>
      <c r="M366" s="5"/>
      <c r="N366" s="5"/>
      <c r="O366" s="5"/>
      <c r="P366" s="5"/>
      <c r="Q366" s="5"/>
    </row>
    <row r="367" spans="1:17" ht="15.6">
      <c r="A367" s="5"/>
      <c r="B367" s="12">
        <v>44417</v>
      </c>
      <c r="C367" s="5">
        <v>519.97</v>
      </c>
      <c r="D367" s="5">
        <v>237.92</v>
      </c>
      <c r="E367" s="5">
        <v>167.09</v>
      </c>
      <c r="F367" s="5">
        <v>172.78</v>
      </c>
      <c r="G367" s="5">
        <f t="shared" si="9"/>
        <v>-1.1142061281335103E-3</v>
      </c>
      <c r="H367" s="5">
        <f t="shared" si="9"/>
        <v>2.0984422606531217E-2</v>
      </c>
      <c r="I367" s="5">
        <f t="shared" si="9"/>
        <v>-9.5665171898351442E-4</v>
      </c>
      <c r="J367" s="5">
        <f t="shared" si="9"/>
        <v>-6.9404279930596058E-4</v>
      </c>
      <c r="K367" s="5"/>
      <c r="L367" s="5"/>
      <c r="M367" s="5"/>
      <c r="N367" s="5"/>
      <c r="O367" s="5"/>
      <c r="P367" s="5"/>
      <c r="Q367" s="5"/>
    </row>
    <row r="368" spans="1:17" ht="15.6">
      <c r="A368" s="5"/>
      <c r="B368" s="12">
        <v>44418</v>
      </c>
      <c r="C368" s="5">
        <v>515.84</v>
      </c>
      <c r="D368" s="5">
        <v>236.66</v>
      </c>
      <c r="E368" s="5">
        <v>166.03</v>
      </c>
      <c r="F368" s="5">
        <v>173.25</v>
      </c>
      <c r="G368" s="5">
        <f t="shared" si="9"/>
        <v>-7.9427659288036079E-3</v>
      </c>
      <c r="H368" s="5">
        <f t="shared" si="9"/>
        <v>-5.2958977807665564E-3</v>
      </c>
      <c r="I368" s="5">
        <f t="shared" si="9"/>
        <v>-6.3438865282183787E-3</v>
      </c>
      <c r="J368" s="5">
        <f t="shared" si="9"/>
        <v>2.7202222479454363E-3</v>
      </c>
      <c r="K368" s="5"/>
      <c r="L368" s="5"/>
      <c r="M368" s="5"/>
      <c r="N368" s="5"/>
      <c r="O368" s="5"/>
      <c r="P368" s="5"/>
      <c r="Q368" s="5"/>
    </row>
    <row r="369" spans="1:17" ht="15.6">
      <c r="A369" s="5"/>
      <c r="B369" s="12">
        <v>44419</v>
      </c>
      <c r="C369" s="5">
        <v>512.4</v>
      </c>
      <c r="D369" s="5">
        <v>235.94</v>
      </c>
      <c r="E369" s="5">
        <v>164.61</v>
      </c>
      <c r="F369" s="5">
        <v>172.97</v>
      </c>
      <c r="G369" s="5">
        <f t="shared" si="9"/>
        <v>-6.6687344913152202E-3</v>
      </c>
      <c r="H369" s="5">
        <f t="shared" si="9"/>
        <v>-3.0423392208230871E-3</v>
      </c>
      <c r="I369" s="5">
        <f t="shared" si="9"/>
        <v>-8.5526712039991626E-3</v>
      </c>
      <c r="J369" s="5">
        <f t="shared" si="9"/>
        <v>-1.6161616161616266E-3</v>
      </c>
      <c r="K369" s="5"/>
      <c r="L369" s="5"/>
      <c r="M369" s="5"/>
      <c r="N369" s="5"/>
      <c r="O369" s="5"/>
      <c r="P369" s="5"/>
      <c r="Q369" s="5"/>
    </row>
    <row r="370" spans="1:17" ht="15.6">
      <c r="A370" s="5"/>
      <c r="B370" s="12">
        <v>44420</v>
      </c>
      <c r="C370" s="5">
        <v>510.72</v>
      </c>
      <c r="D370" s="5">
        <v>240.75</v>
      </c>
      <c r="E370" s="5">
        <v>165.18</v>
      </c>
      <c r="F370" s="5">
        <v>171.98</v>
      </c>
      <c r="G370" s="5">
        <f t="shared" si="9"/>
        <v>-3.2786885245900121E-3</v>
      </c>
      <c r="H370" s="5">
        <f t="shared" si="9"/>
        <v>2.0386538950580624E-2</v>
      </c>
      <c r="I370" s="5">
        <f t="shared" si="9"/>
        <v>3.4627300893019797E-3</v>
      </c>
      <c r="J370" s="5">
        <f t="shared" si="9"/>
        <v>-5.7235358732729003E-3</v>
      </c>
      <c r="K370" s="5"/>
      <c r="L370" s="5"/>
      <c r="M370" s="5"/>
      <c r="N370" s="5"/>
      <c r="O370" s="5"/>
      <c r="P370" s="5"/>
      <c r="Q370" s="5"/>
    </row>
    <row r="371" spans="1:17" ht="15.6">
      <c r="A371" s="5"/>
      <c r="B371" s="12">
        <v>44421</v>
      </c>
      <c r="C371" s="5">
        <v>515.91999999999996</v>
      </c>
      <c r="D371" s="5">
        <v>239.06</v>
      </c>
      <c r="E371" s="5">
        <v>164.7</v>
      </c>
      <c r="F371" s="5">
        <v>173.68</v>
      </c>
      <c r="G371" s="5">
        <f t="shared" si="9"/>
        <v>1.018170426065157E-2</v>
      </c>
      <c r="H371" s="5">
        <f t="shared" si="9"/>
        <v>-7.0197300103842508E-3</v>
      </c>
      <c r="I371" s="5">
        <f t="shared" si="9"/>
        <v>-2.9059208136579251E-3</v>
      </c>
      <c r="J371" s="5">
        <f t="shared" si="9"/>
        <v>9.8848703337597321E-3</v>
      </c>
      <c r="K371" s="5"/>
      <c r="L371" s="5"/>
      <c r="M371" s="5"/>
      <c r="N371" s="5"/>
      <c r="O371" s="5"/>
      <c r="P371" s="5"/>
      <c r="Q371" s="5"/>
    </row>
    <row r="372" spans="1:17" ht="15.6">
      <c r="A372" s="5"/>
      <c r="B372" s="12">
        <v>44424</v>
      </c>
      <c r="C372" s="5">
        <v>517.91999999999996</v>
      </c>
      <c r="D372" s="5">
        <v>228.72</v>
      </c>
      <c r="E372" s="5">
        <v>164.95</v>
      </c>
      <c r="F372" s="5">
        <v>175.38</v>
      </c>
      <c r="G372" s="5">
        <f t="shared" si="9"/>
        <v>3.8765700108542855E-3</v>
      </c>
      <c r="H372" s="5">
        <f t="shared" si="9"/>
        <v>-4.3252739897933545E-2</v>
      </c>
      <c r="I372" s="5">
        <f t="shared" si="9"/>
        <v>1.5179113539769418E-3</v>
      </c>
      <c r="J372" s="5">
        <f t="shared" si="9"/>
        <v>9.7881160755410868E-3</v>
      </c>
      <c r="K372" s="5"/>
      <c r="L372" s="5"/>
      <c r="M372" s="5"/>
      <c r="N372" s="5"/>
      <c r="O372" s="5"/>
      <c r="P372" s="5"/>
      <c r="Q372" s="5"/>
    </row>
    <row r="373" spans="1:17" ht="15.6">
      <c r="A373" s="5"/>
      <c r="B373" s="12">
        <v>44425</v>
      </c>
      <c r="C373" s="5">
        <v>518.91</v>
      </c>
      <c r="D373" s="5">
        <v>221.9</v>
      </c>
      <c r="E373" s="5">
        <v>162.1</v>
      </c>
      <c r="F373" s="5">
        <v>176.32</v>
      </c>
      <c r="G373" s="5">
        <f t="shared" si="9"/>
        <v>1.9114921223355452E-3</v>
      </c>
      <c r="H373" s="5">
        <f t="shared" si="9"/>
        <v>-2.9818118223154944E-2</v>
      </c>
      <c r="I373" s="5">
        <f t="shared" si="9"/>
        <v>-1.7277963019096676E-2</v>
      </c>
      <c r="J373" s="5">
        <f t="shared" si="9"/>
        <v>5.3597901699167227E-3</v>
      </c>
      <c r="K373" s="5"/>
      <c r="L373" s="5"/>
      <c r="M373" s="5"/>
      <c r="N373" s="5"/>
      <c r="O373" s="5"/>
      <c r="P373" s="5"/>
      <c r="Q373" s="5"/>
    </row>
    <row r="374" spans="1:17" ht="15.6">
      <c r="A374" s="5"/>
      <c r="B374" s="12">
        <v>44426</v>
      </c>
      <c r="C374" s="5">
        <v>521.87</v>
      </c>
      <c r="D374" s="5">
        <v>229.66</v>
      </c>
      <c r="E374" s="5">
        <v>160.06</v>
      </c>
      <c r="F374" s="5">
        <v>173.79</v>
      </c>
      <c r="G374" s="5">
        <f t="shared" si="9"/>
        <v>5.7042647087164333E-3</v>
      </c>
      <c r="H374" s="5">
        <f t="shared" si="9"/>
        <v>3.497070752591247E-2</v>
      </c>
      <c r="I374" s="5">
        <f t="shared" si="9"/>
        <v>-1.2584824182603316E-2</v>
      </c>
      <c r="J374" s="5">
        <f t="shared" si="9"/>
        <v>-1.4348911070780401E-2</v>
      </c>
      <c r="K374" s="5"/>
      <c r="L374" s="5"/>
      <c r="M374" s="5"/>
      <c r="N374" s="5"/>
      <c r="O374" s="5"/>
      <c r="P374" s="5"/>
      <c r="Q374" s="5"/>
    </row>
    <row r="375" spans="1:17" ht="15.6">
      <c r="A375" s="5"/>
      <c r="B375" s="12">
        <v>44427</v>
      </c>
      <c r="C375" s="5">
        <v>543.71</v>
      </c>
      <c r="D375" s="5">
        <v>224.49</v>
      </c>
      <c r="E375" s="5">
        <v>159.38999999999999</v>
      </c>
      <c r="F375" s="5">
        <v>175.38</v>
      </c>
      <c r="G375" s="5">
        <f t="shared" si="9"/>
        <v>4.1849502749726986E-2</v>
      </c>
      <c r="H375" s="5">
        <f t="shared" si="9"/>
        <v>-2.2511538796481712E-2</v>
      </c>
      <c r="I375" s="5">
        <f t="shared" si="9"/>
        <v>-4.1859302761465544E-3</v>
      </c>
      <c r="J375" s="5">
        <f t="shared" si="9"/>
        <v>9.1489728983256136E-3</v>
      </c>
      <c r="K375" s="5"/>
      <c r="L375" s="5"/>
      <c r="M375" s="5"/>
      <c r="N375" s="5"/>
      <c r="O375" s="5"/>
      <c r="P375" s="5"/>
      <c r="Q375" s="5"/>
    </row>
    <row r="376" spans="1:17" ht="15.6">
      <c r="A376" s="5"/>
      <c r="B376" s="12">
        <v>44428</v>
      </c>
      <c r="C376" s="5">
        <v>546.88</v>
      </c>
      <c r="D376" s="5">
        <v>226.75</v>
      </c>
      <c r="E376" s="5">
        <v>160</v>
      </c>
      <c r="F376" s="5">
        <v>175.17</v>
      </c>
      <c r="G376" s="5">
        <f t="shared" si="9"/>
        <v>5.8303139541298066E-3</v>
      </c>
      <c r="H376" s="5">
        <f t="shared" si="9"/>
        <v>1.0067263575214813E-2</v>
      </c>
      <c r="I376" s="5">
        <f t="shared" si="9"/>
        <v>3.8270907836126522E-3</v>
      </c>
      <c r="J376" s="5">
        <f t="shared" si="9"/>
        <v>-1.1973999315771922E-3</v>
      </c>
      <c r="K376" s="5"/>
      <c r="L376" s="5"/>
      <c r="M376" s="5"/>
      <c r="N376" s="5"/>
      <c r="O376" s="5"/>
      <c r="P376" s="5"/>
      <c r="Q376" s="5"/>
    </row>
    <row r="377" spans="1:17" ht="15.6">
      <c r="A377" s="5"/>
      <c r="B377" s="12">
        <v>44431</v>
      </c>
      <c r="C377" s="5">
        <v>553.33000000000004</v>
      </c>
      <c r="D377" s="5">
        <v>235.43</v>
      </c>
      <c r="E377" s="5">
        <v>163.29</v>
      </c>
      <c r="F377" s="5">
        <v>173.92</v>
      </c>
      <c r="G377" s="5">
        <f t="shared" si="9"/>
        <v>1.1794177881802259E-2</v>
      </c>
      <c r="H377" s="5">
        <f t="shared" si="9"/>
        <v>3.8280044101433264E-2</v>
      </c>
      <c r="I377" s="5">
        <f t="shared" si="9"/>
        <v>2.0562500000000039E-2</v>
      </c>
      <c r="J377" s="5">
        <f t="shared" si="9"/>
        <v>-7.1359251013300984E-3</v>
      </c>
      <c r="K377" s="5"/>
      <c r="L377" s="5"/>
      <c r="M377" s="5"/>
      <c r="N377" s="5"/>
      <c r="O377" s="5"/>
      <c r="P377" s="5"/>
      <c r="Q377" s="5"/>
    </row>
    <row r="378" spans="1:17" ht="15.6">
      <c r="A378" s="5"/>
      <c r="B378" s="12">
        <v>44432</v>
      </c>
      <c r="C378" s="5">
        <v>553.41</v>
      </c>
      <c r="D378" s="5">
        <v>236.16</v>
      </c>
      <c r="E378" s="5">
        <v>165.29</v>
      </c>
      <c r="F378" s="5">
        <v>171.38</v>
      </c>
      <c r="G378" s="5">
        <f t="shared" si="9"/>
        <v>1.4457918421184601E-4</v>
      </c>
      <c r="H378" s="5">
        <f t="shared" si="9"/>
        <v>3.1007093403558894E-3</v>
      </c>
      <c r="I378" s="5">
        <f t="shared" si="9"/>
        <v>1.2248147467695425E-2</v>
      </c>
      <c r="J378" s="5">
        <f t="shared" si="9"/>
        <v>-1.4604415823367023E-2</v>
      </c>
      <c r="K378" s="5"/>
      <c r="L378" s="5"/>
      <c r="M378" s="5"/>
      <c r="N378" s="5"/>
      <c r="O378" s="5"/>
      <c r="P378" s="5"/>
      <c r="Q378" s="5"/>
    </row>
    <row r="379" spans="1:17" ht="15.6">
      <c r="A379" s="5"/>
      <c r="B379" s="12">
        <v>44433</v>
      </c>
      <c r="C379" s="5">
        <v>547.58000000000004</v>
      </c>
      <c r="D379" s="5">
        <v>237.07</v>
      </c>
      <c r="E379" s="5">
        <v>164.96</v>
      </c>
      <c r="F379" s="5">
        <v>170.86</v>
      </c>
      <c r="G379" s="5">
        <f t="shared" si="9"/>
        <v>-1.0534684953289464E-2</v>
      </c>
      <c r="H379" s="5">
        <f t="shared" si="9"/>
        <v>3.8533197831978061E-3</v>
      </c>
      <c r="I379" s="5">
        <f t="shared" si="9"/>
        <v>-1.9964910157903581E-3</v>
      </c>
      <c r="J379" s="5">
        <f t="shared" si="9"/>
        <v>-3.0341930213559909E-3</v>
      </c>
      <c r="K379" s="5"/>
      <c r="L379" s="5"/>
      <c r="M379" s="5"/>
      <c r="N379" s="5"/>
      <c r="O379" s="5"/>
      <c r="P379" s="5"/>
      <c r="Q379" s="5"/>
    </row>
    <row r="380" spans="1:17" ht="15.6">
      <c r="A380" s="5"/>
      <c r="B380" s="12">
        <v>44434</v>
      </c>
      <c r="C380" s="5">
        <v>550.12</v>
      </c>
      <c r="D380" s="5">
        <v>233.72</v>
      </c>
      <c r="E380" s="5">
        <v>165.8</v>
      </c>
      <c r="F380" s="5">
        <v>170.38</v>
      </c>
      <c r="G380" s="5">
        <f t="shared" si="9"/>
        <v>4.6385916213156353E-3</v>
      </c>
      <c r="H380" s="5">
        <f t="shared" si="9"/>
        <v>-1.413084742902937E-2</v>
      </c>
      <c r="I380" s="5">
        <f t="shared" si="9"/>
        <v>5.0921435499515777E-3</v>
      </c>
      <c r="J380" s="5">
        <f t="shared" si="9"/>
        <v>-2.809317569940406E-3</v>
      </c>
      <c r="K380" s="5"/>
      <c r="L380" s="5"/>
      <c r="M380" s="5"/>
      <c r="N380" s="5"/>
      <c r="O380" s="5"/>
      <c r="P380" s="5"/>
      <c r="Q380" s="5"/>
    </row>
    <row r="381" spans="1:17" ht="15.6">
      <c r="A381" s="5"/>
      <c r="B381" s="12">
        <v>44435</v>
      </c>
      <c r="C381" s="5">
        <v>558.91999999999996</v>
      </c>
      <c r="D381" s="5">
        <v>237.31</v>
      </c>
      <c r="E381" s="5">
        <v>167.48</v>
      </c>
      <c r="F381" s="5">
        <v>170.89</v>
      </c>
      <c r="G381" s="5">
        <f t="shared" si="9"/>
        <v>1.5996509852395757E-2</v>
      </c>
      <c r="H381" s="5">
        <f t="shared" si="9"/>
        <v>1.5360260140338866E-2</v>
      </c>
      <c r="I381" s="5">
        <f t="shared" si="9"/>
        <v>1.0132689987937038E-2</v>
      </c>
      <c r="J381" s="5">
        <f t="shared" si="9"/>
        <v>2.9933090738349932E-3</v>
      </c>
      <c r="K381" s="5"/>
      <c r="L381" s="5"/>
      <c r="M381" s="5"/>
      <c r="N381" s="5"/>
      <c r="O381" s="5"/>
      <c r="P381" s="5"/>
      <c r="Q381" s="5"/>
    </row>
    <row r="382" spans="1:17" ht="15.6">
      <c r="A382" s="5"/>
      <c r="B382" s="12">
        <v>44438</v>
      </c>
      <c r="C382" s="5">
        <v>566.17999999999995</v>
      </c>
      <c r="D382" s="5">
        <v>243.64</v>
      </c>
      <c r="E382" s="5">
        <v>171.08</v>
      </c>
      <c r="F382" s="5">
        <v>171.76</v>
      </c>
      <c r="G382" s="5">
        <f t="shared" si="9"/>
        <v>1.2989336577685417E-2</v>
      </c>
      <c r="H382" s="5">
        <f t="shared" si="9"/>
        <v>2.6673970755551668E-2</v>
      </c>
      <c r="I382" s="5">
        <f t="shared" si="9"/>
        <v>2.1495103893002243E-2</v>
      </c>
      <c r="J382" s="5">
        <f t="shared" si="9"/>
        <v>5.0909942067998148E-3</v>
      </c>
      <c r="K382" s="5"/>
      <c r="L382" s="5"/>
      <c r="M382" s="5"/>
      <c r="N382" s="5"/>
      <c r="O382" s="5"/>
      <c r="P382" s="5"/>
      <c r="Q382" s="5"/>
    </row>
    <row r="383" spans="1:17" ht="15.6">
      <c r="A383" s="5"/>
      <c r="B383" s="12">
        <v>44439</v>
      </c>
      <c r="C383" s="5">
        <v>569.19000000000005</v>
      </c>
      <c r="D383" s="5">
        <v>245.24</v>
      </c>
      <c r="E383" s="5">
        <v>173.54</v>
      </c>
      <c r="F383" s="5">
        <v>172.9</v>
      </c>
      <c r="G383" s="5">
        <f t="shared" si="9"/>
        <v>5.3163304956023172E-3</v>
      </c>
      <c r="H383" s="5">
        <f t="shared" si="9"/>
        <v>6.5670661631915817E-3</v>
      </c>
      <c r="I383" s="5">
        <f t="shared" si="9"/>
        <v>1.4379237783493037E-2</v>
      </c>
      <c r="J383" s="5">
        <f t="shared" si="9"/>
        <v>6.6371681415930972E-3</v>
      </c>
      <c r="K383" s="5"/>
      <c r="L383" s="5"/>
      <c r="M383" s="5"/>
      <c r="N383" s="5"/>
      <c r="O383" s="5"/>
      <c r="P383" s="5"/>
      <c r="Q383" s="5"/>
    </row>
    <row r="384" spans="1:17" ht="15.6">
      <c r="A384" s="5"/>
      <c r="B384" s="12">
        <v>44440</v>
      </c>
      <c r="C384" s="5">
        <v>582.07000000000005</v>
      </c>
      <c r="D384" s="5">
        <v>244.7</v>
      </c>
      <c r="E384" s="5">
        <v>173.95</v>
      </c>
      <c r="F384" s="5">
        <v>173.41</v>
      </c>
      <c r="G384" s="5">
        <f t="shared" si="9"/>
        <v>2.2628647727472417E-2</v>
      </c>
      <c r="H384" s="5">
        <f t="shared" si="9"/>
        <v>-2.2019246452456009E-3</v>
      </c>
      <c r="I384" s="5">
        <f t="shared" si="9"/>
        <v>2.3625677077330209E-3</v>
      </c>
      <c r="J384" s="5">
        <f t="shared" si="9"/>
        <v>2.9496818970502492E-3</v>
      </c>
      <c r="K384" s="5"/>
      <c r="L384" s="5"/>
      <c r="M384" s="5"/>
      <c r="N384" s="5"/>
      <c r="O384" s="5"/>
      <c r="P384" s="5"/>
      <c r="Q384" s="5"/>
    </row>
    <row r="385" spans="1:17" ht="15.6">
      <c r="A385" s="5"/>
      <c r="B385" s="12">
        <v>44441</v>
      </c>
      <c r="C385" s="5">
        <v>588.54999999999995</v>
      </c>
      <c r="D385" s="5">
        <v>244.13</v>
      </c>
      <c r="E385" s="5">
        <v>173.16</v>
      </c>
      <c r="F385" s="5">
        <v>173.41</v>
      </c>
      <c r="G385" s="5">
        <f t="shared" si="9"/>
        <v>1.1132681636229158E-2</v>
      </c>
      <c r="H385" s="5">
        <f t="shared" si="9"/>
        <v>-2.3293829178585579E-3</v>
      </c>
      <c r="I385" s="5">
        <f t="shared" si="9"/>
        <v>-4.5415349238286939E-3</v>
      </c>
      <c r="J385" s="5">
        <f t="shared" si="9"/>
        <v>0</v>
      </c>
      <c r="K385" s="5"/>
      <c r="L385" s="5"/>
      <c r="M385" s="5"/>
      <c r="N385" s="5"/>
      <c r="O385" s="5"/>
      <c r="P385" s="5"/>
      <c r="Q385" s="5"/>
    </row>
    <row r="386" spans="1:17" ht="15.6">
      <c r="A386" s="5"/>
      <c r="B386" s="12">
        <v>44442</v>
      </c>
      <c r="C386" s="5">
        <v>590.53</v>
      </c>
      <c r="D386" s="5">
        <v>244.52</v>
      </c>
      <c r="E386" s="5">
        <v>173.9</v>
      </c>
      <c r="F386" s="5">
        <v>173.18</v>
      </c>
      <c r="G386" s="5">
        <f t="shared" si="9"/>
        <v>3.364200152918162E-3</v>
      </c>
      <c r="H386" s="5">
        <f t="shared" si="9"/>
        <v>1.5975095236144821E-3</v>
      </c>
      <c r="I386" s="5">
        <f t="shared" si="9"/>
        <v>4.2735042735042583E-3</v>
      </c>
      <c r="J386" s="5">
        <f t="shared" si="9"/>
        <v>-1.3263364281183021E-3</v>
      </c>
      <c r="K386" s="5"/>
      <c r="L386" s="5"/>
      <c r="M386" s="5"/>
      <c r="N386" s="5"/>
      <c r="O386" s="5"/>
      <c r="P386" s="5"/>
      <c r="Q386" s="5"/>
    </row>
    <row r="387" spans="1:17" ht="15.6">
      <c r="A387" s="5"/>
      <c r="B387" s="12">
        <v>44446</v>
      </c>
      <c r="C387" s="5">
        <v>606.71</v>
      </c>
      <c r="D387" s="5">
        <v>250.97</v>
      </c>
      <c r="E387" s="5">
        <v>175.46</v>
      </c>
      <c r="F387" s="5">
        <v>169.04</v>
      </c>
      <c r="G387" s="5">
        <f t="shared" si="9"/>
        <v>2.7399116048295813E-2</v>
      </c>
      <c r="H387" s="5">
        <f t="shared" si="9"/>
        <v>2.6378210371339694E-2</v>
      </c>
      <c r="I387" s="5">
        <f t="shared" si="9"/>
        <v>8.9706728004601555E-3</v>
      </c>
      <c r="J387" s="5">
        <f t="shared" si="9"/>
        <v>-2.3905762790160656E-2</v>
      </c>
      <c r="K387" s="5"/>
      <c r="L387" s="5"/>
      <c r="M387" s="5"/>
      <c r="N387" s="5"/>
      <c r="O387" s="5"/>
      <c r="P387" s="5"/>
      <c r="Q387" s="5"/>
    </row>
    <row r="388" spans="1:17" ht="15.6">
      <c r="A388" s="5"/>
      <c r="B388" s="12">
        <v>44447</v>
      </c>
      <c r="C388" s="5">
        <v>606.04999999999995</v>
      </c>
      <c r="D388" s="5">
        <v>251.29</v>
      </c>
      <c r="E388" s="5">
        <v>176.27</v>
      </c>
      <c r="F388" s="5">
        <v>171.86</v>
      </c>
      <c r="G388" s="5">
        <f t="shared" si="9"/>
        <v>-1.0878343854561212E-3</v>
      </c>
      <c r="H388" s="5">
        <f t="shared" si="9"/>
        <v>1.2750527951548296E-3</v>
      </c>
      <c r="I388" s="5">
        <f t="shared" si="9"/>
        <v>4.6164367947110208E-3</v>
      </c>
      <c r="J388" s="5">
        <f t="shared" si="9"/>
        <v>1.6682442025556243E-2</v>
      </c>
      <c r="K388" s="5"/>
      <c r="L388" s="5"/>
      <c r="M388" s="5"/>
      <c r="N388" s="5"/>
      <c r="O388" s="5"/>
      <c r="P388" s="5"/>
      <c r="Q388" s="5"/>
    </row>
    <row r="389" spans="1:17" ht="15.6">
      <c r="A389" s="5"/>
      <c r="B389" s="12">
        <v>44448</v>
      </c>
      <c r="C389" s="5">
        <v>597.54</v>
      </c>
      <c r="D389" s="5">
        <v>251.62</v>
      </c>
      <c r="E389" s="5">
        <v>174.21</v>
      </c>
      <c r="F389" s="5">
        <v>170.66</v>
      </c>
      <c r="G389" s="5">
        <f t="shared" si="9"/>
        <v>-1.4041745730550281E-2</v>
      </c>
      <c r="H389" s="5">
        <f t="shared" si="9"/>
        <v>1.3132237653707968E-3</v>
      </c>
      <c r="I389" s="5">
        <f t="shared" si="9"/>
        <v>-1.1686617121461351E-2</v>
      </c>
      <c r="J389" s="5">
        <f t="shared" ref="I389:J452" si="10">(F389/F388)-1</f>
        <v>-6.9824275573141525E-3</v>
      </c>
      <c r="K389" s="5"/>
      <c r="L389" s="5"/>
      <c r="M389" s="5"/>
      <c r="N389" s="5"/>
      <c r="O389" s="5"/>
      <c r="P389" s="5"/>
      <c r="Q389" s="5"/>
    </row>
    <row r="390" spans="1:17" ht="15.6">
      <c r="A390" s="5"/>
      <c r="B390" s="12">
        <v>44449</v>
      </c>
      <c r="C390" s="5">
        <v>598.72</v>
      </c>
      <c r="D390" s="5">
        <v>245.42</v>
      </c>
      <c r="E390" s="5">
        <v>173.46</v>
      </c>
      <c r="F390" s="5">
        <v>170.33</v>
      </c>
      <c r="G390" s="5">
        <f t="shared" ref="G390:J453" si="11">(C390/C389)-1</f>
        <v>1.9747631957693912E-3</v>
      </c>
      <c r="H390" s="5">
        <f t="shared" si="11"/>
        <v>-2.4640330657340503E-2</v>
      </c>
      <c r="I390" s="5">
        <f t="shared" si="10"/>
        <v>-4.305148958153926E-3</v>
      </c>
      <c r="J390" s="5">
        <f t="shared" si="10"/>
        <v>-1.9336692839563296E-3</v>
      </c>
      <c r="K390" s="5"/>
      <c r="L390" s="5"/>
      <c r="M390" s="5"/>
      <c r="N390" s="5"/>
      <c r="O390" s="5"/>
      <c r="P390" s="5"/>
      <c r="Q390" s="5"/>
    </row>
    <row r="391" spans="1:17" ht="15.6">
      <c r="A391" s="5"/>
      <c r="B391" s="12">
        <v>44452</v>
      </c>
      <c r="C391" s="5">
        <v>589.29</v>
      </c>
      <c r="D391" s="5">
        <v>247.67</v>
      </c>
      <c r="E391" s="5">
        <v>172.86</v>
      </c>
      <c r="F391" s="5">
        <v>170.74</v>
      </c>
      <c r="G391" s="5">
        <f t="shared" si="11"/>
        <v>-1.5750267236771864E-2</v>
      </c>
      <c r="H391" s="5">
        <f t="shared" si="11"/>
        <v>9.1679569717220133E-3</v>
      </c>
      <c r="I391" s="5">
        <f t="shared" si="10"/>
        <v>-3.4590107229331979E-3</v>
      </c>
      <c r="J391" s="5">
        <f t="shared" si="10"/>
        <v>2.4070921153056535E-3</v>
      </c>
      <c r="K391" s="5"/>
      <c r="L391" s="5"/>
      <c r="M391" s="5"/>
      <c r="N391" s="5"/>
      <c r="O391" s="5"/>
      <c r="P391" s="5"/>
      <c r="Q391" s="5"/>
    </row>
    <row r="392" spans="1:17" ht="15.6">
      <c r="A392" s="5"/>
      <c r="B392" s="12">
        <v>44453</v>
      </c>
      <c r="C392" s="5">
        <v>577.76</v>
      </c>
      <c r="D392" s="5">
        <v>248.16</v>
      </c>
      <c r="E392" s="5">
        <v>172.5</v>
      </c>
      <c r="F392" s="5">
        <v>169.84</v>
      </c>
      <c r="G392" s="5">
        <f t="shared" si="11"/>
        <v>-1.9565918308472874E-2</v>
      </c>
      <c r="H392" s="5">
        <f t="shared" si="11"/>
        <v>1.9784390519643758E-3</v>
      </c>
      <c r="I392" s="5">
        <f t="shared" si="10"/>
        <v>-2.0826102047900585E-3</v>
      </c>
      <c r="J392" s="5">
        <f t="shared" si="10"/>
        <v>-5.2711725430479861E-3</v>
      </c>
      <c r="K392" s="5"/>
      <c r="L392" s="5"/>
      <c r="M392" s="5"/>
      <c r="N392" s="5"/>
      <c r="O392" s="5"/>
      <c r="P392" s="5"/>
      <c r="Q392" s="5"/>
    </row>
    <row r="393" spans="1:17" ht="15.6">
      <c r="A393" s="5"/>
      <c r="B393" s="12">
        <v>44454</v>
      </c>
      <c r="C393" s="5">
        <v>582.87</v>
      </c>
      <c r="D393" s="5">
        <v>251.94</v>
      </c>
      <c r="E393" s="5">
        <v>173.79</v>
      </c>
      <c r="F393" s="5">
        <v>170.35</v>
      </c>
      <c r="G393" s="5">
        <f t="shared" si="11"/>
        <v>8.844502907781715E-3</v>
      </c>
      <c r="H393" s="5">
        <f t="shared" si="11"/>
        <v>1.5232108317214665E-2</v>
      </c>
      <c r="I393" s="5">
        <f t="shared" si="10"/>
        <v>7.4782608695651565E-3</v>
      </c>
      <c r="J393" s="5">
        <f t="shared" si="10"/>
        <v>3.0028261893546571E-3</v>
      </c>
      <c r="K393" s="5"/>
      <c r="L393" s="5"/>
      <c r="M393" s="5"/>
      <c r="N393" s="5"/>
      <c r="O393" s="5"/>
      <c r="P393" s="5"/>
      <c r="Q393" s="5"/>
    </row>
    <row r="394" spans="1:17" ht="15.6">
      <c r="A394" s="5"/>
      <c r="B394" s="12">
        <v>44455</v>
      </c>
      <c r="C394" s="5">
        <v>586.5</v>
      </c>
      <c r="D394" s="5">
        <v>252.33</v>
      </c>
      <c r="E394" s="5">
        <v>174.41</v>
      </c>
      <c r="F394" s="5">
        <v>170.82</v>
      </c>
      <c r="G394" s="5">
        <f t="shared" si="11"/>
        <v>6.2278037984455636E-3</v>
      </c>
      <c r="H394" s="5">
        <f t="shared" si="11"/>
        <v>1.5479876160990891E-3</v>
      </c>
      <c r="I394" s="5">
        <f t="shared" si="10"/>
        <v>3.5675240232464489E-3</v>
      </c>
      <c r="J394" s="5">
        <f t="shared" si="10"/>
        <v>2.7590255356617632E-3</v>
      </c>
      <c r="K394" s="5"/>
      <c r="L394" s="5"/>
      <c r="M394" s="5"/>
      <c r="N394" s="5"/>
      <c r="O394" s="5"/>
      <c r="P394" s="5"/>
      <c r="Q394" s="5"/>
    </row>
    <row r="395" spans="1:17" ht="15.6">
      <c r="A395" s="5"/>
      <c r="B395" s="12">
        <v>44456</v>
      </c>
      <c r="C395" s="5">
        <v>589.35</v>
      </c>
      <c r="D395" s="5">
        <v>253.16</v>
      </c>
      <c r="E395" s="5">
        <v>173.13</v>
      </c>
      <c r="F395" s="5">
        <v>170.34</v>
      </c>
      <c r="G395" s="5">
        <f t="shared" si="11"/>
        <v>4.8593350383632217E-3</v>
      </c>
      <c r="H395" s="5">
        <f t="shared" si="11"/>
        <v>3.2893433202552114E-3</v>
      </c>
      <c r="I395" s="5">
        <f t="shared" si="10"/>
        <v>-7.3390287254171405E-3</v>
      </c>
      <c r="J395" s="5">
        <f t="shared" si="10"/>
        <v>-2.8099754127151044E-3</v>
      </c>
      <c r="K395" s="5"/>
      <c r="L395" s="5"/>
      <c r="M395" s="5"/>
      <c r="N395" s="5"/>
      <c r="O395" s="5"/>
      <c r="P395" s="5"/>
      <c r="Q395" s="5"/>
    </row>
    <row r="396" spans="1:17" ht="15.6">
      <c r="A396" s="5"/>
      <c r="B396" s="12">
        <v>44459</v>
      </c>
      <c r="C396" s="5">
        <v>575.42999999999995</v>
      </c>
      <c r="D396" s="5">
        <v>243.39</v>
      </c>
      <c r="E396" s="5">
        <v>167.79</v>
      </c>
      <c r="F396" s="5">
        <v>168.75</v>
      </c>
      <c r="G396" s="5">
        <f t="shared" si="11"/>
        <v>-2.3619241537287006E-2</v>
      </c>
      <c r="H396" s="5">
        <f t="shared" si="11"/>
        <v>-3.859219465950392E-2</v>
      </c>
      <c r="I396" s="5">
        <f t="shared" si="10"/>
        <v>-3.0843874545139482E-2</v>
      </c>
      <c r="J396" s="5">
        <f t="shared" si="10"/>
        <v>-9.3342726312082291E-3</v>
      </c>
      <c r="K396" s="5"/>
      <c r="L396" s="5"/>
      <c r="M396" s="5"/>
      <c r="N396" s="5"/>
      <c r="O396" s="5"/>
      <c r="P396" s="5"/>
      <c r="Q396" s="5"/>
    </row>
    <row r="397" spans="1:17" ht="15.6">
      <c r="A397" s="5"/>
      <c r="B397" s="12">
        <v>44460</v>
      </c>
      <c r="C397" s="5">
        <v>573.14</v>
      </c>
      <c r="D397" s="5">
        <v>246.46</v>
      </c>
      <c r="E397" s="5">
        <v>167.18</v>
      </c>
      <c r="F397" s="5">
        <v>167.14</v>
      </c>
      <c r="G397" s="5">
        <f t="shared" si="11"/>
        <v>-3.9796326225604028E-3</v>
      </c>
      <c r="H397" s="5">
        <f t="shared" si="11"/>
        <v>1.2613500965528601E-2</v>
      </c>
      <c r="I397" s="5">
        <f t="shared" si="10"/>
        <v>-3.63549675189212E-3</v>
      </c>
      <c r="J397" s="5">
        <f t="shared" si="10"/>
        <v>-9.5407407407408495E-3</v>
      </c>
      <c r="K397" s="5"/>
      <c r="L397" s="5"/>
      <c r="M397" s="5"/>
      <c r="N397" s="5"/>
      <c r="O397" s="5"/>
      <c r="P397" s="5"/>
      <c r="Q397" s="5"/>
    </row>
    <row r="398" spans="1:17" ht="15.6">
      <c r="A398" s="5"/>
      <c r="B398" s="12">
        <v>44461</v>
      </c>
      <c r="C398" s="5">
        <v>590.65</v>
      </c>
      <c r="D398" s="5">
        <v>250.65</v>
      </c>
      <c r="E398" s="5">
        <v>169</v>
      </c>
      <c r="F398" s="5">
        <v>167.74</v>
      </c>
      <c r="G398" s="5">
        <f t="shared" si="11"/>
        <v>3.0550999755731612E-2</v>
      </c>
      <c r="H398" s="5">
        <f t="shared" si="11"/>
        <v>1.7000730341637516E-2</v>
      </c>
      <c r="I398" s="5">
        <f t="shared" si="10"/>
        <v>1.0886469673405896E-2</v>
      </c>
      <c r="J398" s="5">
        <f t="shared" si="10"/>
        <v>3.5898049539309085E-3</v>
      </c>
      <c r="K398" s="5"/>
      <c r="L398" s="5"/>
      <c r="M398" s="5"/>
      <c r="N398" s="5"/>
      <c r="O398" s="5"/>
      <c r="P398" s="5"/>
      <c r="Q398" s="5"/>
    </row>
    <row r="399" spans="1:17" ht="15.6">
      <c r="A399" s="5"/>
      <c r="B399" s="12">
        <v>44462</v>
      </c>
      <c r="C399" s="5">
        <v>593.26</v>
      </c>
      <c r="D399" s="5">
        <v>251.21</v>
      </c>
      <c r="E399" s="5">
        <v>170.8</v>
      </c>
      <c r="F399" s="5">
        <v>168.4</v>
      </c>
      <c r="G399" s="5">
        <f t="shared" si="11"/>
        <v>4.4188605773300971E-3</v>
      </c>
      <c r="H399" s="5">
        <f t="shared" si="11"/>
        <v>2.2341911031318329E-3</v>
      </c>
      <c r="I399" s="5">
        <f t="shared" si="10"/>
        <v>1.0650887573964596E-2</v>
      </c>
      <c r="J399" s="5">
        <f t="shared" si="10"/>
        <v>3.9346607845474058E-3</v>
      </c>
      <c r="K399" s="5"/>
      <c r="L399" s="5"/>
      <c r="M399" s="5"/>
      <c r="N399" s="5"/>
      <c r="O399" s="5"/>
      <c r="P399" s="5"/>
      <c r="Q399" s="5"/>
    </row>
    <row r="400" spans="1:17" ht="15.6">
      <c r="A400" s="5"/>
      <c r="B400" s="12">
        <v>44463</v>
      </c>
      <c r="C400" s="5">
        <v>592.39</v>
      </c>
      <c r="D400" s="5">
        <v>258.13</v>
      </c>
      <c r="E400" s="5">
        <v>171.28</v>
      </c>
      <c r="F400" s="5">
        <v>169.34</v>
      </c>
      <c r="G400" s="5">
        <f t="shared" si="11"/>
        <v>-1.4664733843509081E-3</v>
      </c>
      <c r="H400" s="5">
        <f t="shared" si="11"/>
        <v>2.7546674097368662E-2</v>
      </c>
      <c r="I400" s="5">
        <f t="shared" si="10"/>
        <v>2.8103044496485818E-3</v>
      </c>
      <c r="J400" s="5">
        <f t="shared" si="10"/>
        <v>5.5819477434679854E-3</v>
      </c>
      <c r="K400" s="5"/>
      <c r="L400" s="5"/>
      <c r="M400" s="5"/>
      <c r="N400" s="5"/>
      <c r="O400" s="5"/>
      <c r="P400" s="5"/>
      <c r="Q400" s="5"/>
    </row>
    <row r="401" spans="1:17" ht="15.6">
      <c r="A401" s="5"/>
      <c r="B401" s="12">
        <v>44466</v>
      </c>
      <c r="C401" s="5">
        <v>592.64</v>
      </c>
      <c r="D401" s="5">
        <v>263.79000000000002</v>
      </c>
      <c r="E401" s="5">
        <v>170.29</v>
      </c>
      <c r="F401" s="5">
        <v>166.29</v>
      </c>
      <c r="G401" s="5">
        <f t="shared" si="11"/>
        <v>4.2201927784057958E-4</v>
      </c>
      <c r="H401" s="5">
        <f t="shared" si="11"/>
        <v>2.1926936039979861E-2</v>
      </c>
      <c r="I401" s="5">
        <f t="shared" si="10"/>
        <v>-5.7800093414293041E-3</v>
      </c>
      <c r="J401" s="5">
        <f t="shared" si="10"/>
        <v>-1.801110192512112E-2</v>
      </c>
      <c r="K401" s="5"/>
      <c r="L401" s="5"/>
      <c r="M401" s="5"/>
      <c r="N401" s="5"/>
      <c r="O401" s="5"/>
      <c r="P401" s="5"/>
      <c r="Q401" s="5"/>
    </row>
    <row r="402" spans="1:17" ht="15.6">
      <c r="A402" s="5"/>
      <c r="B402" s="12">
        <v>44467</v>
      </c>
      <c r="C402" s="5">
        <v>583.85</v>
      </c>
      <c r="D402" s="5">
        <v>259.19</v>
      </c>
      <c r="E402" s="5">
        <v>165.8</v>
      </c>
      <c r="F402" s="5">
        <v>164.13</v>
      </c>
      <c r="G402" s="5">
        <f t="shared" si="11"/>
        <v>-1.4831938444924364E-2</v>
      </c>
      <c r="H402" s="5">
        <f t="shared" si="11"/>
        <v>-1.7438113651010334E-2</v>
      </c>
      <c r="I402" s="5">
        <f t="shared" si="10"/>
        <v>-2.6366786070820214E-2</v>
      </c>
      <c r="J402" s="5">
        <f t="shared" si="10"/>
        <v>-1.29893559444344E-2</v>
      </c>
      <c r="K402" s="5"/>
      <c r="L402" s="5"/>
      <c r="M402" s="5"/>
      <c r="N402" s="5"/>
      <c r="O402" s="5"/>
      <c r="P402" s="5"/>
      <c r="Q402" s="5"/>
    </row>
    <row r="403" spans="1:17" ht="15.6">
      <c r="A403" s="5"/>
      <c r="B403" s="12">
        <v>44468</v>
      </c>
      <c r="C403" s="5">
        <v>599.05999999999995</v>
      </c>
      <c r="D403" s="5">
        <v>260.44</v>
      </c>
      <c r="E403" s="5">
        <v>165.06</v>
      </c>
      <c r="F403" s="5">
        <v>167.26</v>
      </c>
      <c r="G403" s="5">
        <f t="shared" si="11"/>
        <v>2.6051211783848505E-2</v>
      </c>
      <c r="H403" s="5">
        <f t="shared" si="11"/>
        <v>4.8227169258072689E-3</v>
      </c>
      <c r="I403" s="5">
        <f t="shared" si="10"/>
        <v>-4.4632086851629227E-3</v>
      </c>
      <c r="J403" s="5">
        <f t="shared" si="10"/>
        <v>1.9070249192713051E-2</v>
      </c>
      <c r="K403" s="5"/>
      <c r="L403" s="5"/>
      <c r="M403" s="5"/>
      <c r="N403" s="5"/>
      <c r="O403" s="5"/>
      <c r="P403" s="5"/>
      <c r="Q403" s="5"/>
    </row>
    <row r="404" spans="1:17" ht="15.6">
      <c r="A404" s="5"/>
      <c r="B404" s="12">
        <v>44469</v>
      </c>
      <c r="C404" s="5">
        <v>610.34</v>
      </c>
      <c r="D404" s="5">
        <v>258.49</v>
      </c>
      <c r="E404" s="5">
        <v>164.25</v>
      </c>
      <c r="F404" s="5">
        <v>164.68</v>
      </c>
      <c r="G404" s="5">
        <f t="shared" si="11"/>
        <v>1.8829499549294137E-2</v>
      </c>
      <c r="H404" s="5">
        <f t="shared" si="11"/>
        <v>-7.4873291353094729E-3</v>
      </c>
      <c r="I404" s="5">
        <f t="shared" si="10"/>
        <v>-4.9073064340240391E-3</v>
      </c>
      <c r="J404" s="5">
        <f t="shared" si="10"/>
        <v>-1.5425086691378542E-2</v>
      </c>
      <c r="K404" s="5"/>
      <c r="L404" s="5"/>
      <c r="M404" s="5"/>
      <c r="N404" s="5"/>
      <c r="O404" s="5"/>
      <c r="P404" s="5"/>
      <c r="Q404" s="5"/>
    </row>
    <row r="405" spans="1:17" ht="15.6">
      <c r="A405" s="5"/>
      <c r="B405" s="12">
        <v>44470</v>
      </c>
      <c r="C405" s="5">
        <v>613.15</v>
      </c>
      <c r="D405" s="5">
        <v>258.41000000000003</v>
      </c>
      <c r="E405" s="5">
        <v>164.16</v>
      </c>
      <c r="F405" s="5">
        <v>166.17</v>
      </c>
      <c r="G405" s="5">
        <f t="shared" si="11"/>
        <v>4.6039912180095843E-3</v>
      </c>
      <c r="H405" s="5">
        <f t="shared" si="11"/>
        <v>-3.0948972880950887E-4</v>
      </c>
      <c r="I405" s="5">
        <f t="shared" si="10"/>
        <v>-5.4794520547951642E-4</v>
      </c>
      <c r="J405" s="5">
        <f t="shared" si="10"/>
        <v>9.0478503764876983E-3</v>
      </c>
      <c r="K405" s="5"/>
      <c r="L405" s="5"/>
      <c r="M405" s="5"/>
      <c r="N405" s="5"/>
      <c r="O405" s="5"/>
      <c r="P405" s="5"/>
      <c r="Q405" s="5"/>
    </row>
    <row r="406" spans="1:17" ht="15.6">
      <c r="A406" s="5"/>
      <c r="B406" s="12">
        <v>44473</v>
      </c>
      <c r="C406" s="5">
        <v>603.35</v>
      </c>
      <c r="D406" s="5">
        <v>260.51</v>
      </c>
      <c r="E406" s="5">
        <v>159.49</v>
      </c>
      <c r="F406" s="5">
        <v>166.93</v>
      </c>
      <c r="G406" s="5">
        <f t="shared" si="11"/>
        <v>-1.5983038408219796E-2</v>
      </c>
      <c r="H406" s="5">
        <f t="shared" si="11"/>
        <v>8.1266204868231107E-3</v>
      </c>
      <c r="I406" s="5">
        <f t="shared" si="10"/>
        <v>-2.844785575048725E-2</v>
      </c>
      <c r="J406" s="5">
        <f t="shared" si="10"/>
        <v>4.5736294156588642E-3</v>
      </c>
      <c r="K406" s="5"/>
      <c r="L406" s="5"/>
      <c r="M406" s="5"/>
      <c r="N406" s="5"/>
      <c r="O406" s="5"/>
      <c r="P406" s="5"/>
      <c r="Q406" s="5"/>
    </row>
    <row r="407" spans="1:17" ht="15.6">
      <c r="A407" s="5"/>
      <c r="B407" s="12">
        <v>44474</v>
      </c>
      <c r="C407" s="5">
        <v>634.80999999999995</v>
      </c>
      <c r="D407" s="5">
        <v>260.2</v>
      </c>
      <c r="E407" s="5">
        <v>161.05000000000001</v>
      </c>
      <c r="F407" s="5">
        <v>169.76</v>
      </c>
      <c r="G407" s="5">
        <f t="shared" si="11"/>
        <v>5.2142206016408288E-2</v>
      </c>
      <c r="H407" s="5">
        <f t="shared" si="11"/>
        <v>-1.1899735134928147E-3</v>
      </c>
      <c r="I407" s="5">
        <f t="shared" si="10"/>
        <v>9.7811775032916604E-3</v>
      </c>
      <c r="J407" s="5">
        <f t="shared" si="10"/>
        <v>1.6953213922003219E-2</v>
      </c>
      <c r="K407" s="5"/>
      <c r="L407" s="5"/>
      <c r="M407" s="5"/>
      <c r="N407" s="5"/>
      <c r="O407" s="5"/>
      <c r="P407" s="5"/>
      <c r="Q407" s="5"/>
    </row>
    <row r="408" spans="1:17" ht="15.6">
      <c r="A408" s="5"/>
      <c r="B408" s="12">
        <v>44475</v>
      </c>
      <c r="C408" s="5">
        <v>639.1</v>
      </c>
      <c r="D408" s="5">
        <v>260.92</v>
      </c>
      <c r="E408" s="5">
        <v>163.1</v>
      </c>
      <c r="F408" s="5">
        <v>173.73</v>
      </c>
      <c r="G408" s="5">
        <f t="shared" si="11"/>
        <v>6.7579275688789409E-3</v>
      </c>
      <c r="H408" s="5">
        <f t="shared" si="11"/>
        <v>2.7671022290547409E-3</v>
      </c>
      <c r="I408" s="5">
        <f t="shared" si="10"/>
        <v>1.2728966159577748E-2</v>
      </c>
      <c r="J408" s="5">
        <f t="shared" si="10"/>
        <v>2.3385956644674799E-2</v>
      </c>
      <c r="K408" s="5"/>
      <c r="L408" s="5"/>
      <c r="M408" s="5"/>
      <c r="N408" s="5"/>
      <c r="O408" s="5"/>
      <c r="P408" s="5"/>
      <c r="Q408" s="5"/>
    </row>
    <row r="409" spans="1:17" ht="15.6">
      <c r="A409" s="5"/>
      <c r="B409" s="12">
        <v>44476</v>
      </c>
      <c r="C409" s="5">
        <v>631.85</v>
      </c>
      <c r="D409" s="5">
        <v>264.54000000000002</v>
      </c>
      <c r="E409" s="5">
        <v>165.12</v>
      </c>
      <c r="F409" s="5">
        <v>173.24</v>
      </c>
      <c r="G409" s="5">
        <f t="shared" si="11"/>
        <v>-1.1344077609137804E-2</v>
      </c>
      <c r="H409" s="5">
        <f t="shared" si="11"/>
        <v>1.3873984363023117E-2</v>
      </c>
      <c r="I409" s="5">
        <f t="shared" si="10"/>
        <v>1.238503985285111E-2</v>
      </c>
      <c r="J409" s="5">
        <f t="shared" si="10"/>
        <v>-2.8204685431415522E-3</v>
      </c>
      <c r="K409" s="5"/>
      <c r="L409" s="5"/>
      <c r="M409" s="5"/>
      <c r="N409" s="5"/>
      <c r="O409" s="5"/>
      <c r="P409" s="5"/>
      <c r="Q409" s="5"/>
    </row>
    <row r="410" spans="1:17" ht="15.6">
      <c r="A410" s="5"/>
      <c r="B410" s="12">
        <v>44477</v>
      </c>
      <c r="C410" s="5">
        <v>632.66</v>
      </c>
      <c r="D410" s="5">
        <v>261.83</v>
      </c>
      <c r="E410" s="5">
        <v>164.43</v>
      </c>
      <c r="F410" s="5">
        <v>172.95</v>
      </c>
      <c r="G410" s="5">
        <f t="shared" si="11"/>
        <v>1.2819498298646259E-3</v>
      </c>
      <c r="H410" s="5">
        <f t="shared" si="11"/>
        <v>-1.024419747486216E-2</v>
      </c>
      <c r="I410" s="5">
        <f t="shared" si="10"/>
        <v>-4.1787790697673799E-3</v>
      </c>
      <c r="J410" s="5">
        <f t="shared" si="10"/>
        <v>-1.6739782960056848E-3</v>
      </c>
      <c r="K410" s="5"/>
      <c r="L410" s="5"/>
      <c r="M410" s="5"/>
      <c r="N410" s="5"/>
      <c r="O410" s="5"/>
      <c r="P410" s="5"/>
      <c r="Q410" s="5"/>
    </row>
    <row r="411" spans="1:17" ht="15.6">
      <c r="A411" s="5"/>
      <c r="B411" s="12">
        <v>44480</v>
      </c>
      <c r="C411" s="5">
        <v>627.04</v>
      </c>
      <c r="D411" s="5">
        <v>263.98</v>
      </c>
      <c r="E411" s="5">
        <v>162.32</v>
      </c>
      <c r="F411" s="5">
        <v>173.4</v>
      </c>
      <c r="G411" s="5">
        <f t="shared" si="11"/>
        <v>-8.8831283785919535E-3</v>
      </c>
      <c r="H411" s="5">
        <f t="shared" si="11"/>
        <v>8.2114349005080189E-3</v>
      </c>
      <c r="I411" s="5">
        <f t="shared" si="10"/>
        <v>-1.2832208234507148E-2</v>
      </c>
      <c r="J411" s="5">
        <f t="shared" si="10"/>
        <v>2.6019080659152038E-3</v>
      </c>
      <c r="K411" s="5"/>
      <c r="L411" s="5"/>
      <c r="M411" s="5"/>
      <c r="N411" s="5"/>
      <c r="O411" s="5"/>
      <c r="P411" s="5"/>
      <c r="Q411" s="5"/>
    </row>
    <row r="412" spans="1:17" ht="15.6">
      <c r="A412" s="5"/>
      <c r="B412" s="12">
        <v>44481</v>
      </c>
      <c r="C412" s="5">
        <v>624.94000000000005</v>
      </c>
      <c r="D412" s="5">
        <v>268.57</v>
      </c>
      <c r="E412" s="5">
        <v>162.37</v>
      </c>
      <c r="F412" s="5">
        <v>174.65</v>
      </c>
      <c r="G412" s="5">
        <f t="shared" si="11"/>
        <v>-3.3490686399589853E-3</v>
      </c>
      <c r="H412" s="5">
        <f t="shared" si="11"/>
        <v>1.738768088491538E-2</v>
      </c>
      <c r="I412" s="5">
        <f t="shared" si="10"/>
        <v>3.0803351404640189E-4</v>
      </c>
      <c r="J412" s="5">
        <f t="shared" si="10"/>
        <v>7.2087658592849824E-3</v>
      </c>
      <c r="K412" s="5"/>
      <c r="L412" s="5"/>
      <c r="M412" s="5"/>
      <c r="N412" s="5"/>
      <c r="O412" s="5"/>
      <c r="P412" s="5"/>
      <c r="Q412" s="5"/>
    </row>
    <row r="413" spans="1:17" ht="15.6">
      <c r="A413" s="5"/>
      <c r="B413" s="12">
        <v>44482</v>
      </c>
      <c r="C413" s="5">
        <v>629.76</v>
      </c>
      <c r="D413" s="5">
        <v>270.36</v>
      </c>
      <c r="E413" s="5">
        <v>164.21</v>
      </c>
      <c r="F413" s="5">
        <v>175.29</v>
      </c>
      <c r="G413" s="5">
        <f t="shared" si="11"/>
        <v>7.7127404230805663E-3</v>
      </c>
      <c r="H413" s="5">
        <f t="shared" si="11"/>
        <v>6.6649290687716967E-3</v>
      </c>
      <c r="I413" s="5">
        <f t="shared" si="10"/>
        <v>1.1332142637186626E-2</v>
      </c>
      <c r="J413" s="5">
        <f t="shared" si="10"/>
        <v>3.6644718007443622E-3</v>
      </c>
      <c r="K413" s="5"/>
      <c r="L413" s="5"/>
      <c r="M413" s="5"/>
      <c r="N413" s="5"/>
      <c r="O413" s="5"/>
      <c r="P413" s="5"/>
      <c r="Q413" s="5"/>
    </row>
    <row r="414" spans="1:17" ht="15.6">
      <c r="A414" s="5"/>
      <c r="B414" s="12">
        <v>44483</v>
      </c>
      <c r="C414" s="5">
        <v>633.79999999999995</v>
      </c>
      <c r="D414" s="5">
        <v>272.77</v>
      </c>
      <c r="E414" s="5">
        <v>164.99</v>
      </c>
      <c r="F414" s="5">
        <v>177.29</v>
      </c>
      <c r="G414" s="5">
        <f t="shared" si="11"/>
        <v>6.4151422764227028E-3</v>
      </c>
      <c r="H414" s="5">
        <f t="shared" si="11"/>
        <v>8.914040538541057E-3</v>
      </c>
      <c r="I414" s="5">
        <f t="shared" si="10"/>
        <v>4.7500152244077665E-3</v>
      </c>
      <c r="J414" s="5">
        <f t="shared" si="10"/>
        <v>1.1409663985395557E-2</v>
      </c>
      <c r="K414" s="5"/>
      <c r="L414" s="5"/>
      <c r="M414" s="5"/>
      <c r="N414" s="5"/>
      <c r="O414" s="5"/>
      <c r="P414" s="5"/>
      <c r="Q414" s="5"/>
    </row>
    <row r="415" spans="1:17" ht="15.6">
      <c r="A415" s="5"/>
      <c r="B415" s="12">
        <v>44484</v>
      </c>
      <c r="C415" s="5">
        <v>628.29</v>
      </c>
      <c r="D415" s="5">
        <v>281.01</v>
      </c>
      <c r="E415" s="5">
        <v>170.45</v>
      </c>
      <c r="F415" s="5">
        <v>174.76</v>
      </c>
      <c r="G415" s="5">
        <f t="shared" si="11"/>
        <v>-8.6935941937519301E-3</v>
      </c>
      <c r="H415" s="5">
        <f t="shared" si="11"/>
        <v>3.0208600652564366E-2</v>
      </c>
      <c r="I415" s="5">
        <f t="shared" si="10"/>
        <v>3.3092914722104183E-2</v>
      </c>
      <c r="J415" s="5">
        <f t="shared" si="10"/>
        <v>-1.4270404422133232E-2</v>
      </c>
      <c r="K415" s="5"/>
      <c r="L415" s="5"/>
      <c r="M415" s="5"/>
      <c r="N415" s="5"/>
      <c r="O415" s="5"/>
      <c r="P415" s="5"/>
      <c r="Q415" s="5"/>
    </row>
    <row r="416" spans="1:17" ht="15.6">
      <c r="A416" s="5"/>
      <c r="B416" s="12">
        <v>44487</v>
      </c>
      <c r="C416" s="5">
        <v>637.97</v>
      </c>
      <c r="D416" s="5">
        <v>290.04000000000002</v>
      </c>
      <c r="E416" s="5">
        <v>172.34</v>
      </c>
      <c r="F416" s="5">
        <v>173.9</v>
      </c>
      <c r="G416" s="5">
        <f t="shared" si="11"/>
        <v>1.5406898088462517E-2</v>
      </c>
      <c r="H416" s="5">
        <f t="shared" si="11"/>
        <v>3.2134087754884355E-2</v>
      </c>
      <c r="I416" s="5">
        <f t="shared" si="10"/>
        <v>1.1088295687885052E-2</v>
      </c>
      <c r="J416" s="5">
        <f t="shared" si="10"/>
        <v>-4.9210345616844675E-3</v>
      </c>
      <c r="K416" s="5"/>
      <c r="L416" s="5"/>
      <c r="M416" s="5"/>
      <c r="N416" s="5"/>
      <c r="O416" s="5"/>
      <c r="P416" s="5"/>
      <c r="Q416" s="5"/>
    </row>
    <row r="417" spans="1:17" ht="15.6">
      <c r="A417" s="5"/>
      <c r="B417" s="12">
        <v>44488</v>
      </c>
      <c r="C417" s="5">
        <v>639</v>
      </c>
      <c r="D417" s="5">
        <v>288.08999999999997</v>
      </c>
      <c r="E417" s="5">
        <v>172.21</v>
      </c>
      <c r="F417" s="5">
        <v>174.85</v>
      </c>
      <c r="G417" s="5">
        <f t="shared" si="11"/>
        <v>1.6144959794346381E-3</v>
      </c>
      <c r="H417" s="5">
        <f t="shared" si="11"/>
        <v>-6.7232105916427143E-3</v>
      </c>
      <c r="I417" s="5">
        <f t="shared" si="10"/>
        <v>-7.5432285017984491E-4</v>
      </c>
      <c r="J417" s="5">
        <f t="shared" si="10"/>
        <v>5.4629097182288255E-3</v>
      </c>
      <c r="K417" s="5"/>
      <c r="L417" s="5"/>
      <c r="M417" s="5"/>
      <c r="N417" s="5"/>
      <c r="O417" s="5"/>
      <c r="P417" s="5"/>
      <c r="Q417" s="5"/>
    </row>
    <row r="418" spans="1:17" ht="15.6">
      <c r="A418" s="5"/>
      <c r="B418" s="12">
        <v>44489</v>
      </c>
      <c r="C418" s="5">
        <v>625.14</v>
      </c>
      <c r="D418" s="5">
        <v>288.60000000000002</v>
      </c>
      <c r="E418" s="5">
        <v>170.75</v>
      </c>
      <c r="F418" s="5">
        <v>175.32</v>
      </c>
      <c r="G418" s="5">
        <f t="shared" si="11"/>
        <v>-2.1690140845070482E-2</v>
      </c>
      <c r="H418" s="5">
        <f t="shared" si="11"/>
        <v>1.7702801207957197E-3</v>
      </c>
      <c r="I418" s="5">
        <f t="shared" si="10"/>
        <v>-8.4780210208467155E-3</v>
      </c>
      <c r="J418" s="5">
        <f t="shared" si="10"/>
        <v>2.688018301401085E-3</v>
      </c>
      <c r="K418" s="5"/>
      <c r="L418" s="5"/>
      <c r="M418" s="5"/>
      <c r="N418" s="5"/>
      <c r="O418" s="5"/>
      <c r="P418" s="5"/>
      <c r="Q418" s="5"/>
    </row>
    <row r="419" spans="1:17" ht="15.6">
      <c r="A419" s="5"/>
      <c r="B419" s="12">
        <v>44490</v>
      </c>
      <c r="C419" s="5">
        <v>653.16</v>
      </c>
      <c r="D419" s="5">
        <v>298</v>
      </c>
      <c r="E419" s="5">
        <v>171.75</v>
      </c>
      <c r="F419" s="5">
        <v>175.43</v>
      </c>
      <c r="G419" s="5">
        <f t="shared" si="11"/>
        <v>4.4821959880986695E-2</v>
      </c>
      <c r="H419" s="5">
        <f t="shared" si="11"/>
        <v>3.2571032571032443E-2</v>
      </c>
      <c r="I419" s="5">
        <f t="shared" si="10"/>
        <v>5.8565153733527442E-3</v>
      </c>
      <c r="J419" s="5">
        <f t="shared" si="10"/>
        <v>6.2742413871785807E-4</v>
      </c>
      <c r="K419" s="5"/>
      <c r="L419" s="5"/>
      <c r="M419" s="5"/>
      <c r="N419" s="5"/>
      <c r="O419" s="5"/>
      <c r="P419" s="5"/>
      <c r="Q419" s="5"/>
    </row>
    <row r="420" spans="1:17" ht="15.6">
      <c r="A420" s="5"/>
      <c r="B420" s="12">
        <v>44491</v>
      </c>
      <c r="C420" s="5">
        <v>664.78</v>
      </c>
      <c r="D420" s="5">
        <v>303.23</v>
      </c>
      <c r="E420" s="5">
        <v>166.78</v>
      </c>
      <c r="F420" s="5">
        <v>177.18</v>
      </c>
      <c r="G420" s="5">
        <f t="shared" si="11"/>
        <v>1.7790434196827798E-2</v>
      </c>
      <c r="H420" s="5">
        <f t="shared" si="11"/>
        <v>1.7550335570469811E-2</v>
      </c>
      <c r="I420" s="5">
        <f t="shared" si="10"/>
        <v>-2.8937409024745286E-2</v>
      </c>
      <c r="J420" s="5">
        <f t="shared" si="10"/>
        <v>9.9754887989511598E-3</v>
      </c>
      <c r="K420" s="5"/>
      <c r="L420" s="5"/>
      <c r="M420" s="5"/>
      <c r="N420" s="5"/>
      <c r="O420" s="5"/>
      <c r="P420" s="5"/>
      <c r="Q420" s="5"/>
    </row>
    <row r="421" spans="1:17" ht="15.6">
      <c r="A421" s="5"/>
      <c r="B421" s="12">
        <v>44494</v>
      </c>
      <c r="C421" s="5">
        <v>671.66</v>
      </c>
      <c r="D421" s="5">
        <v>341.62</v>
      </c>
      <c r="E421" s="5">
        <v>166.02</v>
      </c>
      <c r="F421" s="5">
        <v>175.36</v>
      </c>
      <c r="G421" s="5">
        <f t="shared" si="11"/>
        <v>1.0349288486416475E-2</v>
      </c>
      <c r="H421" s="5">
        <f t="shared" si="11"/>
        <v>0.12660356824852426</v>
      </c>
      <c r="I421" s="5">
        <f t="shared" si="10"/>
        <v>-4.5569013071110609E-3</v>
      </c>
      <c r="J421" s="5">
        <f t="shared" si="10"/>
        <v>-1.0272039733604243E-2</v>
      </c>
      <c r="K421" s="5"/>
      <c r="L421" s="5"/>
      <c r="M421" s="5"/>
      <c r="N421" s="5"/>
      <c r="O421" s="5"/>
      <c r="P421" s="5"/>
      <c r="Q421" s="5"/>
    </row>
    <row r="422" spans="1:17" ht="15.6">
      <c r="A422" s="5"/>
      <c r="B422" s="12">
        <v>44495</v>
      </c>
      <c r="C422" s="5">
        <v>668.52</v>
      </c>
      <c r="D422" s="5">
        <v>339.48</v>
      </c>
      <c r="E422" s="5">
        <v>168.8</v>
      </c>
      <c r="F422" s="5">
        <v>176.8</v>
      </c>
      <c r="G422" s="5">
        <f t="shared" si="11"/>
        <v>-4.6749843670904623E-3</v>
      </c>
      <c r="H422" s="5">
        <f t="shared" si="11"/>
        <v>-6.264270241789105E-3</v>
      </c>
      <c r="I422" s="5">
        <f t="shared" si="10"/>
        <v>1.6744970485483623E-2</v>
      </c>
      <c r="J422" s="5">
        <f t="shared" si="10"/>
        <v>8.2116788321167089E-3</v>
      </c>
      <c r="K422" s="5"/>
      <c r="L422" s="5"/>
      <c r="M422" s="5"/>
      <c r="N422" s="5"/>
      <c r="O422" s="5"/>
      <c r="P422" s="5"/>
      <c r="Q422" s="5"/>
    </row>
    <row r="423" spans="1:17" ht="15.6">
      <c r="A423" s="5"/>
      <c r="B423" s="12">
        <v>44496</v>
      </c>
      <c r="C423" s="5">
        <v>662.92</v>
      </c>
      <c r="D423" s="5">
        <v>345.95</v>
      </c>
      <c r="E423" s="5">
        <v>169.62</v>
      </c>
      <c r="F423" s="5">
        <v>174.66</v>
      </c>
      <c r="G423" s="5">
        <f t="shared" si="11"/>
        <v>-8.3767127385867557E-3</v>
      </c>
      <c r="H423" s="5">
        <f t="shared" si="11"/>
        <v>1.905856015081886E-2</v>
      </c>
      <c r="I423" s="5">
        <f t="shared" si="10"/>
        <v>4.8578199052131676E-3</v>
      </c>
      <c r="J423" s="5">
        <f t="shared" si="10"/>
        <v>-1.2104072398190113E-2</v>
      </c>
      <c r="K423" s="5"/>
      <c r="L423" s="5"/>
      <c r="M423" s="5"/>
      <c r="N423" s="5"/>
      <c r="O423" s="5"/>
      <c r="P423" s="5"/>
      <c r="Q423" s="5"/>
    </row>
    <row r="424" spans="1:17" ht="15.6">
      <c r="A424" s="5"/>
      <c r="B424" s="12">
        <v>44497</v>
      </c>
      <c r="C424" s="5">
        <v>674.05</v>
      </c>
      <c r="D424" s="5">
        <v>359.01</v>
      </c>
      <c r="E424" s="5">
        <v>172.33</v>
      </c>
      <c r="F424" s="5">
        <v>174.56</v>
      </c>
      <c r="G424" s="5">
        <f t="shared" si="11"/>
        <v>1.6789356181741377E-2</v>
      </c>
      <c r="H424" s="5">
        <f t="shared" si="11"/>
        <v>3.7751120104061231E-2</v>
      </c>
      <c r="I424" s="5">
        <f t="shared" si="10"/>
        <v>1.5976889517745674E-2</v>
      </c>
      <c r="J424" s="5">
        <f t="shared" si="10"/>
        <v>-5.7254093667691297E-4</v>
      </c>
      <c r="K424" s="5"/>
      <c r="L424" s="5"/>
      <c r="M424" s="5"/>
      <c r="N424" s="5"/>
      <c r="O424" s="5"/>
      <c r="P424" s="5"/>
      <c r="Q424" s="5"/>
    </row>
    <row r="425" spans="1:17" ht="15.6">
      <c r="A425" s="5"/>
      <c r="B425" s="12">
        <v>44498</v>
      </c>
      <c r="C425" s="5">
        <v>690.31</v>
      </c>
      <c r="D425" s="5">
        <v>371.33</v>
      </c>
      <c r="E425" s="5">
        <v>168.62</v>
      </c>
      <c r="F425" s="5">
        <v>170.62</v>
      </c>
      <c r="G425" s="5">
        <f t="shared" si="11"/>
        <v>2.4122839551961928E-2</v>
      </c>
      <c r="H425" s="5">
        <f t="shared" si="11"/>
        <v>3.431659285256683E-2</v>
      </c>
      <c r="I425" s="5">
        <f t="shared" si="10"/>
        <v>-2.1528462832936857E-2</v>
      </c>
      <c r="J425" s="5">
        <f t="shared" si="10"/>
        <v>-2.2571035747021018E-2</v>
      </c>
      <c r="K425" s="5"/>
      <c r="L425" s="5"/>
      <c r="M425" s="5"/>
      <c r="N425" s="5"/>
      <c r="O425" s="5"/>
      <c r="P425" s="5"/>
      <c r="Q425" s="5"/>
    </row>
    <row r="426" spans="1:17" ht="15.6">
      <c r="A426" s="5"/>
      <c r="B426" s="12">
        <v>44501</v>
      </c>
      <c r="C426" s="5">
        <v>681.17</v>
      </c>
      <c r="D426" s="5">
        <v>402.86</v>
      </c>
      <c r="E426" s="5">
        <v>165.91</v>
      </c>
      <c r="F426" s="5">
        <v>169.96</v>
      </c>
      <c r="G426" s="5">
        <f t="shared" si="11"/>
        <v>-1.3240428213411315E-2</v>
      </c>
      <c r="H426" s="5">
        <f t="shared" si="11"/>
        <v>8.4910995610373519E-2</v>
      </c>
      <c r="I426" s="5">
        <f t="shared" si="10"/>
        <v>-1.607164037480735E-2</v>
      </c>
      <c r="J426" s="5">
        <f t="shared" si="10"/>
        <v>-3.8682452233032016E-3</v>
      </c>
      <c r="K426" s="5"/>
      <c r="L426" s="5"/>
      <c r="M426" s="5"/>
      <c r="N426" s="5"/>
      <c r="O426" s="5"/>
      <c r="P426" s="5"/>
      <c r="Q426" s="5"/>
    </row>
    <row r="427" spans="1:17" ht="15.6">
      <c r="A427" s="5"/>
      <c r="B427" s="12">
        <v>44502</v>
      </c>
      <c r="C427" s="5">
        <v>677.72</v>
      </c>
      <c r="D427" s="5">
        <v>390.67</v>
      </c>
      <c r="E427" s="5">
        <v>165.64</v>
      </c>
      <c r="F427" s="5">
        <v>170.76</v>
      </c>
      <c r="G427" s="5">
        <f t="shared" si="11"/>
        <v>-5.0648149507463991E-3</v>
      </c>
      <c r="H427" s="5">
        <f t="shared" si="11"/>
        <v>-3.0258650647867702E-2</v>
      </c>
      <c r="I427" s="5">
        <f t="shared" si="10"/>
        <v>-1.6273883430776293E-3</v>
      </c>
      <c r="J427" s="5">
        <f t="shared" si="10"/>
        <v>4.7069898799716459E-3</v>
      </c>
      <c r="K427" s="5"/>
      <c r="L427" s="5"/>
      <c r="M427" s="5"/>
      <c r="N427" s="5"/>
      <c r="O427" s="5"/>
      <c r="P427" s="5"/>
      <c r="Q427" s="5"/>
    </row>
    <row r="428" spans="1:17" ht="15.6">
      <c r="A428" s="5"/>
      <c r="B428" s="12">
        <v>44503</v>
      </c>
      <c r="C428" s="5">
        <v>688.29</v>
      </c>
      <c r="D428" s="5">
        <v>404.62</v>
      </c>
      <c r="E428" s="5">
        <v>169.2</v>
      </c>
      <c r="F428" s="5">
        <v>171.79</v>
      </c>
      <c r="G428" s="5">
        <f t="shared" si="11"/>
        <v>1.5596411497373452E-2</v>
      </c>
      <c r="H428" s="5">
        <f t="shared" si="11"/>
        <v>3.5707886451480819E-2</v>
      </c>
      <c r="I428" s="5">
        <f t="shared" si="10"/>
        <v>2.1492393141753219E-2</v>
      </c>
      <c r="J428" s="5">
        <f t="shared" si="10"/>
        <v>6.0318575778870454E-3</v>
      </c>
      <c r="K428" s="5"/>
      <c r="L428" s="5"/>
      <c r="M428" s="5"/>
      <c r="N428" s="5"/>
      <c r="O428" s="5"/>
      <c r="P428" s="5"/>
      <c r="Q428" s="5"/>
    </row>
    <row r="429" spans="1:17" ht="15.6">
      <c r="A429" s="5"/>
      <c r="B429" s="12">
        <v>44504</v>
      </c>
      <c r="C429" s="5">
        <v>668.4</v>
      </c>
      <c r="D429" s="5">
        <v>409.97</v>
      </c>
      <c r="E429" s="5">
        <v>173.85</v>
      </c>
      <c r="F429" s="5">
        <v>170.63</v>
      </c>
      <c r="G429" s="5">
        <f t="shared" si="11"/>
        <v>-2.8897703003094577E-2</v>
      </c>
      <c r="H429" s="5">
        <f t="shared" si="11"/>
        <v>1.3222282635559246E-2</v>
      </c>
      <c r="I429" s="5">
        <f t="shared" si="10"/>
        <v>2.7482269503546153E-2</v>
      </c>
      <c r="J429" s="5">
        <f t="shared" si="10"/>
        <v>-6.7524302927993718E-3</v>
      </c>
      <c r="K429" s="5"/>
      <c r="L429" s="5"/>
      <c r="M429" s="5"/>
      <c r="N429" s="5"/>
      <c r="O429" s="5"/>
      <c r="P429" s="5"/>
      <c r="Q429" s="5"/>
    </row>
    <row r="430" spans="1:17" ht="15.6">
      <c r="A430" s="5"/>
      <c r="B430" s="12">
        <v>44505</v>
      </c>
      <c r="C430" s="5">
        <v>645.72</v>
      </c>
      <c r="D430" s="5">
        <v>407.36</v>
      </c>
      <c r="E430" s="5">
        <v>175.95</v>
      </c>
      <c r="F430" s="5">
        <v>170.65</v>
      </c>
      <c r="G430" s="5">
        <f t="shared" si="11"/>
        <v>-3.3931777378815031E-2</v>
      </c>
      <c r="H430" s="5">
        <f t="shared" si="11"/>
        <v>-6.3663194867917827E-3</v>
      </c>
      <c r="I430" s="5">
        <f t="shared" si="10"/>
        <v>1.2079378774805916E-2</v>
      </c>
      <c r="J430" s="5">
        <f t="shared" si="10"/>
        <v>1.1721268241227101E-4</v>
      </c>
      <c r="K430" s="5"/>
      <c r="L430" s="5"/>
      <c r="M430" s="5"/>
      <c r="N430" s="5"/>
      <c r="O430" s="5"/>
      <c r="P430" s="5"/>
      <c r="Q430" s="5"/>
    </row>
    <row r="431" spans="1:17" ht="15.6">
      <c r="A431" s="5"/>
      <c r="B431" s="12">
        <v>44508</v>
      </c>
      <c r="C431" s="5">
        <v>651.45000000000005</v>
      </c>
      <c r="D431" s="5">
        <v>387.65</v>
      </c>
      <c r="E431" s="5">
        <v>174.45</v>
      </c>
      <c r="F431" s="5">
        <v>170.02</v>
      </c>
      <c r="G431" s="5">
        <f t="shared" si="11"/>
        <v>8.8738152759710864E-3</v>
      </c>
      <c r="H431" s="5">
        <f t="shared" si="11"/>
        <v>-4.8384721131186303E-2</v>
      </c>
      <c r="I431" s="5">
        <f t="shared" si="10"/>
        <v>-8.5251491901108256E-3</v>
      </c>
      <c r="J431" s="5">
        <f t="shared" si="10"/>
        <v>-3.6917667740989923E-3</v>
      </c>
      <c r="K431" s="5"/>
      <c r="L431" s="5"/>
      <c r="M431" s="5"/>
      <c r="N431" s="5"/>
      <c r="O431" s="5"/>
      <c r="P431" s="5"/>
      <c r="Q431" s="5"/>
    </row>
    <row r="432" spans="1:17" ht="15.6">
      <c r="A432" s="5"/>
      <c r="B432" s="12">
        <v>44509</v>
      </c>
      <c r="C432" s="5">
        <v>655.99</v>
      </c>
      <c r="D432" s="5">
        <v>341.17</v>
      </c>
      <c r="E432" s="5">
        <v>178.81</v>
      </c>
      <c r="F432" s="5">
        <v>171.42</v>
      </c>
      <c r="G432" s="5">
        <f t="shared" si="11"/>
        <v>6.9690689999231115E-3</v>
      </c>
      <c r="H432" s="5">
        <f t="shared" si="11"/>
        <v>-0.11990197342964004</v>
      </c>
      <c r="I432" s="5">
        <f t="shared" si="10"/>
        <v>2.4992834623101201E-2</v>
      </c>
      <c r="J432" s="5">
        <f t="shared" si="10"/>
        <v>8.2343253734853405E-3</v>
      </c>
      <c r="K432" s="5"/>
      <c r="L432" s="5"/>
      <c r="M432" s="5"/>
      <c r="N432" s="5"/>
      <c r="O432" s="5"/>
      <c r="P432" s="5"/>
      <c r="Q432" s="5"/>
    </row>
    <row r="433" spans="1:17" ht="15.6">
      <c r="A433" s="5"/>
      <c r="B433" s="12">
        <v>44510</v>
      </c>
      <c r="C433" s="5">
        <v>646.91</v>
      </c>
      <c r="D433" s="5">
        <v>355.98</v>
      </c>
      <c r="E433" s="5">
        <v>174.1</v>
      </c>
      <c r="F433" s="5">
        <v>174.71</v>
      </c>
      <c r="G433" s="5">
        <f t="shared" si="11"/>
        <v>-1.3841674415768557E-2</v>
      </c>
      <c r="H433" s="5">
        <f t="shared" si="11"/>
        <v>4.3409443972213246E-2</v>
      </c>
      <c r="I433" s="5">
        <f t="shared" si="10"/>
        <v>-2.6340808679604089E-2</v>
      </c>
      <c r="J433" s="5">
        <f t="shared" si="10"/>
        <v>1.9192626297981796E-2</v>
      </c>
      <c r="K433" s="5"/>
      <c r="L433" s="5"/>
      <c r="M433" s="5"/>
      <c r="N433" s="5"/>
      <c r="O433" s="5"/>
      <c r="P433" s="5"/>
      <c r="Q433" s="5"/>
    </row>
    <row r="434" spans="1:17" ht="15.6">
      <c r="A434" s="5"/>
      <c r="B434" s="12">
        <v>44511</v>
      </c>
      <c r="C434" s="5">
        <v>657.58</v>
      </c>
      <c r="D434" s="5">
        <v>354.5</v>
      </c>
      <c r="E434" s="5">
        <v>173.63</v>
      </c>
      <c r="F434" s="5">
        <v>173.53</v>
      </c>
      <c r="G434" s="5">
        <f t="shared" si="11"/>
        <v>1.6493793572521787E-2</v>
      </c>
      <c r="H434" s="5">
        <f t="shared" si="11"/>
        <v>-4.1575369402775397E-3</v>
      </c>
      <c r="I434" s="5">
        <f t="shared" si="10"/>
        <v>-2.6995979322228525E-3</v>
      </c>
      <c r="J434" s="5">
        <f t="shared" si="10"/>
        <v>-6.7540495678553025E-3</v>
      </c>
      <c r="K434" s="5"/>
      <c r="L434" s="5"/>
      <c r="M434" s="5"/>
      <c r="N434" s="5"/>
      <c r="O434" s="5"/>
      <c r="P434" s="5"/>
      <c r="Q434" s="5"/>
    </row>
    <row r="435" spans="1:17" ht="15.6">
      <c r="A435" s="5"/>
      <c r="B435" s="12">
        <v>44512</v>
      </c>
      <c r="C435" s="5">
        <v>682.61</v>
      </c>
      <c r="D435" s="5">
        <v>344.47</v>
      </c>
      <c r="E435" s="5">
        <v>176.26</v>
      </c>
      <c r="F435" s="5">
        <v>172.89</v>
      </c>
      <c r="G435" s="5">
        <f t="shared" si="11"/>
        <v>3.8063809726573083E-2</v>
      </c>
      <c r="H435" s="5">
        <f t="shared" si="11"/>
        <v>-2.8293370944992846E-2</v>
      </c>
      <c r="I435" s="5">
        <f t="shared" si="10"/>
        <v>1.5147151989863383E-2</v>
      </c>
      <c r="J435" s="5">
        <f t="shared" si="10"/>
        <v>-3.6881230911082197E-3</v>
      </c>
      <c r="K435" s="5"/>
      <c r="L435" s="5"/>
      <c r="M435" s="5"/>
      <c r="N435" s="5"/>
      <c r="O435" s="5"/>
      <c r="P435" s="5"/>
      <c r="Q435" s="5"/>
    </row>
    <row r="436" spans="1:17" ht="15.6">
      <c r="A436" s="5"/>
      <c r="B436" s="12">
        <v>44515</v>
      </c>
      <c r="C436" s="5">
        <v>679.33</v>
      </c>
      <c r="D436" s="5">
        <v>337.8</v>
      </c>
      <c r="E436" s="5">
        <v>177.28</v>
      </c>
      <c r="F436" s="5">
        <v>172.68</v>
      </c>
      <c r="G436" s="5">
        <f t="shared" si="11"/>
        <v>-4.8050863597075555E-3</v>
      </c>
      <c r="H436" s="5">
        <f t="shared" si="11"/>
        <v>-1.9363079513455506E-2</v>
      </c>
      <c r="I436" s="5">
        <f t="shared" si="10"/>
        <v>5.7869057074777519E-3</v>
      </c>
      <c r="J436" s="5">
        <f t="shared" si="10"/>
        <v>-1.2146451500952837E-3</v>
      </c>
      <c r="K436" s="5"/>
      <c r="L436" s="5"/>
      <c r="M436" s="5"/>
      <c r="N436" s="5"/>
      <c r="O436" s="5"/>
      <c r="P436" s="5"/>
      <c r="Q436" s="5"/>
    </row>
    <row r="437" spans="1:17" ht="15.6">
      <c r="A437" s="5"/>
      <c r="B437" s="12">
        <v>44516</v>
      </c>
      <c r="C437" s="5">
        <v>687.4</v>
      </c>
      <c r="D437" s="5">
        <v>351.58</v>
      </c>
      <c r="E437" s="5">
        <v>177.04</v>
      </c>
      <c r="F437" s="5">
        <v>172.92</v>
      </c>
      <c r="G437" s="5">
        <f t="shared" si="11"/>
        <v>1.1879351714188857E-2</v>
      </c>
      <c r="H437" s="5">
        <f t="shared" si="11"/>
        <v>4.0793368857311885E-2</v>
      </c>
      <c r="I437" s="5">
        <f t="shared" si="10"/>
        <v>-1.3537906137184308E-3</v>
      </c>
      <c r="J437" s="5">
        <f t="shared" si="10"/>
        <v>1.3898540653229929E-3</v>
      </c>
      <c r="K437" s="5"/>
      <c r="L437" s="5"/>
      <c r="M437" s="5"/>
      <c r="N437" s="5"/>
      <c r="O437" s="5"/>
      <c r="P437" s="5"/>
      <c r="Q437" s="5"/>
    </row>
    <row r="438" spans="1:17" ht="15.6">
      <c r="A438" s="5"/>
      <c r="B438" s="12">
        <v>44517</v>
      </c>
      <c r="C438" s="5">
        <v>691.69</v>
      </c>
      <c r="D438" s="5">
        <v>363</v>
      </c>
      <c r="E438" s="5">
        <v>177.45</v>
      </c>
      <c r="F438" s="5">
        <v>174.46</v>
      </c>
      <c r="G438" s="5">
        <f t="shared" si="11"/>
        <v>6.2409077684026926E-3</v>
      </c>
      <c r="H438" s="5">
        <f t="shared" si="11"/>
        <v>3.2481938676830246E-2</v>
      </c>
      <c r="I438" s="5">
        <f t="shared" si="10"/>
        <v>2.315860822412974E-3</v>
      </c>
      <c r="J438" s="5">
        <f t="shared" si="10"/>
        <v>8.9058524173029063E-3</v>
      </c>
      <c r="K438" s="5"/>
      <c r="L438" s="5"/>
      <c r="M438" s="5"/>
      <c r="N438" s="5"/>
      <c r="O438" s="5"/>
      <c r="P438" s="5"/>
      <c r="Q438" s="5"/>
    </row>
    <row r="439" spans="1:17" ht="15.6">
      <c r="A439" s="5"/>
      <c r="B439" s="12">
        <v>44518</v>
      </c>
      <c r="C439" s="5">
        <v>682.02</v>
      </c>
      <c r="D439" s="5">
        <v>365.46</v>
      </c>
      <c r="E439" s="5">
        <v>184.8</v>
      </c>
      <c r="F439" s="5">
        <v>176.13</v>
      </c>
      <c r="G439" s="5">
        <f t="shared" si="11"/>
        <v>-1.3980251268632005E-2</v>
      </c>
      <c r="H439" s="5">
        <f t="shared" si="11"/>
        <v>6.7768595041322044E-3</v>
      </c>
      <c r="I439" s="5">
        <f t="shared" si="10"/>
        <v>4.1420118343195478E-2</v>
      </c>
      <c r="J439" s="5">
        <f t="shared" si="10"/>
        <v>9.5723948182964147E-3</v>
      </c>
      <c r="K439" s="5"/>
      <c r="L439" s="5"/>
      <c r="M439" s="5"/>
      <c r="N439" s="5"/>
      <c r="O439" s="5"/>
      <c r="P439" s="5"/>
      <c r="Q439" s="5"/>
    </row>
    <row r="440" spans="1:17" ht="15.6">
      <c r="A440" s="5"/>
      <c r="B440" s="12">
        <v>44519</v>
      </c>
      <c r="C440" s="5">
        <v>678.8</v>
      </c>
      <c r="D440" s="5">
        <v>379.02</v>
      </c>
      <c r="E440" s="5">
        <v>183.83</v>
      </c>
      <c r="F440" s="5">
        <v>175.37</v>
      </c>
      <c r="G440" s="5">
        <f t="shared" si="11"/>
        <v>-4.7212691709921373E-3</v>
      </c>
      <c r="H440" s="5">
        <f t="shared" si="11"/>
        <v>3.7103923822032536E-2</v>
      </c>
      <c r="I440" s="5">
        <f t="shared" si="10"/>
        <v>-5.2489177489177807E-3</v>
      </c>
      <c r="J440" s="5">
        <f t="shared" si="10"/>
        <v>-4.3149946062567279E-3</v>
      </c>
      <c r="K440" s="5"/>
      <c r="L440" s="5"/>
      <c r="M440" s="5"/>
      <c r="N440" s="5"/>
      <c r="O440" s="5"/>
      <c r="P440" s="5"/>
      <c r="Q440" s="5"/>
    </row>
    <row r="441" spans="1:17" ht="15.6">
      <c r="A441" s="5"/>
      <c r="B441" s="12">
        <v>44522</v>
      </c>
      <c r="C441" s="5">
        <v>659.2</v>
      </c>
      <c r="D441" s="5">
        <v>385.62</v>
      </c>
      <c r="E441" s="5">
        <v>178.63</v>
      </c>
      <c r="F441" s="5">
        <v>177.15</v>
      </c>
      <c r="G441" s="5">
        <f t="shared" si="11"/>
        <v>-2.8874484384207255E-2</v>
      </c>
      <c r="H441" s="5">
        <f t="shared" si="11"/>
        <v>1.7413329111920284E-2</v>
      </c>
      <c r="I441" s="5">
        <f t="shared" si="10"/>
        <v>-2.8287004297448792E-2</v>
      </c>
      <c r="J441" s="5">
        <f t="shared" si="10"/>
        <v>1.0149968637737317E-2</v>
      </c>
      <c r="K441" s="5"/>
      <c r="L441" s="5"/>
      <c r="M441" s="5"/>
      <c r="N441" s="5"/>
      <c r="O441" s="5"/>
      <c r="P441" s="5"/>
      <c r="Q441" s="5"/>
    </row>
    <row r="442" spans="1:17" ht="15.6">
      <c r="A442" s="5"/>
      <c r="B442" s="12">
        <v>44523</v>
      </c>
      <c r="C442" s="5">
        <v>654.05999999999995</v>
      </c>
      <c r="D442" s="5">
        <v>369.68</v>
      </c>
      <c r="E442" s="5">
        <v>179</v>
      </c>
      <c r="F442" s="5">
        <v>178.19</v>
      </c>
      <c r="G442" s="5">
        <f t="shared" si="11"/>
        <v>-7.7973300970874959E-3</v>
      </c>
      <c r="H442" s="5">
        <f t="shared" si="11"/>
        <v>-4.1336030288885439E-2</v>
      </c>
      <c r="I442" s="5">
        <f t="shared" si="10"/>
        <v>2.0713206068410095E-3</v>
      </c>
      <c r="J442" s="5">
        <f t="shared" si="10"/>
        <v>5.8707310189105577E-3</v>
      </c>
      <c r="K442" s="5"/>
      <c r="L442" s="5"/>
      <c r="M442" s="5"/>
      <c r="N442" s="5"/>
      <c r="O442" s="5"/>
      <c r="P442" s="5"/>
      <c r="Q442" s="5"/>
    </row>
    <row r="443" spans="1:17" ht="15.6">
      <c r="A443" s="5"/>
      <c r="B443" s="12">
        <v>44524</v>
      </c>
      <c r="C443" s="5">
        <v>658.29</v>
      </c>
      <c r="D443" s="5">
        <v>372</v>
      </c>
      <c r="E443" s="5">
        <v>179.02</v>
      </c>
      <c r="F443" s="5">
        <v>176.97</v>
      </c>
      <c r="G443" s="5">
        <f t="shared" si="11"/>
        <v>6.4672965782957004E-3</v>
      </c>
      <c r="H443" s="5">
        <f t="shared" si="11"/>
        <v>6.2756979008873337E-3</v>
      </c>
      <c r="I443" s="5">
        <f t="shared" si="10"/>
        <v>1.1173184357549104E-4</v>
      </c>
      <c r="J443" s="5">
        <f t="shared" si="10"/>
        <v>-6.8466243896964096E-3</v>
      </c>
      <c r="K443" s="5"/>
      <c r="L443" s="5"/>
      <c r="M443" s="5"/>
      <c r="N443" s="5"/>
      <c r="O443" s="5"/>
      <c r="P443" s="5"/>
      <c r="Q443" s="5"/>
    </row>
    <row r="444" spans="1:17" ht="15.6">
      <c r="A444" s="5"/>
      <c r="B444" s="12">
        <v>44526</v>
      </c>
      <c r="C444" s="5">
        <v>665.64</v>
      </c>
      <c r="D444" s="5">
        <v>360.64</v>
      </c>
      <c r="E444" s="5">
        <v>175.23</v>
      </c>
      <c r="F444" s="5">
        <v>173.99</v>
      </c>
      <c r="G444" s="5">
        <f t="shared" si="11"/>
        <v>1.1165291892631046E-2</v>
      </c>
      <c r="H444" s="5">
        <f t="shared" si="11"/>
        <v>-3.0537634408602132E-2</v>
      </c>
      <c r="I444" s="5">
        <f t="shared" si="10"/>
        <v>-2.1170818902915944E-2</v>
      </c>
      <c r="J444" s="5">
        <f t="shared" si="10"/>
        <v>-1.6839012261965269E-2</v>
      </c>
      <c r="K444" s="5"/>
      <c r="L444" s="5"/>
      <c r="M444" s="5"/>
      <c r="N444" s="5"/>
      <c r="O444" s="5"/>
      <c r="P444" s="5"/>
      <c r="Q444" s="5"/>
    </row>
    <row r="445" spans="1:17" ht="15.6">
      <c r="A445" s="5"/>
      <c r="B445" s="12">
        <v>44529</v>
      </c>
      <c r="C445" s="5">
        <v>663.84</v>
      </c>
      <c r="D445" s="5">
        <v>379</v>
      </c>
      <c r="E445" s="5">
        <v>178.08</v>
      </c>
      <c r="F445" s="5">
        <v>175.2</v>
      </c>
      <c r="G445" s="5">
        <f t="shared" si="11"/>
        <v>-2.7041644131962084E-3</v>
      </c>
      <c r="H445" s="5">
        <f t="shared" si="11"/>
        <v>5.0909494232475705E-2</v>
      </c>
      <c r="I445" s="5">
        <f t="shared" si="10"/>
        <v>1.6264338298236813E-2</v>
      </c>
      <c r="J445" s="5">
        <f t="shared" si="10"/>
        <v>6.9544226679691956E-3</v>
      </c>
      <c r="K445" s="5"/>
      <c r="L445" s="5"/>
      <c r="M445" s="5"/>
      <c r="N445" s="5"/>
      <c r="O445" s="5"/>
      <c r="P445" s="5"/>
      <c r="Q445" s="5"/>
    </row>
    <row r="446" spans="1:17" ht="15.6">
      <c r="A446" s="5"/>
      <c r="B446" s="12">
        <v>44530</v>
      </c>
      <c r="C446" s="5">
        <v>641.9</v>
      </c>
      <c r="D446" s="5">
        <v>381.59</v>
      </c>
      <c r="E446" s="5">
        <v>175.35</v>
      </c>
      <c r="F446" s="5">
        <v>173.57</v>
      </c>
      <c r="G446" s="5">
        <f t="shared" si="11"/>
        <v>-3.3050132562063239E-2</v>
      </c>
      <c r="H446" s="5">
        <f t="shared" si="11"/>
        <v>6.8337730870711155E-3</v>
      </c>
      <c r="I446" s="5">
        <f t="shared" si="10"/>
        <v>-1.5330188679245405E-2</v>
      </c>
      <c r="J446" s="5">
        <f t="shared" si="10"/>
        <v>-9.3036529680364799E-3</v>
      </c>
      <c r="K446" s="5"/>
      <c r="L446" s="5"/>
      <c r="M446" s="5"/>
      <c r="N446" s="5"/>
      <c r="O446" s="5"/>
      <c r="P446" s="5"/>
      <c r="Q446" s="5"/>
    </row>
    <row r="447" spans="1:17" ht="15.6">
      <c r="A447" s="5"/>
      <c r="B447" s="12">
        <v>44531</v>
      </c>
      <c r="C447" s="5">
        <v>617.77</v>
      </c>
      <c r="D447" s="5">
        <v>365</v>
      </c>
      <c r="E447" s="5">
        <v>172.19</v>
      </c>
      <c r="F447" s="5">
        <v>171.63</v>
      </c>
      <c r="G447" s="5">
        <f t="shared" si="11"/>
        <v>-3.7591525159682226E-2</v>
      </c>
      <c r="H447" s="5">
        <f t="shared" si="11"/>
        <v>-4.3475982075001918E-2</v>
      </c>
      <c r="I447" s="5">
        <f t="shared" si="10"/>
        <v>-1.8021100655831179E-2</v>
      </c>
      <c r="J447" s="5">
        <f t="shared" si="10"/>
        <v>-1.1177046724664352E-2</v>
      </c>
      <c r="K447" s="5"/>
      <c r="L447" s="5"/>
      <c r="M447" s="5"/>
      <c r="N447" s="5"/>
      <c r="O447" s="5"/>
      <c r="P447" s="5"/>
      <c r="Q447" s="5"/>
    </row>
    <row r="448" spans="1:17" ht="15.6">
      <c r="A448" s="5"/>
      <c r="B448" s="12">
        <v>44532</v>
      </c>
      <c r="C448" s="5">
        <v>616.47</v>
      </c>
      <c r="D448" s="5">
        <v>361.53</v>
      </c>
      <c r="E448" s="5">
        <v>171.87</v>
      </c>
      <c r="F448" s="5">
        <v>172.79</v>
      </c>
      <c r="G448" s="5">
        <f t="shared" si="11"/>
        <v>-2.1043430402899466E-3</v>
      </c>
      <c r="H448" s="5">
        <f t="shared" si="11"/>
        <v>-9.5068493150686217E-3</v>
      </c>
      <c r="I448" s="5">
        <f t="shared" si="10"/>
        <v>-1.8584122190602459E-3</v>
      </c>
      <c r="J448" s="5">
        <f t="shared" si="10"/>
        <v>6.7587251645981894E-3</v>
      </c>
      <c r="K448" s="5"/>
      <c r="L448" s="5"/>
      <c r="M448" s="5"/>
      <c r="N448" s="5"/>
      <c r="O448" s="5"/>
      <c r="P448" s="5"/>
      <c r="Q448" s="5"/>
    </row>
    <row r="449" spans="1:17" ht="15.6">
      <c r="A449" s="5"/>
      <c r="B449" s="12">
        <v>44533</v>
      </c>
      <c r="C449" s="5">
        <v>602.13</v>
      </c>
      <c r="D449" s="5">
        <v>338.32</v>
      </c>
      <c r="E449" s="5">
        <v>169.49</v>
      </c>
      <c r="F449" s="5">
        <v>175.64</v>
      </c>
      <c r="G449" s="5">
        <f t="shared" si="11"/>
        <v>-2.3261472577741027E-2</v>
      </c>
      <c r="H449" s="5">
        <f t="shared" si="11"/>
        <v>-6.4199374878986526E-2</v>
      </c>
      <c r="I449" s="5">
        <f t="shared" si="10"/>
        <v>-1.3847675568743778E-2</v>
      </c>
      <c r="J449" s="5">
        <f t="shared" si="10"/>
        <v>1.6494010070027265E-2</v>
      </c>
      <c r="K449" s="5"/>
      <c r="L449" s="5"/>
      <c r="M449" s="5"/>
      <c r="N449" s="5"/>
      <c r="O449" s="5"/>
      <c r="P449" s="5"/>
      <c r="Q449" s="5"/>
    </row>
    <row r="450" spans="1:17" ht="15.6">
      <c r="A450" s="5"/>
      <c r="B450" s="12">
        <v>44536</v>
      </c>
      <c r="C450" s="5">
        <v>612.69000000000005</v>
      </c>
      <c r="D450" s="5">
        <v>336.34</v>
      </c>
      <c r="E450" s="5">
        <v>171.37</v>
      </c>
      <c r="F450" s="5">
        <v>176.71</v>
      </c>
      <c r="G450" s="5">
        <f t="shared" si="11"/>
        <v>1.7537741019381325E-2</v>
      </c>
      <c r="H450" s="5">
        <f t="shared" si="11"/>
        <v>-5.8524473870892324E-3</v>
      </c>
      <c r="I450" s="5">
        <f t="shared" si="10"/>
        <v>1.1092099828898361E-2</v>
      </c>
      <c r="J450" s="5">
        <f t="shared" si="10"/>
        <v>6.0920063766796151E-3</v>
      </c>
      <c r="K450" s="5"/>
      <c r="L450" s="5"/>
      <c r="M450" s="5"/>
      <c r="N450" s="5"/>
      <c r="O450" s="5"/>
      <c r="P450" s="5"/>
      <c r="Q450" s="5"/>
    </row>
    <row r="451" spans="1:17" ht="15.6">
      <c r="A451" s="5"/>
      <c r="B451" s="12">
        <v>44537</v>
      </c>
      <c r="C451" s="5">
        <v>625.58000000000004</v>
      </c>
      <c r="D451" s="5">
        <v>350.58</v>
      </c>
      <c r="E451" s="5">
        <v>176.16</v>
      </c>
      <c r="F451" s="5">
        <v>177.98</v>
      </c>
      <c r="G451" s="5">
        <f t="shared" si="11"/>
        <v>2.1038371770389475E-2</v>
      </c>
      <c r="H451" s="5">
        <f t="shared" si="11"/>
        <v>4.233811024558487E-2</v>
      </c>
      <c r="I451" s="5">
        <f t="shared" si="10"/>
        <v>2.7951216665694112E-2</v>
      </c>
      <c r="J451" s="5">
        <f t="shared" si="10"/>
        <v>7.1869164167279731E-3</v>
      </c>
      <c r="K451" s="5"/>
      <c r="L451" s="5"/>
      <c r="M451" s="5"/>
      <c r="N451" s="5"/>
      <c r="O451" s="5"/>
      <c r="P451" s="5"/>
      <c r="Q451" s="5"/>
    </row>
    <row r="452" spans="1:17" ht="15.6">
      <c r="A452" s="5"/>
      <c r="B452" s="12">
        <v>44538</v>
      </c>
      <c r="C452" s="5">
        <v>628.08000000000004</v>
      </c>
      <c r="D452" s="5">
        <v>356.32</v>
      </c>
      <c r="E452" s="5">
        <v>176.16</v>
      </c>
      <c r="F452" s="5">
        <v>179.17</v>
      </c>
      <c r="G452" s="5">
        <f t="shared" si="11"/>
        <v>3.9962914415423434E-3</v>
      </c>
      <c r="H452" s="5">
        <f t="shared" si="11"/>
        <v>1.637286781904268E-2</v>
      </c>
      <c r="I452" s="5">
        <f t="shared" si="10"/>
        <v>0</v>
      </c>
      <c r="J452" s="5">
        <f t="shared" si="10"/>
        <v>6.6861445106192186E-3</v>
      </c>
      <c r="K452" s="5"/>
      <c r="L452" s="5"/>
      <c r="M452" s="5"/>
      <c r="N452" s="5"/>
      <c r="O452" s="5"/>
      <c r="P452" s="5"/>
      <c r="Q452" s="5"/>
    </row>
    <row r="453" spans="1:17" ht="15.6">
      <c r="A453" s="5"/>
      <c r="B453" s="12">
        <v>44539</v>
      </c>
      <c r="C453" s="5">
        <v>611</v>
      </c>
      <c r="D453" s="5">
        <v>334.6</v>
      </c>
      <c r="E453" s="5">
        <v>174.17</v>
      </c>
      <c r="F453" s="5">
        <v>179.45</v>
      </c>
      <c r="G453" s="5">
        <f t="shared" si="11"/>
        <v>-2.7193988027003013E-2</v>
      </c>
      <c r="H453" s="5">
        <f t="shared" si="11"/>
        <v>-6.0956443646160707E-2</v>
      </c>
      <c r="I453" s="5">
        <f t="shared" si="11"/>
        <v>-1.1296548592188982E-2</v>
      </c>
      <c r="J453" s="5">
        <f t="shared" si="11"/>
        <v>1.562761623039588E-3</v>
      </c>
      <c r="K453" s="5"/>
      <c r="L453" s="5"/>
      <c r="M453" s="5"/>
      <c r="N453" s="5"/>
      <c r="O453" s="5"/>
      <c r="P453" s="5"/>
      <c r="Q453" s="5"/>
    </row>
    <row r="454" spans="1:17" ht="15.6">
      <c r="A454" s="5"/>
      <c r="B454" s="12">
        <v>44540</v>
      </c>
      <c r="C454" s="5">
        <v>611.66</v>
      </c>
      <c r="D454" s="5">
        <v>339.01</v>
      </c>
      <c r="E454" s="5">
        <v>172.21</v>
      </c>
      <c r="F454" s="5">
        <v>182.39</v>
      </c>
      <c r="G454" s="5">
        <f t="shared" ref="G454:J517" si="12">(C454/C453)-1</f>
        <v>1.0801963993452013E-3</v>
      </c>
      <c r="H454" s="5">
        <f t="shared" si="12"/>
        <v>1.3179916317991536E-2</v>
      </c>
      <c r="I454" s="5">
        <f t="shared" si="12"/>
        <v>-1.1253373141183798E-2</v>
      </c>
      <c r="J454" s="5">
        <f t="shared" si="12"/>
        <v>1.6383393702981364E-2</v>
      </c>
      <c r="K454" s="5"/>
      <c r="L454" s="5"/>
      <c r="M454" s="5"/>
      <c r="N454" s="5"/>
      <c r="O454" s="5"/>
      <c r="P454" s="5"/>
      <c r="Q454" s="5"/>
    </row>
    <row r="455" spans="1:17" ht="15.6">
      <c r="A455" s="5"/>
      <c r="B455" s="12">
        <v>44543</v>
      </c>
      <c r="C455" s="5">
        <v>604.55999999999995</v>
      </c>
      <c r="D455" s="5">
        <v>322.14</v>
      </c>
      <c r="E455" s="5">
        <v>169.57</v>
      </c>
      <c r="F455" s="5">
        <v>184.48</v>
      </c>
      <c r="G455" s="5">
        <f t="shared" si="12"/>
        <v>-1.1607755942844133E-2</v>
      </c>
      <c r="H455" s="5">
        <f t="shared" si="12"/>
        <v>-4.9762543877761689E-2</v>
      </c>
      <c r="I455" s="5">
        <f t="shared" si="12"/>
        <v>-1.5330120202078912E-2</v>
      </c>
      <c r="J455" s="5">
        <f t="shared" si="12"/>
        <v>1.1458961565875336E-2</v>
      </c>
      <c r="K455" s="5"/>
      <c r="L455" s="5"/>
      <c r="M455" s="5"/>
      <c r="N455" s="5"/>
      <c r="O455" s="5"/>
      <c r="P455" s="5"/>
      <c r="Q455" s="5"/>
    </row>
    <row r="456" spans="1:17" ht="15.6">
      <c r="A456" s="5"/>
      <c r="B456" s="12">
        <v>44544</v>
      </c>
      <c r="C456" s="5">
        <v>597.99</v>
      </c>
      <c r="D456" s="5">
        <v>319.5</v>
      </c>
      <c r="E456" s="5">
        <v>169.09</v>
      </c>
      <c r="F456" s="5">
        <v>183.54</v>
      </c>
      <c r="G456" s="5">
        <f t="shared" si="12"/>
        <v>-1.0867407701468768E-2</v>
      </c>
      <c r="H456" s="5">
        <f t="shared" si="12"/>
        <v>-8.1951946358725936E-3</v>
      </c>
      <c r="I456" s="5">
        <f t="shared" si="12"/>
        <v>-2.8306893908119912E-3</v>
      </c>
      <c r="J456" s="5">
        <f t="shared" si="12"/>
        <v>-5.0954032957502005E-3</v>
      </c>
      <c r="K456" s="5"/>
      <c r="L456" s="5"/>
      <c r="M456" s="5"/>
      <c r="N456" s="5"/>
      <c r="O456" s="5"/>
      <c r="P456" s="5"/>
      <c r="Q456" s="5"/>
    </row>
    <row r="457" spans="1:17" ht="15.6">
      <c r="A457" s="5"/>
      <c r="B457" s="12">
        <v>44545</v>
      </c>
      <c r="C457" s="5">
        <v>605.04</v>
      </c>
      <c r="D457" s="5">
        <v>325.33</v>
      </c>
      <c r="E457" s="5">
        <v>173.32</v>
      </c>
      <c r="F457" s="5">
        <v>185.58</v>
      </c>
      <c r="G457" s="5">
        <f t="shared" si="12"/>
        <v>1.1789494807605383E-2</v>
      </c>
      <c r="H457" s="5">
        <f t="shared" si="12"/>
        <v>1.8247261345852861E-2</v>
      </c>
      <c r="I457" s="5">
        <f t="shared" si="12"/>
        <v>2.5016263528298444E-2</v>
      </c>
      <c r="J457" s="5">
        <f t="shared" si="12"/>
        <v>1.1114743380189696E-2</v>
      </c>
      <c r="K457" s="5"/>
      <c r="L457" s="5"/>
      <c r="M457" s="5"/>
      <c r="N457" s="5"/>
      <c r="O457" s="5"/>
      <c r="P457" s="5"/>
      <c r="Q457" s="5"/>
    </row>
    <row r="458" spans="1:17" ht="15.6">
      <c r="A458" s="5"/>
      <c r="B458" s="12">
        <v>44546</v>
      </c>
      <c r="C458" s="5">
        <v>591.05999999999995</v>
      </c>
      <c r="D458" s="5">
        <v>308.97000000000003</v>
      </c>
      <c r="E458" s="5">
        <v>168.87</v>
      </c>
      <c r="F458" s="5">
        <v>187.89</v>
      </c>
      <c r="G458" s="5">
        <f t="shared" si="12"/>
        <v>-2.3105910353034553E-2</v>
      </c>
      <c r="H458" s="5">
        <f t="shared" si="12"/>
        <v>-5.0287400485660605E-2</v>
      </c>
      <c r="I458" s="5">
        <f t="shared" si="12"/>
        <v>-2.5675051927071202E-2</v>
      </c>
      <c r="J458" s="5">
        <f t="shared" si="12"/>
        <v>1.2447462010992449E-2</v>
      </c>
      <c r="K458" s="5"/>
      <c r="L458" s="5"/>
      <c r="M458" s="5"/>
      <c r="N458" s="5"/>
      <c r="O458" s="5"/>
      <c r="P458" s="5"/>
      <c r="Q458" s="5"/>
    </row>
    <row r="459" spans="1:17" ht="15.6">
      <c r="A459" s="5"/>
      <c r="B459" s="12">
        <v>44547</v>
      </c>
      <c r="C459" s="5">
        <v>586.73</v>
      </c>
      <c r="D459" s="5">
        <v>310.86</v>
      </c>
      <c r="E459" s="5">
        <v>170.02</v>
      </c>
      <c r="F459" s="5">
        <v>183.48</v>
      </c>
      <c r="G459" s="5">
        <f t="shared" si="12"/>
        <v>-7.3258214056101112E-3</v>
      </c>
      <c r="H459" s="5">
        <f t="shared" si="12"/>
        <v>6.117098747451255E-3</v>
      </c>
      <c r="I459" s="5">
        <f t="shared" si="12"/>
        <v>6.8099721679397707E-3</v>
      </c>
      <c r="J459" s="5">
        <f t="shared" si="12"/>
        <v>-2.3471179945712906E-2</v>
      </c>
      <c r="K459" s="5"/>
      <c r="L459" s="5"/>
      <c r="M459" s="5"/>
      <c r="N459" s="5"/>
      <c r="O459" s="5"/>
      <c r="P459" s="5"/>
      <c r="Q459" s="5"/>
    </row>
    <row r="460" spans="1:17" ht="15.6">
      <c r="A460" s="5"/>
      <c r="B460" s="12">
        <v>44550</v>
      </c>
      <c r="C460" s="5">
        <v>593.74</v>
      </c>
      <c r="D460" s="5">
        <v>299.98</v>
      </c>
      <c r="E460" s="5">
        <v>167.08</v>
      </c>
      <c r="F460" s="5">
        <v>183.64</v>
      </c>
      <c r="G460" s="5">
        <f t="shared" si="12"/>
        <v>1.1947573841460279E-2</v>
      </c>
      <c r="H460" s="5">
        <f t="shared" si="12"/>
        <v>-3.4999678311780191E-2</v>
      </c>
      <c r="I460" s="5">
        <f t="shared" si="12"/>
        <v>-1.7292083284319526E-2</v>
      </c>
      <c r="J460" s="5">
        <f t="shared" si="12"/>
        <v>8.7202964900812141E-4</v>
      </c>
      <c r="K460" s="5"/>
      <c r="L460" s="5"/>
      <c r="M460" s="5"/>
      <c r="N460" s="5"/>
      <c r="O460" s="5"/>
      <c r="P460" s="5"/>
      <c r="Q460" s="5"/>
    </row>
    <row r="461" spans="1:17" ht="15.6">
      <c r="A461" s="5"/>
      <c r="B461" s="12">
        <v>44551</v>
      </c>
      <c r="C461" s="5">
        <v>604.91999999999996</v>
      </c>
      <c r="D461" s="5">
        <v>312.83999999999997</v>
      </c>
      <c r="E461" s="5">
        <v>170.42</v>
      </c>
      <c r="F461" s="5">
        <v>183.19</v>
      </c>
      <c r="G461" s="5">
        <f t="shared" si="12"/>
        <v>1.8829790817529446E-2</v>
      </c>
      <c r="H461" s="5">
        <f t="shared" si="12"/>
        <v>4.2869524634975509E-2</v>
      </c>
      <c r="I461" s="5">
        <f t="shared" si="12"/>
        <v>1.9990423749101982E-2</v>
      </c>
      <c r="J461" s="5">
        <f t="shared" si="12"/>
        <v>-2.4504465258112784E-3</v>
      </c>
      <c r="K461" s="5"/>
      <c r="L461" s="5"/>
      <c r="M461" s="5"/>
      <c r="N461" s="5"/>
      <c r="O461" s="5"/>
      <c r="P461" s="5"/>
      <c r="Q461" s="5"/>
    </row>
    <row r="462" spans="1:17" ht="15.6">
      <c r="A462" s="5"/>
      <c r="B462" s="12">
        <v>44552</v>
      </c>
      <c r="C462" s="5">
        <v>614.24</v>
      </c>
      <c r="D462" s="5">
        <v>336.29</v>
      </c>
      <c r="E462" s="5">
        <v>171.04</v>
      </c>
      <c r="F462" s="5">
        <v>184.7</v>
      </c>
      <c r="G462" s="5">
        <f t="shared" si="12"/>
        <v>1.5406995966408932E-2</v>
      </c>
      <c r="H462" s="5">
        <f t="shared" si="12"/>
        <v>7.4958445211609881E-2</v>
      </c>
      <c r="I462" s="5">
        <f t="shared" si="12"/>
        <v>3.6380706489849146E-3</v>
      </c>
      <c r="J462" s="5">
        <f t="shared" si="12"/>
        <v>8.2428080135377169E-3</v>
      </c>
      <c r="K462" s="5"/>
      <c r="L462" s="5"/>
      <c r="M462" s="5"/>
      <c r="N462" s="5"/>
      <c r="O462" s="5"/>
      <c r="P462" s="5"/>
      <c r="Q462" s="5"/>
    </row>
    <row r="463" spans="1:17" ht="15.6">
      <c r="A463" s="5"/>
      <c r="B463" s="12">
        <v>44553</v>
      </c>
      <c r="C463" s="5">
        <v>614.09</v>
      </c>
      <c r="D463" s="5">
        <v>355.67</v>
      </c>
      <c r="E463" s="5">
        <v>171.07</v>
      </c>
      <c r="F463" s="5">
        <v>184.3</v>
      </c>
      <c r="G463" s="5">
        <f t="shared" si="12"/>
        <v>-2.4420421984883145E-4</v>
      </c>
      <c r="H463" s="5">
        <f t="shared" si="12"/>
        <v>5.7628832257872631E-2</v>
      </c>
      <c r="I463" s="5">
        <f t="shared" si="12"/>
        <v>1.7539756782047888E-4</v>
      </c>
      <c r="J463" s="5">
        <f t="shared" si="12"/>
        <v>-2.1656740660529472E-3</v>
      </c>
      <c r="K463" s="5"/>
      <c r="L463" s="5"/>
      <c r="M463" s="5"/>
      <c r="N463" s="5"/>
      <c r="O463" s="5"/>
      <c r="P463" s="5"/>
      <c r="Q463" s="5"/>
    </row>
    <row r="464" spans="1:17" ht="15.6">
      <c r="A464" s="5"/>
      <c r="B464" s="12">
        <v>44557</v>
      </c>
      <c r="C464" s="5">
        <v>613.12</v>
      </c>
      <c r="D464" s="5">
        <v>364.65</v>
      </c>
      <c r="E464" s="5">
        <v>169.67</v>
      </c>
      <c r="F464" s="5">
        <v>185.69</v>
      </c>
      <c r="G464" s="5">
        <f t="shared" si="12"/>
        <v>-1.5795730267550434E-3</v>
      </c>
      <c r="H464" s="5">
        <f t="shared" si="12"/>
        <v>2.5248123260325439E-2</v>
      </c>
      <c r="I464" s="5">
        <f t="shared" si="12"/>
        <v>-8.183784415736306E-3</v>
      </c>
      <c r="J464" s="5">
        <f t="shared" si="12"/>
        <v>7.5420510037980115E-3</v>
      </c>
      <c r="K464" s="5"/>
      <c r="L464" s="5"/>
      <c r="M464" s="5"/>
      <c r="N464" s="5"/>
      <c r="O464" s="5"/>
      <c r="P464" s="5"/>
      <c r="Q464" s="5"/>
    </row>
    <row r="465" spans="1:17" ht="15.6">
      <c r="A465" s="5"/>
      <c r="B465" s="12">
        <v>44558</v>
      </c>
      <c r="C465" s="5">
        <v>610.71</v>
      </c>
      <c r="D465" s="5">
        <v>362.82</v>
      </c>
      <c r="E465" s="5">
        <v>170.66</v>
      </c>
      <c r="F465" s="5">
        <v>186.75</v>
      </c>
      <c r="G465" s="5">
        <f t="shared" si="12"/>
        <v>-3.9307150313151462E-3</v>
      </c>
      <c r="H465" s="5">
        <f t="shared" si="12"/>
        <v>-5.018510900863804E-3</v>
      </c>
      <c r="I465" s="5">
        <f t="shared" si="12"/>
        <v>5.8348558967407094E-3</v>
      </c>
      <c r="J465" s="5">
        <f t="shared" si="12"/>
        <v>5.7084387958425964E-3</v>
      </c>
      <c r="K465" s="5"/>
      <c r="L465" s="5"/>
      <c r="M465" s="5"/>
      <c r="N465" s="5"/>
      <c r="O465" s="5"/>
      <c r="P465" s="5"/>
      <c r="Q465" s="5"/>
    </row>
    <row r="466" spans="1:17" ht="15.6">
      <c r="A466" s="5"/>
      <c r="B466" s="12">
        <v>44559</v>
      </c>
      <c r="C466" s="5">
        <v>610.54</v>
      </c>
      <c r="D466" s="5">
        <v>362.06</v>
      </c>
      <c r="E466" s="5">
        <v>169.2</v>
      </c>
      <c r="F466" s="5">
        <v>187.58</v>
      </c>
      <c r="G466" s="5">
        <f t="shared" si="12"/>
        <v>-2.7836452653484667E-4</v>
      </c>
      <c r="H466" s="5">
        <f t="shared" si="12"/>
        <v>-2.0947026073534492E-3</v>
      </c>
      <c r="I466" s="5">
        <f t="shared" si="12"/>
        <v>-8.5550216805344581E-3</v>
      </c>
      <c r="J466" s="5">
        <f t="shared" si="12"/>
        <v>4.4444444444444731E-3</v>
      </c>
      <c r="K466" s="5"/>
      <c r="L466" s="5"/>
      <c r="M466" s="5"/>
      <c r="N466" s="5"/>
      <c r="O466" s="5"/>
      <c r="P466" s="5"/>
      <c r="Q466" s="5"/>
    </row>
    <row r="467" spans="1:17" ht="15.6">
      <c r="A467" s="5"/>
      <c r="B467" s="12">
        <v>44560</v>
      </c>
      <c r="C467" s="5">
        <v>612.09</v>
      </c>
      <c r="D467" s="5">
        <v>356.78</v>
      </c>
      <c r="E467" s="5">
        <v>168.64</v>
      </c>
      <c r="F467" s="5">
        <v>187.05</v>
      </c>
      <c r="G467" s="5">
        <f t="shared" si="12"/>
        <v>2.5387362007405212E-3</v>
      </c>
      <c r="H467" s="5">
        <f t="shared" si="12"/>
        <v>-1.4583218251118635E-2</v>
      </c>
      <c r="I467" s="5">
        <f t="shared" si="12"/>
        <v>-3.3096926713948038E-3</v>
      </c>
      <c r="J467" s="5">
        <f t="shared" si="12"/>
        <v>-2.825461136581775E-3</v>
      </c>
      <c r="K467" s="5"/>
      <c r="L467" s="5"/>
      <c r="M467" s="5"/>
      <c r="N467" s="5"/>
      <c r="O467" s="5"/>
      <c r="P467" s="5"/>
      <c r="Q467" s="5"/>
    </row>
    <row r="468" spans="1:17" ht="15.6">
      <c r="A468" s="5"/>
      <c r="B468" s="12">
        <v>44561</v>
      </c>
      <c r="C468" s="5">
        <v>602.44000000000005</v>
      </c>
      <c r="D468" s="5">
        <v>352.26</v>
      </c>
      <c r="E468" s="5">
        <v>166.72</v>
      </c>
      <c r="F468" s="5">
        <v>189.2</v>
      </c>
      <c r="G468" s="5">
        <f t="shared" si="12"/>
        <v>-1.5765655377477095E-2</v>
      </c>
      <c r="H468" s="5">
        <f t="shared" si="12"/>
        <v>-1.2668871573518592E-2</v>
      </c>
      <c r="I468" s="5">
        <f t="shared" si="12"/>
        <v>-1.1385199240986688E-2</v>
      </c>
      <c r="J468" s="5">
        <f t="shared" si="12"/>
        <v>1.1494252873563093E-2</v>
      </c>
      <c r="K468" s="5"/>
      <c r="L468" s="5"/>
      <c r="M468" s="5"/>
      <c r="N468" s="5"/>
      <c r="O468" s="5"/>
      <c r="P468" s="5"/>
      <c r="Q468" s="5"/>
    </row>
    <row r="469" spans="1:17" ht="15.6">
      <c r="A469" s="5"/>
      <c r="B469" s="12">
        <v>44564</v>
      </c>
      <c r="C469" s="5">
        <v>597.37</v>
      </c>
      <c r="D469" s="5">
        <v>399.93</v>
      </c>
      <c r="E469" s="5">
        <v>170.4</v>
      </c>
      <c r="F469" s="5">
        <v>188.94</v>
      </c>
      <c r="G469" s="5">
        <f t="shared" si="12"/>
        <v>-8.4157758448974995E-3</v>
      </c>
      <c r="H469" s="5">
        <f t="shared" si="12"/>
        <v>0.13532617952648618</v>
      </c>
      <c r="I469" s="5">
        <f t="shared" si="12"/>
        <v>2.2072936660268772E-2</v>
      </c>
      <c r="J469" s="5">
        <f t="shared" si="12"/>
        <v>-1.3742071881606144E-3</v>
      </c>
      <c r="K469" s="5"/>
      <c r="L469" s="5"/>
      <c r="M469" s="5"/>
      <c r="N469" s="5"/>
      <c r="O469" s="5"/>
      <c r="P469" s="5"/>
      <c r="Q469" s="5"/>
    </row>
    <row r="470" spans="1:17" ht="15.6">
      <c r="A470" s="5"/>
      <c r="B470" s="12">
        <v>44565</v>
      </c>
      <c r="C470" s="5">
        <v>591.15</v>
      </c>
      <c r="D470" s="5">
        <v>383.2</v>
      </c>
      <c r="E470" s="5">
        <v>167.52</v>
      </c>
      <c r="F470" s="5">
        <v>190.56</v>
      </c>
      <c r="G470" s="5">
        <f t="shared" si="12"/>
        <v>-1.0412307280245114E-2</v>
      </c>
      <c r="H470" s="5">
        <f t="shared" si="12"/>
        <v>-4.1832320656114863E-2</v>
      </c>
      <c r="I470" s="5">
        <f t="shared" si="12"/>
        <v>-1.6901408450704203E-2</v>
      </c>
      <c r="J470" s="5">
        <f t="shared" si="12"/>
        <v>8.5741505239758098E-3</v>
      </c>
      <c r="K470" s="5"/>
      <c r="L470" s="5"/>
      <c r="M470" s="5"/>
      <c r="N470" s="5"/>
      <c r="O470" s="5"/>
      <c r="P470" s="5"/>
      <c r="Q470" s="5"/>
    </row>
    <row r="471" spans="1:17" ht="15.6">
      <c r="A471" s="5"/>
      <c r="B471" s="12">
        <v>44566</v>
      </c>
      <c r="C471" s="5">
        <v>567.52</v>
      </c>
      <c r="D471" s="5">
        <v>362.71</v>
      </c>
      <c r="E471" s="5">
        <v>164.36</v>
      </c>
      <c r="F471" s="5">
        <v>192.65</v>
      </c>
      <c r="G471" s="5">
        <f t="shared" si="12"/>
        <v>-3.997293411147762E-2</v>
      </c>
      <c r="H471" s="5">
        <f t="shared" si="12"/>
        <v>-5.3470772442588799E-2</v>
      </c>
      <c r="I471" s="5">
        <f t="shared" si="12"/>
        <v>-1.8863419293218664E-2</v>
      </c>
      <c r="J471" s="5">
        <f t="shared" si="12"/>
        <v>1.0967674223341772E-2</v>
      </c>
      <c r="K471" s="5"/>
      <c r="L471" s="5"/>
      <c r="M471" s="5"/>
      <c r="N471" s="5"/>
      <c r="O471" s="5"/>
      <c r="P471" s="5"/>
      <c r="Q471" s="5"/>
    </row>
    <row r="472" spans="1:17" ht="15.6">
      <c r="A472" s="5"/>
      <c r="B472" s="12">
        <v>44567</v>
      </c>
      <c r="C472" s="5">
        <v>553.29</v>
      </c>
      <c r="D472" s="5">
        <v>354.9</v>
      </c>
      <c r="E472" s="5">
        <v>163.25</v>
      </c>
      <c r="F472" s="5">
        <v>192.23</v>
      </c>
      <c r="G472" s="5">
        <f t="shared" si="12"/>
        <v>-2.5074006202424615E-2</v>
      </c>
      <c r="H472" s="5">
        <f t="shared" si="12"/>
        <v>-2.1532353670976834E-2</v>
      </c>
      <c r="I472" s="5">
        <f t="shared" si="12"/>
        <v>-6.7534679970796541E-3</v>
      </c>
      <c r="J472" s="5">
        <f t="shared" si="12"/>
        <v>-2.180119387490298E-3</v>
      </c>
      <c r="K472" s="5"/>
      <c r="L472" s="5"/>
      <c r="M472" s="5"/>
      <c r="N472" s="5"/>
      <c r="O472" s="5"/>
      <c r="P472" s="5"/>
      <c r="Q472" s="5"/>
    </row>
    <row r="473" spans="1:17" ht="15.6">
      <c r="A473" s="5"/>
      <c r="B473" s="12">
        <v>44568</v>
      </c>
      <c r="C473" s="5">
        <v>541.05999999999995</v>
      </c>
      <c r="D473" s="5">
        <v>342.32</v>
      </c>
      <c r="E473" s="5">
        <v>162.55000000000001</v>
      </c>
      <c r="F473" s="5">
        <v>191.52</v>
      </c>
      <c r="G473" s="5">
        <f t="shared" si="12"/>
        <v>-2.2104140685716422E-2</v>
      </c>
      <c r="H473" s="5">
        <f t="shared" si="12"/>
        <v>-3.5446604677373816E-2</v>
      </c>
      <c r="I473" s="5">
        <f t="shared" si="12"/>
        <v>-4.2879019908115268E-3</v>
      </c>
      <c r="J473" s="5">
        <f t="shared" si="12"/>
        <v>-3.6934921708369206E-3</v>
      </c>
      <c r="K473" s="5"/>
      <c r="L473" s="5"/>
      <c r="M473" s="5"/>
      <c r="N473" s="5"/>
      <c r="O473" s="5"/>
      <c r="P473" s="5"/>
      <c r="Q473" s="5"/>
    </row>
    <row r="474" spans="1:17" ht="15.6">
      <c r="A474" s="5"/>
      <c r="B474" s="12">
        <v>44571</v>
      </c>
      <c r="C474" s="5">
        <v>539.85</v>
      </c>
      <c r="D474" s="5">
        <v>352.71</v>
      </c>
      <c r="E474" s="5">
        <v>161.49</v>
      </c>
      <c r="F474" s="5">
        <v>190.34</v>
      </c>
      <c r="G474" s="5">
        <f t="shared" si="12"/>
        <v>-2.2363508668168386E-3</v>
      </c>
      <c r="H474" s="5">
        <f t="shared" si="12"/>
        <v>3.0351717691049274E-2</v>
      </c>
      <c r="I474" s="5">
        <f t="shared" si="12"/>
        <v>-6.5210704398647179E-3</v>
      </c>
      <c r="J474" s="5">
        <f t="shared" si="12"/>
        <v>-6.1612364243943674E-3</v>
      </c>
      <c r="K474" s="5"/>
      <c r="L474" s="5"/>
      <c r="M474" s="5"/>
      <c r="N474" s="5"/>
      <c r="O474" s="5"/>
      <c r="P474" s="5"/>
      <c r="Q474" s="5"/>
    </row>
    <row r="475" spans="1:17" ht="15.6">
      <c r="A475" s="5"/>
      <c r="B475" s="12">
        <v>44572</v>
      </c>
      <c r="C475" s="5">
        <v>540.84</v>
      </c>
      <c r="D475" s="5">
        <v>354.8</v>
      </c>
      <c r="E475" s="5">
        <v>165.36</v>
      </c>
      <c r="F475" s="5">
        <v>189.74</v>
      </c>
      <c r="G475" s="5">
        <f t="shared" si="12"/>
        <v>1.8338427340929275E-3</v>
      </c>
      <c r="H475" s="5">
        <f t="shared" si="12"/>
        <v>5.9255479005415612E-3</v>
      </c>
      <c r="I475" s="5">
        <f t="shared" si="12"/>
        <v>2.3964332156789947E-2</v>
      </c>
      <c r="J475" s="5">
        <f t="shared" si="12"/>
        <v>-3.1522538615109674E-3</v>
      </c>
      <c r="K475" s="5"/>
      <c r="L475" s="5"/>
      <c r="M475" s="5"/>
      <c r="N475" s="5"/>
      <c r="O475" s="5"/>
      <c r="P475" s="5"/>
      <c r="Q475" s="5"/>
    </row>
    <row r="476" spans="1:17" ht="15.6">
      <c r="A476" s="5"/>
      <c r="B476" s="12">
        <v>44573</v>
      </c>
      <c r="C476" s="5">
        <v>537.22</v>
      </c>
      <c r="D476" s="5">
        <v>368.74</v>
      </c>
      <c r="E476" s="5">
        <v>165.21</v>
      </c>
      <c r="F476" s="5">
        <v>191.51</v>
      </c>
      <c r="G476" s="5">
        <f t="shared" si="12"/>
        <v>-6.6932919162784321E-3</v>
      </c>
      <c r="H476" s="5">
        <f t="shared" si="12"/>
        <v>3.9289740698985387E-2</v>
      </c>
      <c r="I476" s="5">
        <f t="shared" si="12"/>
        <v>-9.0711175616842166E-4</v>
      </c>
      <c r="J476" s="5">
        <f t="shared" si="12"/>
        <v>9.3285548645514194E-3</v>
      </c>
      <c r="K476" s="5"/>
      <c r="L476" s="5"/>
      <c r="M476" s="5"/>
      <c r="N476" s="5"/>
      <c r="O476" s="5"/>
      <c r="P476" s="5"/>
      <c r="Q476" s="5"/>
    </row>
    <row r="477" spans="1:17" ht="15.6">
      <c r="A477" s="5"/>
      <c r="B477" s="12">
        <v>44574</v>
      </c>
      <c r="C477" s="5">
        <v>519.20000000000005</v>
      </c>
      <c r="D477" s="5">
        <v>343.85</v>
      </c>
      <c r="E477" s="5">
        <v>161.21</v>
      </c>
      <c r="F477" s="5">
        <v>192.39</v>
      </c>
      <c r="G477" s="5">
        <f t="shared" si="12"/>
        <v>-3.3543054986783782E-2</v>
      </c>
      <c r="H477" s="5">
        <f t="shared" si="12"/>
        <v>-6.7500135596897493E-2</v>
      </c>
      <c r="I477" s="5">
        <f t="shared" si="12"/>
        <v>-2.4211609466739281E-2</v>
      </c>
      <c r="J477" s="5">
        <f t="shared" si="12"/>
        <v>4.5950603101665433E-3</v>
      </c>
      <c r="K477" s="5"/>
      <c r="L477" s="5"/>
      <c r="M477" s="5"/>
      <c r="N477" s="5"/>
      <c r="O477" s="5"/>
      <c r="P477" s="5"/>
      <c r="Q477" s="5"/>
    </row>
    <row r="478" spans="1:17" ht="15.6">
      <c r="A478" s="5"/>
      <c r="B478" s="12">
        <v>44575</v>
      </c>
      <c r="C478" s="5">
        <v>525.69000000000005</v>
      </c>
      <c r="D478" s="5">
        <v>349.87</v>
      </c>
      <c r="E478" s="5">
        <v>162.13999999999999</v>
      </c>
      <c r="F478" s="5">
        <v>195.12</v>
      </c>
      <c r="G478" s="5">
        <f t="shared" si="12"/>
        <v>1.2499999999999956E-2</v>
      </c>
      <c r="H478" s="5">
        <f t="shared" si="12"/>
        <v>1.7507634142794659E-2</v>
      </c>
      <c r="I478" s="5">
        <f t="shared" si="12"/>
        <v>5.7688728987033144E-3</v>
      </c>
      <c r="J478" s="5">
        <f t="shared" si="12"/>
        <v>1.4189926711367651E-2</v>
      </c>
      <c r="K478" s="5"/>
      <c r="L478" s="5"/>
      <c r="M478" s="5"/>
      <c r="N478" s="5"/>
      <c r="O478" s="5"/>
      <c r="P478" s="5"/>
      <c r="Q478" s="5"/>
    </row>
    <row r="479" spans="1:17" ht="15.6">
      <c r="A479" s="5"/>
      <c r="B479" s="12">
        <v>44579</v>
      </c>
      <c r="C479" s="5">
        <v>510.8</v>
      </c>
      <c r="D479" s="5">
        <v>343.5</v>
      </c>
      <c r="E479" s="5">
        <v>158.91999999999999</v>
      </c>
      <c r="F479" s="5">
        <v>193.94</v>
      </c>
      <c r="G479" s="5">
        <f t="shared" si="12"/>
        <v>-2.8324678042192297E-2</v>
      </c>
      <c r="H479" s="5">
        <f t="shared" si="12"/>
        <v>-1.8206762511790098E-2</v>
      </c>
      <c r="I479" s="5">
        <f t="shared" si="12"/>
        <v>-1.9859380782040192E-2</v>
      </c>
      <c r="J479" s="5">
        <f t="shared" si="12"/>
        <v>-6.0475604756048407E-3</v>
      </c>
      <c r="K479" s="5"/>
      <c r="L479" s="5"/>
      <c r="M479" s="5"/>
      <c r="N479" s="5"/>
      <c r="O479" s="5"/>
      <c r="P479" s="5"/>
      <c r="Q479" s="5"/>
    </row>
    <row r="480" spans="1:17" ht="15.6">
      <c r="A480" s="5"/>
      <c r="B480" s="12">
        <v>44580</v>
      </c>
      <c r="C480" s="5">
        <v>515.86</v>
      </c>
      <c r="D480" s="5">
        <v>331.88</v>
      </c>
      <c r="E480" s="5">
        <v>156.30000000000001</v>
      </c>
      <c r="F480" s="5">
        <v>195.23</v>
      </c>
      <c r="G480" s="5">
        <f t="shared" si="12"/>
        <v>9.9060297572435285E-3</v>
      </c>
      <c r="H480" s="5">
        <f t="shared" si="12"/>
        <v>-3.3828238719068482E-2</v>
      </c>
      <c r="I480" s="5">
        <f t="shared" si="12"/>
        <v>-1.6486282406241948E-2</v>
      </c>
      <c r="J480" s="5">
        <f t="shared" si="12"/>
        <v>6.6515417139321187E-3</v>
      </c>
      <c r="K480" s="5"/>
      <c r="L480" s="5"/>
      <c r="M480" s="5"/>
      <c r="N480" s="5"/>
      <c r="O480" s="5"/>
      <c r="P480" s="5"/>
      <c r="Q480" s="5"/>
    </row>
    <row r="481" spans="1:17" ht="15.6">
      <c r="A481" s="5"/>
      <c r="B481" s="12">
        <v>44581</v>
      </c>
      <c r="C481" s="5">
        <v>508.25</v>
      </c>
      <c r="D481" s="5">
        <v>332.09</v>
      </c>
      <c r="E481" s="5">
        <v>151.66999999999999</v>
      </c>
      <c r="F481" s="5">
        <v>194.76</v>
      </c>
      <c r="G481" s="5">
        <f t="shared" si="12"/>
        <v>-1.4752064513627761E-2</v>
      </c>
      <c r="H481" s="5">
        <f t="shared" si="12"/>
        <v>6.3275882849223031E-4</v>
      </c>
      <c r="I481" s="5">
        <f t="shared" si="12"/>
        <v>-2.9622520793346263E-2</v>
      </c>
      <c r="J481" s="5">
        <f t="shared" si="12"/>
        <v>-2.4074168928955864E-3</v>
      </c>
      <c r="K481" s="5"/>
      <c r="L481" s="5"/>
      <c r="M481" s="5"/>
      <c r="N481" s="5"/>
      <c r="O481" s="5"/>
      <c r="P481" s="5"/>
      <c r="Q481" s="5"/>
    </row>
    <row r="482" spans="1:17" ht="15.6">
      <c r="A482" s="5"/>
      <c r="B482" s="12">
        <v>44582</v>
      </c>
      <c r="C482" s="5">
        <v>397.5</v>
      </c>
      <c r="D482" s="5">
        <v>314.63</v>
      </c>
      <c r="E482" s="5">
        <v>142.63999999999999</v>
      </c>
      <c r="F482" s="5">
        <v>195.92</v>
      </c>
      <c r="G482" s="5">
        <f t="shared" si="12"/>
        <v>-0.21790457452041323</v>
      </c>
      <c r="H482" s="5">
        <f t="shared" si="12"/>
        <v>-5.2576108886145279E-2</v>
      </c>
      <c r="I482" s="5">
        <f t="shared" si="12"/>
        <v>-5.9537153029603718E-2</v>
      </c>
      <c r="J482" s="5">
        <f t="shared" si="12"/>
        <v>5.9560484699117122E-3</v>
      </c>
      <c r="K482" s="5"/>
      <c r="L482" s="5"/>
      <c r="M482" s="5"/>
      <c r="N482" s="5"/>
      <c r="O482" s="5"/>
      <c r="P482" s="5"/>
      <c r="Q482" s="5"/>
    </row>
    <row r="483" spans="1:17" ht="15.6">
      <c r="A483" s="5"/>
      <c r="B483" s="12">
        <v>44585</v>
      </c>
      <c r="C483" s="5">
        <v>387.15</v>
      </c>
      <c r="D483" s="5">
        <v>310</v>
      </c>
      <c r="E483" s="5">
        <v>144.54</v>
      </c>
      <c r="F483" s="5">
        <v>195.5</v>
      </c>
      <c r="G483" s="5">
        <f t="shared" si="12"/>
        <v>-2.6037735849056665E-2</v>
      </c>
      <c r="H483" s="5">
        <f t="shared" si="12"/>
        <v>-1.4715697803769467E-2</v>
      </c>
      <c r="I483" s="5">
        <f t="shared" si="12"/>
        <v>1.3320246775098132E-2</v>
      </c>
      <c r="J483" s="5">
        <f t="shared" si="12"/>
        <v>-2.1437321355655126E-3</v>
      </c>
      <c r="K483" s="5"/>
      <c r="L483" s="5"/>
      <c r="M483" s="5"/>
      <c r="N483" s="5"/>
      <c r="O483" s="5"/>
      <c r="P483" s="5"/>
      <c r="Q483" s="5"/>
    </row>
    <row r="484" spans="1:17" ht="15.6">
      <c r="A484" s="5"/>
      <c r="B484" s="12">
        <v>44586</v>
      </c>
      <c r="C484" s="5">
        <v>366.42</v>
      </c>
      <c r="D484" s="5">
        <v>306.13</v>
      </c>
      <c r="E484" s="5">
        <v>139.99</v>
      </c>
      <c r="F484" s="5">
        <v>190.47</v>
      </c>
      <c r="G484" s="5">
        <f t="shared" si="12"/>
        <v>-5.3545137543587695E-2</v>
      </c>
      <c r="H484" s="5">
        <f t="shared" si="12"/>
        <v>-1.248387096774195E-2</v>
      </c>
      <c r="I484" s="5">
        <f t="shared" si="12"/>
        <v>-3.1479175314791608E-2</v>
      </c>
      <c r="J484" s="5">
        <f t="shared" si="12"/>
        <v>-2.5728900255754472E-2</v>
      </c>
      <c r="K484" s="5"/>
      <c r="L484" s="5"/>
      <c r="M484" s="5"/>
      <c r="N484" s="5"/>
      <c r="O484" s="5"/>
      <c r="P484" s="5"/>
      <c r="Q484" s="5"/>
    </row>
    <row r="485" spans="1:17" ht="15.6">
      <c r="A485" s="5"/>
      <c r="B485" s="12">
        <v>44587</v>
      </c>
      <c r="C485" s="5">
        <v>359.7</v>
      </c>
      <c r="D485" s="5">
        <v>312.47000000000003</v>
      </c>
      <c r="E485" s="5">
        <v>138.87</v>
      </c>
      <c r="F485" s="5">
        <v>189.84</v>
      </c>
      <c r="G485" s="5">
        <f t="shared" si="12"/>
        <v>-1.8339610283281571E-2</v>
      </c>
      <c r="H485" s="5">
        <f t="shared" si="12"/>
        <v>2.071015581615665E-2</v>
      </c>
      <c r="I485" s="5">
        <f t="shared" si="12"/>
        <v>-8.0005714693907048E-3</v>
      </c>
      <c r="J485" s="5">
        <f t="shared" si="12"/>
        <v>-3.3076074972436809E-3</v>
      </c>
      <c r="K485" s="5"/>
      <c r="L485" s="5"/>
      <c r="M485" s="5"/>
      <c r="N485" s="5"/>
      <c r="O485" s="5"/>
      <c r="P485" s="5"/>
      <c r="Q485" s="5"/>
    </row>
    <row r="486" spans="1:17" ht="15.6">
      <c r="A486" s="5"/>
      <c r="B486" s="12">
        <v>44588</v>
      </c>
      <c r="C486" s="5">
        <v>386.7</v>
      </c>
      <c r="D486" s="5">
        <v>276.37</v>
      </c>
      <c r="E486" s="5">
        <v>139.63999999999999</v>
      </c>
      <c r="F486" s="5">
        <v>190.08</v>
      </c>
      <c r="G486" s="5">
        <f t="shared" si="12"/>
        <v>7.5062552126772264E-2</v>
      </c>
      <c r="H486" s="5">
        <f t="shared" si="12"/>
        <v>-0.11553109098473457</v>
      </c>
      <c r="I486" s="5">
        <f t="shared" si="12"/>
        <v>5.5447540865556366E-3</v>
      </c>
      <c r="J486" s="5">
        <f t="shared" si="12"/>
        <v>1.2642225031604948E-3</v>
      </c>
      <c r="K486" s="5"/>
      <c r="L486" s="5"/>
      <c r="M486" s="5"/>
      <c r="N486" s="5"/>
      <c r="O486" s="5"/>
      <c r="P486" s="5"/>
      <c r="Q486" s="5"/>
    </row>
    <row r="487" spans="1:17" ht="15.6">
      <c r="A487" s="5"/>
      <c r="B487" s="12">
        <v>44589</v>
      </c>
      <c r="C487" s="5">
        <v>384.36</v>
      </c>
      <c r="D487" s="5">
        <v>282.12</v>
      </c>
      <c r="E487" s="5">
        <v>143.97999999999999</v>
      </c>
      <c r="F487" s="5">
        <v>192.48</v>
      </c>
      <c r="G487" s="5">
        <f t="shared" si="12"/>
        <v>-6.0512024825445376E-3</v>
      </c>
      <c r="H487" s="5">
        <f t="shared" si="12"/>
        <v>2.0805441979954375E-2</v>
      </c>
      <c r="I487" s="5">
        <f t="shared" si="12"/>
        <v>3.1079919793755462E-2</v>
      </c>
      <c r="J487" s="5">
        <f t="shared" si="12"/>
        <v>1.2626262626262541E-2</v>
      </c>
      <c r="K487" s="5"/>
      <c r="L487" s="5"/>
      <c r="M487" s="5"/>
      <c r="N487" s="5"/>
      <c r="O487" s="5"/>
      <c r="P487" s="5"/>
      <c r="Q487" s="5"/>
    </row>
    <row r="488" spans="1:17" ht="15.6">
      <c r="A488" s="5"/>
      <c r="B488" s="12">
        <v>44592</v>
      </c>
      <c r="C488" s="5">
        <v>427.14</v>
      </c>
      <c r="D488" s="5">
        <v>312.24</v>
      </c>
      <c r="E488" s="5">
        <v>149.57</v>
      </c>
      <c r="F488" s="5">
        <v>192.72</v>
      </c>
      <c r="G488" s="5">
        <f t="shared" si="12"/>
        <v>0.11130190446456445</v>
      </c>
      <c r="H488" s="5">
        <f t="shared" si="12"/>
        <v>0.10676307954062092</v>
      </c>
      <c r="I488" s="5">
        <f t="shared" si="12"/>
        <v>3.8824836782886507E-2</v>
      </c>
      <c r="J488" s="5">
        <f t="shared" si="12"/>
        <v>1.2468827930174342E-3</v>
      </c>
      <c r="K488" s="5"/>
      <c r="L488" s="5"/>
      <c r="M488" s="5"/>
      <c r="N488" s="5"/>
      <c r="O488" s="5"/>
      <c r="P488" s="5"/>
      <c r="Q488" s="5"/>
    </row>
    <row r="489" spans="1:17" ht="15.6">
      <c r="A489" s="5"/>
      <c r="B489" s="12">
        <v>44593</v>
      </c>
      <c r="C489" s="5">
        <v>457.13</v>
      </c>
      <c r="D489" s="5">
        <v>310.42</v>
      </c>
      <c r="E489" s="5">
        <v>151.19</v>
      </c>
      <c r="F489" s="5">
        <v>191.41</v>
      </c>
      <c r="G489" s="5">
        <f t="shared" si="12"/>
        <v>7.021117198108362E-2</v>
      </c>
      <c r="H489" s="5">
        <f t="shared" si="12"/>
        <v>-5.8288496028695569E-3</v>
      </c>
      <c r="I489" s="5">
        <f t="shared" si="12"/>
        <v>1.0831049007153926E-2</v>
      </c>
      <c r="J489" s="5">
        <f t="shared" si="12"/>
        <v>-6.7974263179743089E-3</v>
      </c>
      <c r="K489" s="5"/>
      <c r="L489" s="5"/>
      <c r="M489" s="5"/>
      <c r="N489" s="5"/>
      <c r="O489" s="5"/>
      <c r="P489" s="5"/>
      <c r="Q489" s="5"/>
    </row>
    <row r="490" spans="1:17" ht="15.6">
      <c r="A490" s="5"/>
      <c r="B490" s="12">
        <v>44594</v>
      </c>
      <c r="C490" s="5">
        <v>429.48</v>
      </c>
      <c r="D490" s="5">
        <v>301.89</v>
      </c>
      <c r="E490" s="5">
        <v>150.61000000000001</v>
      </c>
      <c r="F490" s="5">
        <v>194.15</v>
      </c>
      <c r="G490" s="5">
        <f t="shared" si="12"/>
        <v>-6.04860761708923E-2</v>
      </c>
      <c r="H490" s="5">
        <f t="shared" si="12"/>
        <v>-2.7478899555441139E-2</v>
      </c>
      <c r="I490" s="5">
        <f t="shared" si="12"/>
        <v>-3.8362325550630461E-3</v>
      </c>
      <c r="J490" s="5">
        <f t="shared" si="12"/>
        <v>1.4314821587168902E-2</v>
      </c>
      <c r="K490" s="5"/>
      <c r="L490" s="5"/>
      <c r="M490" s="5"/>
      <c r="N490" s="5"/>
      <c r="O490" s="5"/>
      <c r="P490" s="5"/>
      <c r="Q490" s="5"/>
    </row>
    <row r="491" spans="1:17" ht="15.6">
      <c r="A491" s="5"/>
      <c r="B491" s="12">
        <v>44595</v>
      </c>
      <c r="C491" s="5">
        <v>405.6</v>
      </c>
      <c r="D491" s="5">
        <v>297.05</v>
      </c>
      <c r="E491" s="5">
        <v>138.85</v>
      </c>
      <c r="F491" s="5">
        <v>199.42</v>
      </c>
      <c r="G491" s="5">
        <f t="shared" si="12"/>
        <v>-5.5602123498183831E-2</v>
      </c>
      <c r="H491" s="5">
        <f t="shared" si="12"/>
        <v>-1.6032329656497368E-2</v>
      </c>
      <c r="I491" s="5">
        <f t="shared" si="12"/>
        <v>-7.8082464643782101E-2</v>
      </c>
      <c r="J491" s="5">
        <f t="shared" si="12"/>
        <v>2.7143960855008809E-2</v>
      </c>
      <c r="K491" s="5"/>
      <c r="L491" s="5"/>
      <c r="M491" s="5"/>
      <c r="N491" s="5"/>
      <c r="O491" s="5"/>
      <c r="P491" s="5"/>
      <c r="Q491" s="5"/>
    </row>
    <row r="492" spans="1:17" ht="15.6">
      <c r="A492" s="5"/>
      <c r="B492" s="12">
        <v>44596</v>
      </c>
      <c r="C492" s="5">
        <v>410.17</v>
      </c>
      <c r="D492" s="5">
        <v>307.77</v>
      </c>
      <c r="E492" s="5">
        <v>157.63999999999999</v>
      </c>
      <c r="F492" s="5">
        <v>198.3</v>
      </c>
      <c r="G492" s="5">
        <f t="shared" si="12"/>
        <v>1.1267258382642975E-2</v>
      </c>
      <c r="H492" s="5">
        <f t="shared" si="12"/>
        <v>3.6088200639622814E-2</v>
      </c>
      <c r="I492" s="5">
        <f t="shared" si="12"/>
        <v>0.13532589124954986</v>
      </c>
      <c r="J492" s="5">
        <f t="shared" si="12"/>
        <v>-5.6162872329754698E-3</v>
      </c>
      <c r="K492" s="5"/>
      <c r="L492" s="5"/>
      <c r="M492" s="5"/>
      <c r="N492" s="5"/>
      <c r="O492" s="5"/>
      <c r="P492" s="5"/>
      <c r="Q492" s="5"/>
    </row>
    <row r="493" spans="1:17" ht="15.6">
      <c r="A493" s="5"/>
      <c r="B493" s="12">
        <v>44599</v>
      </c>
      <c r="C493" s="5">
        <v>402.1</v>
      </c>
      <c r="D493" s="5">
        <v>302.45</v>
      </c>
      <c r="E493" s="5">
        <v>157.94</v>
      </c>
      <c r="F493" s="5">
        <v>200.19</v>
      </c>
      <c r="G493" s="5">
        <f t="shared" si="12"/>
        <v>-1.9674768998220182E-2</v>
      </c>
      <c r="H493" s="5">
        <f t="shared" si="12"/>
        <v>-1.7285635377067288E-2</v>
      </c>
      <c r="I493" s="5">
        <f t="shared" si="12"/>
        <v>1.9030702867293137E-3</v>
      </c>
      <c r="J493" s="5">
        <f t="shared" si="12"/>
        <v>9.5310136157336078E-3</v>
      </c>
      <c r="K493" s="5"/>
      <c r="L493" s="5"/>
      <c r="M493" s="5"/>
      <c r="N493" s="5"/>
      <c r="O493" s="5"/>
      <c r="P493" s="5"/>
      <c r="Q493" s="5"/>
    </row>
    <row r="494" spans="1:17" ht="15.6">
      <c r="A494" s="5"/>
      <c r="B494" s="12">
        <v>44600</v>
      </c>
      <c r="C494" s="5">
        <v>403.53</v>
      </c>
      <c r="D494" s="5">
        <v>307.33</v>
      </c>
      <c r="E494" s="5">
        <v>161.41</v>
      </c>
      <c r="F494" s="5">
        <v>202.43</v>
      </c>
      <c r="G494" s="5">
        <f t="shared" si="12"/>
        <v>3.5563292713254313E-3</v>
      </c>
      <c r="H494" s="5">
        <f t="shared" si="12"/>
        <v>1.6134898330302461E-2</v>
      </c>
      <c r="I494" s="5">
        <f t="shared" si="12"/>
        <v>2.1970368494364845E-2</v>
      </c>
      <c r="J494" s="5">
        <f t="shared" si="12"/>
        <v>1.1189370098406481E-2</v>
      </c>
      <c r="K494" s="5"/>
      <c r="L494" s="5"/>
      <c r="M494" s="5"/>
      <c r="N494" s="5"/>
      <c r="O494" s="5"/>
      <c r="P494" s="5"/>
      <c r="Q494" s="5"/>
    </row>
    <row r="495" spans="1:17" ht="15.6">
      <c r="A495" s="5"/>
      <c r="B495" s="12">
        <v>44601</v>
      </c>
      <c r="C495" s="5">
        <v>412.89</v>
      </c>
      <c r="D495" s="5">
        <v>310.67</v>
      </c>
      <c r="E495" s="5">
        <v>161.19</v>
      </c>
      <c r="F495" s="5">
        <v>199.14</v>
      </c>
      <c r="G495" s="5">
        <f t="shared" si="12"/>
        <v>2.3195301464575158E-2</v>
      </c>
      <c r="H495" s="5">
        <f t="shared" si="12"/>
        <v>1.0867796830768439E-2</v>
      </c>
      <c r="I495" s="5">
        <f t="shared" si="12"/>
        <v>-1.3629886624124676E-3</v>
      </c>
      <c r="J495" s="5">
        <f t="shared" si="12"/>
        <v>-1.6252531739366805E-2</v>
      </c>
      <c r="K495" s="5"/>
      <c r="L495" s="5"/>
      <c r="M495" s="5"/>
      <c r="N495" s="5"/>
      <c r="O495" s="5"/>
      <c r="P495" s="5"/>
      <c r="Q495" s="5"/>
    </row>
    <row r="496" spans="1:17" ht="15.6">
      <c r="A496" s="5"/>
      <c r="B496" s="12">
        <v>44602</v>
      </c>
      <c r="C496" s="5">
        <v>406.27</v>
      </c>
      <c r="D496" s="5">
        <v>301.52</v>
      </c>
      <c r="E496" s="5">
        <v>159</v>
      </c>
      <c r="F496" s="5">
        <v>198.93</v>
      </c>
      <c r="G496" s="5">
        <f t="shared" si="12"/>
        <v>-1.6033326067475651E-2</v>
      </c>
      <c r="H496" s="5">
        <f t="shared" si="12"/>
        <v>-2.9452473685904756E-2</v>
      </c>
      <c r="I496" s="5">
        <f t="shared" si="12"/>
        <v>-1.358645077238041E-2</v>
      </c>
      <c r="J496" s="5">
        <f t="shared" si="12"/>
        <v>-1.0545344983428073E-3</v>
      </c>
      <c r="K496" s="5"/>
      <c r="L496" s="5"/>
      <c r="M496" s="5"/>
      <c r="N496" s="5"/>
      <c r="O496" s="5"/>
      <c r="P496" s="5"/>
      <c r="Q496" s="5"/>
    </row>
    <row r="497" spans="1:17" ht="15.6">
      <c r="A497" s="5"/>
      <c r="B497" s="12">
        <v>44603</v>
      </c>
      <c r="C497" s="5">
        <v>391.31</v>
      </c>
      <c r="D497" s="5">
        <v>286.67</v>
      </c>
      <c r="E497" s="5">
        <v>153.29</v>
      </c>
      <c r="F497" s="5">
        <v>200.66</v>
      </c>
      <c r="G497" s="5">
        <f t="shared" si="12"/>
        <v>-3.6822802569719593E-2</v>
      </c>
      <c r="H497" s="5">
        <f t="shared" si="12"/>
        <v>-4.9250464314141595E-2</v>
      </c>
      <c r="I497" s="5">
        <f t="shared" si="12"/>
        <v>-3.5911949685534683E-2</v>
      </c>
      <c r="J497" s="5">
        <f t="shared" si="12"/>
        <v>8.6965264163272327E-3</v>
      </c>
      <c r="K497" s="5"/>
      <c r="L497" s="5"/>
      <c r="M497" s="5"/>
      <c r="N497" s="5"/>
      <c r="O497" s="5"/>
      <c r="P497" s="5"/>
      <c r="Q497" s="5"/>
    </row>
    <row r="498" spans="1:17" ht="15.6">
      <c r="A498" s="5"/>
      <c r="B498" s="12">
        <v>44606</v>
      </c>
      <c r="C498" s="5">
        <v>396.57</v>
      </c>
      <c r="D498" s="5">
        <v>291.92</v>
      </c>
      <c r="E498" s="5">
        <v>155.16999999999999</v>
      </c>
      <c r="F498" s="5">
        <v>198.86</v>
      </c>
      <c r="G498" s="5">
        <f t="shared" si="12"/>
        <v>1.3442028059594602E-2</v>
      </c>
      <c r="H498" s="5">
        <f t="shared" si="12"/>
        <v>1.8313740537900802E-2</v>
      </c>
      <c r="I498" s="5">
        <f t="shared" si="12"/>
        <v>1.2264335573096696E-2</v>
      </c>
      <c r="J498" s="5">
        <f t="shared" si="12"/>
        <v>-8.970397687630749E-3</v>
      </c>
      <c r="K498" s="5"/>
      <c r="L498" s="5"/>
      <c r="M498" s="5"/>
      <c r="N498" s="5"/>
      <c r="O498" s="5"/>
      <c r="P498" s="5"/>
      <c r="Q498" s="5"/>
    </row>
    <row r="499" spans="1:17" ht="15.6">
      <c r="A499" s="5"/>
      <c r="B499" s="12">
        <v>44607</v>
      </c>
      <c r="C499" s="5">
        <v>407.46</v>
      </c>
      <c r="D499" s="5">
        <v>307.48</v>
      </c>
      <c r="E499" s="5">
        <v>156.51</v>
      </c>
      <c r="F499" s="5">
        <v>198.4</v>
      </c>
      <c r="G499" s="5">
        <f t="shared" si="12"/>
        <v>2.7460473560783738E-2</v>
      </c>
      <c r="H499" s="5">
        <f t="shared" si="12"/>
        <v>5.3302274595779631E-2</v>
      </c>
      <c r="I499" s="5">
        <f t="shared" si="12"/>
        <v>8.6356898885093791E-3</v>
      </c>
      <c r="J499" s="5">
        <f t="shared" si="12"/>
        <v>-2.3131851553856997E-3</v>
      </c>
      <c r="K499" s="5"/>
      <c r="L499" s="5"/>
      <c r="M499" s="5"/>
      <c r="N499" s="5"/>
      <c r="O499" s="5"/>
      <c r="P499" s="5"/>
      <c r="Q499" s="5"/>
    </row>
    <row r="500" spans="1:17" ht="15.6">
      <c r="A500" s="5"/>
      <c r="B500" s="12">
        <v>44608</v>
      </c>
      <c r="C500" s="5">
        <v>398.08</v>
      </c>
      <c r="D500" s="5">
        <v>307.8</v>
      </c>
      <c r="E500" s="5">
        <v>158.1</v>
      </c>
      <c r="F500" s="5">
        <v>198.17</v>
      </c>
      <c r="G500" s="5">
        <f t="shared" si="12"/>
        <v>-2.3020664605114649E-2</v>
      </c>
      <c r="H500" s="5">
        <f t="shared" si="12"/>
        <v>1.040718095485893E-3</v>
      </c>
      <c r="I500" s="5">
        <f t="shared" si="12"/>
        <v>1.0159095265478202E-2</v>
      </c>
      <c r="J500" s="5">
        <f t="shared" si="12"/>
        <v>-1.159274193548443E-3</v>
      </c>
      <c r="K500" s="5"/>
      <c r="L500" s="5"/>
      <c r="M500" s="5"/>
      <c r="N500" s="5"/>
      <c r="O500" s="5"/>
      <c r="P500" s="5"/>
      <c r="Q500" s="5"/>
    </row>
    <row r="501" spans="1:17" ht="15.6">
      <c r="A501" s="5"/>
      <c r="B501" s="12">
        <v>44609</v>
      </c>
      <c r="C501" s="5">
        <v>386.67</v>
      </c>
      <c r="D501" s="5">
        <v>292.12</v>
      </c>
      <c r="E501" s="5">
        <v>154.65</v>
      </c>
      <c r="F501" s="5">
        <v>198.45</v>
      </c>
      <c r="G501" s="5">
        <f t="shared" si="12"/>
        <v>-2.866258038585201E-2</v>
      </c>
      <c r="H501" s="5">
        <f t="shared" si="12"/>
        <v>-5.0942170240415918E-2</v>
      </c>
      <c r="I501" s="5">
        <f t="shared" si="12"/>
        <v>-2.182163187855779E-2</v>
      </c>
      <c r="J501" s="5">
        <f t="shared" si="12"/>
        <v>1.4129282938890597E-3</v>
      </c>
      <c r="K501" s="5"/>
      <c r="L501" s="5"/>
      <c r="M501" s="5"/>
      <c r="N501" s="5"/>
      <c r="O501" s="5"/>
      <c r="P501" s="5"/>
      <c r="Q501" s="5"/>
    </row>
    <row r="502" spans="1:17" ht="15.6">
      <c r="A502" s="5"/>
      <c r="B502" s="12">
        <v>44610</v>
      </c>
      <c r="C502" s="5">
        <v>391.29</v>
      </c>
      <c r="D502" s="5">
        <v>285.66000000000003</v>
      </c>
      <c r="E502" s="5">
        <v>152.6</v>
      </c>
      <c r="F502" s="5">
        <v>199</v>
      </c>
      <c r="G502" s="5">
        <f t="shared" si="12"/>
        <v>1.194817286057881E-2</v>
      </c>
      <c r="H502" s="5">
        <f t="shared" si="12"/>
        <v>-2.2114199643981869E-2</v>
      </c>
      <c r="I502" s="5">
        <f t="shared" si="12"/>
        <v>-1.3255738764953229E-2</v>
      </c>
      <c r="J502" s="5">
        <f t="shared" si="12"/>
        <v>2.7714789619552871E-3</v>
      </c>
      <c r="K502" s="5"/>
      <c r="L502" s="5"/>
      <c r="M502" s="5"/>
      <c r="N502" s="5"/>
      <c r="O502" s="5"/>
      <c r="P502" s="5"/>
      <c r="Q502" s="5"/>
    </row>
    <row r="503" spans="1:17" ht="15.6">
      <c r="A503" s="5"/>
      <c r="B503" s="12">
        <v>44614</v>
      </c>
      <c r="C503" s="5">
        <v>377.38</v>
      </c>
      <c r="D503" s="5">
        <v>273.83999999999997</v>
      </c>
      <c r="E503" s="5">
        <v>150.19999999999999</v>
      </c>
      <c r="F503" s="5">
        <v>198.45</v>
      </c>
      <c r="G503" s="5">
        <f t="shared" si="12"/>
        <v>-3.5549081244090175E-2</v>
      </c>
      <c r="H503" s="5">
        <f t="shared" si="12"/>
        <v>-4.1377861793741033E-2</v>
      </c>
      <c r="I503" s="5">
        <f t="shared" si="12"/>
        <v>-1.5727391874180929E-2</v>
      </c>
      <c r="J503" s="5">
        <f t="shared" si="12"/>
        <v>-2.7638190954774045E-3</v>
      </c>
      <c r="K503" s="5"/>
      <c r="L503" s="5"/>
      <c r="M503" s="5"/>
      <c r="N503" s="5"/>
      <c r="O503" s="5"/>
      <c r="P503" s="5"/>
      <c r="Q503" s="5"/>
    </row>
    <row r="504" spans="1:17" ht="15.6">
      <c r="A504" s="5"/>
      <c r="B504" s="12">
        <v>44615</v>
      </c>
      <c r="C504" s="5">
        <v>367.46</v>
      </c>
      <c r="D504" s="5">
        <v>254.68</v>
      </c>
      <c r="E504" s="5">
        <v>144.83000000000001</v>
      </c>
      <c r="F504" s="5">
        <v>198.98</v>
      </c>
      <c r="G504" s="5">
        <f t="shared" si="12"/>
        <v>-2.6286501669404938E-2</v>
      </c>
      <c r="H504" s="5">
        <f t="shared" si="12"/>
        <v>-6.9967864446391914E-2</v>
      </c>
      <c r="I504" s="5">
        <f t="shared" si="12"/>
        <v>-3.5752330226364704E-2</v>
      </c>
      <c r="J504" s="5">
        <f t="shared" si="12"/>
        <v>2.6706979087931515E-3</v>
      </c>
      <c r="K504" s="5"/>
      <c r="L504" s="5"/>
      <c r="M504" s="5"/>
      <c r="N504" s="5"/>
      <c r="O504" s="5"/>
      <c r="P504" s="5"/>
      <c r="Q504" s="5"/>
    </row>
    <row r="505" spans="1:17" ht="15.6">
      <c r="A505" s="5"/>
      <c r="B505" s="12">
        <v>44616</v>
      </c>
      <c r="C505" s="5">
        <v>390.03</v>
      </c>
      <c r="D505" s="5">
        <v>266.92</v>
      </c>
      <c r="E505" s="5">
        <v>151.36000000000001</v>
      </c>
      <c r="F505" s="5">
        <v>193.32</v>
      </c>
      <c r="G505" s="5">
        <f t="shared" si="12"/>
        <v>6.1421651336199812E-2</v>
      </c>
      <c r="H505" s="5">
        <f t="shared" si="12"/>
        <v>4.8060310978482734E-2</v>
      </c>
      <c r="I505" s="5">
        <f t="shared" si="12"/>
        <v>4.5087343782365563E-2</v>
      </c>
      <c r="J505" s="5">
        <f t="shared" si="12"/>
        <v>-2.8445069856266936E-2</v>
      </c>
      <c r="K505" s="5"/>
      <c r="L505" s="5"/>
      <c r="M505" s="5"/>
      <c r="N505" s="5"/>
      <c r="O505" s="5"/>
      <c r="P505" s="5"/>
      <c r="Q505" s="5"/>
    </row>
    <row r="506" spans="1:17" ht="15.6">
      <c r="A506" s="5"/>
      <c r="B506" s="12">
        <v>44617</v>
      </c>
      <c r="C506" s="5">
        <v>390.8</v>
      </c>
      <c r="D506" s="5">
        <v>269.95999999999998</v>
      </c>
      <c r="E506" s="5">
        <v>153.79</v>
      </c>
      <c r="F506" s="5">
        <v>200.7</v>
      </c>
      <c r="G506" s="5">
        <f t="shared" si="12"/>
        <v>1.9742071122734739E-3</v>
      </c>
      <c r="H506" s="5">
        <f t="shared" si="12"/>
        <v>1.1389180278735145E-2</v>
      </c>
      <c r="I506" s="5">
        <f t="shared" si="12"/>
        <v>1.6054439746300053E-2</v>
      </c>
      <c r="J506" s="5">
        <f t="shared" si="12"/>
        <v>3.8175046554934866E-2</v>
      </c>
      <c r="K506" s="5"/>
      <c r="L506" s="5"/>
      <c r="M506" s="5"/>
      <c r="N506" s="5"/>
      <c r="O506" s="5"/>
      <c r="P506" s="5"/>
      <c r="Q506" s="5"/>
    </row>
    <row r="507" spans="1:17" ht="15.6">
      <c r="A507" s="5"/>
      <c r="B507" s="12">
        <v>44620</v>
      </c>
      <c r="C507" s="5">
        <v>394.52</v>
      </c>
      <c r="D507" s="5">
        <v>290.14</v>
      </c>
      <c r="E507" s="5">
        <v>153.56</v>
      </c>
      <c r="F507" s="5">
        <v>198.68</v>
      </c>
      <c r="G507" s="5">
        <f t="shared" si="12"/>
        <v>9.5189355168883161E-3</v>
      </c>
      <c r="H507" s="5">
        <f t="shared" si="12"/>
        <v>7.4751815083716089E-2</v>
      </c>
      <c r="I507" s="5">
        <f t="shared" si="12"/>
        <v>-1.4955458742440531E-3</v>
      </c>
      <c r="J507" s="5">
        <f t="shared" si="12"/>
        <v>-1.0064773293472773E-2</v>
      </c>
      <c r="K507" s="5"/>
      <c r="L507" s="5"/>
      <c r="M507" s="5"/>
      <c r="N507" s="5"/>
      <c r="O507" s="5"/>
      <c r="P507" s="5"/>
      <c r="Q507" s="5"/>
    </row>
    <row r="508" spans="1:17" ht="15.6">
      <c r="A508" s="5"/>
      <c r="B508" s="12">
        <v>44621</v>
      </c>
      <c r="C508" s="5">
        <v>386.24</v>
      </c>
      <c r="D508" s="5">
        <v>288.12</v>
      </c>
      <c r="E508" s="5">
        <v>151.13999999999999</v>
      </c>
      <c r="F508" s="5">
        <v>201.23</v>
      </c>
      <c r="G508" s="5">
        <f t="shared" si="12"/>
        <v>-2.0987529149345985E-2</v>
      </c>
      <c r="H508" s="5">
        <f t="shared" si="12"/>
        <v>-6.9621562004549276E-3</v>
      </c>
      <c r="I508" s="5">
        <f t="shared" si="12"/>
        <v>-1.5759312320916985E-2</v>
      </c>
      <c r="J508" s="5">
        <f t="shared" si="12"/>
        <v>1.2834709079927453E-2</v>
      </c>
      <c r="K508" s="5"/>
      <c r="L508" s="5"/>
      <c r="M508" s="5"/>
      <c r="N508" s="5"/>
      <c r="O508" s="5"/>
      <c r="P508" s="5"/>
      <c r="Q508" s="5"/>
    </row>
    <row r="509" spans="1:17" ht="15.6">
      <c r="A509" s="5"/>
      <c r="B509" s="12">
        <v>44622</v>
      </c>
      <c r="C509" s="5">
        <v>380.03</v>
      </c>
      <c r="D509" s="5">
        <v>293.3</v>
      </c>
      <c r="E509" s="5">
        <v>152.05000000000001</v>
      </c>
      <c r="F509" s="5">
        <v>204.34</v>
      </c>
      <c r="G509" s="5">
        <f t="shared" si="12"/>
        <v>-1.6078086164043159E-2</v>
      </c>
      <c r="H509" s="5">
        <f t="shared" si="12"/>
        <v>1.7978620019436287E-2</v>
      </c>
      <c r="I509" s="5">
        <f t="shared" si="12"/>
        <v>6.0209077676327549E-3</v>
      </c>
      <c r="J509" s="5">
        <f t="shared" si="12"/>
        <v>1.5454952044923864E-2</v>
      </c>
      <c r="K509" s="5"/>
      <c r="L509" s="5"/>
      <c r="M509" s="5"/>
      <c r="N509" s="5"/>
      <c r="O509" s="5"/>
      <c r="P509" s="5"/>
      <c r="Q509" s="5"/>
    </row>
    <row r="510" spans="1:17" ht="15.6">
      <c r="A510" s="5"/>
      <c r="B510" s="12">
        <v>44623</v>
      </c>
      <c r="C510" s="5">
        <v>368.07</v>
      </c>
      <c r="D510" s="5">
        <v>279.76</v>
      </c>
      <c r="E510" s="5">
        <v>147.9</v>
      </c>
      <c r="F510" s="5">
        <v>204.45</v>
      </c>
      <c r="G510" s="5">
        <f t="shared" si="12"/>
        <v>-3.1471199642133518E-2</v>
      </c>
      <c r="H510" s="5">
        <f t="shared" si="12"/>
        <v>-4.6164336856461041E-2</v>
      </c>
      <c r="I510" s="5">
        <f t="shared" si="12"/>
        <v>-2.7293653403485774E-2</v>
      </c>
      <c r="J510" s="5">
        <f t="shared" si="12"/>
        <v>5.3831848879304367E-4</v>
      </c>
      <c r="K510" s="5"/>
      <c r="L510" s="5"/>
      <c r="M510" s="5"/>
      <c r="N510" s="5"/>
      <c r="O510" s="5"/>
      <c r="P510" s="5"/>
      <c r="Q510" s="5"/>
    </row>
    <row r="511" spans="1:17" ht="15.6">
      <c r="A511" s="5"/>
      <c r="B511" s="12">
        <v>44624</v>
      </c>
      <c r="C511" s="5">
        <v>361.73</v>
      </c>
      <c r="D511" s="5">
        <v>279.43</v>
      </c>
      <c r="E511" s="5">
        <v>145.63999999999999</v>
      </c>
      <c r="F511" s="5">
        <v>209.05</v>
      </c>
      <c r="G511" s="5">
        <f t="shared" si="12"/>
        <v>-1.7224984377971486E-2</v>
      </c>
      <c r="H511" s="5">
        <f t="shared" si="12"/>
        <v>-1.1795824992850701E-3</v>
      </c>
      <c r="I511" s="5">
        <f t="shared" si="12"/>
        <v>-1.528059499661949E-2</v>
      </c>
      <c r="J511" s="5">
        <f t="shared" si="12"/>
        <v>2.2499388603570702E-2</v>
      </c>
      <c r="K511" s="5"/>
      <c r="L511" s="5"/>
      <c r="M511" s="5"/>
      <c r="N511" s="5"/>
      <c r="O511" s="5"/>
      <c r="P511" s="5"/>
      <c r="Q511" s="5"/>
    </row>
    <row r="512" spans="1:17" ht="15.6">
      <c r="A512" s="5"/>
      <c r="B512" s="12">
        <v>44627</v>
      </c>
      <c r="C512" s="5">
        <v>350.26</v>
      </c>
      <c r="D512" s="5">
        <v>268.19</v>
      </c>
      <c r="E512" s="5">
        <v>137.44999999999999</v>
      </c>
      <c r="F512" s="5">
        <v>209.6</v>
      </c>
      <c r="G512" s="5">
        <f t="shared" si="12"/>
        <v>-3.1708733032925207E-2</v>
      </c>
      <c r="H512" s="5">
        <f t="shared" si="12"/>
        <v>-4.0224743227284199E-2</v>
      </c>
      <c r="I512" s="5">
        <f t="shared" si="12"/>
        <v>-5.6234550947541928E-2</v>
      </c>
      <c r="J512" s="5">
        <f t="shared" si="12"/>
        <v>2.6309495336043209E-3</v>
      </c>
      <c r="K512" s="5"/>
      <c r="L512" s="5"/>
      <c r="M512" s="5"/>
      <c r="N512" s="5"/>
      <c r="O512" s="5"/>
      <c r="P512" s="5"/>
      <c r="Q512" s="5"/>
    </row>
    <row r="513" spans="1:17" ht="15.6">
      <c r="A513" s="5"/>
      <c r="B513" s="12">
        <v>44628</v>
      </c>
      <c r="C513" s="5">
        <v>341.76</v>
      </c>
      <c r="D513" s="5">
        <v>274.8</v>
      </c>
      <c r="E513" s="5">
        <v>136.01</v>
      </c>
      <c r="F513" s="5">
        <v>200.4</v>
      </c>
      <c r="G513" s="5">
        <f t="shared" si="12"/>
        <v>-2.4267686861188853E-2</v>
      </c>
      <c r="H513" s="5">
        <f t="shared" si="12"/>
        <v>2.4646705693724735E-2</v>
      </c>
      <c r="I513" s="5">
        <f t="shared" si="12"/>
        <v>-1.0476536922517266E-2</v>
      </c>
      <c r="J513" s="5">
        <f t="shared" si="12"/>
        <v>-4.3893129770992356E-2</v>
      </c>
      <c r="K513" s="5"/>
      <c r="L513" s="5"/>
      <c r="M513" s="5"/>
      <c r="N513" s="5"/>
      <c r="O513" s="5"/>
      <c r="P513" s="5"/>
      <c r="Q513" s="5"/>
    </row>
    <row r="514" spans="1:17" ht="15.6">
      <c r="A514" s="5"/>
      <c r="B514" s="12">
        <v>44629</v>
      </c>
      <c r="C514" s="5">
        <v>358.79</v>
      </c>
      <c r="D514" s="5">
        <v>286.32</v>
      </c>
      <c r="E514" s="5">
        <v>139.28</v>
      </c>
      <c r="F514" s="5">
        <v>201.25</v>
      </c>
      <c r="G514" s="5">
        <f t="shared" si="12"/>
        <v>4.9830290262172339E-2</v>
      </c>
      <c r="H514" s="5">
        <f t="shared" si="12"/>
        <v>4.1921397379912628E-2</v>
      </c>
      <c r="I514" s="5">
        <f t="shared" si="12"/>
        <v>2.4042349827218645E-2</v>
      </c>
      <c r="J514" s="5">
        <f t="shared" si="12"/>
        <v>4.2415169660678931E-3</v>
      </c>
      <c r="K514" s="5"/>
      <c r="L514" s="5"/>
      <c r="M514" s="5"/>
      <c r="N514" s="5"/>
      <c r="O514" s="5"/>
      <c r="P514" s="5"/>
      <c r="Q514" s="5"/>
    </row>
    <row r="515" spans="1:17" ht="15.6">
      <c r="A515" s="5"/>
      <c r="B515" s="12">
        <v>44630</v>
      </c>
      <c r="C515" s="5">
        <v>356.77</v>
      </c>
      <c r="D515" s="5">
        <v>279.43</v>
      </c>
      <c r="E515" s="5">
        <v>146.82</v>
      </c>
      <c r="F515" s="5">
        <v>201.51</v>
      </c>
      <c r="G515" s="5">
        <f t="shared" si="12"/>
        <v>-5.6300342818920157E-3</v>
      </c>
      <c r="H515" s="5">
        <f t="shared" si="12"/>
        <v>-2.4063984353171253E-2</v>
      </c>
      <c r="I515" s="5">
        <f t="shared" si="12"/>
        <v>5.4135554279149956E-2</v>
      </c>
      <c r="J515" s="5">
        <f t="shared" si="12"/>
        <v>1.2919254658385615E-3</v>
      </c>
      <c r="K515" s="5"/>
      <c r="L515" s="5"/>
      <c r="M515" s="5"/>
      <c r="N515" s="5"/>
      <c r="O515" s="5"/>
      <c r="P515" s="5"/>
      <c r="Q515" s="5"/>
    </row>
    <row r="516" spans="1:17" ht="15.6">
      <c r="A516" s="5"/>
      <c r="B516" s="12">
        <v>44631</v>
      </c>
      <c r="C516" s="5">
        <v>340.32</v>
      </c>
      <c r="D516" s="5">
        <v>265.12</v>
      </c>
      <c r="E516" s="5">
        <v>145.52000000000001</v>
      </c>
      <c r="F516" s="5">
        <v>201.06</v>
      </c>
      <c r="G516" s="5">
        <f t="shared" si="12"/>
        <v>-4.6108136894918217E-2</v>
      </c>
      <c r="H516" s="5">
        <f t="shared" si="12"/>
        <v>-5.1211394624771867E-2</v>
      </c>
      <c r="I516" s="5">
        <f t="shared" si="12"/>
        <v>-8.8543795123279256E-3</v>
      </c>
      <c r="J516" s="5">
        <f t="shared" si="12"/>
        <v>-2.2331397945510867E-3</v>
      </c>
      <c r="K516" s="5"/>
      <c r="L516" s="5"/>
      <c r="M516" s="5"/>
      <c r="N516" s="5"/>
      <c r="O516" s="5"/>
      <c r="P516" s="5"/>
      <c r="Q516" s="5"/>
    </row>
    <row r="517" spans="1:17" ht="15.6">
      <c r="A517" s="5"/>
      <c r="B517" s="12">
        <v>44634</v>
      </c>
      <c r="C517" s="5">
        <v>331.01</v>
      </c>
      <c r="D517" s="5">
        <v>255.46</v>
      </c>
      <c r="E517" s="5">
        <v>141.85</v>
      </c>
      <c r="F517" s="5">
        <v>203.05</v>
      </c>
      <c r="G517" s="5">
        <f t="shared" si="12"/>
        <v>-2.7356605547719792E-2</v>
      </c>
      <c r="H517" s="5">
        <f t="shared" si="12"/>
        <v>-3.6436330718165322E-2</v>
      </c>
      <c r="I517" s="5">
        <f t="shared" si="12"/>
        <v>-2.5219901044530091E-2</v>
      </c>
      <c r="J517" s="5">
        <f t="shared" ref="I517:J580" si="13">(F517/F516)-1</f>
        <v>9.8975430219834237E-3</v>
      </c>
      <c r="K517" s="5"/>
      <c r="L517" s="5"/>
      <c r="M517" s="5"/>
      <c r="N517" s="5"/>
      <c r="O517" s="5"/>
      <c r="P517" s="5"/>
      <c r="Q517" s="5"/>
    </row>
    <row r="518" spans="1:17" ht="15.6">
      <c r="A518" s="5"/>
      <c r="B518" s="12">
        <v>44635</v>
      </c>
      <c r="C518" s="5">
        <v>343.75</v>
      </c>
      <c r="D518" s="5">
        <v>267.3</v>
      </c>
      <c r="E518" s="5">
        <v>147.37</v>
      </c>
      <c r="F518" s="5">
        <v>205.12</v>
      </c>
      <c r="G518" s="5">
        <f t="shared" ref="G518:J581" si="14">(C518/C517)-1</f>
        <v>3.8488263194465411E-2</v>
      </c>
      <c r="H518" s="5">
        <f t="shared" si="14"/>
        <v>4.6347764816409676E-2</v>
      </c>
      <c r="I518" s="5">
        <f t="shared" si="13"/>
        <v>3.8914346140289213E-2</v>
      </c>
      <c r="J518" s="5">
        <f t="shared" si="13"/>
        <v>1.0194533366165937E-2</v>
      </c>
      <c r="K518" s="5"/>
      <c r="L518" s="5"/>
      <c r="M518" s="5"/>
      <c r="N518" s="5"/>
      <c r="O518" s="5"/>
      <c r="P518" s="5"/>
      <c r="Q518" s="5"/>
    </row>
    <row r="519" spans="1:17" ht="15.6">
      <c r="A519" s="5"/>
      <c r="B519" s="12">
        <v>44636</v>
      </c>
      <c r="C519" s="5">
        <v>357.53</v>
      </c>
      <c r="D519" s="5">
        <v>280.08</v>
      </c>
      <c r="E519" s="5">
        <v>153.1</v>
      </c>
      <c r="F519" s="5">
        <v>202.06</v>
      </c>
      <c r="G519" s="5">
        <f t="shared" si="14"/>
        <v>4.0087272727272749E-2</v>
      </c>
      <c r="H519" s="5">
        <f t="shared" si="14"/>
        <v>4.7811447811447749E-2</v>
      </c>
      <c r="I519" s="5">
        <f t="shared" si="13"/>
        <v>3.888172626721853E-2</v>
      </c>
      <c r="J519" s="5">
        <f t="shared" si="13"/>
        <v>-1.4918096723869012E-2</v>
      </c>
      <c r="K519" s="5"/>
      <c r="L519" s="5"/>
      <c r="M519" s="5"/>
      <c r="N519" s="5"/>
      <c r="O519" s="5"/>
      <c r="P519" s="5"/>
      <c r="Q519" s="5"/>
    </row>
    <row r="520" spans="1:17" ht="15.6">
      <c r="A520" s="5"/>
      <c r="B520" s="12">
        <v>44637</v>
      </c>
      <c r="C520" s="5">
        <v>371.4</v>
      </c>
      <c r="D520" s="5">
        <v>290.52999999999997</v>
      </c>
      <c r="E520" s="5">
        <v>157.24</v>
      </c>
      <c r="F520" s="5">
        <v>203.05</v>
      </c>
      <c r="G520" s="5">
        <f t="shared" si="14"/>
        <v>3.8793947361060566E-2</v>
      </c>
      <c r="H520" s="5">
        <f t="shared" si="14"/>
        <v>3.7310768351899393E-2</v>
      </c>
      <c r="I520" s="5">
        <f t="shared" si="13"/>
        <v>2.7041149575441015E-2</v>
      </c>
      <c r="J520" s="5">
        <f t="shared" si="13"/>
        <v>4.8995347916460652E-3</v>
      </c>
      <c r="K520" s="5"/>
      <c r="L520" s="5"/>
      <c r="M520" s="5"/>
      <c r="N520" s="5"/>
      <c r="O520" s="5"/>
      <c r="P520" s="5"/>
      <c r="Q520" s="5"/>
    </row>
    <row r="521" spans="1:17" ht="15.6">
      <c r="A521" s="5"/>
      <c r="B521" s="12">
        <v>44638</v>
      </c>
      <c r="C521" s="5">
        <v>380.6</v>
      </c>
      <c r="D521" s="5">
        <v>301.8</v>
      </c>
      <c r="E521" s="5">
        <v>161.25</v>
      </c>
      <c r="F521" s="5">
        <v>203.07</v>
      </c>
      <c r="G521" s="5">
        <f t="shared" si="14"/>
        <v>2.4771136241249492E-2</v>
      </c>
      <c r="H521" s="5">
        <f t="shared" si="14"/>
        <v>3.8791174749595703E-2</v>
      </c>
      <c r="I521" s="5">
        <f t="shared" si="13"/>
        <v>2.5502416687865681E-2</v>
      </c>
      <c r="J521" s="5">
        <f t="shared" si="13"/>
        <v>9.8497906919403633E-5</v>
      </c>
      <c r="K521" s="5"/>
      <c r="L521" s="5"/>
      <c r="M521" s="5"/>
      <c r="N521" s="5"/>
      <c r="O521" s="5"/>
      <c r="P521" s="5"/>
      <c r="Q521" s="5"/>
    </row>
    <row r="522" spans="1:17" ht="15.6">
      <c r="A522" s="5"/>
      <c r="B522" s="12">
        <v>44641</v>
      </c>
      <c r="C522" s="5">
        <v>374.59</v>
      </c>
      <c r="D522" s="5">
        <v>307.05</v>
      </c>
      <c r="E522" s="5">
        <v>161.49</v>
      </c>
      <c r="F522" s="5">
        <v>204.67</v>
      </c>
      <c r="G522" s="5">
        <f t="shared" si="14"/>
        <v>-1.5790856542301723E-2</v>
      </c>
      <c r="H522" s="5">
        <f t="shared" si="14"/>
        <v>1.7395626242544759E-2</v>
      </c>
      <c r="I522" s="5">
        <f t="shared" si="13"/>
        <v>1.4883720930232158E-3</v>
      </c>
      <c r="J522" s="5">
        <f t="shared" si="13"/>
        <v>7.8790564829860354E-3</v>
      </c>
      <c r="K522" s="5"/>
      <c r="L522" s="5"/>
      <c r="M522" s="5"/>
      <c r="N522" s="5"/>
      <c r="O522" s="5"/>
      <c r="P522" s="5"/>
      <c r="Q522" s="5"/>
    </row>
    <row r="523" spans="1:17" ht="15.6">
      <c r="A523" s="5"/>
      <c r="B523" s="12">
        <v>44642</v>
      </c>
      <c r="C523" s="5">
        <v>382.92</v>
      </c>
      <c r="D523" s="5">
        <v>331.33</v>
      </c>
      <c r="E523" s="5">
        <v>164.89</v>
      </c>
      <c r="F523" s="5">
        <v>204.61</v>
      </c>
      <c r="G523" s="5">
        <f t="shared" si="14"/>
        <v>2.2237646493499685E-2</v>
      </c>
      <c r="H523" s="5">
        <f t="shared" si="14"/>
        <v>7.9075069206969495E-2</v>
      </c>
      <c r="I523" s="5">
        <f t="shared" si="13"/>
        <v>2.1053935228187326E-2</v>
      </c>
      <c r="J523" s="5">
        <f t="shared" si="13"/>
        <v>-2.9315483461167524E-4</v>
      </c>
      <c r="K523" s="5"/>
      <c r="L523" s="5"/>
      <c r="M523" s="5"/>
      <c r="N523" s="5"/>
      <c r="O523" s="5"/>
      <c r="P523" s="5"/>
      <c r="Q523" s="5"/>
    </row>
    <row r="524" spans="1:17" ht="15.6">
      <c r="A524" s="5"/>
      <c r="B524" s="12">
        <v>44643</v>
      </c>
      <c r="C524" s="5">
        <v>374.49</v>
      </c>
      <c r="D524" s="5">
        <v>333.04</v>
      </c>
      <c r="E524" s="5">
        <v>163.41</v>
      </c>
      <c r="F524" s="5">
        <v>204.08</v>
      </c>
      <c r="G524" s="5">
        <f t="shared" si="14"/>
        <v>-2.2015042306486987E-2</v>
      </c>
      <c r="H524" s="5">
        <f t="shared" si="14"/>
        <v>5.1610177164760351E-3</v>
      </c>
      <c r="I524" s="5">
        <f t="shared" si="13"/>
        <v>-8.9756807568681651E-3</v>
      </c>
      <c r="J524" s="5">
        <f t="shared" si="13"/>
        <v>-2.5902937295342321E-3</v>
      </c>
      <c r="K524" s="5"/>
      <c r="L524" s="5"/>
      <c r="M524" s="5"/>
      <c r="N524" s="5"/>
      <c r="O524" s="5"/>
      <c r="P524" s="5"/>
      <c r="Q524" s="5"/>
    </row>
    <row r="525" spans="1:17" ht="15.6">
      <c r="A525" s="5"/>
      <c r="B525" s="12">
        <v>44644</v>
      </c>
      <c r="C525" s="5">
        <v>375.71</v>
      </c>
      <c r="D525" s="5">
        <v>337.97</v>
      </c>
      <c r="E525" s="5">
        <v>163.65</v>
      </c>
      <c r="F525" s="5">
        <v>207.5</v>
      </c>
      <c r="G525" s="5">
        <f t="shared" si="14"/>
        <v>3.2577638922266505E-3</v>
      </c>
      <c r="H525" s="5">
        <f t="shared" si="14"/>
        <v>1.4803026663463781E-2</v>
      </c>
      <c r="I525" s="5">
        <f t="shared" si="13"/>
        <v>1.4686983660732178E-3</v>
      </c>
      <c r="J525" s="5">
        <f t="shared" si="13"/>
        <v>1.6758134065072428E-2</v>
      </c>
      <c r="K525" s="5"/>
      <c r="L525" s="5"/>
      <c r="M525" s="5"/>
      <c r="N525" s="5"/>
      <c r="O525" s="5"/>
      <c r="P525" s="5"/>
      <c r="Q525" s="5"/>
    </row>
    <row r="526" spans="1:17" ht="15.6">
      <c r="A526" s="5"/>
      <c r="B526" s="12">
        <v>44645</v>
      </c>
      <c r="C526" s="5">
        <v>373.85</v>
      </c>
      <c r="D526" s="5">
        <v>336.88</v>
      </c>
      <c r="E526" s="5">
        <v>164.77</v>
      </c>
      <c r="F526" s="5">
        <v>210.57</v>
      </c>
      <c r="G526" s="5">
        <f t="shared" si="14"/>
        <v>-4.9506268132335496E-3</v>
      </c>
      <c r="H526" s="5">
        <f t="shared" si="14"/>
        <v>-3.2251383258870003E-3</v>
      </c>
      <c r="I526" s="5">
        <f t="shared" si="13"/>
        <v>6.8438741216010346E-3</v>
      </c>
      <c r="J526" s="5">
        <f t="shared" si="13"/>
        <v>1.4795180722891432E-2</v>
      </c>
      <c r="K526" s="5"/>
      <c r="L526" s="5"/>
      <c r="M526" s="5"/>
      <c r="N526" s="5"/>
      <c r="O526" s="5"/>
      <c r="P526" s="5"/>
      <c r="Q526" s="5"/>
    </row>
    <row r="527" spans="1:17" ht="15.6">
      <c r="A527" s="5"/>
      <c r="B527" s="12">
        <v>44648</v>
      </c>
      <c r="C527" s="5">
        <v>378.51</v>
      </c>
      <c r="D527" s="5">
        <v>363.95</v>
      </c>
      <c r="E527" s="5">
        <v>168.99</v>
      </c>
      <c r="F527" s="5">
        <v>210.85</v>
      </c>
      <c r="G527" s="5">
        <f t="shared" si="14"/>
        <v>1.2464892336498501E-2</v>
      </c>
      <c r="H527" s="5">
        <f t="shared" si="14"/>
        <v>8.0355022559962075E-2</v>
      </c>
      <c r="I527" s="5">
        <f t="shared" si="13"/>
        <v>2.5611458396552766E-2</v>
      </c>
      <c r="J527" s="5">
        <f t="shared" si="13"/>
        <v>1.3297240822529588E-3</v>
      </c>
      <c r="K527" s="5"/>
      <c r="L527" s="5"/>
      <c r="M527" s="5"/>
      <c r="N527" s="5"/>
      <c r="O527" s="5"/>
      <c r="P527" s="5"/>
      <c r="Q527" s="5"/>
    </row>
    <row r="528" spans="1:17" ht="15.6">
      <c r="A528" s="5"/>
      <c r="B528" s="12">
        <v>44649</v>
      </c>
      <c r="C528" s="5">
        <v>391.82</v>
      </c>
      <c r="D528" s="5">
        <v>366.52</v>
      </c>
      <c r="E528" s="5">
        <v>169.32</v>
      </c>
      <c r="F528" s="5">
        <v>210.93</v>
      </c>
      <c r="G528" s="5">
        <f t="shared" si="14"/>
        <v>3.516419645451907E-2</v>
      </c>
      <c r="H528" s="5">
        <f t="shared" si="14"/>
        <v>7.0614095342766969E-3</v>
      </c>
      <c r="I528" s="5">
        <f t="shared" si="13"/>
        <v>1.9527782709034547E-3</v>
      </c>
      <c r="J528" s="5">
        <f t="shared" si="13"/>
        <v>3.7941664690555044E-4</v>
      </c>
      <c r="K528" s="5"/>
      <c r="L528" s="5"/>
      <c r="M528" s="5"/>
      <c r="N528" s="5"/>
      <c r="O528" s="5"/>
      <c r="P528" s="5"/>
      <c r="Q528" s="5"/>
    </row>
    <row r="529" spans="1:17" ht="15.6">
      <c r="A529" s="5"/>
      <c r="B529" s="12">
        <v>44650</v>
      </c>
      <c r="C529" s="5">
        <v>381.47</v>
      </c>
      <c r="D529" s="5">
        <v>364.66</v>
      </c>
      <c r="E529" s="5">
        <v>166.3</v>
      </c>
      <c r="F529" s="5">
        <v>212.81</v>
      </c>
      <c r="G529" s="5">
        <f t="shared" si="14"/>
        <v>-2.6415190648767184E-2</v>
      </c>
      <c r="H529" s="5">
        <f t="shared" si="14"/>
        <v>-5.0747571755973553E-3</v>
      </c>
      <c r="I529" s="5">
        <f t="shared" si="13"/>
        <v>-1.7836050082683519E-2</v>
      </c>
      <c r="J529" s="5">
        <f t="shared" si="13"/>
        <v>8.912909496041399E-3</v>
      </c>
      <c r="K529" s="5"/>
      <c r="L529" s="5"/>
      <c r="M529" s="5"/>
      <c r="N529" s="5"/>
      <c r="O529" s="5"/>
      <c r="P529" s="5"/>
      <c r="Q529" s="5"/>
    </row>
    <row r="530" spans="1:17" ht="15.6">
      <c r="A530" s="5"/>
      <c r="B530" s="12">
        <v>44651</v>
      </c>
      <c r="C530" s="5">
        <v>374.59</v>
      </c>
      <c r="D530" s="5">
        <v>359.2</v>
      </c>
      <c r="E530" s="5">
        <v>163</v>
      </c>
      <c r="F530" s="5">
        <v>212.79</v>
      </c>
      <c r="G530" s="5">
        <f t="shared" si="14"/>
        <v>-1.8035494272157893E-2</v>
      </c>
      <c r="H530" s="5">
        <f t="shared" si="14"/>
        <v>-1.4972851423243672E-2</v>
      </c>
      <c r="I530" s="5">
        <f t="shared" si="13"/>
        <v>-1.9843656043295299E-2</v>
      </c>
      <c r="J530" s="5">
        <f t="shared" si="13"/>
        <v>-9.3980546027050416E-5</v>
      </c>
      <c r="K530" s="5"/>
      <c r="L530" s="5"/>
      <c r="M530" s="5"/>
      <c r="N530" s="5"/>
      <c r="O530" s="5"/>
      <c r="P530" s="5"/>
      <c r="Q530" s="5"/>
    </row>
    <row r="531" spans="1:17" ht="15.6">
      <c r="A531" s="5"/>
      <c r="B531" s="12">
        <v>44652</v>
      </c>
      <c r="C531" s="5">
        <v>373.47</v>
      </c>
      <c r="D531" s="5">
        <v>361.53</v>
      </c>
      <c r="E531" s="5">
        <v>163.56</v>
      </c>
      <c r="F531" s="5">
        <v>214.89</v>
      </c>
      <c r="G531" s="5">
        <f t="shared" si="14"/>
        <v>-2.9899356629914386E-3</v>
      </c>
      <c r="H531" s="5">
        <f t="shared" si="14"/>
        <v>6.4866369710467886E-3</v>
      </c>
      <c r="I531" s="5">
        <f t="shared" si="13"/>
        <v>3.435582822086003E-3</v>
      </c>
      <c r="J531" s="5">
        <f t="shared" si="13"/>
        <v>9.8688848160157772E-3</v>
      </c>
      <c r="K531" s="5"/>
      <c r="L531" s="5"/>
      <c r="M531" s="5"/>
      <c r="N531" s="5"/>
      <c r="O531" s="5"/>
      <c r="P531" s="5"/>
      <c r="Q531" s="5"/>
    </row>
    <row r="532" spans="1:17" ht="15.6">
      <c r="A532" s="5"/>
      <c r="B532" s="12">
        <v>44655</v>
      </c>
      <c r="C532" s="5">
        <v>391.5</v>
      </c>
      <c r="D532" s="5">
        <v>381.82</v>
      </c>
      <c r="E532" s="5">
        <v>168.35</v>
      </c>
      <c r="F532" s="5">
        <v>212.68</v>
      </c>
      <c r="G532" s="5">
        <f t="shared" si="14"/>
        <v>4.8276970037753886E-2</v>
      </c>
      <c r="H532" s="5">
        <f t="shared" si="14"/>
        <v>5.6122590103172776E-2</v>
      </c>
      <c r="I532" s="5">
        <f t="shared" si="13"/>
        <v>2.9285888970408402E-2</v>
      </c>
      <c r="J532" s="5">
        <f t="shared" si="13"/>
        <v>-1.0284331518451206E-2</v>
      </c>
      <c r="K532" s="5"/>
      <c r="L532" s="5"/>
      <c r="M532" s="5"/>
      <c r="N532" s="5"/>
      <c r="O532" s="5"/>
      <c r="P532" s="5"/>
      <c r="Q532" s="5"/>
    </row>
    <row r="533" spans="1:17" ht="15.6">
      <c r="A533" s="5"/>
      <c r="B533" s="12">
        <v>44656</v>
      </c>
      <c r="C533" s="5">
        <v>380.15</v>
      </c>
      <c r="D533" s="5">
        <v>363.75</v>
      </c>
      <c r="E533" s="5">
        <v>164.05</v>
      </c>
      <c r="F533" s="5">
        <v>214.54</v>
      </c>
      <c r="G533" s="5">
        <f t="shared" si="14"/>
        <v>-2.8991060025542859E-2</v>
      </c>
      <c r="H533" s="5">
        <f t="shared" si="14"/>
        <v>-4.7325965114451862E-2</v>
      </c>
      <c r="I533" s="5">
        <f t="shared" si="13"/>
        <v>-2.5542025542025448E-2</v>
      </c>
      <c r="J533" s="5">
        <f t="shared" si="13"/>
        <v>8.7455331954109372E-3</v>
      </c>
      <c r="K533" s="5"/>
      <c r="L533" s="5"/>
      <c r="M533" s="5"/>
      <c r="N533" s="5"/>
      <c r="O533" s="5"/>
      <c r="P533" s="5"/>
      <c r="Q533" s="5"/>
    </row>
    <row r="534" spans="1:17" ht="15.6">
      <c r="A534" s="5"/>
      <c r="B534" s="12">
        <v>44657</v>
      </c>
      <c r="C534" s="5">
        <v>368.35</v>
      </c>
      <c r="D534" s="5">
        <v>348.59</v>
      </c>
      <c r="E534" s="5">
        <v>158.76</v>
      </c>
      <c r="F534" s="5">
        <v>217.82</v>
      </c>
      <c r="G534" s="5">
        <f t="shared" si="14"/>
        <v>-3.1040378797842827E-2</v>
      </c>
      <c r="H534" s="5">
        <f t="shared" si="14"/>
        <v>-4.1676975945017292E-2</v>
      </c>
      <c r="I534" s="5">
        <f t="shared" si="13"/>
        <v>-3.2246266382200628E-2</v>
      </c>
      <c r="J534" s="5">
        <f t="shared" si="13"/>
        <v>1.528852428451577E-2</v>
      </c>
      <c r="K534" s="5"/>
      <c r="L534" s="5"/>
      <c r="M534" s="5"/>
      <c r="N534" s="5"/>
      <c r="O534" s="5"/>
      <c r="P534" s="5"/>
      <c r="Q534" s="5"/>
    </row>
    <row r="535" spans="1:17" ht="15.6">
      <c r="A535" s="5"/>
      <c r="B535" s="12">
        <v>44658</v>
      </c>
      <c r="C535" s="5">
        <v>362.15</v>
      </c>
      <c r="D535" s="5">
        <v>352.42</v>
      </c>
      <c r="E535" s="5">
        <v>157.78</v>
      </c>
      <c r="F535" s="5">
        <v>218.76</v>
      </c>
      <c r="G535" s="5">
        <f t="shared" si="14"/>
        <v>-1.683181756481622E-2</v>
      </c>
      <c r="H535" s="5">
        <f t="shared" si="14"/>
        <v>1.098711953871323E-2</v>
      </c>
      <c r="I535" s="5">
        <f t="shared" si="13"/>
        <v>-6.1728395061727559E-3</v>
      </c>
      <c r="J535" s="5">
        <f t="shared" si="13"/>
        <v>4.3154898540078701E-3</v>
      </c>
      <c r="K535" s="5"/>
      <c r="L535" s="5"/>
      <c r="M535" s="5"/>
      <c r="N535" s="5"/>
      <c r="O535" s="5"/>
      <c r="P535" s="5"/>
      <c r="Q535" s="5"/>
    </row>
    <row r="536" spans="1:17" ht="15.6">
      <c r="A536" s="5"/>
      <c r="B536" s="12">
        <v>44659</v>
      </c>
      <c r="C536" s="5">
        <v>355.88</v>
      </c>
      <c r="D536" s="5">
        <v>341.83</v>
      </c>
      <c r="E536" s="5">
        <v>154.46</v>
      </c>
      <c r="F536" s="5">
        <v>219.76</v>
      </c>
      <c r="G536" s="5">
        <f t="shared" si="14"/>
        <v>-1.7313267982880021E-2</v>
      </c>
      <c r="H536" s="5">
        <f t="shared" si="14"/>
        <v>-3.0049372907326566E-2</v>
      </c>
      <c r="I536" s="5">
        <f t="shared" si="13"/>
        <v>-2.1041957155533031E-2</v>
      </c>
      <c r="J536" s="5">
        <f t="shared" si="13"/>
        <v>4.57121960138962E-3</v>
      </c>
      <c r="K536" s="5"/>
      <c r="L536" s="5"/>
      <c r="M536" s="5"/>
      <c r="N536" s="5"/>
      <c r="O536" s="5"/>
      <c r="P536" s="5"/>
      <c r="Q536" s="5"/>
    </row>
    <row r="537" spans="1:17" ht="15.6">
      <c r="A537" s="5"/>
      <c r="B537" s="12">
        <v>44662</v>
      </c>
      <c r="C537" s="5">
        <v>348</v>
      </c>
      <c r="D537" s="5">
        <v>325.31</v>
      </c>
      <c r="E537" s="5">
        <v>151.12</v>
      </c>
      <c r="F537" s="5">
        <v>219.96</v>
      </c>
      <c r="G537" s="5">
        <f t="shared" si="14"/>
        <v>-2.2142295155670455E-2</v>
      </c>
      <c r="H537" s="5">
        <f t="shared" si="14"/>
        <v>-4.8328116315127345E-2</v>
      </c>
      <c r="I537" s="5">
        <f t="shared" si="13"/>
        <v>-2.1623721351806346E-2</v>
      </c>
      <c r="J537" s="5">
        <f t="shared" si="13"/>
        <v>9.1008372770295942E-4</v>
      </c>
      <c r="K537" s="5"/>
      <c r="L537" s="5"/>
      <c r="M537" s="5"/>
      <c r="N537" s="5"/>
      <c r="O537" s="5"/>
      <c r="P537" s="5"/>
      <c r="Q537" s="5"/>
    </row>
    <row r="538" spans="1:17" ht="15.6">
      <c r="A538" s="5"/>
      <c r="B538" s="12">
        <v>44663</v>
      </c>
      <c r="C538" s="5">
        <v>344.1</v>
      </c>
      <c r="D538" s="5">
        <v>328.98</v>
      </c>
      <c r="E538" s="5">
        <v>150.79</v>
      </c>
      <c r="F538" s="5">
        <v>222.02</v>
      </c>
      <c r="G538" s="5">
        <f t="shared" si="14"/>
        <v>-1.1206896551724022E-2</v>
      </c>
      <c r="H538" s="5">
        <f t="shared" si="14"/>
        <v>1.1281546832252465E-2</v>
      </c>
      <c r="I538" s="5">
        <f t="shared" si="13"/>
        <v>-2.1836950767603058E-3</v>
      </c>
      <c r="J538" s="5">
        <f t="shared" si="13"/>
        <v>9.3653391525732044E-3</v>
      </c>
      <c r="K538" s="5"/>
      <c r="L538" s="5"/>
      <c r="M538" s="5"/>
      <c r="N538" s="5"/>
      <c r="O538" s="5"/>
      <c r="P538" s="5"/>
      <c r="Q538" s="5"/>
    </row>
    <row r="539" spans="1:17" ht="15.6">
      <c r="A539" s="5"/>
      <c r="B539" s="12">
        <v>44664</v>
      </c>
      <c r="C539" s="5">
        <v>350.43</v>
      </c>
      <c r="D539" s="5">
        <v>340.79</v>
      </c>
      <c r="E539" s="5">
        <v>155.54</v>
      </c>
      <c r="F539" s="5">
        <v>221.58</v>
      </c>
      <c r="G539" s="5">
        <f t="shared" si="14"/>
        <v>1.8395815170008767E-2</v>
      </c>
      <c r="H539" s="5">
        <f t="shared" si="14"/>
        <v>3.5898838835187519E-2</v>
      </c>
      <c r="I539" s="5">
        <f t="shared" si="13"/>
        <v>3.1500762650043201E-2</v>
      </c>
      <c r="J539" s="5">
        <f t="shared" si="13"/>
        <v>-1.9818034411314134E-3</v>
      </c>
      <c r="K539" s="5"/>
      <c r="L539" s="5"/>
      <c r="M539" s="5"/>
      <c r="N539" s="5"/>
      <c r="O539" s="5"/>
      <c r="P539" s="5"/>
      <c r="Q539" s="5"/>
    </row>
    <row r="540" spans="1:17" ht="15.6">
      <c r="A540" s="5"/>
      <c r="B540" s="12">
        <v>44665</v>
      </c>
      <c r="C540" s="5">
        <v>341.13</v>
      </c>
      <c r="D540" s="5">
        <v>328.33</v>
      </c>
      <c r="E540" s="5">
        <v>151.71</v>
      </c>
      <c r="F540" s="5">
        <v>221.98</v>
      </c>
      <c r="G540" s="5">
        <f t="shared" si="14"/>
        <v>-2.653882373084504E-2</v>
      </c>
      <c r="H540" s="5">
        <f t="shared" si="14"/>
        <v>-3.6562105695589819E-2</v>
      </c>
      <c r="I540" s="5">
        <f t="shared" si="13"/>
        <v>-2.462389096052453E-2</v>
      </c>
      <c r="J540" s="5">
        <f t="shared" si="13"/>
        <v>1.8052170773534826E-3</v>
      </c>
      <c r="K540" s="5"/>
      <c r="L540" s="5"/>
      <c r="M540" s="5"/>
      <c r="N540" s="5"/>
      <c r="O540" s="5"/>
      <c r="P540" s="5"/>
      <c r="Q540" s="5"/>
    </row>
    <row r="541" spans="1:17" ht="15.6">
      <c r="A541" s="5"/>
      <c r="B541" s="12">
        <v>44669</v>
      </c>
      <c r="C541" s="5">
        <v>337.86</v>
      </c>
      <c r="D541" s="5">
        <v>334.76</v>
      </c>
      <c r="E541" s="5">
        <v>152.79</v>
      </c>
      <c r="F541" s="5">
        <v>220.43</v>
      </c>
      <c r="G541" s="5">
        <f t="shared" si="14"/>
        <v>-9.5857884091108403E-3</v>
      </c>
      <c r="H541" s="5">
        <f t="shared" si="14"/>
        <v>1.9583955167057576E-2</v>
      </c>
      <c r="I541" s="5">
        <f t="shared" si="13"/>
        <v>7.1188451651176265E-3</v>
      </c>
      <c r="J541" s="5">
        <f t="shared" si="13"/>
        <v>-6.9826110460401436E-3</v>
      </c>
      <c r="K541" s="5"/>
      <c r="L541" s="5"/>
      <c r="M541" s="5"/>
      <c r="N541" s="5"/>
      <c r="O541" s="5"/>
      <c r="P541" s="5"/>
      <c r="Q541" s="5"/>
    </row>
    <row r="542" spans="1:17" ht="15.6">
      <c r="A542" s="5"/>
      <c r="B542" s="12">
        <v>44670</v>
      </c>
      <c r="C542" s="5">
        <v>348.61</v>
      </c>
      <c r="D542" s="5">
        <v>342.72</v>
      </c>
      <c r="E542" s="5">
        <v>158.12</v>
      </c>
      <c r="F542" s="5">
        <v>222.96</v>
      </c>
      <c r="G542" s="5">
        <f t="shared" si="14"/>
        <v>3.1817912744923849E-2</v>
      </c>
      <c r="H542" s="5">
        <f t="shared" si="14"/>
        <v>2.3778229179113541E-2</v>
      </c>
      <c r="I542" s="5">
        <f t="shared" si="13"/>
        <v>3.4884481968715297E-2</v>
      </c>
      <c r="J542" s="5">
        <f t="shared" si="13"/>
        <v>1.1477566574422671E-2</v>
      </c>
      <c r="K542" s="5"/>
      <c r="L542" s="5"/>
      <c r="M542" s="5"/>
      <c r="N542" s="5"/>
      <c r="O542" s="5"/>
      <c r="P542" s="5"/>
      <c r="Q542" s="5"/>
    </row>
    <row r="543" spans="1:17" ht="15.6">
      <c r="A543" s="5"/>
      <c r="B543" s="12">
        <v>44671</v>
      </c>
      <c r="C543" s="5">
        <v>226.19</v>
      </c>
      <c r="D543" s="5">
        <v>325.73</v>
      </c>
      <c r="E543" s="5">
        <v>154</v>
      </c>
      <c r="F543" s="5">
        <v>225.61</v>
      </c>
      <c r="G543" s="5">
        <f t="shared" si="14"/>
        <v>-0.35116605949341673</v>
      </c>
      <c r="H543" s="5">
        <f t="shared" si="14"/>
        <v>-4.9573996265172782E-2</v>
      </c>
      <c r="I543" s="5">
        <f t="shared" si="13"/>
        <v>-2.6056159878573237E-2</v>
      </c>
      <c r="J543" s="5">
        <f t="shared" si="13"/>
        <v>1.1885540007176232E-2</v>
      </c>
      <c r="K543" s="5"/>
      <c r="L543" s="5"/>
      <c r="M543" s="5"/>
      <c r="N543" s="5"/>
      <c r="O543" s="5"/>
      <c r="P543" s="5"/>
      <c r="Q543" s="5"/>
    </row>
    <row r="544" spans="1:17" ht="15.6">
      <c r="A544" s="5"/>
      <c r="B544" s="12">
        <v>44672</v>
      </c>
      <c r="C544" s="5">
        <v>218.22</v>
      </c>
      <c r="D544" s="5">
        <v>336.26</v>
      </c>
      <c r="E544" s="5">
        <v>148.30000000000001</v>
      </c>
      <c r="F544" s="5">
        <v>224.74</v>
      </c>
      <c r="G544" s="5">
        <f t="shared" si="14"/>
        <v>-3.5235863654449751E-2</v>
      </c>
      <c r="H544" s="5">
        <f t="shared" si="14"/>
        <v>3.2327387713750655E-2</v>
      </c>
      <c r="I544" s="5">
        <f t="shared" si="13"/>
        <v>-3.7012987012986942E-2</v>
      </c>
      <c r="J544" s="5">
        <f t="shared" si="13"/>
        <v>-3.8562120473383255E-3</v>
      </c>
      <c r="K544" s="5"/>
      <c r="L544" s="5"/>
      <c r="M544" s="5"/>
      <c r="N544" s="5"/>
      <c r="O544" s="5"/>
      <c r="P544" s="5"/>
      <c r="Q544" s="5"/>
    </row>
    <row r="545" spans="1:17" ht="15.6">
      <c r="A545" s="5"/>
      <c r="B545" s="12">
        <v>44673</v>
      </c>
      <c r="C545" s="5">
        <v>215.52</v>
      </c>
      <c r="D545" s="5">
        <v>335.02</v>
      </c>
      <c r="E545" s="5">
        <v>144.35</v>
      </c>
      <c r="F545" s="5">
        <v>220.17</v>
      </c>
      <c r="G545" s="5">
        <f t="shared" si="14"/>
        <v>-1.2372834753918038E-2</v>
      </c>
      <c r="H545" s="5">
        <f t="shared" si="14"/>
        <v>-3.6876226729316564E-3</v>
      </c>
      <c r="I545" s="5">
        <f t="shared" si="13"/>
        <v>-2.6635198921105996E-2</v>
      </c>
      <c r="J545" s="5">
        <f t="shared" si="13"/>
        <v>-2.0334608881374172E-2</v>
      </c>
      <c r="K545" s="5"/>
      <c r="L545" s="5"/>
      <c r="M545" s="5"/>
      <c r="N545" s="5"/>
      <c r="O545" s="5"/>
      <c r="P545" s="5"/>
      <c r="Q545" s="5"/>
    </row>
    <row r="546" spans="1:17" ht="15.6">
      <c r="A546" s="5"/>
      <c r="B546" s="12">
        <v>44676</v>
      </c>
      <c r="C546" s="5">
        <v>209.91</v>
      </c>
      <c r="D546" s="5">
        <v>332.67</v>
      </c>
      <c r="E546" s="5">
        <v>146.07</v>
      </c>
      <c r="F546" s="5">
        <v>220.99</v>
      </c>
      <c r="G546" s="5">
        <f t="shared" si="14"/>
        <v>-2.6030066815144859E-2</v>
      </c>
      <c r="H546" s="5">
        <f t="shared" si="14"/>
        <v>-7.0145065966209508E-3</v>
      </c>
      <c r="I546" s="5">
        <f t="shared" si="13"/>
        <v>1.1915483200554133E-2</v>
      </c>
      <c r="J546" s="5">
        <f t="shared" si="13"/>
        <v>3.7243947858474069E-3</v>
      </c>
      <c r="K546" s="5"/>
      <c r="L546" s="5"/>
      <c r="M546" s="5"/>
      <c r="N546" s="5"/>
      <c r="O546" s="5"/>
      <c r="P546" s="5"/>
      <c r="Q546" s="5"/>
    </row>
    <row r="547" spans="1:17" ht="15.6">
      <c r="A547" s="5"/>
      <c r="B547" s="12">
        <v>44677</v>
      </c>
      <c r="C547" s="5">
        <v>198.4</v>
      </c>
      <c r="D547" s="5">
        <v>292.14</v>
      </c>
      <c r="E547" s="5">
        <v>139.38999999999999</v>
      </c>
      <c r="F547" s="5">
        <v>216.23</v>
      </c>
      <c r="G547" s="5">
        <f t="shared" si="14"/>
        <v>-5.4833023676813863E-2</v>
      </c>
      <c r="H547" s="5">
        <f t="shared" si="14"/>
        <v>-0.12183244656867176</v>
      </c>
      <c r="I547" s="5">
        <f t="shared" si="13"/>
        <v>-4.5731498596563336E-2</v>
      </c>
      <c r="J547" s="5">
        <f t="shared" si="13"/>
        <v>-2.153943617358256E-2</v>
      </c>
      <c r="K547" s="5"/>
      <c r="L547" s="5"/>
      <c r="M547" s="5"/>
      <c r="N547" s="5"/>
      <c r="O547" s="5"/>
      <c r="P547" s="5"/>
      <c r="Q547" s="5"/>
    </row>
    <row r="548" spans="1:17" ht="15.6">
      <c r="A548" s="5"/>
      <c r="B548" s="12">
        <v>44678</v>
      </c>
      <c r="C548" s="5">
        <v>188.54</v>
      </c>
      <c r="D548" s="5">
        <v>293.83999999999997</v>
      </c>
      <c r="E548" s="5">
        <v>138.16999999999999</v>
      </c>
      <c r="F548" s="5">
        <v>218.3</v>
      </c>
      <c r="G548" s="5">
        <f t="shared" si="14"/>
        <v>-4.9697580645161388E-2</v>
      </c>
      <c r="H548" s="5">
        <f t="shared" si="14"/>
        <v>5.8191278154309245E-3</v>
      </c>
      <c r="I548" s="5">
        <f t="shared" si="13"/>
        <v>-8.7524212640791577E-3</v>
      </c>
      <c r="J548" s="5">
        <f t="shared" si="13"/>
        <v>9.5731397123435258E-3</v>
      </c>
      <c r="K548" s="5"/>
      <c r="L548" s="5"/>
      <c r="M548" s="5"/>
      <c r="N548" s="5"/>
      <c r="O548" s="5"/>
      <c r="P548" s="5"/>
      <c r="Q548" s="5"/>
    </row>
    <row r="549" spans="1:17" ht="15.6">
      <c r="A549" s="5"/>
      <c r="B549" s="12">
        <v>44679</v>
      </c>
      <c r="C549" s="5">
        <v>199.52</v>
      </c>
      <c r="D549" s="5">
        <v>292.5</v>
      </c>
      <c r="E549" s="5">
        <v>144.6</v>
      </c>
      <c r="F549" s="5">
        <v>223.94</v>
      </c>
      <c r="G549" s="5">
        <f t="shared" si="14"/>
        <v>5.8236978890421121E-2</v>
      </c>
      <c r="H549" s="5">
        <f t="shared" si="14"/>
        <v>-4.5603049278517549E-3</v>
      </c>
      <c r="I549" s="5">
        <f t="shared" si="13"/>
        <v>4.6536874864297584E-2</v>
      </c>
      <c r="J549" s="5">
        <f t="shared" si="13"/>
        <v>2.5836005497022363E-2</v>
      </c>
      <c r="K549" s="5"/>
      <c r="L549" s="5"/>
      <c r="M549" s="5"/>
      <c r="N549" s="5"/>
      <c r="O549" s="5"/>
      <c r="P549" s="5"/>
      <c r="Q549" s="5"/>
    </row>
    <row r="550" spans="1:17" ht="15.6">
      <c r="A550" s="5"/>
      <c r="B550" s="12">
        <v>44680</v>
      </c>
      <c r="C550" s="5">
        <v>190.36</v>
      </c>
      <c r="D550" s="5">
        <v>290.25</v>
      </c>
      <c r="E550" s="5">
        <v>124.28</v>
      </c>
      <c r="F550" s="5">
        <v>221.77</v>
      </c>
      <c r="G550" s="5">
        <f t="shared" si="14"/>
        <v>-4.5910184442662372E-2</v>
      </c>
      <c r="H550" s="5">
        <f t="shared" si="14"/>
        <v>-7.692307692307665E-3</v>
      </c>
      <c r="I550" s="5">
        <f t="shared" si="13"/>
        <v>-0.14052558782849234</v>
      </c>
      <c r="J550" s="5">
        <f t="shared" si="13"/>
        <v>-9.6900955613110629E-3</v>
      </c>
      <c r="K550" s="5"/>
      <c r="L550" s="5"/>
      <c r="M550" s="5"/>
      <c r="N550" s="5"/>
      <c r="O550" s="5"/>
      <c r="P550" s="5"/>
      <c r="Q550" s="5"/>
    </row>
    <row r="551" spans="1:17" ht="15.6">
      <c r="A551" s="5"/>
      <c r="B551" s="12">
        <v>44683</v>
      </c>
      <c r="C551" s="5">
        <v>199.46</v>
      </c>
      <c r="D551" s="5">
        <v>300.98</v>
      </c>
      <c r="E551" s="5">
        <v>124.5</v>
      </c>
      <c r="F551" s="5">
        <v>213.68</v>
      </c>
      <c r="G551" s="5">
        <f t="shared" si="14"/>
        <v>4.780416053792802E-2</v>
      </c>
      <c r="H551" s="5">
        <f t="shared" si="14"/>
        <v>3.6968130921619435E-2</v>
      </c>
      <c r="I551" s="5">
        <f t="shared" si="13"/>
        <v>1.7701963308658364E-3</v>
      </c>
      <c r="J551" s="5">
        <f t="shared" si="13"/>
        <v>-3.6479235243720987E-2</v>
      </c>
      <c r="K551" s="5"/>
      <c r="L551" s="5"/>
      <c r="M551" s="5"/>
      <c r="N551" s="5"/>
      <c r="O551" s="5"/>
      <c r="P551" s="5"/>
      <c r="Q551" s="5"/>
    </row>
    <row r="552" spans="1:17" ht="15.6">
      <c r="A552" s="5"/>
      <c r="B552" s="12">
        <v>44684</v>
      </c>
      <c r="C552" s="5">
        <v>199.87</v>
      </c>
      <c r="D552" s="5">
        <v>303.08</v>
      </c>
      <c r="E552" s="5">
        <v>124.25</v>
      </c>
      <c r="F552" s="5">
        <v>216.17</v>
      </c>
      <c r="G552" s="5">
        <f t="shared" si="14"/>
        <v>2.0555499849592707E-3</v>
      </c>
      <c r="H552" s="5">
        <f t="shared" si="14"/>
        <v>6.9772077878926808E-3</v>
      </c>
      <c r="I552" s="5">
        <f t="shared" si="13"/>
        <v>-2.0080321285140812E-3</v>
      </c>
      <c r="J552" s="5">
        <f t="shared" si="13"/>
        <v>1.165293897416686E-2</v>
      </c>
      <c r="K552" s="5"/>
      <c r="L552" s="5"/>
      <c r="M552" s="5"/>
      <c r="N552" s="5"/>
      <c r="O552" s="5"/>
      <c r="P552" s="5"/>
      <c r="Q552" s="5"/>
    </row>
    <row r="553" spans="1:17" ht="15.6">
      <c r="A553" s="5"/>
      <c r="B553" s="12">
        <v>44685</v>
      </c>
      <c r="C553" s="5">
        <v>204.01</v>
      </c>
      <c r="D553" s="5">
        <v>317.54000000000002</v>
      </c>
      <c r="E553" s="5">
        <v>125.93</v>
      </c>
      <c r="F553" s="5">
        <v>221.34</v>
      </c>
      <c r="G553" s="5">
        <f t="shared" si="14"/>
        <v>2.0713463751438344E-2</v>
      </c>
      <c r="H553" s="5">
        <f t="shared" si="14"/>
        <v>4.7710175531213039E-2</v>
      </c>
      <c r="I553" s="5">
        <f t="shared" si="13"/>
        <v>1.3521126760563495E-2</v>
      </c>
      <c r="J553" s="5">
        <f t="shared" si="13"/>
        <v>2.3916362122403667E-2</v>
      </c>
      <c r="K553" s="5"/>
      <c r="L553" s="5"/>
      <c r="M553" s="5"/>
      <c r="N553" s="5"/>
      <c r="O553" s="5"/>
      <c r="P553" s="5"/>
      <c r="Q553" s="5"/>
    </row>
    <row r="554" spans="1:17" ht="15.6">
      <c r="A554" s="5"/>
      <c r="B554" s="12">
        <v>44686</v>
      </c>
      <c r="C554" s="5">
        <v>188.32</v>
      </c>
      <c r="D554" s="5">
        <v>291.08999999999997</v>
      </c>
      <c r="E554" s="5">
        <v>116.41</v>
      </c>
      <c r="F554" s="5">
        <v>219.87</v>
      </c>
      <c r="G554" s="5">
        <f t="shared" si="14"/>
        <v>-7.6907994706141847E-2</v>
      </c>
      <c r="H554" s="5">
        <f t="shared" si="14"/>
        <v>-8.3296592555268778E-2</v>
      </c>
      <c r="I554" s="5">
        <f t="shared" si="13"/>
        <v>-7.5597554196776051E-2</v>
      </c>
      <c r="J554" s="5">
        <f t="shared" si="13"/>
        <v>-6.6413662239088733E-3</v>
      </c>
      <c r="K554" s="5"/>
      <c r="L554" s="5"/>
      <c r="M554" s="5"/>
      <c r="N554" s="5"/>
      <c r="O554" s="5"/>
      <c r="P554" s="5"/>
      <c r="Q554" s="5"/>
    </row>
    <row r="555" spans="1:17" ht="15.6">
      <c r="A555" s="5"/>
      <c r="B555" s="12">
        <v>44687</v>
      </c>
      <c r="C555" s="5">
        <v>180.97</v>
      </c>
      <c r="D555" s="5">
        <v>288.55</v>
      </c>
      <c r="E555" s="5">
        <v>114.77</v>
      </c>
      <c r="F555" s="5">
        <v>222.04</v>
      </c>
      <c r="G555" s="5">
        <f t="shared" si="14"/>
        <v>-3.9029311809685607E-2</v>
      </c>
      <c r="H555" s="5">
        <f t="shared" si="14"/>
        <v>-8.7258236284309953E-3</v>
      </c>
      <c r="I555" s="5">
        <f t="shared" si="13"/>
        <v>-1.4088136758010461E-2</v>
      </c>
      <c r="J555" s="5">
        <f t="shared" si="13"/>
        <v>9.8694683221902668E-3</v>
      </c>
      <c r="K555" s="5"/>
      <c r="L555" s="5"/>
      <c r="M555" s="5"/>
      <c r="N555" s="5"/>
      <c r="O555" s="5"/>
      <c r="P555" s="5"/>
      <c r="Q555" s="5"/>
    </row>
    <row r="556" spans="1:17" ht="15.6">
      <c r="A556" s="5"/>
      <c r="B556" s="12">
        <v>44690</v>
      </c>
      <c r="C556" s="5">
        <v>173.1</v>
      </c>
      <c r="D556" s="5">
        <v>262.37</v>
      </c>
      <c r="E556" s="5">
        <v>108.79</v>
      </c>
      <c r="F556" s="5">
        <v>219.25</v>
      </c>
      <c r="G556" s="5">
        <f t="shared" si="14"/>
        <v>-4.3487870917831684E-2</v>
      </c>
      <c r="H556" s="5">
        <f t="shared" si="14"/>
        <v>-9.0729509617050841E-2</v>
      </c>
      <c r="I556" s="5">
        <f t="shared" si="13"/>
        <v>-5.2104208416833608E-2</v>
      </c>
      <c r="J556" s="5">
        <f t="shared" si="13"/>
        <v>-1.2565303548910056E-2</v>
      </c>
      <c r="K556" s="5"/>
      <c r="L556" s="5"/>
      <c r="M556" s="5"/>
      <c r="N556" s="5"/>
      <c r="O556" s="5"/>
      <c r="P556" s="5"/>
      <c r="Q556" s="5"/>
    </row>
    <row r="557" spans="1:17" ht="15.6">
      <c r="A557" s="5"/>
      <c r="B557" s="12">
        <v>44691</v>
      </c>
      <c r="C557" s="5">
        <v>177.66</v>
      </c>
      <c r="D557" s="5">
        <v>266.68</v>
      </c>
      <c r="E557" s="5">
        <v>108.86</v>
      </c>
      <c r="F557" s="5">
        <v>219.2</v>
      </c>
      <c r="G557" s="5">
        <f t="shared" si="14"/>
        <v>2.6343154246100564E-2</v>
      </c>
      <c r="H557" s="5">
        <f t="shared" si="14"/>
        <v>1.6427182985859767E-2</v>
      </c>
      <c r="I557" s="5">
        <f t="shared" si="13"/>
        <v>6.434414927842802E-4</v>
      </c>
      <c r="J557" s="5">
        <f t="shared" si="13"/>
        <v>-2.2805017103766367E-4</v>
      </c>
      <c r="K557" s="5"/>
      <c r="L557" s="5"/>
      <c r="M557" s="5"/>
      <c r="N557" s="5"/>
      <c r="O557" s="5"/>
      <c r="P557" s="5"/>
      <c r="Q557" s="5"/>
    </row>
    <row r="558" spans="1:17" ht="15.6">
      <c r="A558" s="5"/>
      <c r="B558" s="12">
        <v>44692</v>
      </c>
      <c r="C558" s="5">
        <v>166.37</v>
      </c>
      <c r="D558" s="5">
        <v>244.67</v>
      </c>
      <c r="E558" s="5">
        <v>105.37</v>
      </c>
      <c r="F558" s="5">
        <v>220.65</v>
      </c>
      <c r="G558" s="5">
        <f t="shared" si="14"/>
        <v>-6.3548350782393292E-2</v>
      </c>
      <c r="H558" s="5">
        <f t="shared" si="14"/>
        <v>-8.2533373331333482E-2</v>
      </c>
      <c r="I558" s="5">
        <f t="shared" si="13"/>
        <v>-3.2059525996692928E-2</v>
      </c>
      <c r="J558" s="5">
        <f t="shared" si="13"/>
        <v>6.6149635036496512E-3</v>
      </c>
      <c r="K558" s="5"/>
      <c r="L558" s="5"/>
      <c r="M558" s="5"/>
      <c r="N558" s="5"/>
      <c r="O558" s="5"/>
      <c r="P558" s="5"/>
      <c r="Q558" s="5"/>
    </row>
    <row r="559" spans="1:17" ht="15.6">
      <c r="A559" s="5"/>
      <c r="B559" s="12">
        <v>44693</v>
      </c>
      <c r="C559" s="5">
        <v>174.31</v>
      </c>
      <c r="D559" s="5">
        <v>242.67</v>
      </c>
      <c r="E559" s="5">
        <v>106.93</v>
      </c>
      <c r="F559" s="5">
        <v>218.59</v>
      </c>
      <c r="G559" s="5">
        <f t="shared" si="14"/>
        <v>4.7724950411732969E-2</v>
      </c>
      <c r="H559" s="5">
        <f t="shared" si="14"/>
        <v>-8.1742755548289692E-3</v>
      </c>
      <c r="I559" s="5">
        <f t="shared" si="13"/>
        <v>1.480497295245331E-2</v>
      </c>
      <c r="J559" s="5">
        <f t="shared" si="13"/>
        <v>-9.3360525719465848E-3</v>
      </c>
      <c r="K559" s="5"/>
      <c r="L559" s="5"/>
      <c r="M559" s="5"/>
      <c r="N559" s="5"/>
      <c r="O559" s="5"/>
      <c r="P559" s="5"/>
      <c r="Q559" s="5"/>
    </row>
    <row r="560" spans="1:17" ht="15.6">
      <c r="A560" s="5"/>
      <c r="B560" s="12">
        <v>44694</v>
      </c>
      <c r="C560" s="5">
        <v>187.64</v>
      </c>
      <c r="D560" s="5">
        <v>256.52999999999997</v>
      </c>
      <c r="E560" s="5">
        <v>113.06</v>
      </c>
      <c r="F560" s="5">
        <v>221.91</v>
      </c>
      <c r="G560" s="5">
        <f t="shared" si="14"/>
        <v>7.6472950490505287E-2</v>
      </c>
      <c r="H560" s="5">
        <f t="shared" si="14"/>
        <v>5.7114600074174682E-2</v>
      </c>
      <c r="I560" s="5">
        <f t="shared" si="13"/>
        <v>5.7327223417188877E-2</v>
      </c>
      <c r="J560" s="5">
        <f t="shared" si="13"/>
        <v>1.5188251978589973E-2</v>
      </c>
      <c r="K560" s="5"/>
      <c r="L560" s="5"/>
      <c r="M560" s="5"/>
      <c r="N560" s="5"/>
      <c r="O560" s="5"/>
      <c r="P560" s="5"/>
      <c r="Q560" s="5"/>
    </row>
    <row r="561" spans="1:17" ht="15.6">
      <c r="A561" s="5"/>
      <c r="B561" s="12">
        <v>44697</v>
      </c>
      <c r="C561" s="5">
        <v>186.51</v>
      </c>
      <c r="D561" s="5">
        <v>241.46</v>
      </c>
      <c r="E561" s="5">
        <v>110.81</v>
      </c>
      <c r="F561" s="5">
        <v>225.26</v>
      </c>
      <c r="G561" s="5">
        <f t="shared" si="14"/>
        <v>-6.022170112982228E-3</v>
      </c>
      <c r="H561" s="5">
        <f t="shared" si="14"/>
        <v>-5.8745565820761625E-2</v>
      </c>
      <c r="I561" s="5">
        <f t="shared" si="13"/>
        <v>-1.9900937555280329E-2</v>
      </c>
      <c r="J561" s="5">
        <f t="shared" si="13"/>
        <v>1.5096210175296276E-2</v>
      </c>
      <c r="K561" s="5"/>
      <c r="L561" s="5"/>
      <c r="M561" s="5"/>
      <c r="N561" s="5"/>
      <c r="O561" s="5"/>
      <c r="P561" s="5"/>
      <c r="Q561" s="5"/>
    </row>
    <row r="562" spans="1:17" ht="15.6">
      <c r="A562" s="5"/>
      <c r="B562" s="12">
        <v>44698</v>
      </c>
      <c r="C562" s="5">
        <v>190.56</v>
      </c>
      <c r="D562" s="5">
        <v>253.87</v>
      </c>
      <c r="E562" s="5">
        <v>115.37</v>
      </c>
      <c r="F562" s="5">
        <v>221.42</v>
      </c>
      <c r="G562" s="5">
        <f t="shared" si="14"/>
        <v>2.1714653369792503E-2</v>
      </c>
      <c r="H562" s="5">
        <f t="shared" si="14"/>
        <v>5.1395676302493198E-2</v>
      </c>
      <c r="I562" s="5">
        <f t="shared" si="13"/>
        <v>4.1151520620882565E-2</v>
      </c>
      <c r="J562" s="5">
        <f t="shared" si="13"/>
        <v>-1.7046967948148861E-2</v>
      </c>
      <c r="K562" s="5"/>
      <c r="L562" s="5"/>
      <c r="M562" s="5"/>
      <c r="N562" s="5"/>
      <c r="O562" s="5"/>
      <c r="P562" s="5"/>
      <c r="Q562" s="5"/>
    </row>
    <row r="563" spans="1:17" ht="15.6">
      <c r="A563" s="5"/>
      <c r="B563" s="12">
        <v>44699</v>
      </c>
      <c r="C563" s="5">
        <v>177.19</v>
      </c>
      <c r="D563" s="5">
        <v>236.6</v>
      </c>
      <c r="E563" s="5">
        <v>107.11</v>
      </c>
      <c r="F563" s="5">
        <v>204.01</v>
      </c>
      <c r="G563" s="5">
        <f t="shared" si="14"/>
        <v>-7.016162888329136E-2</v>
      </c>
      <c r="H563" s="5">
        <f t="shared" si="14"/>
        <v>-6.802694292354361E-2</v>
      </c>
      <c r="I563" s="5">
        <f t="shared" si="13"/>
        <v>-7.1595735459825005E-2</v>
      </c>
      <c r="J563" s="5">
        <f t="shared" si="13"/>
        <v>-7.8628850149037977E-2</v>
      </c>
      <c r="K563" s="5"/>
      <c r="L563" s="5"/>
      <c r="M563" s="5"/>
      <c r="N563" s="5"/>
      <c r="O563" s="5"/>
      <c r="P563" s="5"/>
      <c r="Q563" s="5"/>
    </row>
    <row r="564" spans="1:17" ht="15.6">
      <c r="A564" s="5"/>
      <c r="B564" s="12">
        <v>44700</v>
      </c>
      <c r="C564" s="5">
        <v>183.48</v>
      </c>
      <c r="D564" s="5">
        <v>236.47</v>
      </c>
      <c r="E564" s="5">
        <v>107.32</v>
      </c>
      <c r="F564" s="5">
        <v>202.36</v>
      </c>
      <c r="G564" s="5">
        <f t="shared" si="14"/>
        <v>3.549861730345949E-2</v>
      </c>
      <c r="H564" s="5">
        <f t="shared" si="14"/>
        <v>-5.494505494505475E-4</v>
      </c>
      <c r="I564" s="5">
        <f t="shared" si="13"/>
        <v>1.9606012510502424E-3</v>
      </c>
      <c r="J564" s="5">
        <f t="shared" si="13"/>
        <v>-8.0878388314297167E-3</v>
      </c>
      <c r="K564" s="5"/>
      <c r="L564" s="5"/>
      <c r="M564" s="5"/>
      <c r="N564" s="5"/>
      <c r="O564" s="5"/>
      <c r="P564" s="5"/>
      <c r="Q564" s="5"/>
    </row>
    <row r="565" spans="1:17" ht="15.6">
      <c r="A565" s="5"/>
      <c r="B565" s="12">
        <v>44701</v>
      </c>
      <c r="C565" s="5">
        <v>186.35</v>
      </c>
      <c r="D565" s="5">
        <v>221.3</v>
      </c>
      <c r="E565" s="5">
        <v>107.59</v>
      </c>
      <c r="F565" s="5">
        <v>204.2</v>
      </c>
      <c r="G565" s="5">
        <f t="shared" si="14"/>
        <v>1.5642031829082192E-2</v>
      </c>
      <c r="H565" s="5">
        <f t="shared" si="14"/>
        <v>-6.4151900875375256E-2</v>
      </c>
      <c r="I565" s="5">
        <f t="shared" si="13"/>
        <v>2.5158404770779796E-3</v>
      </c>
      <c r="J565" s="5">
        <f t="shared" si="13"/>
        <v>9.0927060683927419E-3</v>
      </c>
      <c r="K565" s="5"/>
      <c r="L565" s="5"/>
      <c r="M565" s="5"/>
      <c r="N565" s="5"/>
      <c r="O565" s="5"/>
      <c r="P565" s="5"/>
      <c r="Q565" s="5"/>
    </row>
    <row r="566" spans="1:17" ht="15.6">
      <c r="A566" s="5"/>
      <c r="B566" s="12">
        <v>44704</v>
      </c>
      <c r="C566" s="5">
        <v>187.44</v>
      </c>
      <c r="D566" s="5">
        <v>224.97</v>
      </c>
      <c r="E566" s="5">
        <v>107.56</v>
      </c>
      <c r="F566" s="5">
        <v>206.44</v>
      </c>
      <c r="G566" s="5">
        <f t="shared" si="14"/>
        <v>5.84920847866921E-3</v>
      </c>
      <c r="H566" s="5">
        <f t="shared" si="14"/>
        <v>1.6583822864889131E-2</v>
      </c>
      <c r="I566" s="5">
        <f t="shared" si="13"/>
        <v>-2.7883632307834638E-4</v>
      </c>
      <c r="J566" s="5">
        <f t="shared" si="13"/>
        <v>1.0969637610186211E-2</v>
      </c>
      <c r="K566" s="5"/>
      <c r="L566" s="5"/>
      <c r="M566" s="5"/>
      <c r="N566" s="5"/>
      <c r="O566" s="5"/>
      <c r="P566" s="5"/>
      <c r="Q566" s="5"/>
    </row>
    <row r="567" spans="1:17" ht="15.6">
      <c r="A567" s="5"/>
      <c r="B567" s="12">
        <v>44705</v>
      </c>
      <c r="C567" s="5">
        <v>180.34</v>
      </c>
      <c r="D567" s="5">
        <v>209.39</v>
      </c>
      <c r="E567" s="5">
        <v>104.1</v>
      </c>
      <c r="F567" s="5">
        <v>210.58</v>
      </c>
      <c r="G567" s="5">
        <f t="shared" si="14"/>
        <v>-3.7878787878787845E-2</v>
      </c>
      <c r="H567" s="5">
        <f t="shared" si="14"/>
        <v>-6.9253678268213603E-2</v>
      </c>
      <c r="I567" s="5">
        <f t="shared" si="13"/>
        <v>-3.2168092227593981E-2</v>
      </c>
      <c r="J567" s="5">
        <f t="shared" si="13"/>
        <v>2.005425305173425E-2</v>
      </c>
      <c r="K567" s="5"/>
      <c r="L567" s="5"/>
      <c r="M567" s="5"/>
      <c r="N567" s="5"/>
      <c r="O567" s="5"/>
      <c r="P567" s="5"/>
      <c r="Q567" s="5"/>
    </row>
    <row r="568" spans="1:17" ht="15.6">
      <c r="A568" s="5"/>
      <c r="B568" s="12">
        <v>44706</v>
      </c>
      <c r="C568" s="5">
        <v>187.83</v>
      </c>
      <c r="D568" s="5">
        <v>219.6</v>
      </c>
      <c r="E568" s="5">
        <v>106.78</v>
      </c>
      <c r="F568" s="5">
        <v>208.59</v>
      </c>
      <c r="G568" s="5">
        <f t="shared" si="14"/>
        <v>4.1532660530109844E-2</v>
      </c>
      <c r="H568" s="5">
        <f t="shared" si="14"/>
        <v>4.8760685801614301E-2</v>
      </c>
      <c r="I568" s="5">
        <f t="shared" si="13"/>
        <v>2.5744476464937716E-2</v>
      </c>
      <c r="J568" s="5">
        <f t="shared" si="13"/>
        <v>-9.4500902269921694E-3</v>
      </c>
      <c r="K568" s="5"/>
      <c r="L568" s="5"/>
      <c r="M568" s="5"/>
      <c r="N568" s="5"/>
      <c r="O568" s="5"/>
      <c r="P568" s="5"/>
      <c r="Q568" s="5"/>
    </row>
    <row r="569" spans="1:17" ht="15.6">
      <c r="A569" s="5"/>
      <c r="B569" s="12">
        <v>44707</v>
      </c>
      <c r="C569" s="5">
        <v>191.4</v>
      </c>
      <c r="D569" s="5">
        <v>235.91</v>
      </c>
      <c r="E569" s="5">
        <v>111.08</v>
      </c>
      <c r="F569" s="5">
        <v>206.72</v>
      </c>
      <c r="G569" s="5">
        <f t="shared" si="14"/>
        <v>1.9006548474684415E-2</v>
      </c>
      <c r="H569" s="5">
        <f t="shared" si="14"/>
        <v>7.4271402550091015E-2</v>
      </c>
      <c r="I569" s="5">
        <f t="shared" si="13"/>
        <v>4.0269713429481158E-2</v>
      </c>
      <c r="J569" s="5">
        <f t="shared" si="13"/>
        <v>-8.9649551752241097E-3</v>
      </c>
      <c r="K569" s="5"/>
      <c r="L569" s="5"/>
      <c r="M569" s="5"/>
      <c r="N569" s="5"/>
      <c r="O569" s="5"/>
      <c r="P569" s="5"/>
      <c r="Q569" s="5"/>
    </row>
    <row r="570" spans="1:17" ht="15.6">
      <c r="A570" s="5"/>
      <c r="B570" s="12">
        <v>44708</v>
      </c>
      <c r="C570" s="5">
        <v>195.19</v>
      </c>
      <c r="D570" s="5">
        <v>253.21</v>
      </c>
      <c r="E570" s="5">
        <v>115.15</v>
      </c>
      <c r="F570" s="5">
        <v>209.75</v>
      </c>
      <c r="G570" s="5">
        <f t="shared" si="14"/>
        <v>1.9801462904911249E-2</v>
      </c>
      <c r="H570" s="5">
        <f t="shared" si="14"/>
        <v>7.3333050739688987E-2</v>
      </c>
      <c r="I570" s="5">
        <f t="shared" si="13"/>
        <v>3.6640259272596287E-2</v>
      </c>
      <c r="J570" s="5">
        <f t="shared" si="13"/>
        <v>1.4657507739938014E-2</v>
      </c>
      <c r="K570" s="5"/>
      <c r="L570" s="5"/>
      <c r="M570" s="5"/>
      <c r="N570" s="5"/>
      <c r="O570" s="5"/>
      <c r="P570" s="5"/>
      <c r="Q570" s="5"/>
    </row>
    <row r="571" spans="1:17" ht="15.6">
      <c r="A571" s="5"/>
      <c r="B571" s="12">
        <v>44712</v>
      </c>
      <c r="C571" s="5">
        <v>197.44</v>
      </c>
      <c r="D571" s="5">
        <v>252.75</v>
      </c>
      <c r="E571" s="5">
        <v>120.21</v>
      </c>
      <c r="F571" s="5">
        <v>208.86</v>
      </c>
      <c r="G571" s="5">
        <f t="shared" si="14"/>
        <v>1.1527229878579792E-2</v>
      </c>
      <c r="H571" s="5">
        <f t="shared" si="14"/>
        <v>-1.8166739070337723E-3</v>
      </c>
      <c r="I571" s="5">
        <f t="shared" si="13"/>
        <v>4.3942683456361209E-2</v>
      </c>
      <c r="J571" s="5">
        <f t="shared" si="13"/>
        <v>-4.2431466030988796E-3</v>
      </c>
      <c r="K571" s="5"/>
      <c r="L571" s="5"/>
      <c r="M571" s="5"/>
      <c r="N571" s="5"/>
      <c r="O571" s="5"/>
      <c r="P571" s="5"/>
      <c r="Q571" s="5"/>
    </row>
    <row r="572" spans="1:17" ht="15.6">
      <c r="A572" s="5"/>
      <c r="B572" s="12">
        <v>44713</v>
      </c>
      <c r="C572" s="5">
        <v>192.91</v>
      </c>
      <c r="D572" s="5">
        <v>246.79</v>
      </c>
      <c r="E572" s="5">
        <v>121.68</v>
      </c>
      <c r="F572" s="5">
        <v>206.87</v>
      </c>
      <c r="G572" s="5">
        <f t="shared" si="14"/>
        <v>-2.2943679092382485E-2</v>
      </c>
      <c r="H572" s="5">
        <f t="shared" si="14"/>
        <v>-2.3580613254203797E-2</v>
      </c>
      <c r="I572" s="5">
        <f t="shared" si="13"/>
        <v>1.2228599950087515E-2</v>
      </c>
      <c r="J572" s="5">
        <f t="shared" si="13"/>
        <v>-9.5279134348367212E-3</v>
      </c>
      <c r="K572" s="5"/>
      <c r="L572" s="5"/>
      <c r="M572" s="5"/>
      <c r="N572" s="5"/>
      <c r="O572" s="5"/>
      <c r="P572" s="5"/>
      <c r="Q572" s="5"/>
    </row>
    <row r="573" spans="1:17" ht="15.6">
      <c r="A573" s="5"/>
      <c r="B573" s="12">
        <v>44714</v>
      </c>
      <c r="C573" s="5">
        <v>205.09</v>
      </c>
      <c r="D573" s="5">
        <v>258.33</v>
      </c>
      <c r="E573" s="5">
        <v>125.51</v>
      </c>
      <c r="F573" s="5">
        <v>206.42</v>
      </c>
      <c r="G573" s="5">
        <f t="shared" si="14"/>
        <v>6.3138250997874623E-2</v>
      </c>
      <c r="H573" s="5">
        <f t="shared" si="14"/>
        <v>4.6760403581992849E-2</v>
      </c>
      <c r="I573" s="5">
        <f t="shared" si="13"/>
        <v>3.1476002629848843E-2</v>
      </c>
      <c r="J573" s="5">
        <f t="shared" si="13"/>
        <v>-2.175279160825716E-3</v>
      </c>
      <c r="K573" s="5"/>
      <c r="L573" s="5"/>
      <c r="M573" s="5"/>
      <c r="N573" s="5"/>
      <c r="O573" s="5"/>
      <c r="P573" s="5"/>
      <c r="Q573" s="5"/>
    </row>
    <row r="574" spans="1:17" ht="15.6">
      <c r="A574" s="5"/>
      <c r="B574" s="12">
        <v>44715</v>
      </c>
      <c r="C574" s="5">
        <v>198.98</v>
      </c>
      <c r="D574" s="5">
        <v>234.52</v>
      </c>
      <c r="E574" s="5">
        <v>122.35</v>
      </c>
      <c r="F574" s="5">
        <v>206.37</v>
      </c>
      <c r="G574" s="5">
        <f t="shared" si="14"/>
        <v>-2.9791798722512142E-2</v>
      </c>
      <c r="H574" s="5">
        <f t="shared" si="14"/>
        <v>-9.2168931212015526E-2</v>
      </c>
      <c r="I574" s="5">
        <f t="shared" si="13"/>
        <v>-2.5177276711019103E-2</v>
      </c>
      <c r="J574" s="5">
        <f t="shared" si="13"/>
        <v>-2.4222459064038304E-4</v>
      </c>
      <c r="K574" s="5"/>
      <c r="L574" s="5"/>
      <c r="M574" s="5"/>
      <c r="N574" s="5"/>
      <c r="O574" s="5"/>
      <c r="P574" s="5"/>
      <c r="Q574" s="5"/>
    </row>
    <row r="575" spans="1:17" ht="15.6">
      <c r="A575" s="5"/>
      <c r="B575" s="12">
        <v>44718</v>
      </c>
      <c r="C575" s="5">
        <v>197.14</v>
      </c>
      <c r="D575" s="5">
        <v>238.28</v>
      </c>
      <c r="E575" s="5">
        <v>124.79</v>
      </c>
      <c r="F575" s="5">
        <v>208.57</v>
      </c>
      <c r="G575" s="5">
        <f t="shared" si="14"/>
        <v>-9.2471605186451589E-3</v>
      </c>
      <c r="H575" s="5">
        <f t="shared" si="14"/>
        <v>1.6032747740064801E-2</v>
      </c>
      <c r="I575" s="5">
        <f t="shared" si="13"/>
        <v>1.9942787086228098E-2</v>
      </c>
      <c r="J575" s="5">
        <f t="shared" si="13"/>
        <v>1.0660464214759857E-2</v>
      </c>
      <c r="K575" s="5"/>
      <c r="L575" s="5"/>
      <c r="M575" s="5"/>
      <c r="N575" s="5"/>
      <c r="O575" s="5"/>
      <c r="P575" s="5"/>
      <c r="Q575" s="5"/>
    </row>
    <row r="576" spans="1:17" ht="15.6">
      <c r="A576" s="5"/>
      <c r="B576" s="12">
        <v>44719</v>
      </c>
      <c r="C576" s="5">
        <v>198.61</v>
      </c>
      <c r="D576" s="5">
        <v>238.89</v>
      </c>
      <c r="E576" s="5">
        <v>123</v>
      </c>
      <c r="F576" s="5">
        <v>208.92</v>
      </c>
      <c r="G576" s="5">
        <f t="shared" si="14"/>
        <v>7.4566298062292979E-3</v>
      </c>
      <c r="H576" s="5">
        <f t="shared" si="14"/>
        <v>2.5600134295786781E-3</v>
      </c>
      <c r="I576" s="5">
        <f t="shared" si="13"/>
        <v>-1.4344098084782431E-2</v>
      </c>
      <c r="J576" s="5">
        <f t="shared" si="13"/>
        <v>1.6780936855731454E-3</v>
      </c>
      <c r="K576" s="5"/>
      <c r="L576" s="5"/>
      <c r="M576" s="5"/>
      <c r="N576" s="5"/>
      <c r="O576" s="5"/>
      <c r="P576" s="5"/>
      <c r="Q576" s="5"/>
    </row>
    <row r="577" spans="1:17" ht="15.6">
      <c r="A577" s="5"/>
      <c r="B577" s="12">
        <v>44720</v>
      </c>
      <c r="C577" s="5">
        <v>202.83</v>
      </c>
      <c r="D577" s="5">
        <v>241.87</v>
      </c>
      <c r="E577" s="5">
        <v>121.18</v>
      </c>
      <c r="F577" s="5">
        <v>207.72</v>
      </c>
      <c r="G577" s="5">
        <f t="shared" si="14"/>
        <v>2.1247671315643757E-2</v>
      </c>
      <c r="H577" s="5">
        <f t="shared" si="14"/>
        <v>1.2474360584369348E-2</v>
      </c>
      <c r="I577" s="5">
        <f t="shared" si="13"/>
        <v>-1.4796747967479651E-2</v>
      </c>
      <c r="J577" s="5">
        <f t="shared" si="13"/>
        <v>-5.7438253877081236E-3</v>
      </c>
      <c r="K577" s="5"/>
      <c r="L577" s="5"/>
      <c r="M577" s="5"/>
      <c r="N577" s="5"/>
      <c r="O577" s="5"/>
      <c r="P577" s="5"/>
      <c r="Q577" s="5"/>
    </row>
    <row r="578" spans="1:17" ht="15.6">
      <c r="A578" s="5"/>
      <c r="B578" s="12">
        <v>44721</v>
      </c>
      <c r="C578" s="5">
        <v>192.77</v>
      </c>
      <c r="D578" s="5">
        <v>239.71</v>
      </c>
      <c r="E578" s="5">
        <v>116.15</v>
      </c>
      <c r="F578" s="5">
        <v>206.64</v>
      </c>
      <c r="G578" s="5">
        <f t="shared" si="14"/>
        <v>-4.9598185672730888E-2</v>
      </c>
      <c r="H578" s="5">
        <f t="shared" si="14"/>
        <v>-8.9304171662463183E-3</v>
      </c>
      <c r="I578" s="5">
        <f t="shared" si="13"/>
        <v>-4.1508499752434425E-2</v>
      </c>
      <c r="J578" s="5">
        <f t="shared" si="13"/>
        <v>-5.199306759098854E-3</v>
      </c>
      <c r="K578" s="5"/>
      <c r="L578" s="5"/>
      <c r="M578" s="5"/>
      <c r="N578" s="5"/>
      <c r="O578" s="5"/>
      <c r="P578" s="5"/>
      <c r="Q578" s="5"/>
    </row>
    <row r="579" spans="1:17" ht="15.6">
      <c r="A579" s="5"/>
      <c r="B579" s="12">
        <v>44722</v>
      </c>
      <c r="C579" s="5">
        <v>182.94</v>
      </c>
      <c r="D579" s="5">
        <v>232.23</v>
      </c>
      <c r="E579" s="5">
        <v>109.65</v>
      </c>
      <c r="F579" s="5">
        <v>210.48</v>
      </c>
      <c r="G579" s="5">
        <f t="shared" si="14"/>
        <v>-5.0993411837941705E-2</v>
      </c>
      <c r="H579" s="5">
        <f t="shared" si="14"/>
        <v>-3.1204371949438925E-2</v>
      </c>
      <c r="I579" s="5">
        <f t="shared" si="13"/>
        <v>-5.5962117950925538E-2</v>
      </c>
      <c r="J579" s="5">
        <f t="shared" si="13"/>
        <v>1.8583042973286945E-2</v>
      </c>
      <c r="K579" s="5"/>
      <c r="L579" s="5"/>
      <c r="M579" s="5"/>
      <c r="N579" s="5"/>
      <c r="O579" s="5"/>
      <c r="P579" s="5"/>
      <c r="Q579" s="5"/>
    </row>
    <row r="580" spans="1:17" ht="15.6">
      <c r="A580" s="5"/>
      <c r="B580" s="12">
        <v>44725</v>
      </c>
      <c r="C580" s="5">
        <v>169.69</v>
      </c>
      <c r="D580" s="5">
        <v>215.74</v>
      </c>
      <c r="E580" s="5">
        <v>103.67</v>
      </c>
      <c r="F580" s="5">
        <v>207.24</v>
      </c>
      <c r="G580" s="5">
        <f t="shared" si="14"/>
        <v>-7.242811850880071E-2</v>
      </c>
      <c r="H580" s="5">
        <f t="shared" si="14"/>
        <v>-7.1007191146707949E-2</v>
      </c>
      <c r="I580" s="5">
        <f t="shared" si="13"/>
        <v>-5.4537163702690461E-2</v>
      </c>
      <c r="J580" s="5">
        <f t="shared" si="13"/>
        <v>-1.5393386545039855E-2</v>
      </c>
      <c r="K580" s="5"/>
      <c r="L580" s="5"/>
      <c r="M580" s="5"/>
      <c r="N580" s="5"/>
      <c r="O580" s="5"/>
      <c r="P580" s="5"/>
      <c r="Q580" s="5"/>
    </row>
    <row r="581" spans="1:17" ht="15.6">
      <c r="A581" s="5"/>
      <c r="B581" s="12">
        <v>44726</v>
      </c>
      <c r="C581" s="5">
        <v>167.54</v>
      </c>
      <c r="D581" s="5">
        <v>220.89</v>
      </c>
      <c r="E581" s="5">
        <v>102.31</v>
      </c>
      <c r="F581" s="5">
        <v>204.01</v>
      </c>
      <c r="G581" s="5">
        <f t="shared" si="14"/>
        <v>-1.2670163238847398E-2</v>
      </c>
      <c r="H581" s="5">
        <f t="shared" si="14"/>
        <v>2.3871326596829334E-2</v>
      </c>
      <c r="I581" s="5">
        <f t="shared" si="14"/>
        <v>-1.3118549242789657E-2</v>
      </c>
      <c r="J581" s="5">
        <f t="shared" si="14"/>
        <v>-1.5585794248214713E-2</v>
      </c>
      <c r="K581" s="5"/>
      <c r="L581" s="5"/>
      <c r="M581" s="5"/>
      <c r="N581" s="5"/>
      <c r="O581" s="5"/>
      <c r="P581" s="5"/>
      <c r="Q581" s="5"/>
    </row>
    <row r="582" spans="1:17" ht="15.6">
      <c r="A582" s="5"/>
      <c r="B582" s="12">
        <v>44727</v>
      </c>
      <c r="C582" s="5">
        <v>180.11</v>
      </c>
      <c r="D582" s="5">
        <v>233</v>
      </c>
      <c r="E582" s="5">
        <v>107.67</v>
      </c>
      <c r="F582" s="5">
        <v>203.42</v>
      </c>
      <c r="G582" s="5">
        <f t="shared" ref="G582:J645" si="15">(C582/C581)-1</f>
        <v>7.5026859257490974E-2</v>
      </c>
      <c r="H582" s="5">
        <f t="shared" si="15"/>
        <v>5.4823667888994621E-2</v>
      </c>
      <c r="I582" s="5">
        <f t="shared" si="15"/>
        <v>5.2389795718893462E-2</v>
      </c>
      <c r="J582" s="5">
        <f t="shared" si="15"/>
        <v>-2.8920150972991943E-3</v>
      </c>
      <c r="K582" s="5"/>
      <c r="L582" s="5"/>
      <c r="M582" s="5"/>
      <c r="N582" s="5"/>
      <c r="O582" s="5"/>
      <c r="P582" s="5"/>
      <c r="Q582" s="5"/>
    </row>
    <row r="583" spans="1:17" ht="15.6">
      <c r="A583" s="5"/>
      <c r="B583" s="12">
        <v>44728</v>
      </c>
      <c r="C583" s="5">
        <v>173.35</v>
      </c>
      <c r="D583" s="5">
        <v>213.1</v>
      </c>
      <c r="E583" s="5">
        <v>103.66</v>
      </c>
      <c r="F583" s="5">
        <v>199.54</v>
      </c>
      <c r="G583" s="5">
        <f t="shared" si="15"/>
        <v>-3.7532618955083086E-2</v>
      </c>
      <c r="H583" s="5">
        <f t="shared" si="15"/>
        <v>-8.540772532188845E-2</v>
      </c>
      <c r="I583" s="5">
        <f t="shared" si="15"/>
        <v>-3.7243428996006411E-2</v>
      </c>
      <c r="J583" s="5">
        <f t="shared" si="15"/>
        <v>-1.9073837380788494E-2</v>
      </c>
      <c r="K583" s="5"/>
      <c r="L583" s="5"/>
      <c r="M583" s="5"/>
      <c r="N583" s="5"/>
      <c r="O583" s="5"/>
      <c r="P583" s="5"/>
      <c r="Q583" s="5"/>
    </row>
    <row r="584" spans="1:17" ht="15.6">
      <c r="A584" s="5"/>
      <c r="B584" s="12">
        <v>44729</v>
      </c>
      <c r="C584" s="5">
        <v>175.51</v>
      </c>
      <c r="D584" s="5">
        <v>216.76</v>
      </c>
      <c r="E584" s="5">
        <v>106.22</v>
      </c>
      <c r="F584" s="5">
        <v>203.26</v>
      </c>
      <c r="G584" s="5">
        <f t="shared" si="15"/>
        <v>1.2460340351889254E-2</v>
      </c>
      <c r="H584" s="5">
        <f t="shared" si="15"/>
        <v>1.717503519474417E-2</v>
      </c>
      <c r="I584" s="5">
        <f t="shared" si="15"/>
        <v>2.4696121937102022E-2</v>
      </c>
      <c r="J584" s="5">
        <f t="shared" si="15"/>
        <v>1.8642878620827918E-2</v>
      </c>
      <c r="K584" s="5"/>
      <c r="L584" s="5"/>
      <c r="M584" s="5"/>
      <c r="N584" s="5"/>
      <c r="O584" s="5"/>
      <c r="P584" s="5"/>
      <c r="Q584" s="5"/>
    </row>
    <row r="585" spans="1:17" ht="15.6">
      <c r="A585" s="5"/>
      <c r="B585" s="12">
        <v>44733</v>
      </c>
      <c r="C585" s="5">
        <v>170.91</v>
      </c>
      <c r="D585" s="5">
        <v>237.04</v>
      </c>
      <c r="E585" s="5">
        <v>108.68</v>
      </c>
      <c r="F585" s="5">
        <v>212.18</v>
      </c>
      <c r="G585" s="5">
        <f t="shared" si="15"/>
        <v>-2.620933280154969E-2</v>
      </c>
      <c r="H585" s="5">
        <f t="shared" si="15"/>
        <v>9.3559697361136784E-2</v>
      </c>
      <c r="I585" s="5">
        <f t="shared" si="15"/>
        <v>2.3159480323856174E-2</v>
      </c>
      <c r="J585" s="5">
        <f t="shared" si="15"/>
        <v>4.3884679720554987E-2</v>
      </c>
      <c r="K585" s="5"/>
      <c r="L585" s="5"/>
      <c r="M585" s="5"/>
      <c r="N585" s="5"/>
      <c r="O585" s="5"/>
      <c r="P585" s="5"/>
      <c r="Q585" s="5"/>
    </row>
    <row r="586" spans="1:17" ht="15.6">
      <c r="A586" s="5"/>
      <c r="B586" s="12">
        <v>44734</v>
      </c>
      <c r="C586" s="5">
        <v>178.89</v>
      </c>
      <c r="D586" s="5">
        <v>236.09</v>
      </c>
      <c r="E586" s="5">
        <v>108.95</v>
      </c>
      <c r="F586" s="5">
        <v>212.01</v>
      </c>
      <c r="G586" s="5">
        <f t="shared" si="15"/>
        <v>4.6691241004037209E-2</v>
      </c>
      <c r="H586" s="5">
        <f t="shared" si="15"/>
        <v>-4.007762402969961E-3</v>
      </c>
      <c r="I586" s="5">
        <f t="shared" si="15"/>
        <v>2.4843577475155421E-3</v>
      </c>
      <c r="J586" s="5">
        <f t="shared" si="15"/>
        <v>-8.0120652276371995E-4</v>
      </c>
      <c r="K586" s="5"/>
      <c r="L586" s="5"/>
      <c r="M586" s="5"/>
      <c r="N586" s="5"/>
      <c r="O586" s="5"/>
      <c r="P586" s="5"/>
      <c r="Q586" s="5"/>
    </row>
    <row r="587" spans="1:17" ht="15.6">
      <c r="A587" s="5"/>
      <c r="B587" s="12">
        <v>44735</v>
      </c>
      <c r="C587" s="5">
        <v>181.71</v>
      </c>
      <c r="D587" s="5">
        <v>235.07</v>
      </c>
      <c r="E587" s="5">
        <v>112.44</v>
      </c>
      <c r="F587" s="5">
        <v>215.18</v>
      </c>
      <c r="G587" s="5">
        <f t="shared" si="15"/>
        <v>1.5763877242998658E-2</v>
      </c>
      <c r="H587" s="5">
        <f t="shared" si="15"/>
        <v>-4.3203862933627324E-3</v>
      </c>
      <c r="I587" s="5">
        <f t="shared" si="15"/>
        <v>3.2033042680128521E-2</v>
      </c>
      <c r="J587" s="5">
        <f t="shared" si="15"/>
        <v>1.4952124899769048E-2</v>
      </c>
      <c r="K587" s="5"/>
      <c r="L587" s="5"/>
      <c r="M587" s="5"/>
      <c r="N587" s="5"/>
      <c r="O587" s="5"/>
      <c r="P587" s="5"/>
      <c r="Q587" s="5"/>
    </row>
    <row r="588" spans="1:17" ht="15.6">
      <c r="A588" s="5"/>
      <c r="B588" s="12">
        <v>44736</v>
      </c>
      <c r="C588" s="5">
        <v>190.85</v>
      </c>
      <c r="D588" s="5">
        <v>245.71</v>
      </c>
      <c r="E588" s="5">
        <v>116.46</v>
      </c>
      <c r="F588" s="5">
        <v>217.99</v>
      </c>
      <c r="G588" s="5">
        <f t="shared" si="15"/>
        <v>5.0299928457432141E-2</v>
      </c>
      <c r="H588" s="5">
        <f t="shared" si="15"/>
        <v>4.5263113115242337E-2</v>
      </c>
      <c r="I588" s="5">
        <f t="shared" si="15"/>
        <v>3.5752401280682911E-2</v>
      </c>
      <c r="J588" s="5">
        <f t="shared" si="15"/>
        <v>1.3058834464169555E-2</v>
      </c>
      <c r="K588" s="5"/>
      <c r="L588" s="5"/>
      <c r="M588" s="5"/>
      <c r="N588" s="5"/>
      <c r="O588" s="5"/>
      <c r="P588" s="5"/>
      <c r="Q588" s="5"/>
    </row>
    <row r="589" spans="1:17" ht="15.6">
      <c r="A589" s="5"/>
      <c r="B589" s="12">
        <v>44739</v>
      </c>
      <c r="C589" s="5">
        <v>189.14</v>
      </c>
      <c r="D589" s="5">
        <v>244.92</v>
      </c>
      <c r="E589" s="5">
        <v>113.22</v>
      </c>
      <c r="F589" s="5">
        <v>217.99</v>
      </c>
      <c r="G589" s="5">
        <f t="shared" si="15"/>
        <v>-8.9599161645271819E-3</v>
      </c>
      <c r="H589" s="5">
        <f t="shared" si="15"/>
        <v>-3.2151723576574476E-3</v>
      </c>
      <c r="I589" s="5">
        <f t="shared" si="15"/>
        <v>-2.7820710973724849E-2</v>
      </c>
      <c r="J589" s="5">
        <f t="shared" si="15"/>
        <v>0</v>
      </c>
      <c r="K589" s="5"/>
      <c r="L589" s="5"/>
      <c r="M589" s="5"/>
      <c r="N589" s="5"/>
      <c r="O589" s="5"/>
      <c r="P589" s="5"/>
      <c r="Q589" s="5"/>
    </row>
    <row r="590" spans="1:17" ht="15.6">
      <c r="A590" s="5"/>
      <c r="B590" s="12">
        <v>44740</v>
      </c>
      <c r="C590" s="5">
        <v>179.6</v>
      </c>
      <c r="D590" s="5">
        <v>232.66</v>
      </c>
      <c r="E590" s="5">
        <v>107.4</v>
      </c>
      <c r="F590" s="5">
        <v>215.48</v>
      </c>
      <c r="G590" s="5">
        <f t="shared" si="15"/>
        <v>-5.043882838109337E-2</v>
      </c>
      <c r="H590" s="5">
        <f t="shared" si="15"/>
        <v>-5.005716152212969E-2</v>
      </c>
      <c r="I590" s="5">
        <f t="shared" si="15"/>
        <v>-5.1404345521992467E-2</v>
      </c>
      <c r="J590" s="5">
        <f t="shared" si="15"/>
        <v>-1.151428964631418E-2</v>
      </c>
      <c r="K590" s="5"/>
      <c r="L590" s="5"/>
      <c r="M590" s="5"/>
      <c r="N590" s="5"/>
      <c r="O590" s="5"/>
      <c r="P590" s="5"/>
      <c r="Q590" s="5"/>
    </row>
    <row r="591" spans="1:17" ht="15.6">
      <c r="A591" s="5"/>
      <c r="B591" s="12">
        <v>44741</v>
      </c>
      <c r="C591" s="5">
        <v>178.36</v>
      </c>
      <c r="D591" s="5">
        <v>228.49</v>
      </c>
      <c r="E591" s="5">
        <v>108.92</v>
      </c>
      <c r="F591" s="5">
        <v>215.97</v>
      </c>
      <c r="G591" s="5">
        <f t="shared" si="15"/>
        <v>-6.9042316258350889E-3</v>
      </c>
      <c r="H591" s="5">
        <f t="shared" si="15"/>
        <v>-1.7923149660448723E-2</v>
      </c>
      <c r="I591" s="5">
        <f t="shared" si="15"/>
        <v>1.4152700186219613E-2</v>
      </c>
      <c r="J591" s="5">
        <f t="shared" si="15"/>
        <v>2.2739929459811847E-3</v>
      </c>
      <c r="K591" s="5"/>
      <c r="L591" s="5"/>
      <c r="M591" s="5"/>
      <c r="N591" s="5"/>
      <c r="O591" s="5"/>
      <c r="P591" s="5"/>
      <c r="Q591" s="5"/>
    </row>
    <row r="592" spans="1:17" ht="15.6">
      <c r="A592" s="5"/>
      <c r="B592" s="12">
        <v>44742</v>
      </c>
      <c r="C592" s="5">
        <v>174.87</v>
      </c>
      <c r="D592" s="5">
        <v>224.47</v>
      </c>
      <c r="E592" s="5">
        <v>106.21</v>
      </c>
      <c r="F592" s="5">
        <v>212.27</v>
      </c>
      <c r="G592" s="5">
        <f t="shared" si="15"/>
        <v>-1.9567167526351237E-2</v>
      </c>
      <c r="H592" s="5">
        <f t="shared" si="15"/>
        <v>-1.7593767779771619E-2</v>
      </c>
      <c r="I592" s="5">
        <f t="shared" si="15"/>
        <v>-2.4880646345942004E-2</v>
      </c>
      <c r="J592" s="5">
        <f t="shared" si="15"/>
        <v>-1.713200907533452E-2</v>
      </c>
      <c r="K592" s="5"/>
      <c r="L592" s="5"/>
      <c r="M592" s="5"/>
      <c r="N592" s="5"/>
      <c r="O592" s="5"/>
      <c r="P592" s="5"/>
      <c r="Q592" s="5"/>
    </row>
    <row r="593" spans="1:17" ht="15.6">
      <c r="A593" s="5"/>
      <c r="B593" s="12">
        <v>44743</v>
      </c>
      <c r="C593" s="5">
        <v>179.95</v>
      </c>
      <c r="D593" s="5">
        <v>227.26</v>
      </c>
      <c r="E593" s="5">
        <v>109.56</v>
      </c>
      <c r="F593" s="5">
        <v>218.03</v>
      </c>
      <c r="G593" s="5">
        <f t="shared" si="15"/>
        <v>2.9050151541144764E-2</v>
      </c>
      <c r="H593" s="5">
        <f t="shared" si="15"/>
        <v>1.2429277854501652E-2</v>
      </c>
      <c r="I593" s="5">
        <f t="shared" si="15"/>
        <v>3.1541286131249402E-2</v>
      </c>
      <c r="J593" s="5">
        <f t="shared" si="15"/>
        <v>2.713525227304836E-2</v>
      </c>
      <c r="K593" s="5"/>
      <c r="L593" s="5"/>
      <c r="M593" s="5"/>
      <c r="N593" s="5"/>
      <c r="O593" s="5"/>
      <c r="P593" s="5"/>
      <c r="Q593" s="5"/>
    </row>
    <row r="594" spans="1:17" ht="15.6">
      <c r="A594" s="5"/>
      <c r="B594" s="12">
        <v>44747</v>
      </c>
      <c r="C594" s="5">
        <v>185.88</v>
      </c>
      <c r="D594" s="5">
        <v>233.07</v>
      </c>
      <c r="E594" s="5">
        <v>113.5</v>
      </c>
      <c r="F594" s="5">
        <v>215.41</v>
      </c>
      <c r="G594" s="5">
        <f t="shared" si="15"/>
        <v>3.2953598221728386E-2</v>
      </c>
      <c r="H594" s="5">
        <f t="shared" si="15"/>
        <v>2.5565431664173133E-2</v>
      </c>
      <c r="I594" s="5">
        <f t="shared" si="15"/>
        <v>3.5962029937933515E-2</v>
      </c>
      <c r="J594" s="5">
        <f t="shared" si="15"/>
        <v>-1.2016694950236273E-2</v>
      </c>
      <c r="K594" s="5"/>
      <c r="L594" s="5"/>
      <c r="M594" s="5"/>
      <c r="N594" s="5"/>
      <c r="O594" s="5"/>
      <c r="P594" s="5"/>
      <c r="Q594" s="5"/>
    </row>
    <row r="595" spans="1:17" ht="15.6">
      <c r="A595" s="5"/>
      <c r="B595" s="12">
        <v>44748</v>
      </c>
      <c r="C595" s="5">
        <v>184.06</v>
      </c>
      <c r="D595" s="5">
        <v>231.73</v>
      </c>
      <c r="E595" s="5">
        <v>114.33</v>
      </c>
      <c r="F595" s="5">
        <v>217.67</v>
      </c>
      <c r="G595" s="5">
        <f t="shared" si="15"/>
        <v>-9.7912631805465722E-3</v>
      </c>
      <c r="H595" s="5">
        <f t="shared" si="15"/>
        <v>-5.7493456901360762E-3</v>
      </c>
      <c r="I595" s="5">
        <f t="shared" si="15"/>
        <v>7.312775330396537E-3</v>
      </c>
      <c r="J595" s="5">
        <f t="shared" si="15"/>
        <v>1.0491620630425746E-2</v>
      </c>
      <c r="K595" s="5"/>
      <c r="L595" s="5"/>
      <c r="M595" s="5"/>
      <c r="N595" s="5"/>
      <c r="O595" s="5"/>
      <c r="P595" s="5"/>
      <c r="Q595" s="5"/>
    </row>
    <row r="596" spans="1:17" ht="15.6">
      <c r="A596" s="5"/>
      <c r="B596" s="12">
        <v>44749</v>
      </c>
      <c r="C596" s="5">
        <v>189.27</v>
      </c>
      <c r="D596" s="5">
        <v>244.54</v>
      </c>
      <c r="E596" s="5">
        <v>116.33</v>
      </c>
      <c r="F596" s="5">
        <v>216.97</v>
      </c>
      <c r="G596" s="5">
        <f t="shared" si="15"/>
        <v>2.8305987178094183E-2</v>
      </c>
      <c r="H596" s="5">
        <f t="shared" si="15"/>
        <v>5.5279851551374382E-2</v>
      </c>
      <c r="I596" s="5">
        <f t="shared" si="15"/>
        <v>1.7493221376716495E-2</v>
      </c>
      <c r="J596" s="5">
        <f t="shared" si="15"/>
        <v>-3.2158772453714235E-3</v>
      </c>
      <c r="K596" s="5"/>
      <c r="L596" s="5"/>
      <c r="M596" s="5"/>
      <c r="N596" s="5"/>
      <c r="O596" s="5"/>
      <c r="P596" s="5"/>
      <c r="Q596" s="5"/>
    </row>
    <row r="597" spans="1:17" ht="15.6">
      <c r="A597" s="5"/>
      <c r="B597" s="12">
        <v>44750</v>
      </c>
      <c r="C597" s="5">
        <v>186.98</v>
      </c>
      <c r="D597" s="5">
        <v>250.76</v>
      </c>
      <c r="E597" s="5">
        <v>115.54</v>
      </c>
      <c r="F597" s="5">
        <v>216.84</v>
      </c>
      <c r="G597" s="5">
        <f t="shared" si="15"/>
        <v>-1.2099117662598524E-2</v>
      </c>
      <c r="H597" s="5">
        <f t="shared" si="15"/>
        <v>2.5435511572748926E-2</v>
      </c>
      <c r="I597" s="5">
        <f t="shared" si="15"/>
        <v>-6.7910255308174516E-3</v>
      </c>
      <c r="J597" s="5">
        <f t="shared" si="15"/>
        <v>-5.9916117435587779E-4</v>
      </c>
      <c r="K597" s="5"/>
      <c r="L597" s="5"/>
      <c r="M597" s="5"/>
      <c r="N597" s="5"/>
      <c r="O597" s="5"/>
      <c r="P597" s="5"/>
      <c r="Q597" s="5"/>
    </row>
    <row r="598" spans="1:17" ht="15.6">
      <c r="A598" s="5"/>
      <c r="B598" s="12">
        <v>44753</v>
      </c>
      <c r="C598" s="5">
        <v>177.34</v>
      </c>
      <c r="D598" s="5">
        <v>234.34</v>
      </c>
      <c r="E598" s="5">
        <v>111.75</v>
      </c>
      <c r="F598" s="5">
        <v>217.54</v>
      </c>
      <c r="G598" s="5">
        <f t="shared" si="15"/>
        <v>-5.1556316183548945E-2</v>
      </c>
      <c r="H598" s="5">
        <f t="shared" si="15"/>
        <v>-6.5480937948636075E-2</v>
      </c>
      <c r="I598" s="5">
        <f t="shared" si="15"/>
        <v>-3.2802492643240533E-2</v>
      </c>
      <c r="J598" s="5">
        <f t="shared" si="15"/>
        <v>3.2281866814241056E-3</v>
      </c>
      <c r="K598" s="5"/>
      <c r="L598" s="5"/>
      <c r="M598" s="5"/>
      <c r="N598" s="5"/>
      <c r="O598" s="5"/>
      <c r="P598" s="5"/>
      <c r="Q598" s="5"/>
    </row>
    <row r="599" spans="1:17" ht="15.6">
      <c r="A599" s="5"/>
      <c r="B599" s="12">
        <v>44754</v>
      </c>
      <c r="C599" s="5">
        <v>174.45</v>
      </c>
      <c r="D599" s="5">
        <v>233.07</v>
      </c>
      <c r="E599" s="5">
        <v>109.22</v>
      </c>
      <c r="F599" s="5">
        <v>217.17</v>
      </c>
      <c r="G599" s="5">
        <f t="shared" si="15"/>
        <v>-1.6296379835344599E-2</v>
      </c>
      <c r="H599" s="5">
        <f t="shared" si="15"/>
        <v>-5.4194759750789689E-3</v>
      </c>
      <c r="I599" s="5">
        <f t="shared" si="15"/>
        <v>-2.2639821029082796E-2</v>
      </c>
      <c r="J599" s="5">
        <f t="shared" si="15"/>
        <v>-1.7008366277466713E-3</v>
      </c>
      <c r="K599" s="5"/>
      <c r="L599" s="5"/>
      <c r="M599" s="5"/>
      <c r="N599" s="5"/>
      <c r="O599" s="5"/>
      <c r="P599" s="5"/>
      <c r="Q599" s="5"/>
    </row>
    <row r="600" spans="1:17" ht="15.6">
      <c r="A600" s="5"/>
      <c r="B600" s="12">
        <v>44755</v>
      </c>
      <c r="C600" s="5">
        <v>176.56</v>
      </c>
      <c r="D600" s="5">
        <v>237.04</v>
      </c>
      <c r="E600" s="5">
        <v>110.4</v>
      </c>
      <c r="F600" s="5">
        <v>216.83</v>
      </c>
      <c r="G600" s="5">
        <f t="shared" si="15"/>
        <v>1.2095156205216506E-2</v>
      </c>
      <c r="H600" s="5">
        <f t="shared" si="15"/>
        <v>1.7033509246149325E-2</v>
      </c>
      <c r="I600" s="5">
        <f t="shared" si="15"/>
        <v>1.0803882072880411E-2</v>
      </c>
      <c r="J600" s="5">
        <f t="shared" si="15"/>
        <v>-1.5655937744623039E-3</v>
      </c>
      <c r="K600" s="5"/>
      <c r="L600" s="5"/>
      <c r="M600" s="5"/>
      <c r="N600" s="5"/>
      <c r="O600" s="5"/>
      <c r="P600" s="5"/>
      <c r="Q600" s="5"/>
    </row>
    <row r="601" spans="1:17" ht="15.6">
      <c r="A601" s="5"/>
      <c r="B601" s="12">
        <v>44756</v>
      </c>
      <c r="C601" s="5">
        <v>174.78</v>
      </c>
      <c r="D601" s="5">
        <v>238.31</v>
      </c>
      <c r="E601" s="5">
        <v>110.63</v>
      </c>
      <c r="F601" s="5">
        <v>214.94</v>
      </c>
      <c r="G601" s="5">
        <f t="shared" si="15"/>
        <v>-1.0081558676937052E-2</v>
      </c>
      <c r="H601" s="5">
        <f t="shared" si="15"/>
        <v>5.3577455281810238E-3</v>
      </c>
      <c r="I601" s="5">
        <f t="shared" si="15"/>
        <v>2.0833333333332149E-3</v>
      </c>
      <c r="J601" s="5">
        <f t="shared" si="15"/>
        <v>-8.7165060185399046E-3</v>
      </c>
      <c r="K601" s="5"/>
      <c r="L601" s="5"/>
      <c r="M601" s="5"/>
      <c r="N601" s="5"/>
      <c r="O601" s="5"/>
      <c r="P601" s="5"/>
      <c r="Q601" s="5"/>
    </row>
    <row r="602" spans="1:17" ht="15.6">
      <c r="A602" s="5"/>
      <c r="B602" s="12">
        <v>44757</v>
      </c>
      <c r="C602" s="5">
        <v>189.11</v>
      </c>
      <c r="D602" s="5">
        <v>240.07</v>
      </c>
      <c r="E602" s="5">
        <v>113.55</v>
      </c>
      <c r="F602" s="5">
        <v>213.89</v>
      </c>
      <c r="G602" s="5">
        <f t="shared" si="15"/>
        <v>8.1988785902277206E-2</v>
      </c>
      <c r="H602" s="5">
        <f t="shared" si="15"/>
        <v>7.3853384247408727E-3</v>
      </c>
      <c r="I602" s="5">
        <f t="shared" si="15"/>
        <v>2.6394287263852512E-2</v>
      </c>
      <c r="J602" s="5">
        <f t="shared" si="15"/>
        <v>-4.8850842095469194E-3</v>
      </c>
      <c r="K602" s="5"/>
      <c r="L602" s="5"/>
      <c r="M602" s="5"/>
      <c r="N602" s="5"/>
      <c r="O602" s="5"/>
      <c r="P602" s="5"/>
      <c r="Q602" s="5"/>
    </row>
    <row r="603" spans="1:17" ht="15.6">
      <c r="A603" s="5"/>
      <c r="B603" s="12">
        <v>44760</v>
      </c>
      <c r="C603" s="5">
        <v>190.92</v>
      </c>
      <c r="D603" s="5">
        <v>240.55</v>
      </c>
      <c r="E603" s="5">
        <v>113.76</v>
      </c>
      <c r="F603" s="5">
        <v>212.17</v>
      </c>
      <c r="G603" s="5">
        <f t="shared" si="15"/>
        <v>9.571149066680551E-3</v>
      </c>
      <c r="H603" s="5">
        <f t="shared" si="15"/>
        <v>1.9994168367560849E-3</v>
      </c>
      <c r="I603" s="5">
        <f t="shared" si="15"/>
        <v>1.8494055482167759E-3</v>
      </c>
      <c r="J603" s="5">
        <f t="shared" si="15"/>
        <v>-8.0415166674459027E-3</v>
      </c>
      <c r="K603" s="5"/>
      <c r="L603" s="5"/>
      <c r="M603" s="5"/>
      <c r="N603" s="5"/>
      <c r="O603" s="5"/>
      <c r="P603" s="5"/>
      <c r="Q603" s="5"/>
    </row>
    <row r="604" spans="1:17" ht="15.6">
      <c r="A604" s="5"/>
      <c r="B604" s="12">
        <v>44761</v>
      </c>
      <c r="C604" s="5">
        <v>201.63</v>
      </c>
      <c r="D604" s="5">
        <v>245.53</v>
      </c>
      <c r="E604" s="5">
        <v>118.21</v>
      </c>
      <c r="F604" s="5">
        <v>213.21</v>
      </c>
      <c r="G604" s="5">
        <f t="shared" si="15"/>
        <v>5.609679446888749E-2</v>
      </c>
      <c r="H604" s="5">
        <f t="shared" si="15"/>
        <v>2.0702556641030823E-2</v>
      </c>
      <c r="I604" s="5">
        <f t="shared" si="15"/>
        <v>3.911744022503516E-2</v>
      </c>
      <c r="J604" s="5">
        <f t="shared" si="15"/>
        <v>4.9017297450157926E-3</v>
      </c>
      <c r="K604" s="5"/>
      <c r="L604" s="5"/>
      <c r="M604" s="5"/>
      <c r="N604" s="5"/>
      <c r="O604" s="5"/>
      <c r="P604" s="5"/>
      <c r="Q604" s="5"/>
    </row>
    <row r="605" spans="1:17" ht="15.6">
      <c r="A605" s="5"/>
      <c r="B605" s="12">
        <v>44762</v>
      </c>
      <c r="C605" s="5">
        <v>216.44</v>
      </c>
      <c r="D605" s="5">
        <v>247.5</v>
      </c>
      <c r="E605" s="5">
        <v>122.77</v>
      </c>
      <c r="F605" s="5">
        <v>212.49</v>
      </c>
      <c r="G605" s="5">
        <f t="shared" si="15"/>
        <v>7.3451371323711712E-2</v>
      </c>
      <c r="H605" s="5">
        <f t="shared" si="15"/>
        <v>8.0234594550563365E-3</v>
      </c>
      <c r="I605" s="5">
        <f t="shared" si="15"/>
        <v>3.8575416631418724E-2</v>
      </c>
      <c r="J605" s="5">
        <f t="shared" si="15"/>
        <v>-3.3769523005487967E-3</v>
      </c>
      <c r="K605" s="5"/>
      <c r="L605" s="5"/>
      <c r="M605" s="5"/>
      <c r="N605" s="5"/>
      <c r="O605" s="5"/>
      <c r="P605" s="5"/>
      <c r="Q605" s="5"/>
    </row>
    <row r="606" spans="1:17" ht="15.6">
      <c r="A606" s="5"/>
      <c r="B606" s="12">
        <v>44763</v>
      </c>
      <c r="C606" s="5">
        <v>223.88</v>
      </c>
      <c r="D606" s="5">
        <v>271.70999999999998</v>
      </c>
      <c r="E606" s="5">
        <v>124.63</v>
      </c>
      <c r="F606" s="5">
        <v>213.01</v>
      </c>
      <c r="G606" s="5">
        <f t="shared" si="15"/>
        <v>3.4374422472740696E-2</v>
      </c>
      <c r="H606" s="5">
        <f t="shared" si="15"/>
        <v>9.7818181818181804E-2</v>
      </c>
      <c r="I606" s="5">
        <f t="shared" si="15"/>
        <v>1.5150281013276867E-2</v>
      </c>
      <c r="J606" s="5">
        <f t="shared" si="15"/>
        <v>2.447173984658102E-3</v>
      </c>
      <c r="K606" s="5"/>
      <c r="L606" s="5"/>
      <c r="M606" s="5"/>
      <c r="N606" s="5"/>
      <c r="O606" s="5"/>
      <c r="P606" s="5"/>
      <c r="Q606" s="5"/>
    </row>
    <row r="607" spans="1:17" ht="15.6">
      <c r="A607" s="5"/>
      <c r="B607" s="12">
        <v>44764</v>
      </c>
      <c r="C607" s="5">
        <v>220.44</v>
      </c>
      <c r="D607" s="5">
        <v>272.24</v>
      </c>
      <c r="E607" s="5">
        <v>122.42</v>
      </c>
      <c r="F607" s="5">
        <v>213.02</v>
      </c>
      <c r="G607" s="5">
        <f t="shared" si="15"/>
        <v>-1.5365374307664825E-2</v>
      </c>
      <c r="H607" s="5">
        <f t="shared" si="15"/>
        <v>1.9506091052960972E-3</v>
      </c>
      <c r="I607" s="5">
        <f t="shared" si="15"/>
        <v>-1.7732488164968307E-2</v>
      </c>
      <c r="J607" s="5">
        <f t="shared" si="15"/>
        <v>4.6946152762794569E-5</v>
      </c>
      <c r="K607" s="5"/>
      <c r="L607" s="5"/>
      <c r="M607" s="5"/>
      <c r="N607" s="5"/>
      <c r="O607" s="5"/>
      <c r="P607" s="5"/>
      <c r="Q607" s="5"/>
    </row>
    <row r="608" spans="1:17" ht="15.6">
      <c r="A608" s="5"/>
      <c r="B608" s="12">
        <v>44767</v>
      </c>
      <c r="C608" s="5">
        <v>218.51</v>
      </c>
      <c r="D608" s="5">
        <v>268.43</v>
      </c>
      <c r="E608" s="5">
        <v>121.14</v>
      </c>
      <c r="F608" s="5">
        <v>213.95</v>
      </c>
      <c r="G608" s="5">
        <f t="shared" si="15"/>
        <v>-8.7552168390492291E-3</v>
      </c>
      <c r="H608" s="5">
        <f t="shared" si="15"/>
        <v>-1.3995004407875378E-2</v>
      </c>
      <c r="I608" s="5">
        <f t="shared" si="15"/>
        <v>-1.0455807874530265E-2</v>
      </c>
      <c r="J608" s="5">
        <f t="shared" si="15"/>
        <v>4.3657872500233452E-3</v>
      </c>
      <c r="K608" s="5"/>
      <c r="L608" s="5"/>
      <c r="M608" s="5"/>
      <c r="N608" s="5"/>
      <c r="O608" s="5"/>
      <c r="P608" s="5"/>
      <c r="Q608" s="5"/>
    </row>
    <row r="609" spans="1:17" ht="15.6">
      <c r="A609" s="5"/>
      <c r="B609" s="12">
        <v>44768</v>
      </c>
      <c r="C609" s="5">
        <v>213.91</v>
      </c>
      <c r="D609" s="5">
        <v>258.86</v>
      </c>
      <c r="E609" s="5">
        <v>114.81</v>
      </c>
      <c r="F609" s="5">
        <v>215.08</v>
      </c>
      <c r="G609" s="5">
        <f t="shared" si="15"/>
        <v>-2.1051668115875666E-2</v>
      </c>
      <c r="H609" s="5">
        <f t="shared" si="15"/>
        <v>-3.565175278471111E-2</v>
      </c>
      <c r="I609" s="5">
        <f t="shared" si="15"/>
        <v>-5.225359088657755E-2</v>
      </c>
      <c r="J609" s="5">
        <f t="shared" si="15"/>
        <v>5.2816078523021392E-3</v>
      </c>
      <c r="K609" s="5"/>
      <c r="L609" s="5"/>
      <c r="M609" s="5"/>
      <c r="N609" s="5"/>
      <c r="O609" s="5"/>
      <c r="P609" s="5"/>
      <c r="Q609" s="5"/>
    </row>
    <row r="610" spans="1:17" ht="15.6">
      <c r="A610" s="5"/>
      <c r="B610" s="12">
        <v>44769</v>
      </c>
      <c r="C610" s="5">
        <v>226.75</v>
      </c>
      <c r="D610" s="5">
        <v>274.82</v>
      </c>
      <c r="E610" s="5">
        <v>120.97</v>
      </c>
      <c r="F610" s="5">
        <v>215.3</v>
      </c>
      <c r="G610" s="5">
        <f t="shared" si="15"/>
        <v>6.0025244261605382E-2</v>
      </c>
      <c r="H610" s="5">
        <f t="shared" si="15"/>
        <v>6.1654948620876171E-2</v>
      </c>
      <c r="I610" s="5">
        <f t="shared" si="15"/>
        <v>5.3653862903928262E-2</v>
      </c>
      <c r="J610" s="5">
        <f t="shared" si="15"/>
        <v>1.0228752092245053E-3</v>
      </c>
      <c r="K610" s="5"/>
      <c r="L610" s="5"/>
      <c r="M610" s="5"/>
      <c r="N610" s="5"/>
      <c r="O610" s="5"/>
      <c r="P610" s="5"/>
      <c r="Q610" s="5"/>
    </row>
    <row r="611" spans="1:17" ht="15.6">
      <c r="A611" s="5"/>
      <c r="B611" s="12">
        <v>44770</v>
      </c>
      <c r="C611" s="5">
        <v>226.02</v>
      </c>
      <c r="D611" s="5">
        <v>280.89999999999998</v>
      </c>
      <c r="E611" s="5">
        <v>122.28</v>
      </c>
      <c r="F611" s="5">
        <v>221.26</v>
      </c>
      <c r="G611" s="5">
        <f t="shared" si="15"/>
        <v>-3.2194046306504021E-3</v>
      </c>
      <c r="H611" s="5">
        <f t="shared" si="15"/>
        <v>2.2123571792445951E-2</v>
      </c>
      <c r="I611" s="5">
        <f t="shared" si="15"/>
        <v>1.08291311895512E-2</v>
      </c>
      <c r="J611" s="5">
        <f t="shared" si="15"/>
        <v>2.7682303762192273E-2</v>
      </c>
      <c r="K611" s="5"/>
      <c r="L611" s="5"/>
      <c r="M611" s="5"/>
      <c r="N611" s="5"/>
      <c r="O611" s="5"/>
      <c r="P611" s="5"/>
      <c r="Q611" s="5"/>
    </row>
    <row r="612" spans="1:17" ht="15.6">
      <c r="A612" s="5"/>
      <c r="B612" s="12">
        <v>44771</v>
      </c>
      <c r="C612" s="5">
        <v>224.9</v>
      </c>
      <c r="D612" s="5">
        <v>297.14999999999998</v>
      </c>
      <c r="E612" s="5">
        <v>134.94999999999999</v>
      </c>
      <c r="F612" s="5">
        <v>224.9</v>
      </c>
      <c r="G612" s="5">
        <f t="shared" si="15"/>
        <v>-4.9553136890541083E-3</v>
      </c>
      <c r="H612" s="5">
        <f t="shared" si="15"/>
        <v>5.7849768600925611E-2</v>
      </c>
      <c r="I612" s="5">
        <f t="shared" si="15"/>
        <v>0.10361465489041533</v>
      </c>
      <c r="J612" s="5">
        <f t="shared" si="15"/>
        <v>1.6451233842538215E-2</v>
      </c>
      <c r="K612" s="5"/>
      <c r="L612" s="5"/>
      <c r="M612" s="5"/>
      <c r="N612" s="5"/>
      <c r="O612" s="5"/>
      <c r="P612" s="5"/>
      <c r="Q612" s="5"/>
    </row>
    <row r="613" spans="1:17" ht="15.6">
      <c r="A613" s="5"/>
      <c r="B613" s="12">
        <v>44774</v>
      </c>
      <c r="C613" s="5">
        <v>226.21</v>
      </c>
      <c r="D613" s="5">
        <v>297.27999999999997</v>
      </c>
      <c r="E613" s="5">
        <v>135.38999999999999</v>
      </c>
      <c r="F613" s="5">
        <v>226.69</v>
      </c>
      <c r="G613" s="5">
        <f t="shared" si="15"/>
        <v>5.8248110271230669E-3</v>
      </c>
      <c r="H613" s="5">
        <f t="shared" si="15"/>
        <v>4.3748948342581251E-4</v>
      </c>
      <c r="I613" s="5">
        <f t="shared" si="15"/>
        <v>3.260466839570153E-3</v>
      </c>
      <c r="J613" s="5">
        <f t="shared" si="15"/>
        <v>7.9590929301911473E-3</v>
      </c>
      <c r="K613" s="5"/>
      <c r="L613" s="5"/>
      <c r="M613" s="5"/>
      <c r="N613" s="5"/>
      <c r="O613" s="5"/>
      <c r="P613" s="5"/>
      <c r="Q613" s="5"/>
    </row>
    <row r="614" spans="1:17" ht="15.6">
      <c r="A614" s="5"/>
      <c r="B614" s="12">
        <v>44775</v>
      </c>
      <c r="C614" s="5">
        <v>221.42</v>
      </c>
      <c r="D614" s="5">
        <v>300.58999999999997</v>
      </c>
      <c r="E614" s="5">
        <v>134.16</v>
      </c>
      <c r="F614" s="5">
        <v>226.08</v>
      </c>
      <c r="G614" s="5">
        <f t="shared" si="15"/>
        <v>-2.1175014367181055E-2</v>
      </c>
      <c r="H614" s="5">
        <f t="shared" si="15"/>
        <v>1.1134284176533837E-2</v>
      </c>
      <c r="I614" s="5">
        <f t="shared" si="15"/>
        <v>-9.0848659428317546E-3</v>
      </c>
      <c r="J614" s="5">
        <f t="shared" si="15"/>
        <v>-2.6908994662313557E-3</v>
      </c>
      <c r="K614" s="5"/>
      <c r="L614" s="5"/>
      <c r="M614" s="5"/>
      <c r="N614" s="5"/>
      <c r="O614" s="5"/>
      <c r="P614" s="5"/>
      <c r="Q614" s="5"/>
    </row>
    <row r="615" spans="1:17" ht="15.6">
      <c r="A615" s="5"/>
      <c r="B615" s="12">
        <v>44776</v>
      </c>
      <c r="C615" s="5">
        <v>226.73</v>
      </c>
      <c r="D615" s="5">
        <v>307.39999999999998</v>
      </c>
      <c r="E615" s="5">
        <v>139.52000000000001</v>
      </c>
      <c r="F615" s="5">
        <v>225.05</v>
      </c>
      <c r="G615" s="5">
        <f t="shared" si="15"/>
        <v>2.3981573480263751E-2</v>
      </c>
      <c r="H615" s="5">
        <f t="shared" si="15"/>
        <v>2.265544429289057E-2</v>
      </c>
      <c r="I615" s="5">
        <f t="shared" si="15"/>
        <v>3.9952295766249257E-2</v>
      </c>
      <c r="J615" s="5">
        <f t="shared" si="15"/>
        <v>-4.5559094125973143E-3</v>
      </c>
      <c r="K615" s="5"/>
      <c r="L615" s="5"/>
      <c r="M615" s="5"/>
      <c r="N615" s="5"/>
      <c r="O615" s="5"/>
      <c r="P615" s="5"/>
      <c r="Q615" s="5"/>
    </row>
    <row r="616" spans="1:17" ht="15.6">
      <c r="A616" s="5"/>
      <c r="B616" s="12">
        <v>44777</v>
      </c>
      <c r="C616" s="5">
        <v>229.91</v>
      </c>
      <c r="D616" s="5">
        <v>308.63</v>
      </c>
      <c r="E616" s="5">
        <v>142.57</v>
      </c>
      <c r="F616" s="5">
        <v>222.21</v>
      </c>
      <c r="G616" s="5">
        <f t="shared" si="15"/>
        <v>1.4025492876990286E-2</v>
      </c>
      <c r="H616" s="5">
        <f t="shared" si="15"/>
        <v>4.0013012361743705E-3</v>
      </c>
      <c r="I616" s="5">
        <f t="shared" si="15"/>
        <v>2.1860665137614532E-2</v>
      </c>
      <c r="J616" s="5">
        <f t="shared" si="15"/>
        <v>-1.2619417907131725E-2</v>
      </c>
      <c r="K616" s="5"/>
      <c r="L616" s="5"/>
      <c r="M616" s="5"/>
      <c r="N616" s="5"/>
      <c r="O616" s="5"/>
      <c r="P616" s="5"/>
      <c r="Q616" s="5"/>
    </row>
    <row r="617" spans="1:17" ht="15.6">
      <c r="A617" s="5"/>
      <c r="B617" s="12">
        <v>44778</v>
      </c>
      <c r="C617" s="5">
        <v>226.78</v>
      </c>
      <c r="D617" s="5">
        <v>288.17</v>
      </c>
      <c r="E617" s="5">
        <v>140.80000000000001</v>
      </c>
      <c r="F617" s="5">
        <v>224.06</v>
      </c>
      <c r="G617" s="5">
        <f t="shared" si="15"/>
        <v>-1.3614022878517651E-2</v>
      </c>
      <c r="H617" s="5">
        <f t="shared" si="15"/>
        <v>-6.6292972167319997E-2</v>
      </c>
      <c r="I617" s="5">
        <f t="shared" si="15"/>
        <v>-1.2414954057655803E-2</v>
      </c>
      <c r="J617" s="5">
        <f t="shared" si="15"/>
        <v>8.3254579001845741E-3</v>
      </c>
      <c r="K617" s="5"/>
      <c r="L617" s="5"/>
      <c r="M617" s="5"/>
      <c r="N617" s="5"/>
      <c r="O617" s="5"/>
      <c r="P617" s="5"/>
      <c r="Q617" s="5"/>
    </row>
    <row r="618" spans="1:17" ht="15.6">
      <c r="A618" s="5"/>
      <c r="B618" s="12">
        <v>44781</v>
      </c>
      <c r="C618" s="5">
        <v>233.49</v>
      </c>
      <c r="D618" s="5">
        <v>290.42</v>
      </c>
      <c r="E618" s="5">
        <v>139.41</v>
      </c>
      <c r="F618" s="5">
        <v>223.3</v>
      </c>
      <c r="G618" s="5">
        <f t="shared" si="15"/>
        <v>2.9588147102919127E-2</v>
      </c>
      <c r="H618" s="5">
        <f t="shared" si="15"/>
        <v>7.8078911753478586E-3</v>
      </c>
      <c r="I618" s="5">
        <f t="shared" si="15"/>
        <v>-9.8721590909092161E-3</v>
      </c>
      <c r="J618" s="5">
        <f t="shared" si="15"/>
        <v>-3.3919485852003106E-3</v>
      </c>
      <c r="K618" s="5"/>
      <c r="L618" s="5"/>
      <c r="M618" s="5"/>
      <c r="N618" s="5"/>
      <c r="O618" s="5"/>
      <c r="P618" s="5"/>
      <c r="Q618" s="5"/>
    </row>
    <row r="619" spans="1:17" ht="15.6">
      <c r="A619" s="5"/>
      <c r="B619" s="12">
        <v>44782</v>
      </c>
      <c r="C619" s="5">
        <v>229.94</v>
      </c>
      <c r="D619" s="5">
        <v>283.33</v>
      </c>
      <c r="E619" s="5">
        <v>137.83000000000001</v>
      </c>
      <c r="F619" s="5">
        <v>225.22</v>
      </c>
      <c r="G619" s="5">
        <f t="shared" si="15"/>
        <v>-1.5204077262409577E-2</v>
      </c>
      <c r="H619" s="5">
        <f t="shared" si="15"/>
        <v>-2.4412919220439422E-2</v>
      </c>
      <c r="I619" s="5">
        <f t="shared" si="15"/>
        <v>-1.1333476795064801E-2</v>
      </c>
      <c r="J619" s="5">
        <f t="shared" si="15"/>
        <v>8.5982982534706931E-3</v>
      </c>
      <c r="K619" s="5"/>
      <c r="L619" s="5"/>
      <c r="M619" s="5"/>
      <c r="N619" s="5"/>
      <c r="O619" s="5"/>
      <c r="P619" s="5"/>
      <c r="Q619" s="5"/>
    </row>
    <row r="620" spans="1:17" ht="15.6">
      <c r="A620" s="5"/>
      <c r="B620" s="12">
        <v>44783</v>
      </c>
      <c r="C620" s="5">
        <v>244.11</v>
      </c>
      <c r="D620" s="5">
        <v>294.36</v>
      </c>
      <c r="E620" s="5">
        <v>142.69</v>
      </c>
      <c r="F620" s="5">
        <v>223.42</v>
      </c>
      <c r="G620" s="5">
        <f t="shared" si="15"/>
        <v>6.1624771679568591E-2</v>
      </c>
      <c r="H620" s="5">
        <f t="shared" si="15"/>
        <v>3.8929869763173697E-2</v>
      </c>
      <c r="I620" s="5">
        <f t="shared" si="15"/>
        <v>3.5260828556917811E-2</v>
      </c>
      <c r="J620" s="5">
        <f t="shared" si="15"/>
        <v>-7.9921854187017249E-3</v>
      </c>
      <c r="K620" s="5"/>
      <c r="L620" s="5"/>
      <c r="M620" s="5"/>
      <c r="N620" s="5"/>
      <c r="O620" s="5"/>
      <c r="P620" s="5"/>
      <c r="Q620" s="5"/>
    </row>
    <row r="621" spans="1:17" ht="15.6">
      <c r="A621" s="5"/>
      <c r="B621" s="12">
        <v>44784</v>
      </c>
      <c r="C621" s="5">
        <v>242.7</v>
      </c>
      <c r="D621" s="5">
        <v>286.63</v>
      </c>
      <c r="E621" s="5">
        <v>140.63999999999999</v>
      </c>
      <c r="F621" s="5">
        <v>222.15</v>
      </c>
      <c r="G621" s="5">
        <f t="shared" si="15"/>
        <v>-5.7760845520462567E-3</v>
      </c>
      <c r="H621" s="5">
        <f t="shared" si="15"/>
        <v>-2.6260361462155268E-2</v>
      </c>
      <c r="I621" s="5">
        <f t="shared" si="15"/>
        <v>-1.436680916672517E-2</v>
      </c>
      <c r="J621" s="5">
        <f t="shared" si="15"/>
        <v>-5.6843612926326115E-3</v>
      </c>
      <c r="K621" s="5"/>
      <c r="L621" s="5"/>
      <c r="M621" s="5"/>
      <c r="N621" s="5"/>
      <c r="O621" s="5"/>
      <c r="P621" s="5"/>
      <c r="Q621" s="5"/>
    </row>
    <row r="622" spans="1:17" ht="15.6">
      <c r="A622" s="5"/>
      <c r="B622" s="12">
        <v>44785</v>
      </c>
      <c r="C622" s="5">
        <v>249.3</v>
      </c>
      <c r="D622" s="5">
        <v>300.02999999999997</v>
      </c>
      <c r="E622" s="5">
        <v>143.55000000000001</v>
      </c>
      <c r="F622" s="5">
        <v>222.73</v>
      </c>
      <c r="G622" s="5">
        <f t="shared" si="15"/>
        <v>2.7194066749073098E-2</v>
      </c>
      <c r="H622" s="5">
        <f t="shared" si="15"/>
        <v>4.6750165718870917E-2</v>
      </c>
      <c r="I622" s="5">
        <f t="shared" si="15"/>
        <v>2.0691126279863692E-2</v>
      </c>
      <c r="J622" s="5">
        <f t="shared" si="15"/>
        <v>2.6108485257707592E-3</v>
      </c>
      <c r="K622" s="5"/>
      <c r="L622" s="5"/>
      <c r="M622" s="5"/>
      <c r="N622" s="5"/>
      <c r="O622" s="5"/>
      <c r="P622" s="5"/>
      <c r="Q622" s="5"/>
    </row>
    <row r="623" spans="1:17" ht="15.6">
      <c r="A623" s="5"/>
      <c r="B623" s="12">
        <v>44788</v>
      </c>
      <c r="C623" s="5">
        <v>249.11</v>
      </c>
      <c r="D623" s="5">
        <v>309.32</v>
      </c>
      <c r="E623" s="5">
        <v>143.18</v>
      </c>
      <c r="F623" s="5">
        <v>227.22</v>
      </c>
      <c r="G623" s="5">
        <f t="shared" si="15"/>
        <v>-7.6213397513036352E-4</v>
      </c>
      <c r="H623" s="5">
        <f t="shared" si="15"/>
        <v>3.0963570309635813E-2</v>
      </c>
      <c r="I623" s="5">
        <f t="shared" si="15"/>
        <v>-2.5774991292233373E-3</v>
      </c>
      <c r="J623" s="5">
        <f t="shared" si="15"/>
        <v>2.0158936829344887E-2</v>
      </c>
      <c r="K623" s="5"/>
      <c r="L623" s="5"/>
      <c r="M623" s="5"/>
      <c r="N623" s="5"/>
      <c r="O623" s="5"/>
      <c r="P623" s="5"/>
      <c r="Q623" s="5"/>
    </row>
    <row r="624" spans="1:17" ht="15.6">
      <c r="A624" s="5"/>
      <c r="B624" s="12">
        <v>44789</v>
      </c>
      <c r="C624" s="5">
        <v>245.69</v>
      </c>
      <c r="D624" s="5">
        <v>306.56</v>
      </c>
      <c r="E624" s="5">
        <v>144.78</v>
      </c>
      <c r="F624" s="5">
        <v>227.62</v>
      </c>
      <c r="G624" s="5">
        <f t="shared" si="15"/>
        <v>-1.3728874794267654E-2</v>
      </c>
      <c r="H624" s="5">
        <f t="shared" si="15"/>
        <v>-8.9227983964825786E-3</v>
      </c>
      <c r="I624" s="5">
        <f t="shared" si="15"/>
        <v>1.1174745076127923E-2</v>
      </c>
      <c r="J624" s="5">
        <f t="shared" si="15"/>
        <v>1.7604084147522236E-3</v>
      </c>
      <c r="K624" s="5"/>
      <c r="L624" s="5"/>
      <c r="M624" s="5"/>
      <c r="N624" s="5"/>
      <c r="O624" s="5"/>
      <c r="P624" s="5"/>
      <c r="Q624" s="5"/>
    </row>
    <row r="625" spans="1:17" ht="15.6">
      <c r="A625" s="5"/>
      <c r="B625" s="12">
        <v>44790</v>
      </c>
      <c r="C625" s="5">
        <v>241.15</v>
      </c>
      <c r="D625" s="5">
        <v>304</v>
      </c>
      <c r="E625" s="5">
        <v>142.1</v>
      </c>
      <c r="F625" s="5">
        <v>227.38</v>
      </c>
      <c r="G625" s="5">
        <f t="shared" si="15"/>
        <v>-1.8478570556392127E-2</v>
      </c>
      <c r="H625" s="5">
        <f t="shared" si="15"/>
        <v>-8.3507306889353261E-3</v>
      </c>
      <c r="I625" s="5">
        <f t="shared" si="15"/>
        <v>-1.8510844039231977E-2</v>
      </c>
      <c r="J625" s="5">
        <f t="shared" si="15"/>
        <v>-1.0543888937704082E-3</v>
      </c>
      <c r="K625" s="5"/>
      <c r="L625" s="5"/>
      <c r="M625" s="5"/>
      <c r="N625" s="5"/>
      <c r="O625" s="5"/>
      <c r="P625" s="5"/>
      <c r="Q625" s="5"/>
    </row>
    <row r="626" spans="1:17" ht="15.6">
      <c r="A626" s="5"/>
      <c r="B626" s="12">
        <v>44791</v>
      </c>
      <c r="C626" s="5">
        <v>245.17</v>
      </c>
      <c r="D626" s="5">
        <v>302.87</v>
      </c>
      <c r="E626" s="5">
        <v>142.30000000000001</v>
      </c>
      <c r="F626" s="5">
        <v>228.58</v>
      </c>
      <c r="G626" s="5">
        <f t="shared" si="15"/>
        <v>1.6670122330499693E-2</v>
      </c>
      <c r="H626" s="5">
        <f t="shared" si="15"/>
        <v>-3.7171052631578272E-3</v>
      </c>
      <c r="I626" s="5">
        <f t="shared" si="15"/>
        <v>1.4074595355384467E-3</v>
      </c>
      <c r="J626" s="5">
        <f t="shared" si="15"/>
        <v>5.2775090157446414E-3</v>
      </c>
      <c r="K626" s="5"/>
      <c r="L626" s="5"/>
      <c r="M626" s="5"/>
      <c r="N626" s="5"/>
      <c r="O626" s="5"/>
      <c r="P626" s="5"/>
      <c r="Q626" s="5"/>
    </row>
    <row r="627" spans="1:17" ht="15.6">
      <c r="A627" s="5"/>
      <c r="B627" s="12">
        <v>44792</v>
      </c>
      <c r="C627" s="5">
        <v>241.16</v>
      </c>
      <c r="D627" s="5">
        <v>296.67</v>
      </c>
      <c r="E627" s="5">
        <v>138.22999999999999</v>
      </c>
      <c r="F627" s="5">
        <v>231.08</v>
      </c>
      <c r="G627" s="5">
        <f t="shared" si="15"/>
        <v>-1.6355997879022643E-2</v>
      </c>
      <c r="H627" s="5">
        <f t="shared" si="15"/>
        <v>-2.0470829068577223E-2</v>
      </c>
      <c r="I627" s="5">
        <f t="shared" si="15"/>
        <v>-2.8601546029515257E-2</v>
      </c>
      <c r="J627" s="5">
        <f t="shared" si="15"/>
        <v>1.0937089859130333E-2</v>
      </c>
      <c r="K627" s="5"/>
      <c r="L627" s="5"/>
      <c r="M627" s="5"/>
      <c r="N627" s="5"/>
      <c r="O627" s="5"/>
      <c r="P627" s="5"/>
      <c r="Q627" s="5"/>
    </row>
    <row r="628" spans="1:17" ht="15.6">
      <c r="A628" s="5"/>
      <c r="B628" s="12">
        <v>44795</v>
      </c>
      <c r="C628" s="5">
        <v>226.54</v>
      </c>
      <c r="D628" s="5">
        <v>289.91000000000003</v>
      </c>
      <c r="E628" s="5">
        <v>133.22</v>
      </c>
      <c r="F628" s="5">
        <v>229.34</v>
      </c>
      <c r="G628" s="5">
        <f t="shared" si="15"/>
        <v>-6.0623652346989521E-2</v>
      </c>
      <c r="H628" s="5">
        <f t="shared" si="15"/>
        <v>-2.2786260828529969E-2</v>
      </c>
      <c r="I628" s="5">
        <f t="shared" si="15"/>
        <v>-3.6243941257324663E-2</v>
      </c>
      <c r="J628" s="5">
        <f t="shared" si="15"/>
        <v>-7.5298597888178165E-3</v>
      </c>
      <c r="K628" s="5"/>
      <c r="L628" s="5"/>
      <c r="M628" s="5"/>
      <c r="N628" s="5"/>
      <c r="O628" s="5"/>
      <c r="P628" s="5"/>
      <c r="Q628" s="5"/>
    </row>
    <row r="629" spans="1:17" ht="15.6">
      <c r="A629" s="5"/>
      <c r="B629" s="12">
        <v>44796</v>
      </c>
      <c r="C629" s="5">
        <v>224.55</v>
      </c>
      <c r="D629" s="5">
        <v>296.45</v>
      </c>
      <c r="E629" s="5">
        <v>133.62</v>
      </c>
      <c r="F629" s="5">
        <v>230.47</v>
      </c>
      <c r="G629" s="5">
        <f t="shared" si="15"/>
        <v>-8.7843206497747461E-3</v>
      </c>
      <c r="H629" s="5">
        <f t="shared" si="15"/>
        <v>2.2558725121589296E-2</v>
      </c>
      <c r="I629" s="5">
        <f t="shared" si="15"/>
        <v>3.002552169343975E-3</v>
      </c>
      <c r="J629" s="5">
        <f t="shared" si="15"/>
        <v>4.9271823493501898E-3</v>
      </c>
      <c r="K629" s="5"/>
      <c r="L629" s="5"/>
      <c r="M629" s="5"/>
      <c r="N629" s="5"/>
      <c r="O629" s="5"/>
      <c r="P629" s="5"/>
      <c r="Q629" s="5"/>
    </row>
    <row r="630" spans="1:17" ht="15.6">
      <c r="A630" s="5"/>
      <c r="B630" s="12">
        <v>44797</v>
      </c>
      <c r="C630" s="5">
        <v>229.61</v>
      </c>
      <c r="D630" s="5">
        <v>297.10000000000002</v>
      </c>
      <c r="E630" s="5">
        <v>133.80000000000001</v>
      </c>
      <c r="F630" s="5">
        <v>231.28</v>
      </c>
      <c r="G630" s="5">
        <f t="shared" si="15"/>
        <v>2.2533956802493815E-2</v>
      </c>
      <c r="H630" s="5">
        <f t="shared" si="15"/>
        <v>2.1926125822231413E-3</v>
      </c>
      <c r="I630" s="5">
        <f t="shared" si="15"/>
        <v>1.3471037269869868E-3</v>
      </c>
      <c r="J630" s="5">
        <f t="shared" si="15"/>
        <v>3.5145572091812571E-3</v>
      </c>
      <c r="K630" s="5"/>
      <c r="L630" s="5"/>
      <c r="M630" s="5"/>
      <c r="N630" s="5"/>
      <c r="O630" s="5"/>
      <c r="P630" s="5"/>
      <c r="Q630" s="5"/>
    </row>
    <row r="631" spans="1:17" ht="15.6">
      <c r="A631" s="5"/>
      <c r="B631" s="12">
        <v>44798</v>
      </c>
      <c r="C631" s="5">
        <v>233.98</v>
      </c>
      <c r="D631" s="5">
        <v>296.07</v>
      </c>
      <c r="E631" s="5">
        <v>137.28</v>
      </c>
      <c r="F631" s="5">
        <v>231.26</v>
      </c>
      <c r="G631" s="5">
        <f t="shared" si="15"/>
        <v>1.9032272113583826E-2</v>
      </c>
      <c r="H631" s="5">
        <f t="shared" si="15"/>
        <v>-3.4668461797375816E-3</v>
      </c>
      <c r="I631" s="5">
        <f t="shared" si="15"/>
        <v>2.6008968609865457E-2</v>
      </c>
      <c r="J631" s="5">
        <f t="shared" si="15"/>
        <v>-8.6475268073371581E-5</v>
      </c>
      <c r="K631" s="5"/>
      <c r="L631" s="5"/>
      <c r="M631" s="5"/>
      <c r="N631" s="5"/>
      <c r="O631" s="5"/>
      <c r="P631" s="5"/>
      <c r="Q631" s="5"/>
    </row>
    <row r="632" spans="1:17" ht="15.6">
      <c r="A632" s="5"/>
      <c r="B632" s="12">
        <v>44799</v>
      </c>
      <c r="C632" s="5">
        <v>223.28</v>
      </c>
      <c r="D632" s="5">
        <v>288.08999999999997</v>
      </c>
      <c r="E632" s="5">
        <v>130.75</v>
      </c>
      <c r="F632" s="5">
        <v>226.62</v>
      </c>
      <c r="G632" s="5">
        <f t="shared" si="15"/>
        <v>-4.5730404308060524E-2</v>
      </c>
      <c r="H632" s="5">
        <f t="shared" si="15"/>
        <v>-2.6953085418988776E-2</v>
      </c>
      <c r="I632" s="5">
        <f t="shared" si="15"/>
        <v>-4.756701631701632E-2</v>
      </c>
      <c r="J632" s="5">
        <f t="shared" si="15"/>
        <v>-2.0063997232552033E-2</v>
      </c>
      <c r="K632" s="5"/>
      <c r="L632" s="5"/>
      <c r="M632" s="5"/>
      <c r="N632" s="5"/>
      <c r="O632" s="5"/>
      <c r="P632" s="5"/>
      <c r="Q632" s="5"/>
    </row>
    <row r="633" spans="1:17" ht="15.6">
      <c r="A633" s="5"/>
      <c r="B633" s="12">
        <v>44802</v>
      </c>
      <c r="C633" s="5">
        <v>224.57</v>
      </c>
      <c r="D633" s="5">
        <v>284.82</v>
      </c>
      <c r="E633" s="5">
        <v>129.79</v>
      </c>
      <c r="F633" s="5">
        <v>225.84</v>
      </c>
      <c r="G633" s="5">
        <f t="shared" si="15"/>
        <v>5.777499104263617E-3</v>
      </c>
      <c r="H633" s="5">
        <f t="shared" si="15"/>
        <v>-1.1350619598042178E-2</v>
      </c>
      <c r="I633" s="5">
        <f t="shared" si="15"/>
        <v>-7.3422562141491898E-3</v>
      </c>
      <c r="J633" s="5">
        <f t="shared" si="15"/>
        <v>-3.4418850939899048E-3</v>
      </c>
      <c r="K633" s="5"/>
      <c r="L633" s="5"/>
      <c r="M633" s="5"/>
      <c r="N633" s="5"/>
      <c r="O633" s="5"/>
      <c r="P633" s="5"/>
      <c r="Q633" s="5"/>
    </row>
    <row r="634" spans="1:17" ht="15.6">
      <c r="A634" s="5"/>
      <c r="B634" s="12">
        <v>44803</v>
      </c>
      <c r="C634" s="5">
        <v>220.65</v>
      </c>
      <c r="D634" s="5">
        <v>277.7</v>
      </c>
      <c r="E634" s="5">
        <v>128.72999999999999</v>
      </c>
      <c r="F634" s="5">
        <v>224.18</v>
      </c>
      <c r="G634" s="5">
        <f t="shared" si="15"/>
        <v>-1.7455581778510032E-2</v>
      </c>
      <c r="H634" s="5">
        <f t="shared" si="15"/>
        <v>-2.4998244505301637E-2</v>
      </c>
      <c r="I634" s="5">
        <f t="shared" si="15"/>
        <v>-8.1670390631018996E-3</v>
      </c>
      <c r="J634" s="5">
        <f t="shared" si="15"/>
        <v>-7.3503365214311334E-3</v>
      </c>
      <c r="K634" s="5"/>
      <c r="L634" s="5"/>
      <c r="M634" s="5"/>
      <c r="N634" s="5"/>
      <c r="O634" s="5"/>
      <c r="P634" s="5"/>
      <c r="Q634" s="5"/>
    </row>
    <row r="635" spans="1:17" ht="15.6">
      <c r="A635" s="5"/>
      <c r="B635" s="12">
        <v>44804</v>
      </c>
      <c r="C635" s="5">
        <v>223.56</v>
      </c>
      <c r="D635" s="5">
        <v>275.61</v>
      </c>
      <c r="E635" s="5">
        <v>126.77</v>
      </c>
      <c r="F635" s="5">
        <v>222.65</v>
      </c>
      <c r="G635" s="5">
        <f t="shared" si="15"/>
        <v>1.3188307273963362E-2</v>
      </c>
      <c r="H635" s="5">
        <f t="shared" si="15"/>
        <v>-7.5261073100467701E-3</v>
      </c>
      <c r="I635" s="5">
        <f t="shared" si="15"/>
        <v>-1.5225666122892778E-2</v>
      </c>
      <c r="J635" s="5">
        <f t="shared" si="15"/>
        <v>-6.8248728700152084E-3</v>
      </c>
      <c r="K635" s="5"/>
      <c r="L635" s="5"/>
      <c r="M635" s="5"/>
      <c r="N635" s="5"/>
      <c r="O635" s="5"/>
      <c r="P635" s="5"/>
      <c r="Q635" s="5"/>
    </row>
    <row r="636" spans="1:17" ht="15.6">
      <c r="A636" s="5"/>
      <c r="B636" s="12">
        <v>44805</v>
      </c>
      <c r="C636" s="5">
        <v>230.04</v>
      </c>
      <c r="D636" s="5">
        <v>277.16000000000003</v>
      </c>
      <c r="E636" s="5">
        <v>127.82</v>
      </c>
      <c r="F636" s="5">
        <v>225.52</v>
      </c>
      <c r="G636" s="5">
        <f t="shared" si="15"/>
        <v>2.8985507246376718E-2</v>
      </c>
      <c r="H636" s="5">
        <f t="shared" si="15"/>
        <v>5.623888828417023E-3</v>
      </c>
      <c r="I636" s="5">
        <f t="shared" si="15"/>
        <v>8.2827167310877137E-3</v>
      </c>
      <c r="J636" s="5">
        <f t="shared" si="15"/>
        <v>1.2890186391196989E-2</v>
      </c>
      <c r="K636" s="5"/>
      <c r="L636" s="5"/>
      <c r="M636" s="5"/>
      <c r="N636" s="5"/>
      <c r="O636" s="5"/>
      <c r="P636" s="5"/>
      <c r="Q636" s="5"/>
    </row>
    <row r="637" spans="1:17" ht="15.6">
      <c r="A637" s="5"/>
      <c r="B637" s="12">
        <v>44806</v>
      </c>
      <c r="C637" s="5">
        <v>226.11</v>
      </c>
      <c r="D637" s="5">
        <v>270.20999999999998</v>
      </c>
      <c r="E637" s="5">
        <v>127.51</v>
      </c>
      <c r="F637" s="5">
        <v>222.04</v>
      </c>
      <c r="G637" s="5">
        <f t="shared" si="15"/>
        <v>-1.7083985393844481E-2</v>
      </c>
      <c r="H637" s="5">
        <f t="shared" si="15"/>
        <v>-2.5075768509164598E-2</v>
      </c>
      <c r="I637" s="5">
        <f t="shared" si="15"/>
        <v>-2.4252855578156263E-3</v>
      </c>
      <c r="J637" s="5">
        <f t="shared" si="15"/>
        <v>-1.5431003902093066E-2</v>
      </c>
      <c r="K637" s="5"/>
      <c r="L637" s="5"/>
      <c r="M637" s="5"/>
      <c r="N637" s="5"/>
      <c r="O637" s="5"/>
      <c r="P637" s="5"/>
      <c r="Q637" s="5"/>
    </row>
    <row r="638" spans="1:17" ht="15.6">
      <c r="A638" s="5"/>
      <c r="B638" s="12">
        <v>44810</v>
      </c>
      <c r="C638" s="5">
        <v>218.39</v>
      </c>
      <c r="D638" s="5">
        <v>274.42</v>
      </c>
      <c r="E638" s="5">
        <v>126.11</v>
      </c>
      <c r="F638" s="5">
        <v>220.75</v>
      </c>
      <c r="G638" s="5">
        <f t="shared" si="15"/>
        <v>-3.4142673919773658E-2</v>
      </c>
      <c r="H638" s="5">
        <f t="shared" si="15"/>
        <v>1.5580474445801462E-2</v>
      </c>
      <c r="I638" s="5">
        <f t="shared" si="15"/>
        <v>-1.0979531017175193E-2</v>
      </c>
      <c r="J638" s="5">
        <f t="shared" si="15"/>
        <v>-5.8097640064852518E-3</v>
      </c>
      <c r="K638" s="5"/>
      <c r="L638" s="5"/>
      <c r="M638" s="5"/>
      <c r="N638" s="5"/>
      <c r="O638" s="5"/>
      <c r="P638" s="5"/>
      <c r="Q638" s="5"/>
    </row>
    <row r="639" spans="1:17" ht="15.6">
      <c r="A639" s="5"/>
      <c r="B639" s="12">
        <v>44811</v>
      </c>
      <c r="C639" s="5">
        <v>228.96</v>
      </c>
      <c r="D639" s="5">
        <v>283.7</v>
      </c>
      <c r="E639" s="5">
        <v>129.47999999999999</v>
      </c>
      <c r="F639" s="5">
        <v>226.2</v>
      </c>
      <c r="G639" s="5">
        <f t="shared" si="15"/>
        <v>4.8399651998717985E-2</v>
      </c>
      <c r="H639" s="5">
        <f t="shared" si="15"/>
        <v>3.3816777202827719E-2</v>
      </c>
      <c r="I639" s="5">
        <f t="shared" si="15"/>
        <v>2.6722702402664167E-2</v>
      </c>
      <c r="J639" s="5">
        <f t="shared" si="15"/>
        <v>2.4688561721404323E-2</v>
      </c>
      <c r="K639" s="5"/>
      <c r="L639" s="5"/>
      <c r="M639" s="5"/>
      <c r="N639" s="5"/>
      <c r="O639" s="5"/>
      <c r="P639" s="5"/>
      <c r="Q639" s="5"/>
    </row>
    <row r="640" spans="1:17" ht="15.6">
      <c r="A640" s="5"/>
      <c r="B640" s="12">
        <v>44812</v>
      </c>
      <c r="C640" s="5">
        <v>227.44</v>
      </c>
      <c r="D640" s="5">
        <v>289.26</v>
      </c>
      <c r="E640" s="5">
        <v>129.82</v>
      </c>
      <c r="F640" s="5">
        <v>223.45</v>
      </c>
      <c r="G640" s="5">
        <f t="shared" si="15"/>
        <v>-6.6387141858840204E-3</v>
      </c>
      <c r="H640" s="5">
        <f t="shared" si="15"/>
        <v>1.9598167077899298E-2</v>
      </c>
      <c r="I640" s="5">
        <f t="shared" si="15"/>
        <v>2.6258881680569779E-3</v>
      </c>
      <c r="J640" s="5">
        <f t="shared" si="15"/>
        <v>-1.2157382847038045E-2</v>
      </c>
      <c r="K640" s="5"/>
      <c r="L640" s="5"/>
      <c r="M640" s="5"/>
      <c r="N640" s="5"/>
      <c r="O640" s="5"/>
      <c r="P640" s="5"/>
      <c r="Q640" s="5"/>
    </row>
    <row r="641" spans="1:17" ht="15.6">
      <c r="A641" s="5"/>
      <c r="B641" s="12">
        <v>44813</v>
      </c>
      <c r="C641" s="5">
        <v>233.57</v>
      </c>
      <c r="D641" s="5">
        <v>299.68</v>
      </c>
      <c r="E641" s="5">
        <v>133.27000000000001</v>
      </c>
      <c r="F641" s="5">
        <v>224.22</v>
      </c>
      <c r="G641" s="5">
        <f t="shared" si="15"/>
        <v>2.6952163207879076E-2</v>
      </c>
      <c r="H641" s="5">
        <f t="shared" si="15"/>
        <v>3.6022955126875589E-2</v>
      </c>
      <c r="I641" s="5">
        <f t="shared" si="15"/>
        <v>2.6575258049607253E-2</v>
      </c>
      <c r="J641" s="5">
        <f t="shared" si="15"/>
        <v>3.4459610651151884E-3</v>
      </c>
      <c r="K641" s="5"/>
      <c r="L641" s="5"/>
      <c r="M641" s="5"/>
      <c r="N641" s="5"/>
      <c r="O641" s="5"/>
      <c r="P641" s="5"/>
      <c r="Q641" s="5"/>
    </row>
    <row r="642" spans="1:17" ht="15.6">
      <c r="A642" s="5"/>
      <c r="B642" s="12">
        <v>44816</v>
      </c>
      <c r="C642" s="5">
        <v>236.53</v>
      </c>
      <c r="D642" s="5">
        <v>304.42</v>
      </c>
      <c r="E642" s="5">
        <v>136.44999999999999</v>
      </c>
      <c r="F642" s="5">
        <v>225.14</v>
      </c>
      <c r="G642" s="5">
        <f t="shared" si="15"/>
        <v>1.2672860384467244E-2</v>
      </c>
      <c r="H642" s="5">
        <f t="shared" si="15"/>
        <v>1.5816871329418003E-2</v>
      </c>
      <c r="I642" s="5">
        <f t="shared" si="15"/>
        <v>2.3861334133713274E-2</v>
      </c>
      <c r="J642" s="5">
        <f t="shared" si="15"/>
        <v>4.1031130140041228E-3</v>
      </c>
      <c r="K642" s="5"/>
      <c r="L642" s="5"/>
      <c r="M642" s="5"/>
      <c r="N642" s="5"/>
      <c r="O642" s="5"/>
      <c r="P642" s="5"/>
      <c r="Q642" s="5"/>
    </row>
    <row r="643" spans="1:17" ht="15.6">
      <c r="A643" s="5"/>
      <c r="B643" s="12">
        <v>44817</v>
      </c>
      <c r="C643" s="5">
        <v>218.13</v>
      </c>
      <c r="D643" s="5">
        <v>292.13</v>
      </c>
      <c r="E643" s="5">
        <v>126.82</v>
      </c>
      <c r="F643" s="5">
        <v>220.9</v>
      </c>
      <c r="G643" s="5">
        <f t="shared" si="15"/>
        <v>-7.7791400667991395E-2</v>
      </c>
      <c r="H643" s="5">
        <f t="shared" si="15"/>
        <v>-4.0371854674463026E-2</v>
      </c>
      <c r="I643" s="5">
        <f t="shared" si="15"/>
        <v>-7.0575302308537924E-2</v>
      </c>
      <c r="J643" s="5">
        <f t="shared" si="15"/>
        <v>-1.8832726303633196E-2</v>
      </c>
      <c r="K643" s="5"/>
      <c r="L643" s="5"/>
      <c r="M643" s="5"/>
      <c r="N643" s="5"/>
      <c r="O643" s="5"/>
      <c r="P643" s="5"/>
      <c r="Q643" s="5"/>
    </row>
    <row r="644" spans="1:17" ht="15.6">
      <c r="A644" s="5"/>
      <c r="B644" s="12">
        <v>44818</v>
      </c>
      <c r="C644" s="5">
        <v>224.12</v>
      </c>
      <c r="D644" s="5">
        <v>302.61</v>
      </c>
      <c r="E644" s="5">
        <v>128.55000000000001</v>
      </c>
      <c r="F644" s="5">
        <v>219.76</v>
      </c>
      <c r="G644" s="5">
        <f t="shared" si="15"/>
        <v>2.7460688580204451E-2</v>
      </c>
      <c r="H644" s="5">
        <f t="shared" si="15"/>
        <v>3.5874439461883512E-2</v>
      </c>
      <c r="I644" s="5">
        <f t="shared" si="15"/>
        <v>1.3641381485570259E-2</v>
      </c>
      <c r="J644" s="5">
        <f t="shared" si="15"/>
        <v>-5.1607062019013439E-3</v>
      </c>
      <c r="K644" s="5"/>
      <c r="L644" s="5"/>
      <c r="M644" s="5"/>
      <c r="N644" s="5"/>
      <c r="O644" s="5"/>
      <c r="P644" s="5"/>
      <c r="Q644" s="5"/>
    </row>
    <row r="645" spans="1:17" ht="15.6">
      <c r="A645" s="5"/>
      <c r="B645" s="12">
        <v>44819</v>
      </c>
      <c r="C645" s="5">
        <v>235.38</v>
      </c>
      <c r="D645" s="5">
        <v>303.75</v>
      </c>
      <c r="E645" s="5">
        <v>126.28</v>
      </c>
      <c r="F645" s="5">
        <v>217.65</v>
      </c>
      <c r="G645" s="5">
        <f t="shared" si="15"/>
        <v>5.0240942352311135E-2</v>
      </c>
      <c r="H645" s="5">
        <f t="shared" si="15"/>
        <v>3.7672251412708135E-3</v>
      </c>
      <c r="I645" s="5">
        <f t="shared" si="15"/>
        <v>-1.765849863866209E-2</v>
      </c>
      <c r="J645" s="5">
        <f t="shared" ref="I645:J708" si="16">(F645/F644)-1</f>
        <v>-9.601383327266011E-3</v>
      </c>
      <c r="K645" s="5"/>
      <c r="L645" s="5"/>
      <c r="M645" s="5"/>
      <c r="N645" s="5"/>
      <c r="O645" s="5"/>
      <c r="P645" s="5"/>
      <c r="Q645" s="5"/>
    </row>
    <row r="646" spans="1:17" ht="15.6">
      <c r="A646" s="5"/>
      <c r="B646" s="12">
        <v>44820</v>
      </c>
      <c r="C646" s="5">
        <v>240.13</v>
      </c>
      <c r="D646" s="5">
        <v>303.35000000000002</v>
      </c>
      <c r="E646" s="5">
        <v>123.53</v>
      </c>
      <c r="F646" s="5">
        <v>217.91</v>
      </c>
      <c r="G646" s="5">
        <f t="shared" ref="G646:J709" si="17">(C646/C645)-1</f>
        <v>2.0180134250998405E-2</v>
      </c>
      <c r="H646" s="5">
        <f t="shared" si="17"/>
        <v>-1.3168724279835065E-3</v>
      </c>
      <c r="I646" s="5">
        <f t="shared" si="16"/>
        <v>-2.1777003484320545E-2</v>
      </c>
      <c r="J646" s="5">
        <f t="shared" si="16"/>
        <v>1.1945784516425029E-3</v>
      </c>
      <c r="K646" s="5"/>
      <c r="L646" s="5"/>
      <c r="M646" s="5"/>
      <c r="N646" s="5"/>
      <c r="O646" s="5"/>
      <c r="P646" s="5"/>
      <c r="Q646" s="5"/>
    </row>
    <row r="647" spans="1:17" ht="15.6">
      <c r="A647" s="5"/>
      <c r="B647" s="12">
        <v>44823</v>
      </c>
      <c r="C647" s="5">
        <v>243.63</v>
      </c>
      <c r="D647" s="5">
        <v>309.07</v>
      </c>
      <c r="E647" s="5">
        <v>124.66</v>
      </c>
      <c r="F647" s="5">
        <v>220.87</v>
      </c>
      <c r="G647" s="5">
        <f t="shared" si="17"/>
        <v>1.4575438304251787E-2</v>
      </c>
      <c r="H647" s="5">
        <f t="shared" si="17"/>
        <v>1.8856106807318085E-2</v>
      </c>
      <c r="I647" s="5">
        <f t="shared" si="16"/>
        <v>9.1475754877357041E-3</v>
      </c>
      <c r="J647" s="5">
        <f t="shared" si="16"/>
        <v>1.3583589555321129E-2</v>
      </c>
      <c r="K647" s="5"/>
      <c r="L647" s="5"/>
      <c r="M647" s="5"/>
      <c r="N647" s="5"/>
      <c r="O647" s="5"/>
      <c r="P647" s="5"/>
      <c r="Q647" s="5"/>
    </row>
    <row r="648" spans="1:17" ht="15.6">
      <c r="A648" s="5"/>
      <c r="B648" s="12">
        <v>44824</v>
      </c>
      <c r="C648" s="5">
        <v>242.85</v>
      </c>
      <c r="D648" s="5">
        <v>308.73</v>
      </c>
      <c r="E648" s="5">
        <v>122.19</v>
      </c>
      <c r="F648" s="5">
        <v>220.47</v>
      </c>
      <c r="G648" s="5">
        <f t="shared" si="17"/>
        <v>-3.2015761605713733E-3</v>
      </c>
      <c r="H648" s="5">
        <f t="shared" si="17"/>
        <v>-1.1000744167987131E-3</v>
      </c>
      <c r="I648" s="5">
        <f t="shared" si="16"/>
        <v>-1.981389379111187E-2</v>
      </c>
      <c r="J648" s="5">
        <f t="shared" si="16"/>
        <v>-1.8110200570471413E-3</v>
      </c>
      <c r="K648" s="5"/>
      <c r="L648" s="5"/>
      <c r="M648" s="5"/>
      <c r="N648" s="5"/>
      <c r="O648" s="5"/>
      <c r="P648" s="5"/>
      <c r="Q648" s="5"/>
    </row>
    <row r="649" spans="1:17" ht="15.6">
      <c r="A649" s="5"/>
      <c r="B649" s="12">
        <v>44825</v>
      </c>
      <c r="C649" s="5">
        <v>236.87</v>
      </c>
      <c r="D649" s="5">
        <v>300.8</v>
      </c>
      <c r="E649" s="5">
        <v>118.54</v>
      </c>
      <c r="F649" s="5">
        <v>221.4</v>
      </c>
      <c r="G649" s="5">
        <f t="shared" si="17"/>
        <v>-2.4624253654519257E-2</v>
      </c>
      <c r="H649" s="5">
        <f t="shared" si="17"/>
        <v>-2.5685874388624352E-2</v>
      </c>
      <c r="I649" s="5">
        <f t="shared" si="16"/>
        <v>-2.9871511580325638E-2</v>
      </c>
      <c r="J649" s="5">
        <f t="shared" si="16"/>
        <v>4.2182609878895772E-3</v>
      </c>
      <c r="K649" s="5"/>
      <c r="L649" s="5"/>
      <c r="M649" s="5"/>
      <c r="N649" s="5"/>
      <c r="O649" s="5"/>
      <c r="P649" s="5"/>
      <c r="Q649" s="5"/>
    </row>
    <row r="650" spans="1:17" ht="15.6">
      <c r="A650" s="5"/>
      <c r="B650" s="12">
        <v>44826</v>
      </c>
      <c r="C650" s="5">
        <v>237.05</v>
      </c>
      <c r="D650" s="5">
        <v>288.58999999999997</v>
      </c>
      <c r="E650" s="5">
        <v>117.31</v>
      </c>
      <c r="F650" s="5">
        <v>223.49</v>
      </c>
      <c r="G650" s="5">
        <f t="shared" si="17"/>
        <v>7.5991049943002764E-4</v>
      </c>
      <c r="H650" s="5">
        <f t="shared" si="17"/>
        <v>-4.0591755319149048E-2</v>
      </c>
      <c r="I650" s="5">
        <f t="shared" si="16"/>
        <v>-1.0376244305719595E-2</v>
      </c>
      <c r="J650" s="5">
        <f t="shared" si="16"/>
        <v>9.4399277326107089E-3</v>
      </c>
      <c r="K650" s="5"/>
      <c r="L650" s="5"/>
      <c r="M650" s="5"/>
      <c r="N650" s="5"/>
      <c r="O650" s="5"/>
      <c r="P650" s="5"/>
      <c r="Q650" s="5"/>
    </row>
    <row r="651" spans="1:17" ht="15.6">
      <c r="A651" s="5"/>
      <c r="B651" s="12">
        <v>44827</v>
      </c>
      <c r="C651" s="5">
        <v>226.41</v>
      </c>
      <c r="D651" s="5">
        <v>275.33</v>
      </c>
      <c r="E651" s="5">
        <v>113.78</v>
      </c>
      <c r="F651" s="5">
        <v>221.93</v>
      </c>
      <c r="G651" s="5">
        <f t="shared" si="17"/>
        <v>-4.4885045349082553E-2</v>
      </c>
      <c r="H651" s="5">
        <f t="shared" si="17"/>
        <v>-4.5947538029730728E-2</v>
      </c>
      <c r="I651" s="5">
        <f t="shared" si="16"/>
        <v>-3.009121132043302E-2</v>
      </c>
      <c r="J651" s="5">
        <f t="shared" si="16"/>
        <v>-6.9801780840306193E-3</v>
      </c>
      <c r="K651" s="5"/>
      <c r="L651" s="5"/>
      <c r="M651" s="5"/>
      <c r="N651" s="5"/>
      <c r="O651" s="5"/>
      <c r="P651" s="5"/>
      <c r="Q651" s="5"/>
    </row>
    <row r="652" spans="1:17" ht="15.6">
      <c r="A652" s="5"/>
      <c r="B652" s="12">
        <v>44830</v>
      </c>
      <c r="C652" s="5">
        <v>224.07</v>
      </c>
      <c r="D652" s="5">
        <v>276.01</v>
      </c>
      <c r="E652" s="5">
        <v>115.15</v>
      </c>
      <c r="F652" s="5">
        <v>221.77</v>
      </c>
      <c r="G652" s="5">
        <f t="shared" si="17"/>
        <v>-1.0335232542732276E-2</v>
      </c>
      <c r="H652" s="5">
        <f t="shared" si="17"/>
        <v>2.4697635564594478E-3</v>
      </c>
      <c r="I652" s="5">
        <f t="shared" si="16"/>
        <v>1.2040780453506761E-2</v>
      </c>
      <c r="J652" s="5">
        <f t="shared" si="16"/>
        <v>-7.2094804668132451E-4</v>
      </c>
      <c r="K652" s="5"/>
      <c r="L652" s="5"/>
      <c r="M652" s="5"/>
      <c r="N652" s="5"/>
      <c r="O652" s="5"/>
      <c r="P652" s="5"/>
      <c r="Q652" s="5"/>
    </row>
    <row r="653" spans="1:17" ht="15.6">
      <c r="A653" s="5"/>
      <c r="B653" s="12">
        <v>44831</v>
      </c>
      <c r="C653" s="5">
        <v>224.36</v>
      </c>
      <c r="D653" s="5">
        <v>282.94</v>
      </c>
      <c r="E653" s="5">
        <v>114.41</v>
      </c>
      <c r="F653" s="5">
        <v>219.44</v>
      </c>
      <c r="G653" s="5">
        <f t="shared" si="17"/>
        <v>1.2942384076406466E-3</v>
      </c>
      <c r="H653" s="5">
        <f t="shared" si="17"/>
        <v>2.5107785949784356E-2</v>
      </c>
      <c r="I653" s="5">
        <f t="shared" si="16"/>
        <v>-6.4264003473730735E-3</v>
      </c>
      <c r="J653" s="5">
        <f t="shared" si="16"/>
        <v>-1.0506380484285538E-2</v>
      </c>
      <c r="K653" s="5"/>
      <c r="L653" s="5"/>
      <c r="M653" s="5"/>
      <c r="N653" s="5"/>
      <c r="O653" s="5"/>
      <c r="P653" s="5"/>
      <c r="Q653" s="5"/>
    </row>
    <row r="654" spans="1:17" ht="15.6">
      <c r="A654" s="5"/>
      <c r="B654" s="12">
        <v>44832</v>
      </c>
      <c r="C654" s="5">
        <v>245.2</v>
      </c>
      <c r="D654" s="5">
        <v>287.81</v>
      </c>
      <c r="E654" s="5">
        <v>118.01</v>
      </c>
      <c r="F654" s="5">
        <v>224.27</v>
      </c>
      <c r="G654" s="5">
        <f t="shared" si="17"/>
        <v>9.2886432519165618E-2</v>
      </c>
      <c r="H654" s="5">
        <f t="shared" si="17"/>
        <v>1.7212129780165508E-2</v>
      </c>
      <c r="I654" s="5">
        <f t="shared" si="16"/>
        <v>3.1465780963202628E-2</v>
      </c>
      <c r="J654" s="5">
        <f t="shared" si="16"/>
        <v>2.2010572366022663E-2</v>
      </c>
      <c r="K654" s="5"/>
      <c r="L654" s="5"/>
      <c r="M654" s="5"/>
      <c r="N654" s="5"/>
      <c r="O654" s="5"/>
      <c r="P654" s="5"/>
      <c r="Q654" s="5"/>
    </row>
    <row r="655" spans="1:17" ht="15.6">
      <c r="A655" s="5"/>
      <c r="B655" s="12">
        <v>44833</v>
      </c>
      <c r="C655" s="5">
        <v>239.71</v>
      </c>
      <c r="D655" s="5">
        <v>268.20999999999998</v>
      </c>
      <c r="E655" s="5">
        <v>114.8</v>
      </c>
      <c r="F655" s="5">
        <v>221.79</v>
      </c>
      <c r="G655" s="5">
        <f t="shared" si="17"/>
        <v>-2.2389885807504006E-2</v>
      </c>
      <c r="H655" s="5">
        <f t="shared" si="17"/>
        <v>-6.8100482957506814E-2</v>
      </c>
      <c r="I655" s="5">
        <f t="shared" si="16"/>
        <v>-2.7201084653842966E-2</v>
      </c>
      <c r="J655" s="5">
        <f t="shared" si="16"/>
        <v>-1.1058099612074823E-2</v>
      </c>
      <c r="K655" s="5"/>
      <c r="L655" s="5"/>
      <c r="M655" s="5"/>
      <c r="N655" s="5"/>
      <c r="O655" s="5"/>
      <c r="P655" s="5"/>
      <c r="Q655" s="5"/>
    </row>
    <row r="656" spans="1:17" ht="15.6">
      <c r="A656" s="5"/>
      <c r="B656" s="12">
        <v>44834</v>
      </c>
      <c r="C656" s="5">
        <v>235.44</v>
      </c>
      <c r="D656" s="5">
        <v>265.25</v>
      </c>
      <c r="E656" s="5">
        <v>113</v>
      </c>
      <c r="F656" s="5">
        <v>218.49</v>
      </c>
      <c r="G656" s="5">
        <f t="shared" si="17"/>
        <v>-1.7813190939051426E-2</v>
      </c>
      <c r="H656" s="5">
        <f t="shared" si="17"/>
        <v>-1.1036128406845314E-2</v>
      </c>
      <c r="I656" s="5">
        <f t="shared" si="16"/>
        <v>-1.5679442508710784E-2</v>
      </c>
      <c r="J656" s="5">
        <f t="shared" si="16"/>
        <v>-1.487893953740016E-2</v>
      </c>
      <c r="K656" s="5"/>
      <c r="L656" s="5"/>
      <c r="M656" s="5"/>
      <c r="N656" s="5"/>
      <c r="O656" s="5"/>
      <c r="P656" s="5"/>
      <c r="Q656" s="5"/>
    </row>
    <row r="657" spans="1:17" ht="15.6">
      <c r="A657" s="5"/>
      <c r="B657" s="12">
        <v>44837</v>
      </c>
      <c r="C657" s="5">
        <v>239.04</v>
      </c>
      <c r="D657" s="5">
        <v>242.4</v>
      </c>
      <c r="E657" s="5">
        <v>115.88</v>
      </c>
      <c r="F657" s="5">
        <v>222.54</v>
      </c>
      <c r="G657" s="5">
        <f t="shared" si="17"/>
        <v>1.5290519877675823E-2</v>
      </c>
      <c r="H657" s="5">
        <f t="shared" si="17"/>
        <v>-8.6145146088595692E-2</v>
      </c>
      <c r="I657" s="5">
        <f t="shared" si="16"/>
        <v>2.5486725663716792E-2</v>
      </c>
      <c r="J657" s="5">
        <f t="shared" si="16"/>
        <v>1.853631745159956E-2</v>
      </c>
      <c r="K657" s="5"/>
      <c r="L657" s="5"/>
      <c r="M657" s="5"/>
      <c r="N657" s="5"/>
      <c r="O657" s="5"/>
      <c r="P657" s="5"/>
      <c r="Q657" s="5"/>
    </row>
    <row r="658" spans="1:17" ht="15.6">
      <c r="A658" s="5"/>
      <c r="B658" s="12">
        <v>44838</v>
      </c>
      <c r="C658" s="5">
        <v>240.74</v>
      </c>
      <c r="D658" s="5">
        <v>249.44</v>
      </c>
      <c r="E658" s="5">
        <v>121.09</v>
      </c>
      <c r="F658" s="5">
        <v>223.64</v>
      </c>
      <c r="G658" s="5">
        <f t="shared" si="17"/>
        <v>7.1117804551539265E-3</v>
      </c>
      <c r="H658" s="5">
        <f t="shared" si="17"/>
        <v>2.9042904290428995E-2</v>
      </c>
      <c r="I658" s="5">
        <f t="shared" si="16"/>
        <v>4.4960303762513032E-2</v>
      </c>
      <c r="J658" s="5">
        <f t="shared" si="16"/>
        <v>4.9429316078009045E-3</v>
      </c>
      <c r="K658" s="5"/>
      <c r="L658" s="5"/>
      <c r="M658" s="5"/>
      <c r="N658" s="5"/>
      <c r="O658" s="5"/>
      <c r="P658" s="5"/>
      <c r="Q658" s="5"/>
    </row>
    <row r="659" spans="1:17" ht="15.6">
      <c r="A659" s="5"/>
      <c r="B659" s="12">
        <v>44839</v>
      </c>
      <c r="C659" s="5">
        <v>236.73</v>
      </c>
      <c r="D659" s="5">
        <v>240.81</v>
      </c>
      <c r="E659" s="5">
        <v>120.95</v>
      </c>
      <c r="F659" s="5">
        <v>223.07</v>
      </c>
      <c r="G659" s="5">
        <f t="shared" si="17"/>
        <v>-1.6656974329151808E-2</v>
      </c>
      <c r="H659" s="5">
        <f t="shared" si="17"/>
        <v>-3.4597498396407911E-2</v>
      </c>
      <c r="I659" s="5">
        <f t="shared" si="16"/>
        <v>-1.1561648360723931E-3</v>
      </c>
      <c r="J659" s="5">
        <f t="shared" si="16"/>
        <v>-2.5487390448934999E-3</v>
      </c>
      <c r="K659" s="5"/>
      <c r="L659" s="5"/>
      <c r="M659" s="5"/>
      <c r="N659" s="5"/>
      <c r="O659" s="5"/>
      <c r="P659" s="5"/>
      <c r="Q659" s="5"/>
    </row>
    <row r="660" spans="1:17" ht="15.6">
      <c r="A660" s="5"/>
      <c r="B660" s="12">
        <v>44840</v>
      </c>
      <c r="C660" s="5">
        <v>240.02</v>
      </c>
      <c r="D660" s="5">
        <v>238.13</v>
      </c>
      <c r="E660" s="5">
        <v>120.3</v>
      </c>
      <c r="F660" s="5">
        <v>218.67</v>
      </c>
      <c r="G660" s="5">
        <f t="shared" si="17"/>
        <v>1.3897689350737208E-2</v>
      </c>
      <c r="H660" s="5">
        <f t="shared" si="17"/>
        <v>-1.1129105934138961E-2</v>
      </c>
      <c r="I660" s="5">
        <f t="shared" si="16"/>
        <v>-5.3741215378255713E-3</v>
      </c>
      <c r="J660" s="5">
        <f t="shared" si="16"/>
        <v>-1.9724750078450759E-2</v>
      </c>
      <c r="K660" s="5"/>
      <c r="L660" s="5"/>
      <c r="M660" s="5"/>
      <c r="N660" s="5"/>
      <c r="O660" s="5"/>
      <c r="P660" s="5"/>
      <c r="Q660" s="5"/>
    </row>
    <row r="661" spans="1:17" ht="15.6">
      <c r="A661" s="5"/>
      <c r="B661" s="12">
        <v>44841</v>
      </c>
      <c r="C661" s="5">
        <v>224.75</v>
      </c>
      <c r="D661" s="5">
        <v>223.07</v>
      </c>
      <c r="E661" s="5">
        <v>114.56</v>
      </c>
      <c r="F661" s="5">
        <v>218.54</v>
      </c>
      <c r="G661" s="5">
        <f t="shared" si="17"/>
        <v>-6.3619698358470145E-2</v>
      </c>
      <c r="H661" s="5">
        <f t="shared" si="17"/>
        <v>-6.3242766556082852E-2</v>
      </c>
      <c r="I661" s="5">
        <f t="shared" si="16"/>
        <v>-4.7714048212801341E-2</v>
      </c>
      <c r="J661" s="5">
        <f t="shared" si="16"/>
        <v>-5.9450313257414233E-4</v>
      </c>
      <c r="K661" s="5"/>
      <c r="L661" s="5"/>
      <c r="M661" s="5"/>
      <c r="N661" s="5"/>
      <c r="O661" s="5"/>
      <c r="P661" s="5"/>
      <c r="Q661" s="5"/>
    </row>
    <row r="662" spans="1:17" ht="15.6">
      <c r="A662" s="5"/>
      <c r="B662" s="12">
        <v>44844</v>
      </c>
      <c r="C662" s="5">
        <v>229.98</v>
      </c>
      <c r="D662" s="5">
        <v>222.96</v>
      </c>
      <c r="E662" s="5">
        <v>113.67</v>
      </c>
      <c r="F662" s="5">
        <v>221.54</v>
      </c>
      <c r="G662" s="5">
        <f t="shared" si="17"/>
        <v>2.327030033370403E-2</v>
      </c>
      <c r="H662" s="5">
        <f t="shared" si="17"/>
        <v>-4.9311875196123012E-4</v>
      </c>
      <c r="I662" s="5">
        <f t="shared" si="16"/>
        <v>-7.7688547486033377E-3</v>
      </c>
      <c r="J662" s="5">
        <f t="shared" si="16"/>
        <v>1.3727464079802409E-2</v>
      </c>
      <c r="K662" s="5"/>
      <c r="L662" s="5"/>
      <c r="M662" s="5"/>
      <c r="N662" s="5"/>
      <c r="O662" s="5"/>
      <c r="P662" s="5"/>
      <c r="Q662" s="5"/>
    </row>
    <row r="663" spans="1:17" ht="15.6">
      <c r="A663" s="5"/>
      <c r="B663" s="12">
        <v>44845</v>
      </c>
      <c r="C663" s="5">
        <v>214.29</v>
      </c>
      <c r="D663" s="5">
        <v>216.5</v>
      </c>
      <c r="E663" s="5">
        <v>112.21</v>
      </c>
      <c r="F663" s="5">
        <v>223.43</v>
      </c>
      <c r="G663" s="5">
        <f t="shared" si="17"/>
        <v>-6.8223323767284128E-2</v>
      </c>
      <c r="H663" s="5">
        <f t="shared" si="17"/>
        <v>-2.8973806960889914E-2</v>
      </c>
      <c r="I663" s="5">
        <f t="shared" si="16"/>
        <v>-1.2844198117357375E-2</v>
      </c>
      <c r="J663" s="5">
        <f t="shared" si="16"/>
        <v>8.5311907556198108E-3</v>
      </c>
      <c r="K663" s="5"/>
      <c r="L663" s="5"/>
      <c r="M663" s="5"/>
      <c r="N663" s="5"/>
      <c r="O663" s="5"/>
      <c r="P663" s="5"/>
      <c r="Q663" s="5"/>
    </row>
    <row r="664" spans="1:17" ht="15.6">
      <c r="A664" s="5"/>
      <c r="B664" s="12">
        <v>44846</v>
      </c>
      <c r="C664" s="5">
        <v>220.87</v>
      </c>
      <c r="D664" s="5">
        <v>217.24</v>
      </c>
      <c r="E664" s="5">
        <v>112.9</v>
      </c>
      <c r="F664" s="5">
        <v>222.51</v>
      </c>
      <c r="G664" s="5">
        <f t="shared" si="17"/>
        <v>3.0706052545615758E-2</v>
      </c>
      <c r="H664" s="5">
        <f t="shared" si="17"/>
        <v>3.4180138568129514E-3</v>
      </c>
      <c r="I664" s="5">
        <f t="shared" si="16"/>
        <v>6.1491845646557408E-3</v>
      </c>
      <c r="J664" s="5">
        <f t="shared" si="16"/>
        <v>-4.1176207313252666E-3</v>
      </c>
      <c r="K664" s="5"/>
      <c r="L664" s="5"/>
      <c r="M664" s="5"/>
      <c r="N664" s="5"/>
      <c r="O664" s="5"/>
      <c r="P664" s="5"/>
      <c r="Q664" s="5"/>
    </row>
    <row r="665" spans="1:17" ht="15.6">
      <c r="A665" s="5"/>
      <c r="B665" s="12">
        <v>44847</v>
      </c>
      <c r="C665" s="5">
        <v>232.51</v>
      </c>
      <c r="D665" s="5">
        <v>221.72</v>
      </c>
      <c r="E665" s="5">
        <v>112.53</v>
      </c>
      <c r="F665" s="5">
        <v>225.75</v>
      </c>
      <c r="G665" s="5">
        <f t="shared" si="17"/>
        <v>5.2700683660071412E-2</v>
      </c>
      <c r="H665" s="5">
        <f t="shared" si="17"/>
        <v>2.0622353157797813E-2</v>
      </c>
      <c r="I665" s="5">
        <f t="shared" si="16"/>
        <v>-3.2772364924712472E-3</v>
      </c>
      <c r="J665" s="5">
        <f t="shared" si="16"/>
        <v>1.4561143319401504E-2</v>
      </c>
      <c r="K665" s="5"/>
      <c r="L665" s="5"/>
      <c r="M665" s="5"/>
      <c r="N665" s="5"/>
      <c r="O665" s="5"/>
      <c r="P665" s="5"/>
      <c r="Q665" s="5"/>
    </row>
    <row r="666" spans="1:17" ht="15.6">
      <c r="A666" s="5"/>
      <c r="B666" s="12">
        <v>44848</v>
      </c>
      <c r="C666" s="5">
        <v>230</v>
      </c>
      <c r="D666" s="5">
        <v>204.99</v>
      </c>
      <c r="E666" s="5">
        <v>106.9</v>
      </c>
      <c r="F666" s="5">
        <v>220.71</v>
      </c>
      <c r="G666" s="5">
        <f t="shared" si="17"/>
        <v>-1.0795234613565019E-2</v>
      </c>
      <c r="H666" s="5">
        <f t="shared" si="17"/>
        <v>-7.5455529496662455E-2</v>
      </c>
      <c r="I666" s="5">
        <f t="shared" si="16"/>
        <v>-5.0031102817026496E-2</v>
      </c>
      <c r="J666" s="5">
        <f t="shared" si="16"/>
        <v>-2.2325581395348792E-2</v>
      </c>
      <c r="K666" s="5"/>
      <c r="L666" s="5"/>
      <c r="M666" s="5"/>
      <c r="N666" s="5"/>
      <c r="O666" s="5"/>
      <c r="P666" s="5"/>
      <c r="Q666" s="5"/>
    </row>
    <row r="667" spans="1:17" ht="15.6">
      <c r="A667" s="5"/>
      <c r="B667" s="12">
        <v>44851</v>
      </c>
      <c r="C667" s="5">
        <v>245.1</v>
      </c>
      <c r="D667" s="5">
        <v>219.35</v>
      </c>
      <c r="E667" s="5">
        <v>113.79</v>
      </c>
      <c r="F667" s="5">
        <v>223.69</v>
      </c>
      <c r="G667" s="5">
        <f t="shared" si="17"/>
        <v>6.5652173913043343E-2</v>
      </c>
      <c r="H667" s="5">
        <f t="shared" si="17"/>
        <v>7.0052197668178939E-2</v>
      </c>
      <c r="I667" s="5">
        <f t="shared" si="16"/>
        <v>6.4452759588400355E-2</v>
      </c>
      <c r="J667" s="5">
        <f t="shared" si="16"/>
        <v>1.3501880295410329E-2</v>
      </c>
      <c r="K667" s="5"/>
      <c r="L667" s="5"/>
      <c r="M667" s="5"/>
      <c r="N667" s="5"/>
      <c r="O667" s="5"/>
      <c r="P667" s="5"/>
      <c r="Q667" s="5"/>
    </row>
    <row r="668" spans="1:17" ht="15.6">
      <c r="A668" s="5"/>
      <c r="B668" s="12">
        <v>44852</v>
      </c>
      <c r="C668" s="5">
        <v>240.86</v>
      </c>
      <c r="D668" s="5">
        <v>220.19</v>
      </c>
      <c r="E668" s="5">
        <v>116.36</v>
      </c>
      <c r="F668" s="5">
        <v>225.27</v>
      </c>
      <c r="G668" s="5">
        <f t="shared" si="17"/>
        <v>-1.7299061607507049E-2</v>
      </c>
      <c r="H668" s="5">
        <f t="shared" si="17"/>
        <v>3.8294962388876197E-3</v>
      </c>
      <c r="I668" s="5">
        <f t="shared" si="16"/>
        <v>2.2585464452060666E-2</v>
      </c>
      <c r="J668" s="5">
        <f t="shared" si="16"/>
        <v>7.0633465957352648E-3</v>
      </c>
      <c r="K668" s="5"/>
      <c r="L668" s="5"/>
      <c r="M668" s="5"/>
      <c r="N668" s="5"/>
      <c r="O668" s="5"/>
      <c r="P668" s="5"/>
      <c r="Q668" s="5"/>
    </row>
    <row r="669" spans="1:17" ht="15.6">
      <c r="A669" s="5"/>
      <c r="B669" s="12">
        <v>44853</v>
      </c>
      <c r="C669" s="5">
        <v>272.38</v>
      </c>
      <c r="D669" s="5">
        <v>222.04</v>
      </c>
      <c r="E669" s="5">
        <v>115.07</v>
      </c>
      <c r="F669" s="5">
        <v>224.23</v>
      </c>
      <c r="G669" s="5">
        <f t="shared" si="17"/>
        <v>0.13086440255750209</v>
      </c>
      <c r="H669" s="5">
        <f t="shared" si="17"/>
        <v>8.401834779054429E-3</v>
      </c>
      <c r="I669" s="5">
        <f t="shared" si="16"/>
        <v>-1.1086283946373343E-2</v>
      </c>
      <c r="J669" s="5">
        <f t="shared" si="16"/>
        <v>-4.6166822035780264E-3</v>
      </c>
      <c r="K669" s="5"/>
      <c r="L669" s="5"/>
      <c r="M669" s="5"/>
      <c r="N669" s="5"/>
      <c r="O669" s="5"/>
      <c r="P669" s="5"/>
      <c r="Q669" s="5"/>
    </row>
    <row r="670" spans="1:17" ht="15.6">
      <c r="A670" s="5"/>
      <c r="B670" s="12">
        <v>44854</v>
      </c>
      <c r="C670" s="5">
        <v>268.16000000000003</v>
      </c>
      <c r="D670" s="5">
        <v>207.28</v>
      </c>
      <c r="E670" s="5">
        <v>115.25</v>
      </c>
      <c r="F670" s="5">
        <v>222.72</v>
      </c>
      <c r="G670" s="5">
        <f t="shared" si="17"/>
        <v>-1.5493061164549404E-2</v>
      </c>
      <c r="H670" s="5">
        <f t="shared" si="17"/>
        <v>-6.6474509097459888E-2</v>
      </c>
      <c r="I670" s="5">
        <f t="shared" si="16"/>
        <v>1.5642652298601956E-3</v>
      </c>
      <c r="J670" s="5">
        <f t="shared" si="16"/>
        <v>-6.7341568924764728E-3</v>
      </c>
      <c r="K670" s="5"/>
      <c r="L670" s="5"/>
      <c r="M670" s="5"/>
      <c r="N670" s="5"/>
      <c r="O670" s="5"/>
      <c r="P670" s="5"/>
      <c r="Q670" s="5"/>
    </row>
    <row r="671" spans="1:17" ht="15.6">
      <c r="A671" s="5"/>
      <c r="B671" s="12">
        <v>44855</v>
      </c>
      <c r="C671" s="5">
        <v>289.57</v>
      </c>
      <c r="D671" s="5">
        <v>214.44</v>
      </c>
      <c r="E671" s="5">
        <v>119.32</v>
      </c>
      <c r="F671" s="5">
        <v>226.17</v>
      </c>
      <c r="G671" s="5">
        <f t="shared" si="17"/>
        <v>7.9840393794749387E-2</v>
      </c>
      <c r="H671" s="5">
        <f t="shared" si="17"/>
        <v>3.4542647626399026E-2</v>
      </c>
      <c r="I671" s="5">
        <f t="shared" si="16"/>
        <v>3.5314533622559541E-2</v>
      </c>
      <c r="J671" s="5">
        <f t="shared" si="16"/>
        <v>1.54903017241379E-2</v>
      </c>
      <c r="K671" s="5"/>
      <c r="L671" s="5"/>
      <c r="M671" s="5"/>
      <c r="N671" s="5"/>
      <c r="O671" s="5"/>
      <c r="P671" s="5"/>
      <c r="Q671" s="5"/>
    </row>
    <row r="672" spans="1:17" ht="15.6">
      <c r="A672" s="5"/>
      <c r="B672" s="12">
        <v>44858</v>
      </c>
      <c r="C672" s="5">
        <v>282.45</v>
      </c>
      <c r="D672" s="5">
        <v>211.25</v>
      </c>
      <c r="E672" s="5">
        <v>119.82</v>
      </c>
      <c r="F672" s="5">
        <v>229.88</v>
      </c>
      <c r="G672" s="5">
        <f t="shared" si="17"/>
        <v>-2.4588182477466636E-2</v>
      </c>
      <c r="H672" s="5">
        <f t="shared" si="17"/>
        <v>-1.4875955978362221E-2</v>
      </c>
      <c r="I672" s="5">
        <f t="shared" si="16"/>
        <v>4.1904123365739121E-3</v>
      </c>
      <c r="J672" s="5">
        <f t="shared" si="16"/>
        <v>1.6403590219746356E-2</v>
      </c>
      <c r="K672" s="5"/>
      <c r="L672" s="5"/>
      <c r="M672" s="5"/>
      <c r="N672" s="5"/>
      <c r="O672" s="5"/>
      <c r="P672" s="5"/>
      <c r="Q672" s="5"/>
    </row>
    <row r="673" spans="1:17" ht="15.6">
      <c r="A673" s="5"/>
      <c r="B673" s="12">
        <v>44859</v>
      </c>
      <c r="C673" s="5">
        <v>291.02</v>
      </c>
      <c r="D673" s="5">
        <v>222.42</v>
      </c>
      <c r="E673" s="5">
        <v>120.6</v>
      </c>
      <c r="F673" s="5">
        <v>232.02</v>
      </c>
      <c r="G673" s="5">
        <f t="shared" si="17"/>
        <v>3.0341653389980516E-2</v>
      </c>
      <c r="H673" s="5">
        <f t="shared" si="17"/>
        <v>5.2875739644970388E-2</v>
      </c>
      <c r="I673" s="5">
        <f t="shared" si="16"/>
        <v>6.5097646469705062E-3</v>
      </c>
      <c r="J673" s="5">
        <f t="shared" si="16"/>
        <v>9.3092048025056329E-3</v>
      </c>
      <c r="K673" s="5"/>
      <c r="L673" s="5"/>
      <c r="M673" s="5"/>
      <c r="N673" s="5"/>
      <c r="O673" s="5"/>
      <c r="P673" s="5"/>
      <c r="Q673" s="5"/>
    </row>
    <row r="674" spans="1:17" ht="15.6">
      <c r="A674" s="5"/>
      <c r="B674" s="12">
        <v>44860</v>
      </c>
      <c r="C674" s="5">
        <v>298.62</v>
      </c>
      <c r="D674" s="5">
        <v>224.64</v>
      </c>
      <c r="E674" s="5">
        <v>115.66</v>
      </c>
      <c r="F674" s="5">
        <v>230.7</v>
      </c>
      <c r="G674" s="5">
        <f t="shared" si="17"/>
        <v>2.6115043639612479E-2</v>
      </c>
      <c r="H674" s="5">
        <f t="shared" si="17"/>
        <v>9.9811168060426336E-3</v>
      </c>
      <c r="I674" s="5">
        <f t="shared" si="16"/>
        <v>-4.0961857379767763E-2</v>
      </c>
      <c r="J674" s="5">
        <f t="shared" si="16"/>
        <v>-5.6891647271787305E-3</v>
      </c>
      <c r="K674" s="5"/>
      <c r="L674" s="5"/>
      <c r="M674" s="5"/>
      <c r="N674" s="5"/>
      <c r="O674" s="5"/>
      <c r="P674" s="5"/>
      <c r="Q674" s="5"/>
    </row>
    <row r="675" spans="1:17" ht="15.6">
      <c r="A675" s="5"/>
      <c r="B675" s="12">
        <v>44861</v>
      </c>
      <c r="C675" s="5">
        <v>296.94</v>
      </c>
      <c r="D675" s="5">
        <v>225.09</v>
      </c>
      <c r="E675" s="5">
        <v>110.96</v>
      </c>
      <c r="F675" s="5">
        <v>232.32</v>
      </c>
      <c r="G675" s="5">
        <f t="shared" si="17"/>
        <v>-5.6258790436005679E-3</v>
      </c>
      <c r="H675" s="5">
        <f t="shared" si="17"/>
        <v>2.0032051282052876E-3</v>
      </c>
      <c r="I675" s="5">
        <f t="shared" si="16"/>
        <v>-4.0636347916306437E-2</v>
      </c>
      <c r="J675" s="5">
        <f t="shared" si="16"/>
        <v>7.0221066319895442E-3</v>
      </c>
      <c r="K675" s="5"/>
      <c r="L675" s="5"/>
      <c r="M675" s="5"/>
      <c r="N675" s="5"/>
      <c r="O675" s="5"/>
      <c r="P675" s="5"/>
      <c r="Q675" s="5"/>
    </row>
    <row r="676" spans="1:17" ht="15.6">
      <c r="A676" s="5"/>
      <c r="B676" s="12">
        <v>44862</v>
      </c>
      <c r="C676" s="5">
        <v>295.72000000000003</v>
      </c>
      <c r="D676" s="5">
        <v>228.52</v>
      </c>
      <c r="E676" s="5">
        <v>103.41</v>
      </c>
      <c r="F676" s="5">
        <v>237.8</v>
      </c>
      <c r="G676" s="5">
        <f t="shared" si="17"/>
        <v>-4.1085741227182559E-3</v>
      </c>
      <c r="H676" s="5">
        <f t="shared" si="17"/>
        <v>1.5238349104802484E-2</v>
      </c>
      <c r="I676" s="5">
        <f t="shared" si="16"/>
        <v>-6.8042537851477958E-2</v>
      </c>
      <c r="J676" s="5">
        <f t="shared" si="16"/>
        <v>2.3588154269972517E-2</v>
      </c>
      <c r="K676" s="5"/>
      <c r="L676" s="5"/>
      <c r="M676" s="5"/>
      <c r="N676" s="5"/>
      <c r="O676" s="5"/>
      <c r="P676" s="5"/>
      <c r="Q676" s="5"/>
    </row>
    <row r="677" spans="1:17" ht="15.6">
      <c r="A677" s="5"/>
      <c r="B677" s="12">
        <v>44865</v>
      </c>
      <c r="C677" s="5">
        <v>291.88</v>
      </c>
      <c r="D677" s="5">
        <v>227.54</v>
      </c>
      <c r="E677" s="5">
        <v>102.44</v>
      </c>
      <c r="F677" s="5">
        <v>236.62</v>
      </c>
      <c r="G677" s="5">
        <f t="shared" si="17"/>
        <v>-1.298525632354941E-2</v>
      </c>
      <c r="H677" s="5">
        <f t="shared" si="17"/>
        <v>-4.2884649046036616E-3</v>
      </c>
      <c r="I677" s="5">
        <f t="shared" si="16"/>
        <v>-9.3801373174741132E-3</v>
      </c>
      <c r="J677" s="5">
        <f t="shared" si="16"/>
        <v>-4.9621530698066296E-3</v>
      </c>
      <c r="K677" s="5"/>
      <c r="L677" s="5"/>
      <c r="M677" s="5"/>
      <c r="N677" s="5"/>
      <c r="O677" s="5"/>
      <c r="P677" s="5"/>
      <c r="Q677" s="5"/>
    </row>
    <row r="678" spans="1:17" ht="15.6">
      <c r="A678" s="5"/>
      <c r="B678" s="12">
        <v>44866</v>
      </c>
      <c r="C678" s="5">
        <v>286.75</v>
      </c>
      <c r="D678" s="5">
        <v>227.82</v>
      </c>
      <c r="E678" s="5">
        <v>96.79</v>
      </c>
      <c r="F678" s="5">
        <v>235.62</v>
      </c>
      <c r="G678" s="5">
        <f t="shared" si="17"/>
        <v>-1.7575716047690815E-2</v>
      </c>
      <c r="H678" s="5">
        <f t="shared" si="17"/>
        <v>1.2305528698250967E-3</v>
      </c>
      <c r="I678" s="5">
        <f t="shared" si="16"/>
        <v>-5.5154236626317799E-2</v>
      </c>
      <c r="J678" s="5">
        <f t="shared" si="16"/>
        <v>-4.2261854450172942E-3</v>
      </c>
      <c r="K678" s="5"/>
      <c r="L678" s="5"/>
      <c r="M678" s="5"/>
      <c r="N678" s="5"/>
      <c r="O678" s="5"/>
      <c r="P678" s="5"/>
      <c r="Q678" s="5"/>
    </row>
    <row r="679" spans="1:17" ht="15.6">
      <c r="A679" s="5"/>
      <c r="B679" s="12">
        <v>44867</v>
      </c>
      <c r="C679" s="5">
        <v>273</v>
      </c>
      <c r="D679" s="5">
        <v>214.98</v>
      </c>
      <c r="E679" s="5">
        <v>92.12</v>
      </c>
      <c r="F679" s="5">
        <v>233</v>
      </c>
      <c r="G679" s="5">
        <f t="shared" si="17"/>
        <v>-4.7951176983435095E-2</v>
      </c>
      <c r="H679" s="5">
        <f t="shared" si="17"/>
        <v>-5.6360284435080343E-2</v>
      </c>
      <c r="I679" s="5">
        <f t="shared" si="16"/>
        <v>-4.8248786031614865E-2</v>
      </c>
      <c r="J679" s="5">
        <f t="shared" si="16"/>
        <v>-1.1119599354893484E-2</v>
      </c>
      <c r="K679" s="5"/>
      <c r="L679" s="5"/>
      <c r="M679" s="5"/>
      <c r="N679" s="5"/>
      <c r="O679" s="5"/>
      <c r="P679" s="5"/>
      <c r="Q679" s="5"/>
    </row>
    <row r="680" spans="1:17" ht="15.6">
      <c r="A680" s="5"/>
      <c r="B680" s="12">
        <v>44868</v>
      </c>
      <c r="C680" s="5">
        <v>269.06</v>
      </c>
      <c r="D680" s="5">
        <v>215.31</v>
      </c>
      <c r="E680" s="5">
        <v>89.3</v>
      </c>
      <c r="F680" s="5">
        <v>230</v>
      </c>
      <c r="G680" s="5">
        <f t="shared" si="17"/>
        <v>-1.4432234432234403E-2</v>
      </c>
      <c r="H680" s="5">
        <f t="shared" si="17"/>
        <v>1.5350265140943176E-3</v>
      </c>
      <c r="I680" s="5">
        <f t="shared" si="16"/>
        <v>-3.0612244897959218E-2</v>
      </c>
      <c r="J680" s="5">
        <f t="shared" si="16"/>
        <v>-1.2875536480686733E-2</v>
      </c>
      <c r="K680" s="5"/>
      <c r="L680" s="5"/>
      <c r="M680" s="5"/>
      <c r="N680" s="5"/>
      <c r="O680" s="5"/>
      <c r="P680" s="5"/>
      <c r="Q680" s="5"/>
    </row>
    <row r="681" spans="1:17" ht="15.6">
      <c r="A681" s="5"/>
      <c r="B681" s="12">
        <v>44869</v>
      </c>
      <c r="C681" s="5">
        <v>260.79000000000002</v>
      </c>
      <c r="D681" s="5">
        <v>207.47</v>
      </c>
      <c r="E681" s="5">
        <v>90.98</v>
      </c>
      <c r="F681" s="5">
        <v>226.97</v>
      </c>
      <c r="G681" s="5">
        <f t="shared" si="17"/>
        <v>-3.0736638667955063E-2</v>
      </c>
      <c r="H681" s="5">
        <f t="shared" si="17"/>
        <v>-3.6412614369978225E-2</v>
      </c>
      <c r="I681" s="5">
        <f t="shared" si="16"/>
        <v>1.8812989921612511E-2</v>
      </c>
      <c r="J681" s="5">
        <f t="shared" si="16"/>
        <v>-1.3173913043478258E-2</v>
      </c>
      <c r="K681" s="5"/>
      <c r="L681" s="5"/>
      <c r="M681" s="5"/>
      <c r="N681" s="5"/>
      <c r="O681" s="5"/>
      <c r="P681" s="5"/>
      <c r="Q681" s="5"/>
    </row>
    <row r="682" spans="1:17" ht="15.6">
      <c r="A682" s="5"/>
      <c r="B682" s="12">
        <v>44872</v>
      </c>
      <c r="C682" s="5">
        <v>258.60000000000002</v>
      </c>
      <c r="D682" s="5">
        <v>197.08</v>
      </c>
      <c r="E682" s="5">
        <v>90.53</v>
      </c>
      <c r="F682" s="5">
        <v>227.24</v>
      </c>
      <c r="G682" s="5">
        <f t="shared" si="17"/>
        <v>-8.3975612561830726E-3</v>
      </c>
      <c r="H682" s="5">
        <f t="shared" si="17"/>
        <v>-5.0079529570540293E-2</v>
      </c>
      <c r="I682" s="5">
        <f t="shared" si="16"/>
        <v>-4.9461420092328234E-3</v>
      </c>
      <c r="J682" s="5">
        <f t="shared" si="16"/>
        <v>1.18958452658946E-3</v>
      </c>
      <c r="K682" s="5"/>
      <c r="L682" s="5"/>
      <c r="M682" s="5"/>
      <c r="N682" s="5"/>
      <c r="O682" s="5"/>
      <c r="P682" s="5"/>
      <c r="Q682" s="5"/>
    </row>
    <row r="683" spans="1:17" ht="15.6">
      <c r="A683" s="5"/>
      <c r="B683" s="12">
        <v>44873</v>
      </c>
      <c r="C683" s="5">
        <v>263.45999999999998</v>
      </c>
      <c r="D683" s="5">
        <v>191.3</v>
      </c>
      <c r="E683" s="5">
        <v>89.98</v>
      </c>
      <c r="F683" s="5">
        <v>228.99</v>
      </c>
      <c r="G683" s="5">
        <f t="shared" si="17"/>
        <v>1.8793503480278195E-2</v>
      </c>
      <c r="H683" s="5">
        <f t="shared" si="17"/>
        <v>-2.9328191597320918E-2</v>
      </c>
      <c r="I683" s="5">
        <f t="shared" si="16"/>
        <v>-6.0753341433779084E-3</v>
      </c>
      <c r="J683" s="5">
        <f t="shared" si="16"/>
        <v>7.7011089596901172E-3</v>
      </c>
      <c r="K683" s="5"/>
      <c r="L683" s="5"/>
      <c r="M683" s="5"/>
      <c r="N683" s="5"/>
      <c r="O683" s="5"/>
      <c r="P683" s="5"/>
      <c r="Q683" s="5"/>
    </row>
    <row r="684" spans="1:17" ht="15.6">
      <c r="A684" s="5"/>
      <c r="B684" s="12">
        <v>44874</v>
      </c>
      <c r="C684" s="5">
        <v>254.66</v>
      </c>
      <c r="D684" s="5">
        <v>177.59</v>
      </c>
      <c r="E684" s="5">
        <v>86.14</v>
      </c>
      <c r="F684" s="5">
        <v>228.65</v>
      </c>
      <c r="G684" s="5">
        <f t="shared" si="17"/>
        <v>-3.3401654900174549E-2</v>
      </c>
      <c r="H684" s="5">
        <f t="shared" si="17"/>
        <v>-7.1667537898588596E-2</v>
      </c>
      <c r="I684" s="5">
        <f t="shared" si="16"/>
        <v>-4.2676150255612444E-2</v>
      </c>
      <c r="J684" s="5">
        <f t="shared" si="16"/>
        <v>-1.4847809948033142E-3</v>
      </c>
      <c r="K684" s="5"/>
      <c r="L684" s="5"/>
      <c r="M684" s="5"/>
      <c r="N684" s="5"/>
      <c r="O684" s="5"/>
      <c r="P684" s="5"/>
      <c r="Q684" s="5"/>
    </row>
    <row r="685" spans="1:17" ht="15.6">
      <c r="A685" s="5"/>
      <c r="B685" s="12">
        <v>44875</v>
      </c>
      <c r="C685" s="5">
        <v>274.97000000000003</v>
      </c>
      <c r="D685" s="5">
        <v>190.72</v>
      </c>
      <c r="E685" s="5">
        <v>96.63</v>
      </c>
      <c r="F685" s="5">
        <v>224.27</v>
      </c>
      <c r="G685" s="5">
        <f t="shared" si="17"/>
        <v>7.97533966857773E-2</v>
      </c>
      <c r="H685" s="5">
        <f t="shared" si="17"/>
        <v>7.3934343149952175E-2</v>
      </c>
      <c r="I685" s="5">
        <f t="shared" si="16"/>
        <v>0.12177850011609004</v>
      </c>
      <c r="J685" s="5">
        <f t="shared" si="16"/>
        <v>-1.9155915154165704E-2</v>
      </c>
      <c r="K685" s="5"/>
      <c r="L685" s="5"/>
      <c r="M685" s="5"/>
      <c r="N685" s="5"/>
      <c r="O685" s="5"/>
      <c r="P685" s="5"/>
      <c r="Q685" s="5"/>
    </row>
    <row r="686" spans="1:17" ht="15.6">
      <c r="A686" s="5"/>
      <c r="B686" s="12">
        <v>44876</v>
      </c>
      <c r="C686" s="5">
        <v>290.13</v>
      </c>
      <c r="D686" s="5">
        <v>195.97</v>
      </c>
      <c r="E686" s="5">
        <v>100.79</v>
      </c>
      <c r="F686" s="5">
        <v>216.91</v>
      </c>
      <c r="G686" s="5">
        <f t="shared" si="17"/>
        <v>5.5133287267701725E-2</v>
      </c>
      <c r="H686" s="5">
        <f t="shared" si="17"/>
        <v>2.752726510067105E-2</v>
      </c>
      <c r="I686" s="5">
        <f t="shared" si="16"/>
        <v>4.3050812377108727E-2</v>
      </c>
      <c r="J686" s="5">
        <f t="shared" si="16"/>
        <v>-3.2817585945512207E-2</v>
      </c>
      <c r="K686" s="5"/>
      <c r="L686" s="5"/>
      <c r="M686" s="5"/>
      <c r="N686" s="5"/>
      <c r="O686" s="5"/>
      <c r="P686" s="5"/>
      <c r="Q686" s="5"/>
    </row>
    <row r="687" spans="1:17" ht="15.6">
      <c r="A687" s="5"/>
      <c r="B687" s="12">
        <v>44879</v>
      </c>
      <c r="C687" s="5">
        <v>299.27</v>
      </c>
      <c r="D687" s="5">
        <v>190.95</v>
      </c>
      <c r="E687" s="5">
        <v>98.49</v>
      </c>
      <c r="F687" s="5">
        <v>216.16</v>
      </c>
      <c r="G687" s="5">
        <f t="shared" si="17"/>
        <v>3.1503119291352188E-2</v>
      </c>
      <c r="H687" s="5">
        <f t="shared" si="17"/>
        <v>-2.5616165739654084E-2</v>
      </c>
      <c r="I687" s="5">
        <f t="shared" si="16"/>
        <v>-2.2819724178986145E-2</v>
      </c>
      <c r="J687" s="5">
        <f t="shared" si="16"/>
        <v>-3.4576552487206591E-3</v>
      </c>
      <c r="K687" s="5"/>
      <c r="L687" s="5"/>
      <c r="M687" s="5"/>
      <c r="N687" s="5"/>
      <c r="O687" s="5"/>
      <c r="P687" s="5"/>
      <c r="Q687" s="5"/>
    </row>
    <row r="688" spans="1:17" ht="15.6">
      <c r="A688" s="5"/>
      <c r="B688" s="12">
        <v>44880</v>
      </c>
      <c r="C688" s="5">
        <v>310.2</v>
      </c>
      <c r="D688" s="5">
        <v>194.42</v>
      </c>
      <c r="E688" s="5">
        <v>98.94</v>
      </c>
      <c r="F688" s="5">
        <v>215.36</v>
      </c>
      <c r="G688" s="5">
        <f t="shared" si="17"/>
        <v>3.6522204029805883E-2</v>
      </c>
      <c r="H688" s="5">
        <f t="shared" si="17"/>
        <v>1.8172296412673372E-2</v>
      </c>
      <c r="I688" s="5">
        <f t="shared" si="16"/>
        <v>4.5689917758149345E-3</v>
      </c>
      <c r="J688" s="5">
        <f t="shared" si="16"/>
        <v>-3.7009622501850137E-3</v>
      </c>
      <c r="K688" s="5"/>
      <c r="L688" s="5"/>
      <c r="M688" s="5"/>
      <c r="N688" s="5"/>
      <c r="O688" s="5"/>
      <c r="P688" s="5"/>
      <c r="Q688" s="5"/>
    </row>
    <row r="689" spans="1:17" ht="15.6">
      <c r="A689" s="5"/>
      <c r="B689" s="12">
        <v>44881</v>
      </c>
      <c r="C689" s="5">
        <v>306.02</v>
      </c>
      <c r="D689" s="5">
        <v>186.92</v>
      </c>
      <c r="E689" s="5">
        <v>97.12</v>
      </c>
      <c r="F689" s="5">
        <v>221.14</v>
      </c>
      <c r="G689" s="5">
        <f t="shared" si="17"/>
        <v>-1.3475177304964614E-2</v>
      </c>
      <c r="H689" s="5">
        <f t="shared" si="17"/>
        <v>-3.8576278160683097E-2</v>
      </c>
      <c r="I689" s="5">
        <f t="shared" si="16"/>
        <v>-1.8394986860723606E-2</v>
      </c>
      <c r="J689" s="5">
        <f t="shared" si="16"/>
        <v>2.6838781575037052E-2</v>
      </c>
      <c r="K689" s="5"/>
      <c r="L689" s="5"/>
      <c r="M689" s="5"/>
      <c r="N689" s="5"/>
      <c r="O689" s="5"/>
      <c r="P689" s="5"/>
      <c r="Q689" s="5"/>
    </row>
    <row r="690" spans="1:17" ht="15.6">
      <c r="A690" s="5"/>
      <c r="B690" s="12">
        <v>44882</v>
      </c>
      <c r="C690" s="5">
        <v>295.27999999999997</v>
      </c>
      <c r="D690" s="5">
        <v>183.17</v>
      </c>
      <c r="E690" s="5">
        <v>94.85</v>
      </c>
      <c r="F690" s="5">
        <v>220.65</v>
      </c>
      <c r="G690" s="5">
        <f t="shared" si="17"/>
        <v>-3.5095745376119258E-2</v>
      </c>
      <c r="H690" s="5">
        <f t="shared" si="17"/>
        <v>-2.0062058634710001E-2</v>
      </c>
      <c r="I690" s="5">
        <f t="shared" si="16"/>
        <v>-2.3373146622734819E-2</v>
      </c>
      <c r="J690" s="5">
        <f t="shared" si="16"/>
        <v>-2.2157909016911059E-3</v>
      </c>
      <c r="K690" s="5"/>
      <c r="L690" s="5"/>
      <c r="M690" s="5"/>
      <c r="N690" s="5"/>
      <c r="O690" s="5"/>
      <c r="P690" s="5"/>
      <c r="Q690" s="5"/>
    </row>
    <row r="691" spans="1:17" ht="15.6">
      <c r="A691" s="5"/>
      <c r="B691" s="12">
        <v>44883</v>
      </c>
      <c r="C691" s="5">
        <v>287.98</v>
      </c>
      <c r="D691" s="5">
        <v>180.19</v>
      </c>
      <c r="E691" s="5">
        <v>94.14</v>
      </c>
      <c r="F691" s="5">
        <v>224.23</v>
      </c>
      <c r="G691" s="5">
        <f t="shared" si="17"/>
        <v>-2.472229748035748E-2</v>
      </c>
      <c r="H691" s="5">
        <f t="shared" si="17"/>
        <v>-1.6269039689905451E-2</v>
      </c>
      <c r="I691" s="5">
        <f t="shared" si="16"/>
        <v>-7.485503426462814E-3</v>
      </c>
      <c r="J691" s="5">
        <f t="shared" si="16"/>
        <v>1.6224790392023403E-2</v>
      </c>
      <c r="K691" s="5"/>
      <c r="L691" s="5"/>
      <c r="M691" s="5"/>
      <c r="N691" s="5"/>
      <c r="O691" s="5"/>
      <c r="P691" s="5"/>
      <c r="Q691" s="5"/>
    </row>
    <row r="692" spans="1:17" ht="15.6">
      <c r="A692" s="5"/>
      <c r="B692" s="12">
        <v>44886</v>
      </c>
      <c r="C692" s="5">
        <v>285.05</v>
      </c>
      <c r="D692" s="5">
        <v>167.87</v>
      </c>
      <c r="E692" s="5">
        <v>92.46</v>
      </c>
      <c r="F692" s="5">
        <v>231.12</v>
      </c>
      <c r="G692" s="5">
        <f t="shared" si="17"/>
        <v>-1.0174317660948673E-2</v>
      </c>
      <c r="H692" s="5">
        <f t="shared" si="17"/>
        <v>-6.8372273711082676E-2</v>
      </c>
      <c r="I692" s="5">
        <f t="shared" si="16"/>
        <v>-1.7845761631612556E-2</v>
      </c>
      <c r="J692" s="5">
        <f t="shared" si="16"/>
        <v>3.0727378138518446E-2</v>
      </c>
      <c r="K692" s="5"/>
      <c r="L692" s="5"/>
      <c r="M692" s="5"/>
      <c r="N692" s="5"/>
      <c r="O692" s="5"/>
      <c r="P692" s="5"/>
      <c r="Q692" s="5"/>
    </row>
    <row r="693" spans="1:17" ht="15.6">
      <c r="A693" s="5"/>
      <c r="B693" s="12">
        <v>44887</v>
      </c>
      <c r="C693" s="5">
        <v>286.69</v>
      </c>
      <c r="D693" s="5">
        <v>169.91</v>
      </c>
      <c r="E693" s="5">
        <v>93.2</v>
      </c>
      <c r="F693" s="5">
        <v>231.18</v>
      </c>
      <c r="G693" s="5">
        <f t="shared" si="17"/>
        <v>5.7533766005963827E-3</v>
      </c>
      <c r="H693" s="5">
        <f t="shared" si="17"/>
        <v>1.2152260677905424E-2</v>
      </c>
      <c r="I693" s="5">
        <f t="shared" si="16"/>
        <v>8.0034609560892811E-3</v>
      </c>
      <c r="J693" s="5">
        <f t="shared" si="16"/>
        <v>2.5960539979230646E-4</v>
      </c>
      <c r="K693" s="5"/>
      <c r="L693" s="5"/>
      <c r="M693" s="5"/>
      <c r="N693" s="5"/>
      <c r="O693" s="5"/>
      <c r="P693" s="5"/>
      <c r="Q693" s="5"/>
    </row>
    <row r="694" spans="1:17" ht="15.6">
      <c r="A694" s="5"/>
      <c r="B694" s="12">
        <v>44888</v>
      </c>
      <c r="C694" s="5">
        <v>291.5</v>
      </c>
      <c r="D694" s="5">
        <v>183.2</v>
      </c>
      <c r="E694" s="5">
        <v>94.13</v>
      </c>
      <c r="F694" s="5">
        <v>231.16</v>
      </c>
      <c r="G694" s="5">
        <f t="shared" si="17"/>
        <v>1.6777704140360727E-2</v>
      </c>
      <c r="H694" s="5">
        <f t="shared" si="17"/>
        <v>7.8217880054146205E-2</v>
      </c>
      <c r="I694" s="5">
        <f t="shared" si="16"/>
        <v>9.9785407725321296E-3</v>
      </c>
      <c r="J694" s="5">
        <f t="shared" si="16"/>
        <v>-8.6512674106753451E-5</v>
      </c>
      <c r="K694" s="5"/>
      <c r="L694" s="5"/>
      <c r="M694" s="5"/>
      <c r="N694" s="5"/>
      <c r="O694" s="5"/>
      <c r="P694" s="5"/>
      <c r="Q694" s="5"/>
    </row>
    <row r="695" spans="1:17" ht="15.6">
      <c r="A695" s="5"/>
      <c r="B695" s="12">
        <v>44890</v>
      </c>
      <c r="C695" s="5">
        <v>285.54000000000002</v>
      </c>
      <c r="D695" s="5">
        <v>182.86</v>
      </c>
      <c r="E695" s="5">
        <v>93.41</v>
      </c>
      <c r="F695" s="5">
        <v>232.74</v>
      </c>
      <c r="G695" s="5">
        <f t="shared" si="17"/>
        <v>-2.0445969125214347E-2</v>
      </c>
      <c r="H695" s="5">
        <f t="shared" si="17"/>
        <v>-1.8558951965064185E-3</v>
      </c>
      <c r="I695" s="5">
        <f t="shared" si="16"/>
        <v>-7.6489960692659453E-3</v>
      </c>
      <c r="J695" s="5">
        <f t="shared" si="16"/>
        <v>6.8350925765703341E-3</v>
      </c>
      <c r="K695" s="5"/>
      <c r="L695" s="5"/>
      <c r="M695" s="5"/>
      <c r="N695" s="5"/>
      <c r="O695" s="5"/>
      <c r="P695" s="5"/>
      <c r="Q695" s="5"/>
    </row>
    <row r="696" spans="1:17" ht="15.6">
      <c r="A696" s="5"/>
      <c r="B696" s="12">
        <v>44893</v>
      </c>
      <c r="C696" s="5">
        <v>281.17</v>
      </c>
      <c r="D696" s="5">
        <v>182.92</v>
      </c>
      <c r="E696" s="5">
        <v>93.95</v>
      </c>
      <c r="F696" s="5">
        <v>231.62</v>
      </c>
      <c r="G696" s="5">
        <f t="shared" si="17"/>
        <v>-1.5304335644743317E-2</v>
      </c>
      <c r="H696" s="5">
        <f t="shared" si="17"/>
        <v>3.2811987312686419E-4</v>
      </c>
      <c r="I696" s="5">
        <f t="shared" si="16"/>
        <v>5.7809656353711159E-3</v>
      </c>
      <c r="J696" s="5">
        <f t="shared" si="16"/>
        <v>-4.8122368307983443E-3</v>
      </c>
      <c r="K696" s="5"/>
      <c r="L696" s="5"/>
      <c r="M696" s="5"/>
      <c r="N696" s="5"/>
      <c r="O696" s="5"/>
      <c r="P696" s="5"/>
      <c r="Q696" s="5"/>
    </row>
    <row r="697" spans="1:17" ht="15.6">
      <c r="A697" s="5"/>
      <c r="B697" s="12">
        <v>44894</v>
      </c>
      <c r="C697" s="5">
        <v>280.95999999999998</v>
      </c>
      <c r="D697" s="5">
        <v>180.83</v>
      </c>
      <c r="E697" s="5">
        <v>92.42</v>
      </c>
      <c r="F697" s="5">
        <v>229.48</v>
      </c>
      <c r="G697" s="5">
        <f t="shared" si="17"/>
        <v>-7.468791122809959E-4</v>
      </c>
      <c r="H697" s="5">
        <f t="shared" si="17"/>
        <v>-1.1425759895035914E-2</v>
      </c>
      <c r="I697" s="5">
        <f t="shared" si="16"/>
        <v>-1.6285258116019219E-2</v>
      </c>
      <c r="J697" s="5">
        <f t="shared" si="16"/>
        <v>-9.23927122010193E-3</v>
      </c>
      <c r="K697" s="5"/>
      <c r="L697" s="5"/>
      <c r="M697" s="5"/>
      <c r="N697" s="5"/>
      <c r="O697" s="5"/>
      <c r="P697" s="5"/>
      <c r="Q697" s="5"/>
    </row>
    <row r="698" spans="1:17" ht="15.6">
      <c r="A698" s="5"/>
      <c r="B698" s="12">
        <v>44895</v>
      </c>
      <c r="C698" s="5">
        <v>305.52999999999997</v>
      </c>
      <c r="D698" s="5">
        <v>194.7</v>
      </c>
      <c r="E698" s="5">
        <v>96.54</v>
      </c>
      <c r="F698" s="5">
        <v>234.14</v>
      </c>
      <c r="G698" s="5">
        <f t="shared" si="17"/>
        <v>8.7450170842824582E-2</v>
      </c>
      <c r="H698" s="5">
        <f t="shared" si="17"/>
        <v>7.6701874688934302E-2</v>
      </c>
      <c r="I698" s="5">
        <f t="shared" si="16"/>
        <v>4.4579095433888716E-2</v>
      </c>
      <c r="J698" s="5">
        <f t="shared" si="16"/>
        <v>2.0306780547324266E-2</v>
      </c>
      <c r="K698" s="5"/>
      <c r="L698" s="5"/>
      <c r="M698" s="5"/>
      <c r="N698" s="5"/>
      <c r="O698" s="5"/>
      <c r="P698" s="5"/>
      <c r="Q698" s="5"/>
    </row>
    <row r="699" spans="1:17" ht="15.6">
      <c r="A699" s="5"/>
      <c r="B699" s="12">
        <v>44896</v>
      </c>
      <c r="C699" s="5">
        <v>316.95</v>
      </c>
      <c r="D699" s="5">
        <v>194.7</v>
      </c>
      <c r="E699" s="5">
        <v>95.5</v>
      </c>
      <c r="F699" s="5">
        <v>230.87</v>
      </c>
      <c r="G699" s="5">
        <f t="shared" si="17"/>
        <v>3.7377671587078165E-2</v>
      </c>
      <c r="H699" s="5">
        <f t="shared" si="17"/>
        <v>0</v>
      </c>
      <c r="I699" s="5">
        <f t="shared" si="16"/>
        <v>-1.077273668945522E-2</v>
      </c>
      <c r="J699" s="5">
        <f t="shared" si="16"/>
        <v>-1.3966003245921121E-2</v>
      </c>
      <c r="K699" s="5"/>
      <c r="L699" s="5"/>
      <c r="M699" s="5"/>
      <c r="N699" s="5"/>
      <c r="O699" s="5"/>
      <c r="P699" s="5"/>
      <c r="Q699" s="5"/>
    </row>
    <row r="700" spans="1:17" ht="15.6">
      <c r="A700" s="5"/>
      <c r="B700" s="12">
        <v>44897</v>
      </c>
      <c r="C700" s="5">
        <v>320.41000000000003</v>
      </c>
      <c r="D700" s="5">
        <v>194.86</v>
      </c>
      <c r="E700" s="5">
        <v>94.13</v>
      </c>
      <c r="F700" s="5">
        <v>233.71</v>
      </c>
      <c r="G700" s="5">
        <f t="shared" si="17"/>
        <v>1.0916548351475042E-2</v>
      </c>
      <c r="H700" s="5">
        <f t="shared" si="17"/>
        <v>8.2177709296371582E-4</v>
      </c>
      <c r="I700" s="5">
        <f t="shared" si="16"/>
        <v>-1.4345549738219998E-2</v>
      </c>
      <c r="J700" s="5">
        <f t="shared" si="16"/>
        <v>1.2301295101139198E-2</v>
      </c>
      <c r="K700" s="5"/>
      <c r="L700" s="5"/>
      <c r="M700" s="5"/>
      <c r="N700" s="5"/>
      <c r="O700" s="5"/>
      <c r="P700" s="5"/>
      <c r="Q700" s="5"/>
    </row>
    <row r="701" spans="1:17" ht="15.6">
      <c r="A701" s="5"/>
      <c r="B701" s="12">
        <v>44900</v>
      </c>
      <c r="C701" s="5">
        <v>312.58999999999997</v>
      </c>
      <c r="D701" s="5">
        <v>182.45</v>
      </c>
      <c r="E701" s="5">
        <v>91.01</v>
      </c>
      <c r="F701" s="5">
        <v>232.23</v>
      </c>
      <c r="G701" s="5">
        <f t="shared" si="17"/>
        <v>-2.4406229518429634E-2</v>
      </c>
      <c r="H701" s="5">
        <f t="shared" si="17"/>
        <v>-6.3686749461151715E-2</v>
      </c>
      <c r="I701" s="5">
        <f t="shared" si="16"/>
        <v>-3.3145649633485541E-2</v>
      </c>
      <c r="J701" s="5">
        <f t="shared" si="16"/>
        <v>-6.332634461512221E-3</v>
      </c>
      <c r="K701" s="5"/>
      <c r="L701" s="5"/>
      <c r="M701" s="5"/>
      <c r="N701" s="5"/>
      <c r="O701" s="5"/>
      <c r="P701" s="5"/>
      <c r="Q701" s="5"/>
    </row>
    <row r="702" spans="1:17" ht="15.6">
      <c r="A702" s="5"/>
      <c r="B702" s="12">
        <v>44901</v>
      </c>
      <c r="C702" s="5">
        <v>305.56</v>
      </c>
      <c r="D702" s="5">
        <v>179.82</v>
      </c>
      <c r="E702" s="5">
        <v>88.25</v>
      </c>
      <c r="F702" s="5">
        <v>231.55</v>
      </c>
      <c r="G702" s="5">
        <f t="shared" si="17"/>
        <v>-2.2489523017370949E-2</v>
      </c>
      <c r="H702" s="5">
        <f t="shared" si="17"/>
        <v>-1.4414908194025688E-2</v>
      </c>
      <c r="I702" s="5">
        <f t="shared" si="16"/>
        <v>-3.0326337765080869E-2</v>
      </c>
      <c r="J702" s="5">
        <f t="shared" si="16"/>
        <v>-2.9281315936785512E-3</v>
      </c>
      <c r="K702" s="5"/>
      <c r="L702" s="5"/>
      <c r="M702" s="5"/>
      <c r="N702" s="5"/>
      <c r="O702" s="5"/>
      <c r="P702" s="5"/>
      <c r="Q702" s="5"/>
    </row>
    <row r="703" spans="1:17" ht="15.6">
      <c r="A703" s="5"/>
      <c r="B703" s="12">
        <v>44902</v>
      </c>
      <c r="C703" s="5">
        <v>308.42</v>
      </c>
      <c r="D703" s="5">
        <v>174.04</v>
      </c>
      <c r="E703" s="5">
        <v>88.46</v>
      </c>
      <c r="F703" s="5">
        <v>235.66</v>
      </c>
      <c r="G703" s="5">
        <f t="shared" si="17"/>
        <v>9.359863856525763E-3</v>
      </c>
      <c r="H703" s="5">
        <f t="shared" si="17"/>
        <v>-3.2143254365476603E-2</v>
      </c>
      <c r="I703" s="5">
        <f t="shared" si="16"/>
        <v>2.3796033994334387E-3</v>
      </c>
      <c r="J703" s="5">
        <f t="shared" si="16"/>
        <v>1.7749946015979123E-2</v>
      </c>
      <c r="K703" s="5"/>
      <c r="L703" s="5"/>
      <c r="M703" s="5"/>
      <c r="N703" s="5"/>
      <c r="O703" s="5"/>
      <c r="P703" s="5"/>
      <c r="Q703" s="5"/>
    </row>
    <row r="704" spans="1:17" ht="15.6">
      <c r="A704" s="5"/>
      <c r="B704" s="12">
        <v>44903</v>
      </c>
      <c r="C704" s="5">
        <v>310.26</v>
      </c>
      <c r="D704" s="5">
        <v>173.44</v>
      </c>
      <c r="E704" s="5">
        <v>90.35</v>
      </c>
      <c r="F704" s="5">
        <v>240.26</v>
      </c>
      <c r="G704" s="5">
        <f t="shared" si="17"/>
        <v>5.9658906685686741E-3</v>
      </c>
      <c r="H704" s="5">
        <f t="shared" si="17"/>
        <v>-3.4474833371638258E-3</v>
      </c>
      <c r="I704" s="5">
        <f t="shared" si="16"/>
        <v>2.1365588966764548E-2</v>
      </c>
      <c r="J704" s="5">
        <f t="shared" si="16"/>
        <v>1.9519646948994218E-2</v>
      </c>
      <c r="K704" s="5"/>
      <c r="L704" s="5"/>
      <c r="M704" s="5"/>
      <c r="N704" s="5"/>
      <c r="O704" s="5"/>
      <c r="P704" s="5"/>
      <c r="Q704" s="5"/>
    </row>
    <row r="705" spans="1:17" ht="15.6">
      <c r="A705" s="5"/>
      <c r="B705" s="12">
        <v>44904</v>
      </c>
      <c r="C705" s="5">
        <v>320.01</v>
      </c>
      <c r="D705" s="5">
        <v>179.05</v>
      </c>
      <c r="E705" s="5">
        <v>89.09</v>
      </c>
      <c r="F705" s="5">
        <v>235.74</v>
      </c>
      <c r="G705" s="5">
        <f t="shared" si="17"/>
        <v>3.1425256236704779E-2</v>
      </c>
      <c r="H705" s="5">
        <f t="shared" si="17"/>
        <v>3.2345479704797064E-2</v>
      </c>
      <c r="I705" s="5">
        <f t="shared" si="16"/>
        <v>-1.3945766463752007E-2</v>
      </c>
      <c r="J705" s="5">
        <f t="shared" si="16"/>
        <v>-1.8812952634645774E-2</v>
      </c>
      <c r="K705" s="5"/>
      <c r="L705" s="5"/>
      <c r="M705" s="5"/>
      <c r="N705" s="5"/>
      <c r="O705" s="5"/>
      <c r="P705" s="5"/>
      <c r="Q705" s="5"/>
    </row>
    <row r="706" spans="1:17" ht="15.6">
      <c r="A706" s="5"/>
      <c r="B706" s="12">
        <v>44907</v>
      </c>
      <c r="C706" s="5">
        <v>315.18</v>
      </c>
      <c r="D706" s="5">
        <v>167.82</v>
      </c>
      <c r="E706" s="5">
        <v>90.55</v>
      </c>
      <c r="F706" s="5">
        <v>238.25</v>
      </c>
      <c r="G706" s="5">
        <f t="shared" si="17"/>
        <v>-1.5093278335052029E-2</v>
      </c>
      <c r="H706" s="5">
        <f t="shared" si="17"/>
        <v>-6.2719910639486232E-2</v>
      </c>
      <c r="I706" s="5">
        <f t="shared" si="16"/>
        <v>1.6387922325737936E-2</v>
      </c>
      <c r="J706" s="5">
        <f t="shared" si="16"/>
        <v>1.0647323322304114E-2</v>
      </c>
      <c r="K706" s="5"/>
      <c r="L706" s="5"/>
      <c r="M706" s="5"/>
      <c r="N706" s="5"/>
      <c r="O706" s="5"/>
      <c r="P706" s="5"/>
      <c r="Q706" s="5"/>
    </row>
    <row r="707" spans="1:17" ht="15.6">
      <c r="A707" s="5"/>
      <c r="B707" s="12">
        <v>44908</v>
      </c>
      <c r="C707" s="5">
        <v>320.33999999999997</v>
      </c>
      <c r="D707" s="5">
        <v>160.94999999999999</v>
      </c>
      <c r="E707" s="5">
        <v>92.49</v>
      </c>
      <c r="F707" s="5">
        <v>235.3</v>
      </c>
      <c r="G707" s="5">
        <f t="shared" si="17"/>
        <v>1.6371597182562203E-2</v>
      </c>
      <c r="H707" s="5">
        <f t="shared" si="17"/>
        <v>-4.093671791204867E-2</v>
      </c>
      <c r="I707" s="5">
        <f t="shared" si="16"/>
        <v>2.1424627277746966E-2</v>
      </c>
      <c r="J707" s="5">
        <f t="shared" si="16"/>
        <v>-1.2381951731374574E-2</v>
      </c>
      <c r="K707" s="5"/>
      <c r="L707" s="5"/>
      <c r="M707" s="5"/>
      <c r="N707" s="5"/>
      <c r="O707" s="5"/>
      <c r="P707" s="5"/>
      <c r="Q707" s="5"/>
    </row>
    <row r="708" spans="1:17" ht="15.6">
      <c r="A708" s="5"/>
      <c r="B708" s="12">
        <v>44909</v>
      </c>
      <c r="C708" s="5">
        <v>317.83</v>
      </c>
      <c r="D708" s="5">
        <v>156.80000000000001</v>
      </c>
      <c r="E708" s="5">
        <v>91.58</v>
      </c>
      <c r="F708" s="5">
        <v>234.98</v>
      </c>
      <c r="G708" s="5">
        <f t="shared" si="17"/>
        <v>-7.8354248610850163E-3</v>
      </c>
      <c r="H708" s="5">
        <f t="shared" si="17"/>
        <v>-2.5784405094749774E-2</v>
      </c>
      <c r="I708" s="5">
        <f t="shared" si="16"/>
        <v>-9.8389015028651494E-3</v>
      </c>
      <c r="J708" s="5">
        <f t="shared" si="16"/>
        <v>-1.359966000850088E-3</v>
      </c>
      <c r="K708" s="5"/>
      <c r="L708" s="5"/>
      <c r="M708" s="5"/>
      <c r="N708" s="5"/>
      <c r="O708" s="5"/>
      <c r="P708" s="5"/>
      <c r="Q708" s="5"/>
    </row>
    <row r="709" spans="1:17" ht="15.6">
      <c r="A709" s="5"/>
      <c r="B709" s="12">
        <v>44910</v>
      </c>
      <c r="C709" s="5">
        <v>290.41000000000003</v>
      </c>
      <c r="D709" s="5">
        <v>157.66999999999999</v>
      </c>
      <c r="E709" s="5">
        <v>88.45</v>
      </c>
      <c r="F709" s="5">
        <v>233.12</v>
      </c>
      <c r="G709" s="5">
        <f t="shared" si="17"/>
        <v>-8.627253563225612E-2</v>
      </c>
      <c r="H709" s="5">
        <f t="shared" si="17"/>
        <v>5.5484693877549951E-3</v>
      </c>
      <c r="I709" s="5">
        <f t="shared" si="17"/>
        <v>-3.4177768071631309E-2</v>
      </c>
      <c r="J709" s="5">
        <f t="shared" si="17"/>
        <v>-7.9155672823217893E-3</v>
      </c>
      <c r="K709" s="5"/>
      <c r="L709" s="5"/>
      <c r="M709" s="5"/>
      <c r="N709" s="5"/>
      <c r="O709" s="5"/>
      <c r="P709" s="5"/>
      <c r="Q709" s="5"/>
    </row>
    <row r="710" spans="1:17" ht="15.6">
      <c r="A710" s="5"/>
      <c r="B710" s="12">
        <v>44911</v>
      </c>
      <c r="C710" s="5">
        <v>290.70999999999998</v>
      </c>
      <c r="D710" s="5">
        <v>150.22999999999999</v>
      </c>
      <c r="E710" s="5">
        <v>87.86</v>
      </c>
      <c r="F710" s="5">
        <v>233.97</v>
      </c>
      <c r="G710" s="5">
        <f t="shared" ref="G710:J758" si="18">(C710/C709)-1</f>
        <v>1.0330222788470511E-3</v>
      </c>
      <c r="H710" s="5">
        <f t="shared" si="18"/>
        <v>-4.7187163062091697E-2</v>
      </c>
      <c r="I710" s="5">
        <f t="shared" si="18"/>
        <v>-6.6704352741662198E-3</v>
      </c>
      <c r="J710" s="5">
        <f t="shared" si="18"/>
        <v>3.6461908030198664E-3</v>
      </c>
      <c r="K710" s="5"/>
      <c r="L710" s="5"/>
      <c r="M710" s="5"/>
      <c r="N710" s="5"/>
      <c r="O710" s="5"/>
      <c r="P710" s="5"/>
      <c r="Q710" s="5"/>
    </row>
    <row r="711" spans="1:17" ht="15.6">
      <c r="A711" s="5"/>
      <c r="B711" s="12">
        <v>44914</v>
      </c>
      <c r="C711" s="5">
        <v>288.3</v>
      </c>
      <c r="D711" s="5">
        <v>149.87</v>
      </c>
      <c r="E711" s="5">
        <v>84.92</v>
      </c>
      <c r="F711" s="5">
        <v>233.87</v>
      </c>
      <c r="G711" s="5">
        <f t="shared" si="18"/>
        <v>-8.2900485019433701E-3</v>
      </c>
      <c r="H711" s="5">
        <f t="shared" si="18"/>
        <v>-2.3963256340276962E-3</v>
      </c>
      <c r="I711" s="5">
        <f t="shared" si="18"/>
        <v>-3.3462326428408851E-2</v>
      </c>
      <c r="J711" s="5">
        <f t="shared" si="18"/>
        <v>-4.2740522289175242E-4</v>
      </c>
      <c r="K711" s="5"/>
      <c r="L711" s="5"/>
      <c r="M711" s="5"/>
      <c r="N711" s="5"/>
      <c r="O711" s="5"/>
      <c r="P711" s="5"/>
      <c r="Q711" s="5"/>
    </row>
    <row r="712" spans="1:17" ht="15.6">
      <c r="A712" s="5"/>
      <c r="B712" s="12">
        <v>44915</v>
      </c>
      <c r="C712" s="5">
        <v>288.19</v>
      </c>
      <c r="D712" s="5">
        <v>137.80000000000001</v>
      </c>
      <c r="E712" s="5">
        <v>85.19</v>
      </c>
      <c r="F712" s="5">
        <v>232.63</v>
      </c>
      <c r="G712" s="5">
        <f t="shared" si="18"/>
        <v>-3.8154699965320393E-4</v>
      </c>
      <c r="H712" s="5">
        <f t="shared" si="18"/>
        <v>-8.0536464936278085E-2</v>
      </c>
      <c r="I712" s="5">
        <f t="shared" si="18"/>
        <v>3.1794630240224997E-3</v>
      </c>
      <c r="J712" s="5">
        <f t="shared" si="18"/>
        <v>-5.3020909052038379E-3</v>
      </c>
      <c r="K712" s="5"/>
      <c r="L712" s="5"/>
      <c r="M712" s="5"/>
      <c r="N712" s="5"/>
      <c r="O712" s="5"/>
      <c r="P712" s="5"/>
      <c r="Q712" s="5"/>
    </row>
    <row r="713" spans="1:17" ht="15.6">
      <c r="A713" s="5"/>
      <c r="B713" s="12">
        <v>44916</v>
      </c>
      <c r="C713" s="5">
        <v>297.95999999999998</v>
      </c>
      <c r="D713" s="5">
        <v>137.57</v>
      </c>
      <c r="E713" s="5">
        <v>86.77</v>
      </c>
      <c r="F713" s="5">
        <v>233.95</v>
      </c>
      <c r="G713" s="5">
        <f t="shared" si="18"/>
        <v>3.3901245705957761E-2</v>
      </c>
      <c r="H713" s="5">
        <f t="shared" si="18"/>
        <v>-1.6690856313499314E-3</v>
      </c>
      <c r="I713" s="5">
        <f t="shared" si="18"/>
        <v>1.854677779082059E-2</v>
      </c>
      <c r="J713" s="5">
        <f t="shared" si="18"/>
        <v>5.6742466577828221E-3</v>
      </c>
      <c r="K713" s="5"/>
      <c r="L713" s="5"/>
      <c r="M713" s="5"/>
      <c r="N713" s="5"/>
      <c r="O713" s="5"/>
      <c r="P713" s="5"/>
      <c r="Q713" s="5"/>
    </row>
    <row r="714" spans="1:17" ht="15.6">
      <c r="A714" s="5"/>
      <c r="B714" s="12">
        <v>44917</v>
      </c>
      <c r="C714" s="5">
        <v>297.75</v>
      </c>
      <c r="D714" s="5">
        <v>125.35</v>
      </c>
      <c r="E714" s="5">
        <v>83.79</v>
      </c>
      <c r="F714" s="5">
        <v>233.91</v>
      </c>
      <c r="G714" s="5">
        <f t="shared" si="18"/>
        <v>-7.0479258960931546E-4</v>
      </c>
      <c r="H714" s="5">
        <f t="shared" si="18"/>
        <v>-8.8827505996946998E-2</v>
      </c>
      <c r="I714" s="5">
        <f t="shared" si="18"/>
        <v>-3.4343667166071068E-2</v>
      </c>
      <c r="J714" s="5">
        <f t="shared" si="18"/>
        <v>-1.7097670442400847E-4</v>
      </c>
      <c r="K714" s="5"/>
      <c r="L714" s="5"/>
      <c r="M714" s="5"/>
      <c r="N714" s="5"/>
      <c r="O714" s="5"/>
      <c r="P714" s="5"/>
      <c r="Q714" s="5"/>
    </row>
    <row r="715" spans="1:17" ht="15.6">
      <c r="A715" s="5"/>
      <c r="B715" s="12">
        <v>44918</v>
      </c>
      <c r="C715" s="5">
        <v>294.95999999999998</v>
      </c>
      <c r="D715" s="5">
        <v>123.15</v>
      </c>
      <c r="E715" s="5">
        <v>85.25</v>
      </c>
      <c r="F715" s="5">
        <v>234.85</v>
      </c>
      <c r="G715" s="5">
        <f t="shared" si="18"/>
        <v>-9.370277078085687E-3</v>
      </c>
      <c r="H715" s="5">
        <f t="shared" si="18"/>
        <v>-1.7550857598723435E-2</v>
      </c>
      <c r="I715" s="5">
        <f t="shared" si="18"/>
        <v>1.7424513665114993E-2</v>
      </c>
      <c r="J715" s="5">
        <f t="shared" si="18"/>
        <v>4.0186396477277508E-3</v>
      </c>
      <c r="K715" s="5"/>
      <c r="L715" s="5"/>
      <c r="M715" s="5"/>
      <c r="N715" s="5"/>
      <c r="O715" s="5"/>
      <c r="P715" s="5"/>
      <c r="Q715" s="5"/>
    </row>
    <row r="716" spans="1:17" ht="15.6">
      <c r="A716" s="5"/>
      <c r="B716" s="12">
        <v>44922</v>
      </c>
      <c r="C716" s="5">
        <v>284.17</v>
      </c>
      <c r="D716" s="5">
        <v>109.1</v>
      </c>
      <c r="E716" s="5">
        <v>83.04</v>
      </c>
      <c r="F716" s="5">
        <v>234.7</v>
      </c>
      <c r="G716" s="5">
        <f t="shared" si="18"/>
        <v>-3.6581231353403743E-2</v>
      </c>
      <c r="H716" s="5">
        <f t="shared" si="18"/>
        <v>-0.11408850994721897</v>
      </c>
      <c r="I716" s="5">
        <f t="shared" si="18"/>
        <v>-2.5923753665689109E-2</v>
      </c>
      <c r="J716" s="5">
        <f t="shared" si="18"/>
        <v>-6.387055567383948E-4</v>
      </c>
      <c r="K716" s="5"/>
      <c r="L716" s="5"/>
      <c r="M716" s="5"/>
      <c r="N716" s="5"/>
      <c r="O716" s="5"/>
      <c r="P716" s="5"/>
      <c r="Q716" s="5"/>
    </row>
    <row r="717" spans="1:17" ht="15.6">
      <c r="A717" s="5"/>
      <c r="B717" s="12">
        <v>44923</v>
      </c>
      <c r="C717" s="5">
        <v>276.88</v>
      </c>
      <c r="D717" s="5">
        <v>112.71</v>
      </c>
      <c r="E717" s="5">
        <v>81.819999999999993</v>
      </c>
      <c r="F717" s="5">
        <v>231.85</v>
      </c>
      <c r="G717" s="5">
        <f t="shared" si="18"/>
        <v>-2.5653658021606907E-2</v>
      </c>
      <c r="H717" s="5">
        <f t="shared" si="18"/>
        <v>3.3088909257561916E-2</v>
      </c>
      <c r="I717" s="5">
        <f t="shared" si="18"/>
        <v>-1.4691714836223668E-2</v>
      </c>
      <c r="J717" s="5">
        <f t="shared" si="18"/>
        <v>-1.2143161482743858E-2</v>
      </c>
      <c r="K717" s="5"/>
      <c r="L717" s="5"/>
      <c r="M717" s="5"/>
      <c r="N717" s="5"/>
      <c r="O717" s="5"/>
      <c r="P717" s="5"/>
      <c r="Q717" s="5"/>
    </row>
    <row r="718" spans="1:17" ht="15.6">
      <c r="A718" s="5"/>
      <c r="B718" s="12">
        <v>44924</v>
      </c>
      <c r="C718" s="5">
        <v>291.12</v>
      </c>
      <c r="D718" s="5">
        <v>121.82</v>
      </c>
      <c r="E718" s="5">
        <v>84.18</v>
      </c>
      <c r="F718" s="5">
        <v>232.23</v>
      </c>
      <c r="G718" s="5">
        <f t="shared" si="18"/>
        <v>5.1430222479052379E-2</v>
      </c>
      <c r="H718" s="5">
        <f t="shared" si="18"/>
        <v>8.0826900896105114E-2</v>
      </c>
      <c r="I718" s="5">
        <f t="shared" si="18"/>
        <v>2.8843803471034102E-2</v>
      </c>
      <c r="J718" s="5">
        <f t="shared" si="18"/>
        <v>1.6389907267628789E-3</v>
      </c>
      <c r="K718" s="5"/>
      <c r="L718" s="5"/>
      <c r="M718" s="5"/>
      <c r="N718" s="5"/>
      <c r="O718" s="5"/>
      <c r="P718" s="5"/>
      <c r="Q718" s="5"/>
    </row>
    <row r="719" spans="1:17" ht="15.6">
      <c r="A719" s="5"/>
      <c r="B719" s="12">
        <v>44925</v>
      </c>
      <c r="C719" s="5">
        <v>294.88</v>
      </c>
      <c r="D719" s="5">
        <v>123.18</v>
      </c>
      <c r="E719" s="5">
        <v>84</v>
      </c>
      <c r="F719" s="5">
        <v>230.56</v>
      </c>
      <c r="G719" s="5">
        <f t="shared" si="18"/>
        <v>1.2915636163781219E-2</v>
      </c>
      <c r="H719" s="5">
        <f t="shared" si="18"/>
        <v>1.1164012477425933E-2</v>
      </c>
      <c r="I719" s="5">
        <f t="shared" si="18"/>
        <v>-2.1382751247327469E-3</v>
      </c>
      <c r="J719" s="5">
        <f t="shared" si="18"/>
        <v>-7.1911467080049141E-3</v>
      </c>
      <c r="K719" s="5"/>
      <c r="L719" s="5"/>
      <c r="M719" s="5"/>
      <c r="N719" s="5"/>
      <c r="O719" s="5"/>
      <c r="P719" s="5"/>
      <c r="Q719" s="5"/>
    </row>
    <row r="720" spans="1:17" ht="15.6">
      <c r="A720" s="5"/>
      <c r="B720" s="12">
        <v>44929</v>
      </c>
      <c r="C720" s="5">
        <v>294.95</v>
      </c>
      <c r="D720" s="5">
        <v>108.1</v>
      </c>
      <c r="E720" s="5">
        <v>85.82</v>
      </c>
      <c r="F720" s="5">
        <v>225.94</v>
      </c>
      <c r="G720" s="5">
        <f t="shared" si="18"/>
        <v>2.3738469886058766E-4</v>
      </c>
      <c r="H720" s="5">
        <f t="shared" si="18"/>
        <v>-0.12242247118038652</v>
      </c>
      <c r="I720" s="5">
        <f t="shared" si="18"/>
        <v>2.1666666666666501E-2</v>
      </c>
      <c r="J720" s="5">
        <f t="shared" si="18"/>
        <v>-2.0038167938931317E-2</v>
      </c>
      <c r="K720" s="5"/>
      <c r="L720" s="5"/>
      <c r="M720" s="5"/>
      <c r="N720" s="5"/>
      <c r="O720" s="5"/>
      <c r="P720" s="5"/>
      <c r="Q720" s="5"/>
    </row>
    <row r="721" spans="1:17" ht="15.6">
      <c r="A721" s="5"/>
      <c r="B721" s="12">
        <v>44930</v>
      </c>
      <c r="C721" s="5">
        <v>309.41000000000003</v>
      </c>
      <c r="D721" s="5">
        <v>113.64</v>
      </c>
      <c r="E721" s="5">
        <v>85.14</v>
      </c>
      <c r="F721" s="5">
        <v>222.3</v>
      </c>
      <c r="G721" s="5">
        <f t="shared" si="18"/>
        <v>4.9025258518393011E-2</v>
      </c>
      <c r="H721" s="5">
        <f t="shared" si="18"/>
        <v>5.1248843663274757E-2</v>
      </c>
      <c r="I721" s="5">
        <f t="shared" si="18"/>
        <v>-7.9235609415053698E-3</v>
      </c>
      <c r="J721" s="5">
        <f t="shared" si="18"/>
        <v>-1.6110471806674243E-2</v>
      </c>
      <c r="K721" s="5"/>
      <c r="L721" s="5"/>
      <c r="M721" s="5"/>
      <c r="N721" s="5"/>
      <c r="O721" s="5"/>
      <c r="P721" s="5"/>
      <c r="Q721" s="5"/>
    </row>
    <row r="722" spans="1:17" ht="15.6">
      <c r="A722" s="5"/>
      <c r="B722" s="12">
        <v>44931</v>
      </c>
      <c r="C722" s="5">
        <v>309.7</v>
      </c>
      <c r="D722" s="5">
        <v>110.34</v>
      </c>
      <c r="E722" s="5">
        <v>83.12</v>
      </c>
      <c r="F722" s="5">
        <v>222.11</v>
      </c>
      <c r="G722" s="5">
        <f t="shared" si="18"/>
        <v>9.3726770304769502E-4</v>
      </c>
      <c r="H722" s="5">
        <f t="shared" si="18"/>
        <v>-2.9039070749735996E-2</v>
      </c>
      <c r="I722" s="5">
        <f t="shared" si="18"/>
        <v>-2.3725628376791152E-2</v>
      </c>
      <c r="J722" s="5">
        <f t="shared" si="18"/>
        <v>-8.5470085470085166E-4</v>
      </c>
      <c r="K722" s="5"/>
      <c r="L722" s="5"/>
      <c r="M722" s="5"/>
      <c r="N722" s="5"/>
      <c r="O722" s="5"/>
      <c r="P722" s="5"/>
      <c r="Q722" s="5"/>
    </row>
    <row r="723" spans="1:17" ht="15.6">
      <c r="A723" s="5"/>
      <c r="B723" s="12">
        <v>44932</v>
      </c>
      <c r="C723" s="5">
        <v>315.55</v>
      </c>
      <c r="D723" s="5">
        <v>113.06</v>
      </c>
      <c r="E723" s="5">
        <v>86.08</v>
      </c>
      <c r="F723" s="5">
        <v>224.67</v>
      </c>
      <c r="G723" s="5">
        <f t="shared" si="18"/>
        <v>1.8889247659024999E-2</v>
      </c>
      <c r="H723" s="5">
        <f t="shared" si="18"/>
        <v>2.465107848468362E-2</v>
      </c>
      <c r="I723" s="5">
        <f t="shared" si="18"/>
        <v>3.5611164581328181E-2</v>
      </c>
      <c r="J723" s="5">
        <f t="shared" si="18"/>
        <v>1.1525820539372233E-2</v>
      </c>
      <c r="K723" s="5"/>
      <c r="L723" s="5"/>
      <c r="M723" s="5"/>
      <c r="N723" s="5"/>
      <c r="O723" s="5"/>
      <c r="P723" s="5"/>
      <c r="Q723" s="5"/>
    </row>
    <row r="724" spans="1:17" ht="15.6">
      <c r="A724" s="5"/>
      <c r="B724" s="12">
        <v>44935</v>
      </c>
      <c r="C724" s="5">
        <v>315.17</v>
      </c>
      <c r="D724" s="5">
        <v>119.77</v>
      </c>
      <c r="E724" s="5">
        <v>87.36</v>
      </c>
      <c r="F724" s="5">
        <v>224.41</v>
      </c>
      <c r="G724" s="5">
        <f t="shared" si="18"/>
        <v>-1.2042465536364899E-3</v>
      </c>
      <c r="H724" s="5">
        <f t="shared" si="18"/>
        <v>5.934901822041394E-2</v>
      </c>
      <c r="I724" s="5">
        <f t="shared" si="18"/>
        <v>1.4869888475836479E-2</v>
      </c>
      <c r="J724" s="5">
        <f t="shared" si="18"/>
        <v>-1.1572528597497689E-3</v>
      </c>
      <c r="K724" s="5"/>
      <c r="L724" s="5"/>
      <c r="M724" s="5"/>
      <c r="N724" s="5"/>
      <c r="O724" s="5"/>
      <c r="P724" s="5"/>
      <c r="Q724" s="5"/>
    </row>
    <row r="725" spans="1:17" ht="15.6">
      <c r="A725" s="5"/>
      <c r="B725" s="12">
        <v>44936</v>
      </c>
      <c r="C725" s="5">
        <v>327.54000000000002</v>
      </c>
      <c r="D725" s="5">
        <v>118.85</v>
      </c>
      <c r="E725" s="5">
        <v>89.87</v>
      </c>
      <c r="F725" s="5">
        <v>223.8</v>
      </c>
      <c r="G725" s="5">
        <f t="shared" si="18"/>
        <v>3.9248659453628321E-2</v>
      </c>
      <c r="H725" s="5">
        <f t="shared" si="18"/>
        <v>-7.681389329548316E-3</v>
      </c>
      <c r="I725" s="5">
        <f t="shared" si="18"/>
        <v>2.8731684981684991E-2</v>
      </c>
      <c r="J725" s="5">
        <f t="shared" si="18"/>
        <v>-2.7182389376586569E-3</v>
      </c>
      <c r="K725" s="5"/>
      <c r="L725" s="5"/>
      <c r="M725" s="5"/>
      <c r="N725" s="5"/>
      <c r="O725" s="5"/>
      <c r="P725" s="5"/>
      <c r="Q725" s="5"/>
    </row>
    <row r="726" spans="1:17" ht="15.6">
      <c r="A726" s="5"/>
      <c r="B726" s="12">
        <v>44937</v>
      </c>
      <c r="C726" s="5">
        <v>327.26</v>
      </c>
      <c r="D726" s="5">
        <v>123.22</v>
      </c>
      <c r="E726" s="5">
        <v>95.09</v>
      </c>
      <c r="F726" s="5">
        <v>225.6</v>
      </c>
      <c r="G726" s="5">
        <f t="shared" si="18"/>
        <v>-8.5485742199431503E-4</v>
      </c>
      <c r="H726" s="5">
        <f t="shared" si="18"/>
        <v>3.6769036600757365E-2</v>
      </c>
      <c r="I726" s="5">
        <f t="shared" si="18"/>
        <v>5.8083898965171965E-2</v>
      </c>
      <c r="J726" s="5">
        <f t="shared" si="18"/>
        <v>8.0428954423592547E-3</v>
      </c>
      <c r="K726" s="5"/>
      <c r="L726" s="5"/>
      <c r="M726" s="5"/>
      <c r="N726" s="5"/>
      <c r="O726" s="5"/>
      <c r="P726" s="5"/>
      <c r="Q726" s="5"/>
    </row>
    <row r="727" spans="1:17" ht="15.6">
      <c r="A727" s="5"/>
      <c r="B727" s="12">
        <v>44938</v>
      </c>
      <c r="C727" s="5">
        <v>330.13</v>
      </c>
      <c r="D727" s="5">
        <v>123.56</v>
      </c>
      <c r="E727" s="5">
        <v>95.27</v>
      </c>
      <c r="F727" s="5">
        <v>223.21</v>
      </c>
      <c r="G727" s="5">
        <f t="shared" si="18"/>
        <v>8.7697854916579665E-3</v>
      </c>
      <c r="H727" s="5">
        <f t="shared" si="18"/>
        <v>2.7592923226749111E-3</v>
      </c>
      <c r="I727" s="5">
        <f t="shared" si="18"/>
        <v>1.8929435271846096E-3</v>
      </c>
      <c r="J727" s="5">
        <f t="shared" si="18"/>
        <v>-1.0593971631205568E-2</v>
      </c>
      <c r="K727" s="5"/>
      <c r="L727" s="5"/>
      <c r="M727" s="5"/>
      <c r="N727" s="5"/>
      <c r="O727" s="5"/>
      <c r="P727" s="5"/>
      <c r="Q727" s="5"/>
    </row>
    <row r="728" spans="1:17" ht="15.6">
      <c r="A728" s="5"/>
      <c r="B728" s="12">
        <v>44939</v>
      </c>
      <c r="C728" s="5">
        <v>332.82</v>
      </c>
      <c r="D728" s="5">
        <v>122.4</v>
      </c>
      <c r="E728" s="5">
        <v>98.12</v>
      </c>
      <c r="F728" s="5">
        <v>225.62</v>
      </c>
      <c r="G728" s="5">
        <f t="shared" si="18"/>
        <v>8.1483052130979505E-3</v>
      </c>
      <c r="H728" s="5">
        <f t="shared" si="18"/>
        <v>-9.3881515053415576E-3</v>
      </c>
      <c r="I728" s="5">
        <f t="shared" si="18"/>
        <v>2.9914978482208587E-2</v>
      </c>
      <c r="J728" s="5">
        <f t="shared" si="18"/>
        <v>1.0797007302540296E-2</v>
      </c>
      <c r="K728" s="5"/>
      <c r="L728" s="5"/>
      <c r="M728" s="5"/>
      <c r="N728" s="5"/>
      <c r="O728" s="5"/>
      <c r="P728" s="5"/>
      <c r="Q728" s="5"/>
    </row>
    <row r="729" spans="1:17" ht="15.6">
      <c r="A729" s="5"/>
      <c r="B729" s="12">
        <v>44943</v>
      </c>
      <c r="C729" s="5">
        <v>326.22000000000003</v>
      </c>
      <c r="D729" s="5">
        <v>131.49</v>
      </c>
      <c r="E729" s="5">
        <v>96.05</v>
      </c>
      <c r="F729" s="5">
        <v>225.17</v>
      </c>
      <c r="G729" s="5">
        <f t="shared" si="18"/>
        <v>-1.9830539030106231E-2</v>
      </c>
      <c r="H729" s="5">
        <f t="shared" si="18"/>
        <v>7.4264705882352899E-2</v>
      </c>
      <c r="I729" s="5">
        <f t="shared" si="18"/>
        <v>-2.1096616388096234E-2</v>
      </c>
      <c r="J729" s="5">
        <f t="shared" si="18"/>
        <v>-1.9945040333304576E-3</v>
      </c>
      <c r="K729" s="5"/>
      <c r="L729" s="5"/>
      <c r="M729" s="5"/>
      <c r="N729" s="5"/>
      <c r="O729" s="5"/>
      <c r="P729" s="5"/>
      <c r="Q729" s="5"/>
    </row>
    <row r="730" spans="1:17" ht="15.6">
      <c r="A730" s="5"/>
      <c r="B730" s="12">
        <v>44944</v>
      </c>
      <c r="C730" s="5">
        <v>326.33</v>
      </c>
      <c r="D730" s="5">
        <v>128.78</v>
      </c>
      <c r="E730" s="5">
        <v>95.46</v>
      </c>
      <c r="F730" s="5">
        <v>215.82</v>
      </c>
      <c r="G730" s="5">
        <f t="shared" si="18"/>
        <v>3.3719575746404828E-4</v>
      </c>
      <c r="H730" s="5">
        <f t="shared" si="18"/>
        <v>-2.0609932314244461E-2</v>
      </c>
      <c r="I730" s="5">
        <f t="shared" si="18"/>
        <v>-6.1426340447683359E-3</v>
      </c>
      <c r="J730" s="5">
        <f t="shared" si="18"/>
        <v>-4.152418172936001E-2</v>
      </c>
      <c r="K730" s="5"/>
      <c r="L730" s="5"/>
      <c r="M730" s="5"/>
      <c r="N730" s="5"/>
      <c r="O730" s="5"/>
      <c r="P730" s="5"/>
      <c r="Q730" s="5"/>
    </row>
    <row r="731" spans="1:17" ht="15.6">
      <c r="A731" s="5"/>
      <c r="B731" s="12">
        <v>44945</v>
      </c>
      <c r="C731" s="5">
        <v>315.77999999999997</v>
      </c>
      <c r="D731" s="5">
        <v>127.17</v>
      </c>
      <c r="E731" s="5">
        <v>93.68</v>
      </c>
      <c r="F731" s="5">
        <v>215.18</v>
      </c>
      <c r="G731" s="5">
        <f t="shared" si="18"/>
        <v>-3.2329237275150913E-2</v>
      </c>
      <c r="H731" s="5">
        <f t="shared" si="18"/>
        <v>-1.2501941295232188E-2</v>
      </c>
      <c r="I731" s="5">
        <f t="shared" si="18"/>
        <v>-1.8646553530274335E-2</v>
      </c>
      <c r="J731" s="5">
        <f t="shared" si="18"/>
        <v>-2.965434158094693E-3</v>
      </c>
      <c r="K731" s="5"/>
      <c r="L731" s="5"/>
      <c r="M731" s="5"/>
      <c r="N731" s="5"/>
      <c r="O731" s="5"/>
      <c r="P731" s="5"/>
      <c r="Q731" s="5"/>
    </row>
    <row r="732" spans="1:17" ht="15.6">
      <c r="A732" s="5"/>
      <c r="B732" s="12">
        <v>44946</v>
      </c>
      <c r="C732" s="5">
        <v>342.5</v>
      </c>
      <c r="D732" s="5">
        <v>133.41999999999999</v>
      </c>
      <c r="E732" s="5">
        <v>97.25</v>
      </c>
      <c r="F732" s="5">
        <v>213.58</v>
      </c>
      <c r="G732" s="5">
        <f t="shared" si="18"/>
        <v>8.4615871809487819E-2</v>
      </c>
      <c r="H732" s="5">
        <f t="shared" si="18"/>
        <v>4.9146811354879194E-2</v>
      </c>
      <c r="I732" s="5">
        <f t="shared" si="18"/>
        <v>3.8108454312553386E-2</v>
      </c>
      <c r="J732" s="5">
        <f t="shared" si="18"/>
        <v>-7.4356352820893479E-3</v>
      </c>
      <c r="K732" s="5"/>
      <c r="L732" s="5"/>
      <c r="M732" s="5"/>
      <c r="N732" s="5"/>
      <c r="O732" s="5"/>
      <c r="P732" s="5"/>
      <c r="Q732" s="5"/>
    </row>
    <row r="733" spans="1:17" ht="15.6">
      <c r="A733" s="5"/>
      <c r="B733" s="12">
        <v>44949</v>
      </c>
      <c r="C733" s="5">
        <v>357.42</v>
      </c>
      <c r="D733" s="5">
        <v>143.75</v>
      </c>
      <c r="E733" s="5">
        <v>97.52</v>
      </c>
      <c r="F733" s="5">
        <v>216.09</v>
      </c>
      <c r="G733" s="5">
        <f t="shared" si="18"/>
        <v>4.3562043795620564E-2</v>
      </c>
      <c r="H733" s="5">
        <f t="shared" si="18"/>
        <v>7.7424673961924873E-2</v>
      </c>
      <c r="I733" s="5">
        <f t="shared" si="18"/>
        <v>2.7763496143957678E-3</v>
      </c>
      <c r="J733" s="5">
        <f t="shared" si="18"/>
        <v>1.1752036707556757E-2</v>
      </c>
      <c r="K733" s="5"/>
      <c r="L733" s="5"/>
      <c r="M733" s="5"/>
      <c r="N733" s="5"/>
      <c r="O733" s="5"/>
      <c r="P733" s="5"/>
      <c r="Q733" s="5"/>
    </row>
    <row r="734" spans="1:17" ht="15.6">
      <c r="A734" s="5"/>
      <c r="B734" s="12">
        <v>44950</v>
      </c>
      <c r="C734" s="5">
        <v>363.83</v>
      </c>
      <c r="D734" s="5">
        <v>143.88999999999999</v>
      </c>
      <c r="E734" s="5">
        <v>96.32</v>
      </c>
      <c r="F734" s="5">
        <v>219.33</v>
      </c>
      <c r="G734" s="5">
        <f t="shared" si="18"/>
        <v>1.7934083151474267E-2</v>
      </c>
      <c r="H734" s="5">
        <f t="shared" si="18"/>
        <v>9.7391304347826946E-4</v>
      </c>
      <c r="I734" s="5">
        <f t="shared" si="18"/>
        <v>-1.2305168170631653E-2</v>
      </c>
      <c r="J734" s="5">
        <f t="shared" si="18"/>
        <v>1.4993752603082111E-2</v>
      </c>
      <c r="K734" s="5"/>
      <c r="L734" s="5"/>
      <c r="M734" s="5"/>
      <c r="N734" s="5"/>
      <c r="O734" s="5"/>
      <c r="P734" s="5"/>
      <c r="Q734" s="5"/>
    </row>
    <row r="735" spans="1:17" ht="15.6">
      <c r="A735" s="5"/>
      <c r="B735" s="12">
        <v>44951</v>
      </c>
      <c r="C735" s="5">
        <v>367.96</v>
      </c>
      <c r="D735" s="5">
        <v>144.43</v>
      </c>
      <c r="E735" s="5">
        <v>97.18</v>
      </c>
      <c r="F735" s="5">
        <v>220.03</v>
      </c>
      <c r="G735" s="5">
        <f t="shared" si="18"/>
        <v>1.1351455350026018E-2</v>
      </c>
      <c r="H735" s="5">
        <f t="shared" si="18"/>
        <v>3.7528667732296128E-3</v>
      </c>
      <c r="I735" s="5">
        <f t="shared" si="18"/>
        <v>8.9285714285716189E-3</v>
      </c>
      <c r="J735" s="5">
        <f t="shared" si="18"/>
        <v>3.1915378653171178E-3</v>
      </c>
      <c r="K735" s="5"/>
      <c r="L735" s="5"/>
      <c r="M735" s="5"/>
      <c r="N735" s="5"/>
      <c r="O735" s="5"/>
      <c r="P735" s="5"/>
      <c r="Q735" s="5"/>
    </row>
    <row r="736" spans="1:17" ht="15.6">
      <c r="A736" s="5"/>
      <c r="B736" s="12">
        <v>44952</v>
      </c>
      <c r="C736" s="5">
        <v>364.87</v>
      </c>
      <c r="D736" s="5">
        <v>160.27000000000001</v>
      </c>
      <c r="E736" s="5">
        <v>99.22</v>
      </c>
      <c r="F736" s="5">
        <v>219.05</v>
      </c>
      <c r="G736" s="5">
        <f t="shared" si="18"/>
        <v>-8.3976519186867993E-3</v>
      </c>
      <c r="H736" s="5">
        <f t="shared" si="18"/>
        <v>0.10967250571210974</v>
      </c>
      <c r="I736" s="5">
        <f t="shared" si="18"/>
        <v>2.0991973657131124E-2</v>
      </c>
      <c r="J736" s="5">
        <f t="shared" si="18"/>
        <v>-4.4539380993500188E-3</v>
      </c>
      <c r="K736" s="5"/>
      <c r="L736" s="5"/>
      <c r="M736" s="5"/>
      <c r="N736" s="5"/>
      <c r="O736" s="5"/>
      <c r="P736" s="5"/>
      <c r="Q736" s="5"/>
    </row>
    <row r="737" spans="1:17" ht="15.6">
      <c r="A737" s="5"/>
      <c r="B737" s="12">
        <v>44953</v>
      </c>
      <c r="C737" s="5">
        <v>360.77</v>
      </c>
      <c r="D737" s="5">
        <v>177.9</v>
      </c>
      <c r="E737" s="5">
        <v>102.24</v>
      </c>
      <c r="F737" s="5">
        <v>217.81</v>
      </c>
      <c r="G737" s="5">
        <f t="shared" si="18"/>
        <v>-1.1236878888371216E-2</v>
      </c>
      <c r="H737" s="5">
        <f t="shared" si="18"/>
        <v>0.11000187184126786</v>
      </c>
      <c r="I737" s="5">
        <f t="shared" si="18"/>
        <v>3.0437411812134663E-2</v>
      </c>
      <c r="J737" s="5">
        <f t="shared" si="18"/>
        <v>-5.6608080346952638E-3</v>
      </c>
      <c r="K737" s="5"/>
      <c r="L737" s="5"/>
      <c r="M737" s="5"/>
      <c r="N737" s="5"/>
      <c r="O737" s="5"/>
      <c r="P737" s="5"/>
      <c r="Q737" s="5"/>
    </row>
    <row r="738" spans="1:17" ht="15.6">
      <c r="A738" s="5"/>
      <c r="B738" s="12">
        <v>44956</v>
      </c>
      <c r="C738" s="5">
        <v>353.11</v>
      </c>
      <c r="D738" s="5">
        <v>166.66</v>
      </c>
      <c r="E738" s="5">
        <v>100.55</v>
      </c>
      <c r="F738" s="5">
        <v>222.22</v>
      </c>
      <c r="G738" s="5">
        <f t="shared" si="18"/>
        <v>-2.1232364110097768E-2</v>
      </c>
      <c r="H738" s="5">
        <f t="shared" si="18"/>
        <v>-6.3181562675660552E-2</v>
      </c>
      <c r="I738" s="5">
        <f t="shared" si="18"/>
        <v>-1.6529733959311455E-2</v>
      </c>
      <c r="J738" s="5">
        <f t="shared" si="18"/>
        <v>2.0247004269776436E-2</v>
      </c>
      <c r="K738" s="5"/>
      <c r="L738" s="5"/>
      <c r="M738" s="5"/>
      <c r="N738" s="5"/>
      <c r="O738" s="5"/>
      <c r="P738" s="5"/>
      <c r="Q738" s="5"/>
    </row>
    <row r="739" spans="1:17" ht="15.6">
      <c r="A739" s="5"/>
      <c r="B739" s="12">
        <v>44957</v>
      </c>
      <c r="C739" s="5">
        <v>353.86</v>
      </c>
      <c r="D739" s="5">
        <v>173.22</v>
      </c>
      <c r="E739" s="5">
        <v>103.13</v>
      </c>
      <c r="F739" s="5">
        <v>223.62</v>
      </c>
      <c r="G739" s="5">
        <f t="shared" si="18"/>
        <v>2.1239840276401356E-3</v>
      </c>
      <c r="H739" s="5">
        <f t="shared" si="18"/>
        <v>3.9361574462978499E-2</v>
      </c>
      <c r="I739" s="5">
        <f t="shared" si="18"/>
        <v>2.5658876181004375E-2</v>
      </c>
      <c r="J739" s="5">
        <f t="shared" si="18"/>
        <v>6.3000630006300185E-3</v>
      </c>
      <c r="K739" s="5"/>
      <c r="L739" s="5"/>
      <c r="M739" s="5"/>
      <c r="N739" s="5"/>
      <c r="O739" s="5"/>
      <c r="P739" s="5"/>
      <c r="Q739" s="5"/>
    </row>
    <row r="740" spans="1:17" ht="15.6">
      <c r="A740" s="5"/>
      <c r="B740" s="12">
        <v>44958</v>
      </c>
      <c r="C740" s="5">
        <v>361.99</v>
      </c>
      <c r="D740" s="5">
        <v>181.41</v>
      </c>
      <c r="E740" s="5">
        <v>105.15</v>
      </c>
      <c r="F740" s="5">
        <v>224.32</v>
      </c>
      <c r="G740" s="5">
        <f t="shared" si="18"/>
        <v>2.2975187927428919E-2</v>
      </c>
      <c r="H740" s="5">
        <f t="shared" si="18"/>
        <v>4.7280914444059574E-2</v>
      </c>
      <c r="I740" s="5">
        <f t="shared" si="18"/>
        <v>1.9586929118588392E-2</v>
      </c>
      <c r="J740" s="5">
        <f t="shared" si="18"/>
        <v>3.130310347911669E-3</v>
      </c>
      <c r="K740" s="5"/>
      <c r="L740" s="5"/>
      <c r="M740" s="5"/>
      <c r="N740" s="5"/>
      <c r="O740" s="5"/>
      <c r="P740" s="5"/>
      <c r="Q740" s="5"/>
    </row>
    <row r="741" spans="1:17" ht="15.6">
      <c r="A741" s="5"/>
      <c r="B741" s="12">
        <v>44959</v>
      </c>
      <c r="C741" s="5">
        <v>366.89</v>
      </c>
      <c r="D741" s="5">
        <v>188.27</v>
      </c>
      <c r="E741" s="5">
        <v>112.91</v>
      </c>
      <c r="F741" s="5">
        <v>233.4</v>
      </c>
      <c r="G741" s="5">
        <f t="shared" si="18"/>
        <v>1.3536285532749437E-2</v>
      </c>
      <c r="H741" s="5">
        <f t="shared" si="18"/>
        <v>3.7814894438013447E-2</v>
      </c>
      <c r="I741" s="5">
        <f t="shared" si="18"/>
        <v>7.37993342843557E-2</v>
      </c>
      <c r="J741" s="5">
        <f t="shared" si="18"/>
        <v>4.0477888730385159E-2</v>
      </c>
      <c r="K741" s="5"/>
      <c r="L741" s="5"/>
      <c r="M741" s="5"/>
      <c r="N741" s="5"/>
      <c r="O741" s="5"/>
      <c r="P741" s="5"/>
      <c r="Q741" s="5"/>
    </row>
    <row r="742" spans="1:17" ht="15.6">
      <c r="A742" s="5"/>
      <c r="B742" s="12">
        <v>44960</v>
      </c>
      <c r="C742" s="5">
        <v>365.9</v>
      </c>
      <c r="D742" s="5">
        <v>189.98</v>
      </c>
      <c r="E742" s="5">
        <v>103.39</v>
      </c>
      <c r="F742" s="5">
        <v>235.25</v>
      </c>
      <c r="G742" s="5">
        <f t="shared" si="18"/>
        <v>-2.6983564556134487E-3</v>
      </c>
      <c r="H742" s="5">
        <f t="shared" si="18"/>
        <v>9.0827003771178916E-3</v>
      </c>
      <c r="I742" s="5">
        <f t="shared" si="18"/>
        <v>-8.4314941103533769E-2</v>
      </c>
      <c r="J742" s="5">
        <f t="shared" si="18"/>
        <v>7.9263067694943512E-3</v>
      </c>
      <c r="K742" s="5"/>
      <c r="L742" s="5"/>
      <c r="M742" s="5"/>
      <c r="N742" s="5"/>
      <c r="O742" s="5"/>
      <c r="P742" s="5"/>
      <c r="Q742" s="5"/>
    </row>
    <row r="743" spans="1:17" ht="15.6">
      <c r="A743" s="5"/>
      <c r="B743" s="12">
        <v>44963</v>
      </c>
      <c r="C743" s="5">
        <v>361.48</v>
      </c>
      <c r="D743" s="5">
        <v>194.76</v>
      </c>
      <c r="E743" s="5">
        <v>102.18</v>
      </c>
      <c r="F743" s="5">
        <v>239.48</v>
      </c>
      <c r="G743" s="5">
        <f t="shared" si="18"/>
        <v>-1.2079803224924746E-2</v>
      </c>
      <c r="H743" s="5">
        <f t="shared" si="18"/>
        <v>2.5160543215075215E-2</v>
      </c>
      <c r="I743" s="5">
        <f t="shared" si="18"/>
        <v>-1.1703259502853225E-2</v>
      </c>
      <c r="J743" s="5">
        <f t="shared" si="18"/>
        <v>1.7980871413389998E-2</v>
      </c>
      <c r="K743" s="5"/>
      <c r="L743" s="5"/>
      <c r="M743" s="5"/>
      <c r="N743" s="5"/>
      <c r="O743" s="5"/>
      <c r="P743" s="5"/>
      <c r="Q743" s="5"/>
    </row>
    <row r="744" spans="1:17" ht="15.6">
      <c r="A744" s="5"/>
      <c r="B744" s="12">
        <v>44964</v>
      </c>
      <c r="C744" s="5">
        <v>362.95</v>
      </c>
      <c r="D744" s="5">
        <v>196.81</v>
      </c>
      <c r="E744" s="5">
        <v>102.11</v>
      </c>
      <c r="F744" s="5">
        <v>236.08</v>
      </c>
      <c r="G744" s="5">
        <f t="shared" si="18"/>
        <v>4.0666150271106982E-3</v>
      </c>
      <c r="H744" s="5">
        <f t="shared" si="18"/>
        <v>1.0525775313205976E-2</v>
      </c>
      <c r="I744" s="5">
        <f t="shared" si="18"/>
        <v>-6.8506557056180473E-4</v>
      </c>
      <c r="J744" s="5">
        <f t="shared" si="18"/>
        <v>-1.4197427760146875E-2</v>
      </c>
      <c r="K744" s="5"/>
      <c r="L744" s="5"/>
      <c r="M744" s="5"/>
      <c r="N744" s="5"/>
      <c r="O744" s="5"/>
      <c r="P744" s="5"/>
      <c r="Q744" s="5"/>
    </row>
    <row r="745" spans="1:17" ht="15.6">
      <c r="A745" s="5"/>
      <c r="B745" s="12">
        <v>44965</v>
      </c>
      <c r="C745" s="5">
        <v>366.83</v>
      </c>
      <c r="D745" s="5">
        <v>201.29</v>
      </c>
      <c r="E745" s="5">
        <v>100.05</v>
      </c>
      <c r="F745" s="5">
        <v>233.82</v>
      </c>
      <c r="G745" s="5">
        <f t="shared" si="18"/>
        <v>1.0690177710428461E-2</v>
      </c>
      <c r="H745" s="5">
        <f t="shared" si="18"/>
        <v>2.2763070982165567E-2</v>
      </c>
      <c r="I745" s="5">
        <f t="shared" si="18"/>
        <v>-2.0174321809812934E-2</v>
      </c>
      <c r="J745" s="5">
        <f t="shared" si="18"/>
        <v>-9.5730260928499344E-3</v>
      </c>
      <c r="K745" s="5"/>
      <c r="L745" s="5"/>
      <c r="M745" s="5"/>
      <c r="N745" s="5"/>
      <c r="O745" s="5"/>
      <c r="P745" s="5"/>
      <c r="Q745" s="5"/>
    </row>
    <row r="746" spans="1:17" ht="15.6">
      <c r="A746" s="5"/>
      <c r="B746" s="12">
        <v>44966</v>
      </c>
      <c r="C746" s="5">
        <v>362.5</v>
      </c>
      <c r="D746" s="5">
        <v>207.32</v>
      </c>
      <c r="E746" s="5">
        <v>98.24</v>
      </c>
      <c r="F746" s="5">
        <v>234.12</v>
      </c>
      <c r="G746" s="5">
        <f t="shared" si="18"/>
        <v>-1.1803832838099382E-2</v>
      </c>
      <c r="H746" s="5">
        <f t="shared" si="18"/>
        <v>2.995677877688907E-2</v>
      </c>
      <c r="I746" s="5">
        <f t="shared" si="18"/>
        <v>-1.8090954522738678E-2</v>
      </c>
      <c r="J746" s="5">
        <f t="shared" si="18"/>
        <v>1.2830382345394575E-3</v>
      </c>
      <c r="K746" s="5"/>
      <c r="L746" s="5"/>
      <c r="M746" s="5"/>
      <c r="N746" s="5"/>
      <c r="O746" s="5"/>
      <c r="P746" s="5"/>
      <c r="Q746" s="5"/>
    </row>
    <row r="747" spans="1:17" ht="15.6">
      <c r="A747" s="5"/>
      <c r="B747" s="12">
        <v>44967</v>
      </c>
      <c r="C747" s="5">
        <v>347.36</v>
      </c>
      <c r="D747" s="5">
        <v>196.89</v>
      </c>
      <c r="E747" s="5">
        <v>97.61</v>
      </c>
      <c r="F747" s="5">
        <v>238.06</v>
      </c>
      <c r="G747" s="5">
        <f t="shared" si="18"/>
        <v>-4.1765517241379224E-2</v>
      </c>
      <c r="H747" s="5">
        <f t="shared" si="18"/>
        <v>-5.030870152421385E-2</v>
      </c>
      <c r="I747" s="5">
        <f t="shared" si="18"/>
        <v>-6.4128664495113341E-3</v>
      </c>
      <c r="J747" s="5">
        <f t="shared" si="18"/>
        <v>1.6828976593200151E-2</v>
      </c>
      <c r="K747" s="5"/>
      <c r="L747" s="5"/>
      <c r="M747" s="5"/>
      <c r="N747" s="5"/>
      <c r="O747" s="5"/>
      <c r="P747" s="5"/>
      <c r="Q747" s="5"/>
    </row>
    <row r="748" spans="1:17" ht="15.6">
      <c r="A748" s="5"/>
      <c r="B748" s="12">
        <v>44970</v>
      </c>
      <c r="C748" s="5">
        <v>358.57</v>
      </c>
      <c r="D748" s="5">
        <v>194.64</v>
      </c>
      <c r="E748" s="5">
        <v>99.54</v>
      </c>
      <c r="F748" s="5">
        <v>238.86</v>
      </c>
      <c r="G748" s="5">
        <f t="shared" si="18"/>
        <v>3.2271994472593324E-2</v>
      </c>
      <c r="H748" s="5">
        <f t="shared" si="18"/>
        <v>-1.1427700746609815E-2</v>
      </c>
      <c r="I748" s="5">
        <f t="shared" si="18"/>
        <v>1.9772564286446137E-2</v>
      </c>
      <c r="J748" s="5">
        <f t="shared" si="18"/>
        <v>3.3604973536083271E-3</v>
      </c>
      <c r="K748" s="5"/>
      <c r="L748" s="5"/>
      <c r="M748" s="5"/>
      <c r="N748" s="5"/>
      <c r="O748" s="5"/>
      <c r="P748" s="5"/>
      <c r="Q748" s="5"/>
    </row>
    <row r="749" spans="1:17" ht="15.6">
      <c r="A749" s="5"/>
      <c r="B749" s="12">
        <v>44971</v>
      </c>
      <c r="C749" s="5">
        <v>359.96</v>
      </c>
      <c r="D749" s="5">
        <v>209.25</v>
      </c>
      <c r="E749" s="5">
        <v>99.7</v>
      </c>
      <c r="F749" s="5">
        <v>237.86</v>
      </c>
      <c r="G749" s="5">
        <f t="shared" si="18"/>
        <v>3.8765094681652013E-3</v>
      </c>
      <c r="H749" s="5">
        <f t="shared" si="18"/>
        <v>7.5061652281134483E-2</v>
      </c>
      <c r="I749" s="5">
        <f t="shared" si="18"/>
        <v>1.6073940124572417E-3</v>
      </c>
      <c r="J749" s="5">
        <f t="shared" si="18"/>
        <v>-4.1865527924307422E-3</v>
      </c>
      <c r="K749" s="5"/>
      <c r="L749" s="5"/>
      <c r="M749" s="5"/>
      <c r="N749" s="5"/>
      <c r="O749" s="5"/>
      <c r="P749" s="5"/>
      <c r="Q749" s="5"/>
    </row>
    <row r="750" spans="1:17" ht="15.6">
      <c r="A750" s="5"/>
      <c r="B750" s="12">
        <v>44972</v>
      </c>
      <c r="C750" s="5">
        <v>361.42</v>
      </c>
      <c r="D750" s="5">
        <v>214.24</v>
      </c>
      <c r="E750" s="5">
        <v>101.16</v>
      </c>
      <c r="F750" s="5">
        <v>236.43</v>
      </c>
      <c r="G750" s="5">
        <f t="shared" si="18"/>
        <v>4.0560062229137994E-3</v>
      </c>
      <c r="H750" s="5">
        <f t="shared" si="18"/>
        <v>2.3847072879330966E-2</v>
      </c>
      <c r="I750" s="5">
        <f t="shared" si="18"/>
        <v>1.4643931795386145E-2</v>
      </c>
      <c r="J750" s="5">
        <f t="shared" si="18"/>
        <v>-6.0119397965190391E-3</v>
      </c>
      <c r="K750" s="5"/>
      <c r="L750" s="5"/>
      <c r="M750" s="5"/>
      <c r="N750" s="5"/>
      <c r="O750" s="5"/>
      <c r="P750" s="5"/>
      <c r="Q750" s="5"/>
    </row>
    <row r="751" spans="1:17" ht="15.6">
      <c r="A751" s="5"/>
      <c r="B751" s="12">
        <v>44973</v>
      </c>
      <c r="C751" s="5">
        <v>350.71</v>
      </c>
      <c r="D751" s="5">
        <v>202.04</v>
      </c>
      <c r="E751" s="5">
        <v>98.15</v>
      </c>
      <c r="F751" s="5">
        <v>235.22</v>
      </c>
      <c r="G751" s="5">
        <f t="shared" si="18"/>
        <v>-2.9633113828786528E-2</v>
      </c>
      <c r="H751" s="5">
        <f t="shared" si="18"/>
        <v>-5.6945481702763368E-2</v>
      </c>
      <c r="I751" s="5">
        <f t="shared" si="18"/>
        <v>-2.9754843811783172E-2</v>
      </c>
      <c r="J751" s="5">
        <f t="shared" si="18"/>
        <v>-5.1177938501882903E-3</v>
      </c>
      <c r="K751" s="5"/>
      <c r="L751" s="5"/>
      <c r="M751" s="5"/>
      <c r="N751" s="5"/>
      <c r="O751" s="5"/>
      <c r="P751" s="5"/>
      <c r="Q751" s="5"/>
    </row>
    <row r="752" spans="1:17" ht="15.6">
      <c r="A752" s="5"/>
      <c r="B752" s="12">
        <v>44974</v>
      </c>
      <c r="C752" s="5">
        <v>347.96</v>
      </c>
      <c r="D752" s="5">
        <v>208.31</v>
      </c>
      <c r="E752" s="5">
        <v>97.2</v>
      </c>
      <c r="F752" s="5">
        <v>240.69</v>
      </c>
      <c r="G752" s="5">
        <f t="shared" si="18"/>
        <v>-7.8412363491203729E-3</v>
      </c>
      <c r="H752" s="5">
        <f t="shared" si="18"/>
        <v>3.1033458721045459E-2</v>
      </c>
      <c r="I752" s="5">
        <f t="shared" si="18"/>
        <v>-9.679062659195159E-3</v>
      </c>
      <c r="J752" s="5">
        <f t="shared" si="18"/>
        <v>2.3254825269960033E-2</v>
      </c>
      <c r="K752" s="5"/>
      <c r="L752" s="5"/>
      <c r="M752" s="5"/>
      <c r="N752" s="5"/>
      <c r="O752" s="5"/>
      <c r="P752" s="5"/>
      <c r="Q752" s="5"/>
    </row>
    <row r="753" spans="1:17" ht="15.6">
      <c r="A753" s="5"/>
      <c r="B753" s="12">
        <v>44978</v>
      </c>
      <c r="C753" s="5">
        <v>337.5</v>
      </c>
      <c r="D753" s="5">
        <v>197.37</v>
      </c>
      <c r="E753" s="5">
        <v>94.58</v>
      </c>
      <c r="F753" s="5">
        <v>240.9</v>
      </c>
      <c r="G753" s="5">
        <f t="shared" si="18"/>
        <v>-3.0060926543280742E-2</v>
      </c>
      <c r="H753" s="5">
        <f t="shared" si="18"/>
        <v>-5.2517882002784289E-2</v>
      </c>
      <c r="I753" s="5">
        <f t="shared" si="18"/>
        <v>-2.6954732510288126E-2</v>
      </c>
      <c r="J753" s="5">
        <f t="shared" si="18"/>
        <v>8.7249158668822879E-4</v>
      </c>
      <c r="K753" s="5"/>
      <c r="L753" s="5"/>
      <c r="M753" s="5"/>
      <c r="N753" s="5"/>
      <c r="O753" s="5"/>
      <c r="P753" s="5"/>
      <c r="Q753" s="5"/>
    </row>
    <row r="754" spans="1:17" ht="15.6">
      <c r="A754" s="5"/>
      <c r="B754" s="12">
        <v>44979</v>
      </c>
      <c r="C754" s="5">
        <v>334.88</v>
      </c>
      <c r="D754" s="5">
        <v>200.86</v>
      </c>
      <c r="E754" s="5">
        <v>95.79</v>
      </c>
      <c r="F754" s="5">
        <v>239.86</v>
      </c>
      <c r="G754" s="5">
        <f t="shared" si="18"/>
        <v>-7.7629629629629715E-3</v>
      </c>
      <c r="H754" s="5">
        <f t="shared" si="18"/>
        <v>1.7682525206464961E-2</v>
      </c>
      <c r="I754" s="5">
        <f t="shared" si="18"/>
        <v>1.2793402410657739E-2</v>
      </c>
      <c r="J754" s="5">
        <f t="shared" si="18"/>
        <v>-4.3171440431714059E-3</v>
      </c>
      <c r="K754" s="5"/>
      <c r="L754" s="5"/>
      <c r="M754" s="5"/>
      <c r="N754" s="5"/>
      <c r="O754" s="5"/>
      <c r="P754" s="5"/>
      <c r="Q754" s="5"/>
    </row>
    <row r="755" spans="1:17" ht="15.6">
      <c r="A755" s="5"/>
      <c r="B755" s="12">
        <v>44980</v>
      </c>
      <c r="C755" s="5">
        <v>323.64999999999998</v>
      </c>
      <c r="D755" s="5">
        <v>202.07</v>
      </c>
      <c r="E755" s="5">
        <v>95.82</v>
      </c>
      <c r="F755" s="5">
        <v>240.47</v>
      </c>
      <c r="G755" s="5">
        <f t="shared" si="18"/>
        <v>-3.3534400382226548E-2</v>
      </c>
      <c r="H755" s="5">
        <f t="shared" si="18"/>
        <v>6.0240963855420215E-3</v>
      </c>
      <c r="I755" s="5">
        <f t="shared" si="18"/>
        <v>3.1318509238942305E-4</v>
      </c>
      <c r="J755" s="5">
        <f t="shared" si="18"/>
        <v>2.543150170932984E-3</v>
      </c>
      <c r="K755" s="5"/>
      <c r="L755" s="5"/>
      <c r="M755" s="5"/>
      <c r="N755" s="5"/>
      <c r="O755" s="5"/>
      <c r="P755" s="5"/>
      <c r="Q755" s="5"/>
    </row>
    <row r="756" spans="1:17" ht="15.6">
      <c r="A756" s="5"/>
      <c r="B756" s="12">
        <v>44981</v>
      </c>
      <c r="C756" s="5">
        <v>317.14999999999998</v>
      </c>
      <c r="D756" s="5">
        <v>196.88</v>
      </c>
      <c r="E756" s="5">
        <v>93.5</v>
      </c>
      <c r="F756" s="5">
        <v>239.02</v>
      </c>
      <c r="G756" s="5">
        <f t="shared" si="18"/>
        <v>-2.008342345125913E-2</v>
      </c>
      <c r="H756" s="5">
        <f t="shared" si="18"/>
        <v>-2.5684168852377898E-2</v>
      </c>
      <c r="I756" s="5">
        <f t="shared" si="18"/>
        <v>-2.4212064287205126E-2</v>
      </c>
      <c r="J756" s="5">
        <f t="shared" si="18"/>
        <v>-6.0298581943692975E-3</v>
      </c>
      <c r="K756" s="5"/>
      <c r="L756" s="5"/>
      <c r="M756" s="5"/>
      <c r="N756" s="5"/>
      <c r="O756" s="5"/>
      <c r="P756" s="5"/>
      <c r="Q756" s="5"/>
    </row>
    <row r="757" spans="1:17" ht="15.6">
      <c r="A757" s="5"/>
      <c r="B757" s="12">
        <v>44984</v>
      </c>
      <c r="C757" s="5">
        <v>323.02999999999997</v>
      </c>
      <c r="D757" s="5">
        <v>207.63</v>
      </c>
      <c r="E757" s="5">
        <v>93.76</v>
      </c>
      <c r="F757" s="5">
        <v>239.22</v>
      </c>
      <c r="G757" s="5">
        <f t="shared" si="18"/>
        <v>1.8540122970203354E-2</v>
      </c>
      <c r="H757" s="5">
        <f t="shared" si="18"/>
        <v>5.460178789110115E-2</v>
      </c>
      <c r="I757" s="5">
        <f t="shared" si="18"/>
        <v>2.7807486631017397E-3</v>
      </c>
      <c r="J757" s="5">
        <f t="shared" si="18"/>
        <v>8.3675006275618635E-4</v>
      </c>
      <c r="K757" s="5"/>
      <c r="L757" s="5"/>
      <c r="M757" s="5"/>
      <c r="N757" s="5"/>
      <c r="O757" s="5"/>
      <c r="P757" s="5"/>
      <c r="Q757" s="5"/>
    </row>
    <row r="758" spans="1:17" ht="15.6">
      <c r="A758" s="5"/>
      <c r="B758" s="12">
        <v>44985</v>
      </c>
      <c r="C758" s="5">
        <v>322.13</v>
      </c>
      <c r="D758" s="5">
        <v>205.71</v>
      </c>
      <c r="E758" s="5">
        <v>94.23</v>
      </c>
      <c r="F758" s="5">
        <v>238.32</v>
      </c>
      <c r="G758" s="5">
        <f t="shared" si="18"/>
        <v>-2.7861189363216354E-3</v>
      </c>
      <c r="H758" s="5">
        <f t="shared" si="18"/>
        <v>-9.247218610027419E-3</v>
      </c>
      <c r="I758" s="5">
        <f t="shared" si="18"/>
        <v>5.0127986348122988E-3</v>
      </c>
      <c r="J758" s="5">
        <f t="shared" si="18"/>
        <v>-3.762227238525262E-3</v>
      </c>
      <c r="K758" s="5"/>
      <c r="L758" s="5"/>
      <c r="M758" s="5"/>
      <c r="N758" s="5"/>
      <c r="O758" s="5"/>
      <c r="P758" s="5"/>
      <c r="Q758" s="5"/>
    </row>
    <row r="759" spans="1:17" ht="15.6">
      <c r="A759" s="25"/>
      <c r="B759" s="2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</sheetData>
  <mergeCells count="5">
    <mergeCell ref="A1:B1"/>
    <mergeCell ref="C2:F2"/>
    <mergeCell ref="G2:J2"/>
    <mergeCell ref="L41:N42"/>
    <mergeCell ref="A759:B75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C02C9D5DF5C9E47A2774FE470211D92" ma:contentTypeVersion="4" ma:contentTypeDescription="Új dokumentum létrehozása." ma:contentTypeScope="" ma:versionID="d6787339aeff37df14fd1a97466a5d43">
  <xsd:schema xmlns:xsd="http://www.w3.org/2001/XMLSchema" xmlns:xs="http://www.w3.org/2001/XMLSchema" xmlns:p="http://schemas.microsoft.com/office/2006/metadata/properties" xmlns:ns2="fd979beb-4d01-4756-ae2d-e0c85a60ae1d" targetNamespace="http://schemas.microsoft.com/office/2006/metadata/properties" ma:root="true" ma:fieldsID="f0f47fa13bf47b2909687e53a3809231" ns2:_="">
    <xsd:import namespace="fd979beb-4d01-4756-ae2d-e0c85a60a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79beb-4d01-4756-ae2d-e0c85a60a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EB0AF1-1263-4608-99D1-8532D5560BE1}"/>
</file>

<file path=customXml/itemProps2.xml><?xml version="1.0" encoding="utf-8"?>
<ds:datastoreItem xmlns:ds="http://schemas.openxmlformats.org/officeDocument/2006/customXml" ds:itemID="{A2E2A2D8-1443-44C5-810C-9E7D1049E558}"/>
</file>

<file path=customXml/itemProps3.xml><?xml version="1.0" encoding="utf-8"?>
<ds:datastoreItem xmlns:ds="http://schemas.openxmlformats.org/officeDocument/2006/customXml" ds:itemID="{585216C4-BF8E-4107-8B4B-D96B4AD25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Budapesti Corvinus Egyetem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</dc:creator>
  <cp:keywords/>
  <dc:description/>
  <cp:lastModifiedBy/>
  <cp:revision/>
  <dcterms:created xsi:type="dcterms:W3CDTF">2019-09-18T18:26:36Z</dcterms:created>
  <dcterms:modified xsi:type="dcterms:W3CDTF">2024-10-22T13:19:41Z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0x010100EC02C9D5DF5C9E47A2774FE470211D92</vt:lpwstr>
  </property>
</Properties>
</file>