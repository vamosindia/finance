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defaultThemeVersion="166925"/>
  <mc:AlternateContent xmlns:mc="http://schemas.openxmlformats.org/markup-compatibility/2006">
    <mc:Choice Requires="x15">
      <x15ac:absPath xmlns:x15ac="http://schemas.microsoft.com/office/spreadsheetml/2010/11/ac" url="/Users/jackgao/Downloads/International Corporate Finance/"/>
    </mc:Choice>
  </mc:AlternateContent>
  <xr:revisionPtr revIDLastSave="0" documentId="13_ncr:1_{CF919A32-F673-7142-B258-C3A93CFD9985}" xr6:coauthVersionLast="47" xr6:coauthVersionMax="47" xr10:uidLastSave="{00000000-0000-0000-0000-000000000000}"/>
  <bookViews>
    <workbookView xWindow="0" yWindow="0" windowWidth="28800" windowHeight="18000" xr2:uid="{00000000-000D-0000-FFFF-FFFF00000000}"/>
  </bookViews>
  <sheets>
    <sheet name="1&amp;2" sheetId="3" r:id="rId1"/>
    <sheet name="3" sheetId="4"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4" i="3" l="1"/>
  <c r="D28" i="3"/>
  <c r="E28" i="3" s="1"/>
  <c r="D27" i="3"/>
  <c r="E27" i="3" s="1"/>
  <c r="D25" i="3"/>
  <c r="E25" i="3" s="1"/>
  <c r="D24" i="3"/>
  <c r="C27" i="3"/>
  <c r="C28" i="3"/>
  <c r="C32" i="3" s="1"/>
  <c r="C25" i="3"/>
  <c r="C24" i="3"/>
  <c r="C26" i="3" s="1"/>
  <c r="C29" i="3" l="1"/>
  <c r="C30" i="3"/>
  <c r="C31" i="3" s="1"/>
  <c r="D32" i="3"/>
  <c r="E32" i="3" s="1"/>
  <c r="C33" i="3"/>
  <c r="D26" i="3"/>
  <c r="E24" i="3"/>
  <c r="D29" i="3" l="1"/>
  <c r="E26" i="3"/>
  <c r="E33" i="3"/>
  <c r="C36" i="3"/>
  <c r="C39" i="3" s="1"/>
  <c r="E29" i="3" l="1"/>
  <c r="D30" i="3"/>
  <c r="E30" i="3" s="1"/>
  <c r="D31" i="3" l="1"/>
  <c r="D36" i="3" l="1"/>
  <c r="E31" i="3"/>
  <c r="E36" i="3" s="1"/>
  <c r="C45" i="3" s="1"/>
  <c r="C44" i="3" l="1"/>
  <c r="C43" i="3"/>
  <c r="C42" i="3"/>
  <c r="C41" i="3"/>
  <c r="C40" i="3"/>
  <c r="C46" i="3" s="1"/>
</calcChain>
</file>

<file path=xl/sharedStrings.xml><?xml version="1.0" encoding="utf-8"?>
<sst xmlns="http://schemas.openxmlformats.org/spreadsheetml/2006/main" count="28" uniqueCount="27">
  <si>
    <t>highligh</t>
  </si>
  <si>
    <t>calculation</t>
  </si>
  <si>
    <t>Q1</t>
  </si>
  <si>
    <t>sales</t>
  </si>
  <si>
    <t xml:space="preserve">year </t>
  </si>
  <si>
    <t>cos</t>
  </si>
  <si>
    <t>gp</t>
  </si>
  <si>
    <t>operating expenses</t>
  </si>
  <si>
    <t>depreciation</t>
  </si>
  <si>
    <t>EBIT</t>
  </si>
  <si>
    <t>Tax</t>
  </si>
  <si>
    <t>NOPAT</t>
  </si>
  <si>
    <t>add depreciation</t>
  </si>
  <si>
    <t>net working capital</t>
  </si>
  <si>
    <t>FCFF</t>
  </si>
  <si>
    <t>Investment</t>
  </si>
  <si>
    <t>R&amp;D</t>
  </si>
  <si>
    <t>Q2</t>
  </si>
  <si>
    <t>year 6</t>
  </si>
  <si>
    <t>yeay1 -5</t>
  </si>
  <si>
    <t>NPV</t>
  </si>
  <si>
    <t>year 0</t>
  </si>
  <si>
    <t>year 1</t>
  </si>
  <si>
    <t>year 2</t>
  </si>
  <si>
    <t>year 3</t>
  </si>
  <si>
    <t>year 4</t>
  </si>
  <si>
    <t>year 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</si>
</sst>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_-;\-* #,##0.00_-;_-* &quot;-&quot;??_-;_-@_-"/>
    <numFmt numFmtId="165" formatCode="_(&quot;$ &quot;#,##0_);_(&quot;$ &quot;\(#,##0\)"/>
    <numFmt numFmtId="166" formatCode="_(&quot;$ &quot;#,##0.00_);_(&quot;$ &quot;\(#,##0.00\)"/>
  </numFmts>
  <fonts count="8" x14ac:knownFonts="1">
    <font>
      <sz val="12"/>
      <color theme="1"/>
      <name val="Calibri"/>
      <family val="2"/>
      <charset val="238"/>
      <scheme val="minor"/>
    </font>
    <font>
      <sz val="12"/>
      <color theme="1"/>
      <name val="Calibri"/>
      <family val="2"/>
      <charset val="238"/>
      <scheme val="minor"/>
    </font>
    <font>
      <b/>
      <sz val="12"/>
      <color theme="1"/>
      <name val="Calibri"/>
      <family val="2"/>
      <scheme val="minor"/>
    </font>
    <font>
      <b/>
      <sz val="11"/>
      <name val="Calibri"/>
      <family val="2"/>
      <charset val="238"/>
    </font>
    <font>
      <sz val="11"/>
      <name val="Calibri"/>
      <family val="2"/>
      <charset val="238"/>
    </font>
    <font>
      <b/>
      <sz val="11"/>
      <name val="Calibri"/>
      <family val="2"/>
    </font>
    <font>
      <sz val="11"/>
      <name val="Calibri"/>
      <family val="2"/>
    </font>
    <font>
      <sz val="8"/>
      <name val="Calibri"/>
      <family val="2"/>
      <charset val="238"/>
      <scheme val="minor"/>
    </font>
  </fonts>
  <fills count="4">
    <fill>
      <patternFill patternType="none"/>
    </fill>
    <fill>
      <patternFill patternType="gray125"/>
    </fill>
    <fill>
      <patternFill patternType="solid">
        <fgColor theme="5"/>
        <bgColor indexed="64"/>
      </patternFill>
    </fill>
    <fill>
      <patternFill patternType="solid">
        <fgColor theme="9"/>
        <bgColor indexed="64"/>
      </patternFill>
    </fill>
  </fills>
  <borders count="1">
    <border>
      <left/>
      <right/>
      <top/>
      <bottom/>
      <diagonal/>
    </border>
  </borders>
  <cellStyleXfs count="3">
    <xf numFmtId="0" fontId="0" fillId="0" borderId="0"/>
    <xf numFmtId="164" fontId="1" fillId="0" borderId="0" applyFont="0" applyFill="0" applyBorder="0" applyAlignment="0" applyProtection="0"/>
    <xf numFmtId="9" fontId="1" fillId="0" borderId="0" applyFont="0" applyFill="0" applyBorder="0" applyAlignment="0" applyProtection="0"/>
  </cellStyleXfs>
  <cellXfs count="27">
    <xf numFmtId="0" fontId="0" fillId="0" borderId="0" xfId="0"/>
    <xf numFmtId="0" fontId="2" fillId="0" borderId="0" xfId="0" applyFont="1"/>
    <xf numFmtId="0" fontId="0" fillId="2" borderId="0" xfId="0" applyFill="1"/>
    <xf numFmtId="0" fontId="0" fillId="3" borderId="0" xfId="0" applyFill="1"/>
    <xf numFmtId="37" fontId="2" fillId="0" borderId="0" xfId="0" applyNumberFormat="1" applyFont="1"/>
    <xf numFmtId="10" fontId="0" fillId="0" borderId="0" xfId="2" applyNumberFormat="1" applyFont="1"/>
    <xf numFmtId="0" fontId="5" fillId="0" borderId="0" xfId="0" applyFont="1" applyAlignment="1">
      <alignment horizontal="center" vertical="center"/>
    </xf>
    <xf numFmtId="0" fontId="6" fillId="0" borderId="0" xfId="0" applyFont="1" applyAlignment="1">
      <alignment horizontal="center" vertical="center"/>
    </xf>
    <xf numFmtId="0" fontId="4" fillId="0" borderId="0" xfId="0" applyFont="1" applyAlignment="1">
      <alignment horizontal="center" vertical="center"/>
    </xf>
    <xf numFmtId="0" fontId="5" fillId="0" borderId="0" xfId="0" applyFont="1" applyAlignment="1">
      <alignment vertical="top"/>
    </xf>
    <xf numFmtId="0" fontId="4" fillId="0" borderId="0" xfId="0" applyFont="1" applyAlignment="1">
      <alignment vertical="top"/>
    </xf>
    <xf numFmtId="165" fontId="4" fillId="0" borderId="0" xfId="0" applyNumberFormat="1" applyFont="1" applyAlignment="1">
      <alignment horizontal="right" vertical="top"/>
    </xf>
    <xf numFmtId="0" fontId="6" fillId="0" borderId="0" xfId="0" applyFont="1" applyAlignment="1">
      <alignment vertical="top"/>
    </xf>
    <xf numFmtId="165" fontId="6" fillId="0" borderId="0" xfId="0" applyNumberFormat="1" applyFont="1" applyAlignment="1">
      <alignment horizontal="right" vertical="top"/>
    </xf>
    <xf numFmtId="37" fontId="4" fillId="0" borderId="0" xfId="0" applyNumberFormat="1" applyFont="1" applyAlignment="1">
      <alignment horizontal="right" vertical="top"/>
    </xf>
    <xf numFmtId="37" fontId="6" fillId="0" borderId="0" xfId="0" applyNumberFormat="1" applyFont="1" applyAlignment="1">
      <alignment horizontal="right" vertical="top"/>
    </xf>
    <xf numFmtId="0" fontId="3" fillId="0" borderId="0" xfId="0" applyFont="1" applyAlignment="1">
      <alignment vertical="top"/>
    </xf>
    <xf numFmtId="164" fontId="0" fillId="0" borderId="0" xfId="1" applyFont="1"/>
    <xf numFmtId="165" fontId="0" fillId="0" borderId="0" xfId="0" applyNumberFormat="1"/>
    <xf numFmtId="166" fontId="4" fillId="0" borderId="0" xfId="0" applyNumberFormat="1" applyFont="1" applyAlignment="1">
      <alignment horizontal="right" vertical="top"/>
    </xf>
    <xf numFmtId="0" fontId="0" fillId="0" borderId="0" xfId="0" applyAlignment="1">
      <alignment horizontal="right"/>
    </xf>
    <xf numFmtId="2" fontId="0" fillId="0" borderId="0" xfId="0" applyNumberFormat="1"/>
    <xf numFmtId="0" fontId="3" fillId="0" borderId="0" xfId="0" applyFont="1" applyAlignment="1">
      <alignment horizontal="center" vertical="center"/>
    </xf>
    <xf numFmtId="0" fontId="0" fillId="0" borderId="0" xfId="0"/>
    <xf numFmtId="0" fontId="4" fillId="0" borderId="0" xfId="0" applyFont="1" applyAlignment="1">
      <alignment horizontal="center" vertical="center"/>
    </xf>
    <xf numFmtId="0" fontId="0" fillId="0" borderId="0" xfId="0" applyAlignment="1">
      <alignment horizontal="center"/>
    </xf>
    <xf numFmtId="16" fontId="0" fillId="0" borderId="0" xfId="0" applyNumberFormat="1" applyAlignment="1">
      <alignment horizontal="center"/>
    </xf>
  </cellXfs>
  <cellStyles count="3">
    <cellStyle name="Comma" xfId="1" builtinId="3"/>
    <cellStyle name="Normal" xfId="0" builtinId="0"/>
    <cellStyle name="Per 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283842</xdr:colOff>
      <xdr:row>1</xdr:row>
      <xdr:rowOff>25804</xdr:rowOff>
    </xdr:from>
    <xdr:to>
      <xdr:col>9</xdr:col>
      <xdr:colOff>158750</xdr:colOff>
      <xdr:row>16</xdr:row>
      <xdr:rowOff>182880</xdr:rowOff>
    </xdr:to>
    <xdr:sp macro="" textlink="">
      <xdr:nvSpPr>
        <xdr:cNvPr id="3" name="TextBox 1">
          <a:extLst>
            <a:ext uri="{FF2B5EF4-FFF2-40B4-BE49-F238E27FC236}">
              <a16:creationId xmlns:a16="http://schemas.microsoft.com/office/drawing/2014/main" id="{00000000-0008-0000-0100-000003000000}"/>
            </a:ext>
          </a:extLst>
        </xdr:cNvPr>
        <xdr:cNvSpPr txBox="1"/>
      </xdr:nvSpPr>
      <xdr:spPr>
        <a:xfrm>
          <a:off x="283842" y="223924"/>
          <a:ext cx="10474328" cy="31288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eaLnBrk="1" latinLnBrk="0" hangingPunct="1"/>
          <a:r>
            <a:rPr lang="hu-HU" sz="1100">
              <a:solidFill>
                <a:schemeClr val="dk1"/>
              </a:solidFill>
              <a:effectLst/>
              <a:latin typeface="+mn-lt"/>
              <a:ea typeface="+mn-ea"/>
              <a:cs typeface="+mn-cs"/>
            </a:rPr>
            <a:t>Data:</a:t>
          </a:r>
          <a:endParaRPr lang="en-US">
            <a:effectLst/>
          </a:endParaRPr>
        </a:p>
        <a:p>
          <a:pPr rtl="0" eaLnBrk="1" latinLnBrk="0" hangingPunct="1"/>
          <a:r>
            <a:rPr lang="hu-HU" sz="1100">
              <a:solidFill>
                <a:schemeClr val="dk1"/>
              </a:solidFill>
              <a:effectLst/>
              <a:latin typeface="+mn-lt"/>
              <a:ea typeface="+mn-ea"/>
              <a:cs typeface="+mn-cs"/>
            </a:rPr>
            <a:t>$300,000 on a feasibility study (already spent)</a:t>
          </a:r>
          <a:endParaRPr lang="en-US">
            <a:effectLst/>
          </a:endParaRPr>
        </a:p>
        <a:p>
          <a:pPr rtl="0" eaLnBrk="1" latinLnBrk="0" hangingPunct="1"/>
          <a:r>
            <a:rPr lang="hu-HU" sz="1100">
              <a:solidFill>
                <a:schemeClr val="dk1"/>
              </a:solidFill>
              <a:effectLst/>
              <a:latin typeface="+mn-lt"/>
              <a:ea typeface="+mn-ea"/>
              <a:cs typeface="+mn-cs"/>
            </a:rPr>
            <a:t>Sales forecast: 200,000 unit per year</a:t>
          </a:r>
          <a:endParaRPr lang="en-US">
            <a:effectLst/>
          </a:endParaRPr>
        </a:p>
        <a:p>
          <a:pPr rtl="0" eaLnBrk="1" latinLnBrk="0" hangingPunct="1"/>
          <a:r>
            <a:rPr lang="hu-HU" sz="1100">
              <a:solidFill>
                <a:schemeClr val="dk1"/>
              </a:solidFill>
              <a:effectLst/>
              <a:latin typeface="+mn-lt"/>
              <a:ea typeface="+mn-ea"/>
              <a:cs typeface="+mn-cs"/>
            </a:rPr>
            <a:t>Product will have a six years life</a:t>
          </a:r>
          <a:endParaRPr lang="en-US">
            <a:effectLst/>
          </a:endParaRPr>
        </a:p>
        <a:p>
          <a:pPr rtl="0" eaLnBrk="1" latinLnBrk="0" hangingPunct="1"/>
          <a:r>
            <a:rPr lang="hu-HU" sz="1100">
              <a:solidFill>
                <a:schemeClr val="dk1"/>
              </a:solidFill>
              <a:effectLst/>
              <a:latin typeface="+mn-lt"/>
              <a:ea typeface="+mn-ea"/>
              <a:cs typeface="+mn-cs"/>
            </a:rPr>
            <a:t>Wholesale price: $350</a:t>
          </a:r>
          <a:endParaRPr lang="en-US">
            <a:effectLst/>
          </a:endParaRPr>
        </a:p>
        <a:p>
          <a:pPr rtl="0" eaLnBrk="1" latinLnBrk="0" hangingPunct="1"/>
          <a:r>
            <a:rPr lang="hu-HU" sz="1100">
              <a:solidFill>
                <a:schemeClr val="dk1"/>
              </a:solidFill>
              <a:effectLst/>
              <a:latin typeface="+mn-lt"/>
              <a:ea typeface="+mn-ea"/>
              <a:cs typeface="+mn-cs"/>
            </a:rPr>
            <a:t>R&amp;D cost:</a:t>
          </a:r>
          <a:r>
            <a:rPr lang="hu-HU" sz="1100" baseline="0">
              <a:solidFill>
                <a:schemeClr val="dk1"/>
              </a:solidFill>
              <a:effectLst/>
              <a:latin typeface="+mn-lt"/>
              <a:ea typeface="+mn-ea"/>
              <a:cs typeface="+mn-cs"/>
            </a:rPr>
            <a:t> $25 mil</a:t>
          </a:r>
          <a:r>
            <a:rPr lang="hu-HU" sz="1100">
              <a:solidFill>
                <a:schemeClr val="dk1"/>
              </a:solidFill>
              <a:effectLst/>
              <a:latin typeface="+mn-lt"/>
              <a:ea typeface="+mn-ea"/>
              <a:cs typeface="+mn-cs"/>
            </a:rPr>
            <a:t>lion in year 0.</a:t>
          </a:r>
          <a:endParaRPr lang="en-US">
            <a:effectLst/>
          </a:endParaRPr>
        </a:p>
        <a:p>
          <a:pPr rtl="0" eaLnBrk="1" latinLnBrk="0" hangingPunct="1"/>
          <a:r>
            <a:rPr lang="hu-HU" sz="1100">
              <a:solidFill>
                <a:schemeClr val="dk1"/>
              </a:solidFill>
              <a:effectLst/>
              <a:latin typeface="+mn-lt"/>
              <a:ea typeface="+mn-ea"/>
              <a:cs typeface="+mn-cs"/>
            </a:rPr>
            <a:t>Cost of one product: $250</a:t>
          </a:r>
        </a:p>
        <a:p>
          <a:pPr rtl="0" eaLnBrk="1" latinLnBrk="0" hangingPunct="1"/>
          <a:r>
            <a:rPr lang="hu-HU" sz="1100">
              <a:solidFill>
                <a:schemeClr val="dk1"/>
              </a:solidFill>
              <a:effectLst/>
              <a:latin typeface="+mn-lt"/>
              <a:ea typeface="+mn-ea"/>
              <a:cs typeface="+mn-cs"/>
            </a:rPr>
            <a:t>Upfront investment in a new equipment: $6.3 million. Lifetime of the equipment is 6 years. Use </a:t>
          </a:r>
          <a:r>
            <a:rPr lang="hu-HU" sz="1100" b="1">
              <a:solidFill>
                <a:schemeClr val="dk1"/>
              </a:solidFill>
              <a:effectLst/>
              <a:latin typeface="+mn-lt"/>
              <a:ea typeface="+mn-ea"/>
              <a:cs typeface="+mn-cs"/>
            </a:rPr>
            <a:t>straight line depreciation</a:t>
          </a:r>
          <a:endParaRPr lang="en-US">
            <a:effectLst/>
          </a:endParaRPr>
        </a:p>
        <a:p>
          <a:pPr rtl="0" eaLnBrk="1" latinLnBrk="0" hangingPunct="1"/>
          <a:r>
            <a:rPr lang="hu-HU" sz="1100">
              <a:solidFill>
                <a:schemeClr val="dk1"/>
              </a:solidFill>
              <a:effectLst/>
              <a:latin typeface="+mn-lt"/>
              <a:ea typeface="+mn-ea"/>
              <a:cs typeface="+mn-cs"/>
            </a:rPr>
            <a:t>Marketing cost on a yearly basis: $4 million.</a:t>
          </a:r>
        </a:p>
        <a:p>
          <a:pPr rtl="0" eaLnBrk="1" latinLnBrk="0" hangingPunct="1"/>
          <a:r>
            <a:rPr lang="hu-HU" sz="1100">
              <a:solidFill>
                <a:schemeClr val="dk1"/>
              </a:solidFill>
              <a:effectLst/>
              <a:latin typeface="+mn-lt"/>
              <a:ea typeface="+mn-ea"/>
              <a:cs typeface="+mn-cs"/>
            </a:rPr>
            <a:t>AR is 25% of annual sales, and AP is 25%</a:t>
          </a:r>
          <a:r>
            <a:rPr lang="hu-HU" sz="1100" baseline="0">
              <a:solidFill>
                <a:schemeClr val="dk1"/>
              </a:solidFill>
              <a:effectLst/>
              <a:latin typeface="+mn-lt"/>
              <a:ea typeface="+mn-ea"/>
              <a:cs typeface="+mn-cs"/>
            </a:rPr>
            <a:t> of annual COGS.</a:t>
          </a:r>
        </a:p>
        <a:p>
          <a:pPr rtl="0" eaLnBrk="1" latinLnBrk="0" hangingPunct="1"/>
          <a:r>
            <a:rPr lang="hu-HU" sz="1100" baseline="0">
              <a:solidFill>
                <a:schemeClr val="dk1"/>
              </a:solidFill>
              <a:effectLst/>
              <a:latin typeface="+mn-lt"/>
              <a:ea typeface="+mn-ea"/>
              <a:cs typeface="+mn-cs"/>
            </a:rPr>
            <a:t>At the end of the sixth year the NWC is being sold on book value. </a:t>
          </a:r>
        </a:p>
        <a:p>
          <a:pPr rtl="0" eaLnBrk="1" latinLnBrk="0" hangingPunct="1"/>
          <a:r>
            <a:rPr lang="hu-HU" sz="1100" baseline="0">
              <a:solidFill>
                <a:schemeClr val="dk1"/>
              </a:solidFill>
              <a:effectLst/>
              <a:latin typeface="+mn-lt"/>
              <a:ea typeface="+mn-ea"/>
              <a:cs typeface="+mn-cs"/>
            </a:rPr>
            <a:t>r=12%</a:t>
          </a:r>
        </a:p>
        <a:p>
          <a:pPr rtl="0" eaLnBrk="1" latinLnBrk="0" hangingPunct="1"/>
          <a:r>
            <a:rPr lang="hu-HU" sz="1100" baseline="0">
              <a:solidFill>
                <a:schemeClr val="dk1"/>
              </a:solidFill>
              <a:effectLst/>
              <a:latin typeface="+mn-lt"/>
              <a:ea typeface="+mn-ea"/>
              <a:cs typeface="+mn-cs"/>
            </a:rPr>
            <a:t>Tax rate is 40%.</a:t>
          </a:r>
          <a:endParaRPr lang="en-US">
            <a:effectLst/>
          </a:endParaRPr>
        </a:p>
        <a:p>
          <a:pPr rtl="0" eaLnBrk="1" latinLnBrk="0" hangingPunct="1"/>
          <a:endParaRPr lang="hu-HU" sz="1100">
            <a:solidFill>
              <a:schemeClr val="dk1"/>
            </a:solidFill>
            <a:effectLst/>
            <a:latin typeface="+mn-lt"/>
            <a:ea typeface="+mn-ea"/>
            <a:cs typeface="+mn-cs"/>
          </a:endParaRPr>
        </a:p>
        <a:p>
          <a:pPr rtl="0" eaLnBrk="1" latinLnBrk="0" hangingPunct="1"/>
          <a:r>
            <a:rPr lang="en-US" sz="1100">
              <a:solidFill>
                <a:schemeClr val="dk1"/>
              </a:solidFill>
              <a:effectLst/>
              <a:latin typeface="+mn-lt"/>
              <a:ea typeface="+mn-ea"/>
              <a:cs typeface="+mn-cs"/>
            </a:rPr>
            <a:t>Exercise</a:t>
          </a:r>
          <a:r>
            <a:rPr lang="en-US" sz="1100" baseline="0">
              <a:solidFill>
                <a:schemeClr val="dk1"/>
              </a:solidFill>
              <a:effectLst/>
              <a:latin typeface="+mn-lt"/>
              <a:ea typeface="+mn-ea"/>
              <a:cs typeface="+mn-cs"/>
            </a:rPr>
            <a:t> 1: </a:t>
          </a:r>
          <a:r>
            <a:rPr lang="hu-HU" sz="1100">
              <a:solidFill>
                <a:schemeClr val="dk1"/>
              </a:solidFill>
              <a:effectLst/>
              <a:latin typeface="+mn-lt"/>
              <a:ea typeface="+mn-ea"/>
              <a:cs typeface="+mn-cs"/>
            </a:rPr>
            <a:t>Calculate the incremental </a:t>
          </a:r>
          <a:r>
            <a:rPr lang="hu-HU" sz="1100" baseline="0">
              <a:solidFill>
                <a:schemeClr val="dk1"/>
              </a:solidFill>
              <a:effectLst/>
              <a:latin typeface="+mn-lt"/>
              <a:ea typeface="+mn-ea"/>
              <a:cs typeface="+mn-cs"/>
            </a:rPr>
            <a:t>FCFF</a:t>
          </a:r>
          <a:r>
            <a:rPr lang="en-US" sz="1100" baseline="0">
              <a:solidFill>
                <a:schemeClr val="dk1"/>
              </a:solidFill>
              <a:effectLst/>
              <a:latin typeface="+mn-lt"/>
              <a:ea typeface="+mn-ea"/>
              <a:cs typeface="+mn-cs"/>
            </a:rPr>
            <a:t> </a:t>
          </a:r>
          <a:r>
            <a:rPr lang="hu-HU" sz="1100" baseline="0">
              <a:solidFill>
                <a:schemeClr val="dk1"/>
              </a:solidFill>
              <a:effectLst/>
              <a:latin typeface="+mn-lt"/>
              <a:ea typeface="+mn-ea"/>
              <a:cs typeface="+mn-cs"/>
            </a:rPr>
            <a:t>of the project</a:t>
          </a:r>
          <a:endParaRPr lang="en-US" sz="1100" baseline="0">
            <a:solidFill>
              <a:schemeClr val="dk1"/>
            </a:solidFill>
            <a:effectLst/>
            <a:latin typeface="+mn-lt"/>
            <a:ea typeface="+mn-ea"/>
            <a:cs typeface="+mn-cs"/>
          </a:endParaRPr>
        </a:p>
        <a:p>
          <a:pPr rtl="0" eaLnBrk="1" latinLnBrk="0" hangingPunct="1"/>
          <a:r>
            <a:rPr lang="en-US" sz="1100" baseline="0">
              <a:solidFill>
                <a:schemeClr val="dk1"/>
              </a:solidFill>
              <a:effectLst/>
              <a:latin typeface="+mn-lt"/>
              <a:ea typeface="+mn-ea"/>
              <a:cs typeface="+mn-cs"/>
            </a:rPr>
            <a:t>Exercise 2. Calculate the NPV of the project.</a:t>
          </a:r>
          <a:endParaRPr lang="hu-HU" sz="1100">
            <a:solidFill>
              <a:schemeClr val="dk1"/>
            </a:solidFill>
            <a:effectLst/>
            <a:latin typeface="+mn-lt"/>
            <a:ea typeface="+mn-ea"/>
            <a:cs typeface="+mn-cs"/>
          </a:endParaRPr>
        </a:p>
        <a:p>
          <a:pPr rtl="0" eaLnBrk="1" latinLnBrk="0" hangingPunct="1"/>
          <a:endParaRPr lang="en-US">
            <a:effectLst/>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177801</xdr:colOff>
      <xdr:row>0</xdr:row>
      <xdr:rowOff>101601</xdr:rowOff>
    </xdr:from>
    <xdr:to>
      <xdr:col>8</xdr:col>
      <xdr:colOff>381000</xdr:colOff>
      <xdr:row>29</xdr:row>
      <xdr:rowOff>12700</xdr:rowOff>
    </xdr:to>
    <xdr:sp macro="" textlink="">
      <xdr:nvSpPr>
        <xdr:cNvPr id="2" name="TextBox 1">
          <a:extLst>
            <a:ext uri="{FF2B5EF4-FFF2-40B4-BE49-F238E27FC236}">
              <a16:creationId xmlns:a16="http://schemas.microsoft.com/office/drawing/2014/main" id="{00000000-0008-0000-0300-000002000000}"/>
            </a:ext>
          </a:extLst>
        </xdr:cNvPr>
        <xdr:cNvSpPr txBox="1"/>
      </xdr:nvSpPr>
      <xdr:spPr>
        <a:xfrm>
          <a:off x="177801" y="101601"/>
          <a:ext cx="7010399" cy="58038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hu-HU" sz="1400"/>
            <a:t>Exercise</a:t>
          </a:r>
          <a:r>
            <a:rPr lang="en-GB" sz="1400"/>
            <a:t> 3</a:t>
          </a:r>
          <a:r>
            <a:rPr lang="hu-HU" sz="1400"/>
            <a:t>.</a:t>
          </a:r>
          <a:r>
            <a:rPr lang="en-US" sz="1400"/>
            <a:t> Give an example for a:</a:t>
          </a:r>
        </a:p>
        <a:p>
          <a:r>
            <a:rPr lang="en-US" sz="1400"/>
            <a:t>1.</a:t>
          </a:r>
          <a:r>
            <a:rPr lang="en-US" sz="1400" baseline="0"/>
            <a:t> </a:t>
          </a:r>
          <a:r>
            <a:rPr lang="en-US" sz="1400"/>
            <a:t>negative project</a:t>
          </a:r>
          <a:r>
            <a:rPr lang="en-US" sz="1400" baseline="0"/>
            <a:t> externality</a:t>
          </a:r>
        </a:p>
        <a:p>
          <a:r>
            <a:rPr lang="en-US" sz="1400" baseline="0"/>
            <a:t>2. positive project externality</a:t>
          </a:r>
        </a:p>
        <a:p>
          <a:endParaRPr lang="en-US" sz="1400" baseline="0"/>
        </a:p>
        <a:p>
          <a:endParaRPr lang="en-US" sz="1400" baseline="0">
            <a:latin typeface="+mj-lt"/>
          </a:endParaRPr>
        </a:p>
        <a:p>
          <a:pPr rtl="0"/>
          <a:r>
            <a:rPr lang="en-GB" sz="1100">
              <a:solidFill>
                <a:schemeClr val="dk1"/>
              </a:solidFill>
              <a:effectLst/>
              <a:latin typeface="+mj-lt"/>
              <a:ea typeface="+mn-ea"/>
              <a:cs typeface="+mn-cs"/>
            </a:rPr>
            <a:t>A negative project externality can be seen in the development of a large hydroelectric dam. While the dam generates clean energy and controls flooding, it can lead to significant environmental issues such as habitat destruction and displacement of local communities. The surrounding ecosystem may suffer from disrupted river flow, which affects wildlife and agriculture. Additionally, the social costs of relocating communities are often borne by the public, representing a negative externality that the project did not directly account for.</a:t>
          </a:r>
        </a:p>
        <a:p>
          <a:r>
            <a:rPr lang="en-GB" sz="1100">
              <a:solidFill>
                <a:schemeClr val="dk1"/>
              </a:solidFill>
              <a:effectLst/>
              <a:latin typeface="+mj-lt"/>
              <a:ea typeface="+mn-ea"/>
              <a:cs typeface="+mn-cs"/>
            </a:rPr>
            <a:t> </a:t>
          </a:r>
        </a:p>
        <a:p>
          <a:endParaRPr lang="en-GB" sz="1100">
            <a:solidFill>
              <a:schemeClr val="dk1"/>
            </a:solidFill>
            <a:effectLst/>
            <a:latin typeface="+mj-lt"/>
            <a:ea typeface="+mn-ea"/>
            <a:cs typeface="+mn-cs"/>
          </a:endParaRPr>
        </a:p>
        <a:p>
          <a:r>
            <a:rPr lang="en-GB" sz="1400">
              <a:latin typeface="+mj-lt"/>
            </a:rPr>
            <a:t>A positive project externality can occur with the adoption of electric vehicle infrastructure in a city. As the project encourages the use of electric vehicles, the reduction in air pollution benefits the wider community by improving public health and lowering emissions. Even though the primary objective is to build charging stations, the societal benefits—like cleaner air and reduced dependency on fossil fuels—extend far beyond the direct financial gains, offering a positive externality to the region.</a:t>
          </a:r>
          <a:endParaRPr lang="hu-HU" sz="1400">
            <a:latin typeface="+mj-lt"/>
          </a:endParaRPr>
        </a:p>
      </xdr:txBody>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5:S46"/>
  <sheetViews>
    <sheetView tabSelected="1" topLeftCell="A3" zoomScale="163" zoomScaleNormal="100" workbookViewId="0">
      <selection activeCell="B19" sqref="B19"/>
    </sheetView>
  </sheetViews>
  <sheetFormatPr baseColWidth="10" defaultColWidth="11" defaultRowHeight="16" x14ac:dyDescent="0.2"/>
  <cols>
    <col min="1" max="1" width="34.83203125" customWidth="1"/>
    <col min="2" max="2" width="21.83203125" customWidth="1"/>
    <col min="3" max="3" width="14" bestFit="1" customWidth="1"/>
    <col min="4" max="4" width="16.6640625" bestFit="1" customWidth="1"/>
    <col min="5" max="5" width="14" bestFit="1" customWidth="1"/>
    <col min="12" max="12" width="71.5" customWidth="1"/>
    <col min="13" max="15" width="10.6640625" bestFit="1" customWidth="1"/>
    <col min="17" max="17" width="129.5" bestFit="1" customWidth="1"/>
    <col min="18" max="19" width="10.6640625" bestFit="1" customWidth="1"/>
  </cols>
  <sheetData>
    <row r="5" spans="1:19" x14ac:dyDescent="0.2">
      <c r="L5" s="22"/>
      <c r="M5" s="24"/>
      <c r="N5" s="23"/>
      <c r="O5" s="23"/>
      <c r="Q5" s="6"/>
      <c r="R5" s="7"/>
      <c r="S5" s="7"/>
    </row>
    <row r="6" spans="1:19" x14ac:dyDescent="0.2">
      <c r="L6" s="23"/>
      <c r="M6" s="8"/>
      <c r="N6" s="8"/>
      <c r="O6" s="8"/>
      <c r="Q6" s="9"/>
    </row>
    <row r="7" spans="1:19" x14ac:dyDescent="0.2">
      <c r="B7" s="20"/>
      <c r="C7" s="21"/>
      <c r="L7" s="10"/>
      <c r="M7" s="11"/>
      <c r="N7" s="11"/>
      <c r="O7" s="11"/>
      <c r="Q7" s="12"/>
      <c r="R7" s="13"/>
      <c r="S7" s="13"/>
    </row>
    <row r="8" spans="1:19" x14ac:dyDescent="0.2">
      <c r="A8" s="1"/>
      <c r="B8" s="1"/>
      <c r="C8" s="1"/>
      <c r="D8" s="1"/>
      <c r="E8" s="1"/>
      <c r="L8" s="10"/>
      <c r="M8" s="14"/>
      <c r="N8" s="14"/>
      <c r="O8" s="14"/>
      <c r="Q8" s="12"/>
      <c r="R8" s="15"/>
      <c r="S8" s="15"/>
    </row>
    <row r="9" spans="1:19" x14ac:dyDescent="0.2">
      <c r="A9" s="1"/>
      <c r="B9" s="1"/>
      <c r="C9" s="1"/>
      <c r="D9" s="1"/>
      <c r="E9" s="1"/>
      <c r="L9" s="10"/>
      <c r="M9" s="14"/>
      <c r="N9" s="14"/>
      <c r="O9" s="14"/>
      <c r="Q9" s="12"/>
      <c r="R9" s="15"/>
      <c r="S9" s="15"/>
    </row>
    <row r="10" spans="1:19" x14ac:dyDescent="0.2">
      <c r="A10" s="1"/>
      <c r="B10" s="1"/>
      <c r="C10" s="1"/>
      <c r="D10" s="1"/>
      <c r="E10" s="1"/>
      <c r="L10" s="16"/>
      <c r="Q10" s="12"/>
      <c r="R10" s="15"/>
      <c r="S10" s="15"/>
    </row>
    <row r="11" spans="1:19" x14ac:dyDescent="0.2">
      <c r="A11" s="1"/>
      <c r="B11" s="1"/>
      <c r="C11" s="1"/>
      <c r="D11" s="1"/>
      <c r="E11" s="1"/>
      <c r="L11" s="10"/>
      <c r="M11" s="14"/>
      <c r="N11" s="14"/>
      <c r="O11" s="14"/>
      <c r="Q11" s="12"/>
      <c r="R11" s="15"/>
      <c r="S11" s="15"/>
    </row>
    <row r="12" spans="1:19" x14ac:dyDescent="0.2">
      <c r="A12" s="1"/>
      <c r="B12" s="1"/>
      <c r="C12" s="1"/>
      <c r="D12" s="1"/>
      <c r="E12" s="1"/>
      <c r="L12" s="10"/>
      <c r="M12" s="14"/>
      <c r="N12" s="14"/>
      <c r="O12" s="14"/>
      <c r="Q12" s="12"/>
      <c r="R12" s="15"/>
      <c r="S12" s="15"/>
    </row>
    <row r="13" spans="1:19" x14ac:dyDescent="0.2">
      <c r="A13" s="1"/>
      <c r="B13" s="1"/>
      <c r="C13" s="1"/>
      <c r="D13" s="1"/>
      <c r="E13" s="1"/>
      <c r="L13" s="10"/>
      <c r="M13" s="14"/>
      <c r="N13" s="14"/>
      <c r="O13" s="14"/>
      <c r="Q13" s="12"/>
      <c r="R13" s="15"/>
      <c r="S13" s="15"/>
    </row>
    <row r="14" spans="1:19" x14ac:dyDescent="0.2">
      <c r="A14" s="1"/>
      <c r="B14" s="1"/>
      <c r="C14" s="1"/>
      <c r="D14" s="1"/>
      <c r="E14" s="1"/>
      <c r="L14" s="10"/>
      <c r="M14" s="14"/>
      <c r="N14" s="14"/>
      <c r="O14" s="14"/>
      <c r="Q14" s="9"/>
    </row>
    <row r="15" spans="1:19" x14ac:dyDescent="0.2">
      <c r="A15" s="1"/>
      <c r="B15" s="1"/>
      <c r="C15" s="1"/>
      <c r="D15" s="1"/>
      <c r="E15" s="1"/>
      <c r="L15" s="10"/>
      <c r="M15" s="14"/>
      <c r="N15" s="14"/>
      <c r="O15" s="14"/>
      <c r="Q15" s="12"/>
      <c r="R15" s="15"/>
      <c r="S15" s="15"/>
    </row>
    <row r="16" spans="1:19" x14ac:dyDescent="0.2">
      <c r="A16" s="1"/>
      <c r="B16" s="1"/>
      <c r="C16" s="1"/>
      <c r="D16" s="1"/>
      <c r="E16" s="1"/>
      <c r="L16" s="10"/>
      <c r="M16" s="14"/>
      <c r="N16" s="14"/>
      <c r="O16" s="14"/>
      <c r="Q16" s="12"/>
      <c r="R16" s="15"/>
      <c r="S16" s="15"/>
    </row>
    <row r="17" spans="1:19" x14ac:dyDescent="0.2">
      <c r="A17" s="1"/>
      <c r="B17" s="1"/>
      <c r="C17" s="1"/>
      <c r="D17" s="1"/>
      <c r="E17" s="1"/>
      <c r="L17" s="10"/>
      <c r="M17" s="14"/>
      <c r="N17" s="14"/>
      <c r="O17" s="14"/>
      <c r="Q17" s="12"/>
      <c r="R17" s="15"/>
      <c r="S17" s="15"/>
    </row>
    <row r="18" spans="1:19" x14ac:dyDescent="0.2">
      <c r="B18" s="18"/>
      <c r="L18" s="10"/>
      <c r="M18" s="11"/>
      <c r="N18" s="11"/>
      <c r="O18" s="11"/>
      <c r="Q18" s="12"/>
      <c r="R18" s="15"/>
      <c r="S18" s="15"/>
    </row>
    <row r="19" spans="1:19" x14ac:dyDescent="0.2">
      <c r="L19" s="16"/>
      <c r="Q19" s="12"/>
      <c r="R19" s="15"/>
      <c r="S19" s="15"/>
    </row>
    <row r="20" spans="1:19" x14ac:dyDescent="0.2">
      <c r="L20" s="10"/>
      <c r="M20" s="19"/>
      <c r="N20" s="19"/>
      <c r="O20" s="19"/>
      <c r="Q20" s="9"/>
    </row>
    <row r="22" spans="1:19" x14ac:dyDescent="0.2">
      <c r="A22" s="1"/>
      <c r="B22" s="5"/>
      <c r="L22" s="10"/>
      <c r="M22" s="19"/>
      <c r="N22" s="19"/>
      <c r="O22" s="19"/>
      <c r="Q22" s="12"/>
      <c r="R22" s="15"/>
      <c r="S22" s="15"/>
    </row>
    <row r="23" spans="1:19" x14ac:dyDescent="0.2">
      <c r="A23" s="25" t="s">
        <v>2</v>
      </c>
      <c r="B23" t="s">
        <v>4</v>
      </c>
      <c r="C23">
        <v>0</v>
      </c>
      <c r="D23" s="26" t="s">
        <v>19</v>
      </c>
      <c r="E23" s="25" t="s">
        <v>18</v>
      </c>
      <c r="L23" s="16"/>
      <c r="Q23" s="12"/>
      <c r="R23" s="15"/>
      <c r="S23" s="15"/>
    </row>
    <row r="24" spans="1:19" ht="18" customHeight="1" x14ac:dyDescent="0.2">
      <c r="B24" s="17" t="s">
        <v>3</v>
      </c>
      <c r="C24" s="17">
        <f>200000* 350</f>
        <v>70000000</v>
      </c>
      <c r="D24" s="17">
        <f>200000* 350</f>
        <v>70000000</v>
      </c>
      <c r="E24" s="17">
        <f>D24</f>
        <v>70000000</v>
      </c>
      <c r="L24" s="10"/>
      <c r="M24" s="14"/>
      <c r="N24" s="14"/>
      <c r="O24" s="14"/>
      <c r="Q24" s="12"/>
      <c r="R24" s="15"/>
      <c r="S24" s="15"/>
    </row>
    <row r="25" spans="1:19" x14ac:dyDescent="0.2">
      <c r="B25" t="s">
        <v>5</v>
      </c>
      <c r="C25" s="17">
        <f>-200000*250</f>
        <v>-50000000</v>
      </c>
      <c r="D25" s="17">
        <f>-200000*250</f>
        <v>-50000000</v>
      </c>
      <c r="E25" s="17">
        <f t="shared" ref="E25:E32" si="0">D25</f>
        <v>-50000000</v>
      </c>
      <c r="L25" s="10"/>
      <c r="M25" s="14"/>
      <c r="N25" s="14"/>
      <c r="O25" s="14"/>
      <c r="Q25" s="12"/>
      <c r="R25" s="15"/>
      <c r="S25" s="15"/>
    </row>
    <row r="26" spans="1:19" x14ac:dyDescent="0.2">
      <c r="B26" t="s">
        <v>6</v>
      </c>
      <c r="C26" s="17">
        <f>SUM(C24:C25)</f>
        <v>20000000</v>
      </c>
      <c r="D26" s="17">
        <f>SUM(D24:D25)</f>
        <v>20000000</v>
      </c>
      <c r="E26" s="17">
        <f t="shared" si="0"/>
        <v>20000000</v>
      </c>
      <c r="L26" s="10"/>
      <c r="Q26" s="12"/>
      <c r="R26" s="15"/>
      <c r="S26" s="15"/>
    </row>
    <row r="27" spans="1:19" x14ac:dyDescent="0.2">
      <c r="B27" t="s">
        <v>7</v>
      </c>
      <c r="C27" s="17">
        <f>-4000000</f>
        <v>-4000000</v>
      </c>
      <c r="D27" s="17">
        <f>-4000000</f>
        <v>-4000000</v>
      </c>
      <c r="E27" s="17">
        <f t="shared" si="0"/>
        <v>-4000000</v>
      </c>
      <c r="L27" s="10"/>
      <c r="M27" s="11"/>
      <c r="N27" s="11"/>
      <c r="O27" s="11"/>
      <c r="Q27" s="12"/>
      <c r="R27" s="15"/>
      <c r="S27" s="15"/>
    </row>
    <row r="28" spans="1:19" x14ac:dyDescent="0.2">
      <c r="B28" t="s">
        <v>8</v>
      </c>
      <c r="C28" s="17">
        <f>-6300000/6</f>
        <v>-1050000</v>
      </c>
      <c r="D28" s="17">
        <f>-6300000/6</f>
        <v>-1050000</v>
      </c>
      <c r="E28" s="17">
        <f t="shared" si="0"/>
        <v>-1050000</v>
      </c>
      <c r="L28" s="10"/>
      <c r="M28" s="14"/>
      <c r="N28" s="14"/>
      <c r="O28" s="14"/>
      <c r="Q28" s="9"/>
    </row>
    <row r="29" spans="1:19" x14ac:dyDescent="0.2">
      <c r="B29" t="s">
        <v>9</v>
      </c>
      <c r="C29" s="17">
        <f>SUM(C26:C28)</f>
        <v>14950000</v>
      </c>
      <c r="D29" s="17">
        <f>SUM(D26:D28)</f>
        <v>14950000</v>
      </c>
      <c r="E29" s="17">
        <f t="shared" si="0"/>
        <v>14950000</v>
      </c>
      <c r="L29" s="10"/>
      <c r="Q29" s="12"/>
      <c r="R29" s="15"/>
      <c r="S29" s="15"/>
    </row>
    <row r="30" spans="1:19" x14ac:dyDescent="0.2">
      <c r="B30" t="s">
        <v>10</v>
      </c>
      <c r="C30" s="17">
        <f>-C29*40%</f>
        <v>-5980000</v>
      </c>
      <c r="D30" s="17">
        <f>-D29*40%</f>
        <v>-5980000</v>
      </c>
      <c r="E30" s="17">
        <f t="shared" si="0"/>
        <v>-5980000</v>
      </c>
      <c r="L30" s="10"/>
      <c r="M30" s="14"/>
      <c r="N30" s="14"/>
      <c r="O30" s="14"/>
      <c r="Q30" s="12"/>
      <c r="R30" s="15"/>
      <c r="S30" s="15"/>
    </row>
    <row r="31" spans="1:19" x14ac:dyDescent="0.2">
      <c r="B31" t="s">
        <v>11</v>
      </c>
      <c r="C31" s="17">
        <f>SUM(C29:C30)</f>
        <v>8970000</v>
      </c>
      <c r="D31" s="17">
        <f>SUM(D29:D30)</f>
        <v>8970000</v>
      </c>
      <c r="E31" s="17">
        <f t="shared" si="0"/>
        <v>8970000</v>
      </c>
      <c r="L31" s="10"/>
      <c r="M31" s="11"/>
      <c r="N31" s="11"/>
      <c r="O31" s="11"/>
      <c r="Q31" s="12"/>
      <c r="R31" s="15"/>
      <c r="S31" s="15"/>
    </row>
    <row r="32" spans="1:19" x14ac:dyDescent="0.2">
      <c r="B32" t="s">
        <v>12</v>
      </c>
      <c r="C32" s="17">
        <f>-C28</f>
        <v>1050000</v>
      </c>
      <c r="D32" s="17">
        <f>-D28</f>
        <v>1050000</v>
      </c>
      <c r="E32" s="17">
        <f t="shared" si="0"/>
        <v>1050000</v>
      </c>
      <c r="Q32" s="12"/>
      <c r="R32" s="15"/>
      <c r="S32" s="15"/>
    </row>
    <row r="33" spans="1:19" x14ac:dyDescent="0.2">
      <c r="B33" t="s">
        <v>13</v>
      </c>
      <c r="C33" s="17">
        <f>-(25%*C24+25%*C25)</f>
        <v>-5000000</v>
      </c>
      <c r="D33" s="17"/>
      <c r="E33" s="17">
        <f>-C33</f>
        <v>5000000</v>
      </c>
      <c r="Q33" s="12"/>
      <c r="R33" s="12"/>
      <c r="S33" s="12"/>
    </row>
    <row r="34" spans="1:19" x14ac:dyDescent="0.2">
      <c r="B34" t="s">
        <v>15</v>
      </c>
      <c r="C34" s="17">
        <f>-6300000</f>
        <v>-6300000</v>
      </c>
      <c r="D34" s="17"/>
      <c r="E34" s="17"/>
      <c r="Q34" s="9"/>
    </row>
    <row r="35" spans="1:19" x14ac:dyDescent="0.2">
      <c r="B35" t="s">
        <v>16</v>
      </c>
      <c r="C35" s="17">
        <v>-25000000</v>
      </c>
      <c r="D35" s="17"/>
      <c r="E35" s="17"/>
      <c r="Q35" s="12"/>
      <c r="R35" s="15"/>
      <c r="S35" s="15"/>
    </row>
    <row r="36" spans="1:19" x14ac:dyDescent="0.2">
      <c r="B36" t="s">
        <v>14</v>
      </c>
      <c r="C36" s="17">
        <f>SUM(C33:C35)</f>
        <v>-36300000</v>
      </c>
      <c r="D36" s="17">
        <f>SUM(D31:D32)</f>
        <v>10020000</v>
      </c>
      <c r="E36" s="17">
        <f>SUM(E31:E33)</f>
        <v>15020000</v>
      </c>
      <c r="Q36" s="12"/>
      <c r="R36" s="15"/>
      <c r="S36" s="15"/>
    </row>
    <row r="37" spans="1:19" x14ac:dyDescent="0.2">
      <c r="C37" s="17"/>
      <c r="D37" s="17"/>
      <c r="E37" s="17"/>
      <c r="Q37" s="12"/>
      <c r="R37" s="15"/>
      <c r="S37" s="15"/>
    </row>
    <row r="38" spans="1:19" x14ac:dyDescent="0.2">
      <c r="A38" s="25" t="s">
        <v>17</v>
      </c>
      <c r="C38" s="17"/>
      <c r="D38" s="17"/>
      <c r="E38" s="17"/>
      <c r="Q38" s="12"/>
      <c r="R38" s="15"/>
      <c r="S38" s="15"/>
    </row>
    <row r="39" spans="1:19" x14ac:dyDescent="0.2">
      <c r="B39" t="s">
        <v>21</v>
      </c>
      <c r="C39" s="17">
        <f>C36</f>
        <v>-36300000</v>
      </c>
      <c r="D39" s="17"/>
      <c r="E39" s="17"/>
      <c r="Q39" s="12"/>
      <c r="R39" s="13"/>
      <c r="S39" s="13"/>
    </row>
    <row r="40" spans="1:19" x14ac:dyDescent="0.2">
      <c r="B40" t="s">
        <v>22</v>
      </c>
      <c r="C40" s="17">
        <f>$D$36*(1+12%)^1</f>
        <v>11222400.000000002</v>
      </c>
      <c r="D40" s="17"/>
      <c r="E40" s="17"/>
    </row>
    <row r="41" spans="1:19" x14ac:dyDescent="0.2">
      <c r="B41" t="s">
        <v>23</v>
      </c>
      <c r="C41" s="17">
        <f>$D$36*(1+12%)^2</f>
        <v>12569088.000000002</v>
      </c>
      <c r="D41" s="17"/>
      <c r="E41" s="17"/>
    </row>
    <row r="42" spans="1:19" x14ac:dyDescent="0.2">
      <c r="B42" t="s">
        <v>24</v>
      </c>
      <c r="C42" s="17">
        <f>$D$36*(1+12%)^3</f>
        <v>14077378.560000004</v>
      </c>
      <c r="D42" s="17"/>
      <c r="E42" s="17"/>
    </row>
    <row r="43" spans="1:19" x14ac:dyDescent="0.2">
      <c r="B43" t="s">
        <v>25</v>
      </c>
      <c r="C43" s="17">
        <f>$D$36*(1+12%)^4</f>
        <v>15766663.987200003</v>
      </c>
      <c r="D43" s="17"/>
      <c r="E43" s="17"/>
    </row>
    <row r="44" spans="1:19" x14ac:dyDescent="0.2">
      <c r="B44" t="s">
        <v>26</v>
      </c>
      <c r="C44" s="17">
        <f>$D$36*(1+12%)^5</f>
        <v>17658663.665664006</v>
      </c>
      <c r="D44" s="17"/>
      <c r="E44" s="17"/>
    </row>
    <row r="45" spans="1:19" x14ac:dyDescent="0.2">
      <c r="B45" t="s">
        <v>18</v>
      </c>
      <c r="C45" s="17">
        <f>E36*(1+12%)^6</f>
        <v>29646816.731463693</v>
      </c>
      <c r="D45" s="17"/>
      <c r="E45" s="17"/>
    </row>
    <row r="46" spans="1:19" x14ac:dyDescent="0.2">
      <c r="B46" t="s">
        <v>20</v>
      </c>
      <c r="C46" s="17">
        <f>SUM(C39:C45)</f>
        <v>64641010.944327705</v>
      </c>
      <c r="D46" s="17"/>
      <c r="E46" s="17"/>
    </row>
  </sheetData>
  <mergeCells count="2">
    <mergeCell ref="L5:L6"/>
    <mergeCell ref="M5:O5"/>
  </mergeCells>
  <phoneticPr fontId="7"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C2:U7"/>
  <sheetViews>
    <sheetView zoomScaleNormal="100" workbookViewId="0">
      <selection activeCell="L5" sqref="L5"/>
    </sheetView>
  </sheetViews>
  <sheetFormatPr baseColWidth="10" defaultColWidth="11" defaultRowHeight="16" x14ac:dyDescent="0.2"/>
  <cols>
    <col min="2" max="2" width="12.33203125" bestFit="1" customWidth="1"/>
  </cols>
  <sheetData>
    <row r="2" spans="3:21" x14ac:dyDescent="0.2">
      <c r="T2" s="3"/>
      <c r="U2" t="s">
        <v>0</v>
      </c>
    </row>
    <row r="3" spans="3:21" x14ac:dyDescent="0.2">
      <c r="T3" s="2"/>
      <c r="U3" t="s">
        <v>1</v>
      </c>
    </row>
    <row r="7" spans="3:21" x14ac:dyDescent="0.2">
      <c r="C7" s="4"/>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1&amp;2</vt:lpstr>
      <vt:lpstr>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EDU_XWPH_9862@diakoffice.onmicrosoft.com</dc:creator>
  <cp:lastModifiedBy>weijun gao</cp:lastModifiedBy>
  <dcterms:created xsi:type="dcterms:W3CDTF">2019-09-24T20:10:59Z</dcterms:created>
  <dcterms:modified xsi:type="dcterms:W3CDTF">2024-10-08T08:12:04Z</dcterms:modified>
</cp:coreProperties>
</file>