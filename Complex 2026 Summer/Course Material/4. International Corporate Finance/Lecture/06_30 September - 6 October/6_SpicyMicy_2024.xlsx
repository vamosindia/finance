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orvinus-my.sharepoint.com/personal/leyla_yusifzada_uni-corvinus_hu/Documents/icf_2024/case study/"/>
    </mc:Choice>
  </mc:AlternateContent>
  <xr:revisionPtr revIDLastSave="764" documentId="8_{75984DB1-FB37-41F2-96BA-7EEF89181A64}" xr6:coauthVersionLast="47" xr6:coauthVersionMax="47" xr10:uidLastSave="{A0E85D8C-B184-473D-BE98-9817E5CABA73}"/>
  <bookViews>
    <workbookView xWindow="-110" yWindow="-110" windowWidth="19420" windowHeight="10420" activeTab="1" xr2:uid="{00000000-000D-0000-FFFF-FFFF00000000}"/>
  </bookViews>
  <sheets>
    <sheet name="Assumptions" sheetId="1" r:id="rId1"/>
    <sheet name="Business pl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2" l="1"/>
  <c r="D90" i="2"/>
  <c r="D89" i="2"/>
  <c r="G89" i="2"/>
  <c r="C85" i="2"/>
  <c r="D85" i="2"/>
  <c r="E85" i="2"/>
  <c r="F85" i="2"/>
  <c r="G85" i="2"/>
  <c r="H85" i="2"/>
  <c r="C86" i="2"/>
  <c r="D86" i="2"/>
  <c r="E86" i="2"/>
  <c r="E89" i="2" s="1"/>
  <c r="E90" i="2" s="1"/>
  <c r="F86" i="2"/>
  <c r="G86" i="2"/>
  <c r="H86" i="2"/>
  <c r="C87" i="2"/>
  <c r="D88" i="2" s="1"/>
  <c r="D87" i="2"/>
  <c r="E87" i="2"/>
  <c r="F87" i="2"/>
  <c r="G87" i="2"/>
  <c r="E88" i="2"/>
  <c r="F88" i="2"/>
  <c r="G88" i="2"/>
  <c r="G90" i="2" s="1"/>
  <c r="F89" i="2"/>
  <c r="F90" i="2" s="1"/>
  <c r="D64" i="2" l="1"/>
  <c r="C77" i="2"/>
  <c r="C82" i="2" s="1"/>
  <c r="H68" i="2" l="1"/>
  <c r="F64" i="2"/>
  <c r="G68" i="2" s="1"/>
  <c r="D65" i="2"/>
  <c r="E65" i="2" s="1"/>
  <c r="F65" i="2" s="1"/>
  <c r="G65" i="2" s="1"/>
  <c r="H65" i="2" s="1"/>
  <c r="H63" i="2" l="1"/>
  <c r="E68" i="2"/>
  <c r="E63" i="2" s="1"/>
  <c r="D68" i="2"/>
  <c r="D63" i="2" s="1"/>
  <c r="F68" i="2"/>
  <c r="F63" i="2" s="1"/>
  <c r="D72" i="2"/>
  <c r="G63" i="2"/>
  <c r="K19" i="2"/>
  <c r="L19" i="2" s="1"/>
  <c r="C36" i="2" l="1"/>
  <c r="C9" i="2"/>
  <c r="C10" i="2" s="1"/>
  <c r="G49" i="1"/>
  <c r="D49" i="1"/>
  <c r="E49" i="1"/>
  <c r="F49" i="1"/>
  <c r="C49" i="1"/>
  <c r="D48" i="1"/>
  <c r="E48" i="1"/>
  <c r="F48" i="1"/>
  <c r="G48" i="1"/>
  <c r="C48" i="1"/>
  <c r="C8" i="2"/>
  <c r="D8" i="2" s="1"/>
  <c r="E8" i="2" s="1"/>
  <c r="F8" i="2" s="1"/>
  <c r="G8" i="2" s="1"/>
  <c r="C7" i="2" l="1"/>
  <c r="K25" i="2"/>
  <c r="L25" i="2" l="1"/>
  <c r="M19" i="2"/>
  <c r="N19" i="2" s="1"/>
  <c r="O19" i="2" s="1"/>
  <c r="M25" i="2" l="1"/>
  <c r="N25" i="2" l="1"/>
  <c r="O25" i="2" l="1"/>
  <c r="G46" i="1" l="1"/>
  <c r="K20" i="2" l="1"/>
  <c r="K21" i="2"/>
  <c r="K14" i="2"/>
  <c r="L14" i="2" s="1"/>
  <c r="M14" i="2" s="1"/>
  <c r="N14" i="2" s="1"/>
  <c r="O14" i="2" s="1"/>
  <c r="K15" i="2"/>
  <c r="L15" i="2" s="1"/>
  <c r="M15" i="2" s="1"/>
  <c r="N15" i="2" s="1"/>
  <c r="O15" i="2" s="1"/>
  <c r="K16" i="2"/>
  <c r="K13" i="2"/>
  <c r="B67" i="1"/>
  <c r="B55" i="1"/>
  <c r="L16" i="2" l="1"/>
  <c r="K31" i="2"/>
  <c r="L13" i="2"/>
  <c r="L20" i="2"/>
  <c r="M20" i="2" s="1"/>
  <c r="N20" i="2" s="1"/>
  <c r="O20" i="2" s="1"/>
  <c r="K26" i="2"/>
  <c r="L26" i="2" s="1"/>
  <c r="M26" i="2" s="1"/>
  <c r="N26" i="2" s="1"/>
  <c r="O26" i="2" s="1"/>
  <c r="L21" i="2"/>
  <c r="M21" i="2" s="1"/>
  <c r="N21" i="2" s="1"/>
  <c r="O21" i="2" s="1"/>
  <c r="K27" i="2"/>
  <c r="L27" i="2" s="1"/>
  <c r="M27" i="2" s="1"/>
  <c r="N27" i="2" s="1"/>
  <c r="O27" i="2" s="1"/>
  <c r="K22" i="2"/>
  <c r="L22" i="2" l="1"/>
  <c r="M22" i="2" s="1"/>
  <c r="N22" i="2" s="1"/>
  <c r="O22" i="2" s="1"/>
  <c r="K28" i="2"/>
  <c r="K29" i="2"/>
  <c r="L31" i="2"/>
  <c r="M13" i="2"/>
  <c r="L29" i="2"/>
  <c r="M16" i="2"/>
  <c r="K32" i="2"/>
  <c r="C5" i="2" s="1"/>
  <c r="C3" i="2"/>
  <c r="K12" i="2" s="1"/>
  <c r="C33" i="2" l="1"/>
  <c r="C41" i="2"/>
  <c r="C40" i="2" s="1"/>
  <c r="C35" i="2"/>
  <c r="M32" i="2"/>
  <c r="N16" i="2"/>
  <c r="L32" i="2"/>
  <c r="D5" i="2" s="1"/>
  <c r="N13" i="2"/>
  <c r="M31" i="2"/>
  <c r="M29" i="2"/>
  <c r="L28" i="2"/>
  <c r="K30" i="2"/>
  <c r="C4" i="2" s="1"/>
  <c r="G12" i="1"/>
  <c r="G23" i="1" s="1"/>
  <c r="G27" i="1" s="1"/>
  <c r="E5" i="2" l="1"/>
  <c r="E41" i="2" s="1"/>
  <c r="E40" i="2" s="1"/>
  <c r="D41" i="2"/>
  <c r="D40" i="2" s="1"/>
  <c r="O16" i="2"/>
  <c r="N32" i="2"/>
  <c r="O13" i="2"/>
  <c r="N31" i="2"/>
  <c r="N29" i="2"/>
  <c r="C6" i="2"/>
  <c r="C14" i="2" s="1"/>
  <c r="C16" i="2" s="1"/>
  <c r="C34" i="2"/>
  <c r="C32" i="2" s="1"/>
  <c r="M28" i="2"/>
  <c r="L30" i="2"/>
  <c r="D4" i="2" s="1"/>
  <c r="B46" i="1"/>
  <c r="B51" i="1" s="1"/>
  <c r="B57" i="1" s="1"/>
  <c r="B63" i="1" s="1"/>
  <c r="B43" i="1"/>
  <c r="B35" i="1"/>
  <c r="B69" i="1" s="1"/>
  <c r="B27" i="1"/>
  <c r="B31" i="1"/>
  <c r="B12" i="1"/>
  <c r="F5" i="2" l="1"/>
  <c r="F41" i="2" s="1"/>
  <c r="F40" i="2" s="1"/>
  <c r="C57" i="2"/>
  <c r="C39" i="2"/>
  <c r="O32" i="2"/>
  <c r="O31" i="2"/>
  <c r="O29" i="2"/>
  <c r="D34" i="2"/>
  <c r="D6" i="2"/>
  <c r="D11" i="2"/>
  <c r="D9" i="2" s="1"/>
  <c r="D10" i="2" s="1"/>
  <c r="D7" i="2" s="1"/>
  <c r="D36" i="2"/>
  <c r="N28" i="2"/>
  <c r="M30" i="2"/>
  <c r="E4" i="2" s="1"/>
  <c r="C55" i="2"/>
  <c r="C19" i="2"/>
  <c r="C28" i="1"/>
  <c r="B23" i="1"/>
  <c r="C3" i="1"/>
  <c r="C31" i="2"/>
  <c r="C54" i="2" s="1"/>
  <c r="C76" i="2" s="1"/>
  <c r="C81" i="2" s="1"/>
  <c r="C96" i="2" s="1"/>
  <c r="G5" i="2" l="1"/>
  <c r="G41" i="2" s="1"/>
  <c r="G40" i="2" s="1"/>
  <c r="O28" i="2"/>
  <c r="O30" i="2" s="1"/>
  <c r="G4" i="2" s="1"/>
  <c r="N30" i="2"/>
  <c r="F4" i="2" s="1"/>
  <c r="D13" i="2"/>
  <c r="D14" i="2" s="1"/>
  <c r="D16" i="2" s="1"/>
  <c r="D55" i="2" s="1"/>
  <c r="E36" i="2"/>
  <c r="D33" i="2"/>
  <c r="D35" i="2"/>
  <c r="C20" i="2"/>
  <c r="C60" i="2" s="1"/>
  <c r="E6" i="2"/>
  <c r="E34" i="2"/>
  <c r="E11" i="2"/>
  <c r="E9" i="2" s="1"/>
  <c r="E10" i="2" s="1"/>
  <c r="E7" i="2" s="1"/>
  <c r="C100" i="2"/>
  <c r="C44" i="2"/>
  <c r="D3" i="2"/>
  <c r="L12" i="2" s="1"/>
  <c r="C46" i="1"/>
  <c r="D3" i="1"/>
  <c r="C35" i="1"/>
  <c r="C69" i="1" s="1"/>
  <c r="C43" i="1"/>
  <c r="C12" i="1"/>
  <c r="C23" i="1" s="1"/>
  <c r="C27" i="1" s="1"/>
  <c r="D28" i="1"/>
  <c r="C43" i="2" l="1"/>
  <c r="C45" i="2" s="1"/>
  <c r="C27" i="2" s="1"/>
  <c r="D32" i="2"/>
  <c r="D57" i="2" s="1"/>
  <c r="D17" i="2"/>
  <c r="C56" i="2"/>
  <c r="F36" i="2"/>
  <c r="F13" i="2" s="1"/>
  <c r="E13" i="2"/>
  <c r="E14" i="2" s="1"/>
  <c r="E16" i="2" s="1"/>
  <c r="E55" i="2" s="1"/>
  <c r="G6" i="2"/>
  <c r="G34" i="2"/>
  <c r="G11" i="2"/>
  <c r="E35" i="2"/>
  <c r="E33" i="2"/>
  <c r="F6" i="2"/>
  <c r="F11" i="2"/>
  <c r="F9" i="2" s="1"/>
  <c r="F34" i="2"/>
  <c r="C21" i="2"/>
  <c r="E3" i="2"/>
  <c r="M12" i="2" s="1"/>
  <c r="D46" i="1"/>
  <c r="D12" i="1"/>
  <c r="D23" i="1" s="1"/>
  <c r="D27" i="1" s="1"/>
  <c r="E3" i="1"/>
  <c r="D31" i="2"/>
  <c r="D54" i="2" s="1"/>
  <c r="D76" i="2" s="1"/>
  <c r="D81" i="2" s="1"/>
  <c r="D96" i="2" s="1"/>
  <c r="D43" i="1"/>
  <c r="D35" i="1"/>
  <c r="D69" i="1" s="1"/>
  <c r="E24" i="1"/>
  <c r="E28" i="1"/>
  <c r="G36" i="2" l="1"/>
  <c r="G13" i="2" s="1"/>
  <c r="C25" i="2"/>
  <c r="C28" i="2" s="1"/>
  <c r="C48" i="2" s="1"/>
  <c r="D46" i="2" s="1"/>
  <c r="C47" i="2"/>
  <c r="F10" i="2"/>
  <c r="F7" i="2" s="1"/>
  <c r="F14" i="2" s="1"/>
  <c r="F16" i="2" s="1"/>
  <c r="F55" i="2" s="1"/>
  <c r="G9" i="2"/>
  <c r="G10" i="2" s="1"/>
  <c r="G7" i="2" s="1"/>
  <c r="E17" i="2"/>
  <c r="E32" i="2"/>
  <c r="E57" i="2" s="1"/>
  <c r="D100" i="2"/>
  <c r="D44" i="2"/>
  <c r="D58" i="2"/>
  <c r="F3" i="2"/>
  <c r="N12" i="2" s="1"/>
  <c r="E46" i="1"/>
  <c r="F3" i="1"/>
  <c r="E12" i="1"/>
  <c r="E23" i="1" s="1"/>
  <c r="E27" i="1" s="1"/>
  <c r="E35" i="1"/>
  <c r="E69" i="1" s="1"/>
  <c r="E43" i="1"/>
  <c r="E31" i="2"/>
  <c r="E54" i="2" s="1"/>
  <c r="E76" i="2" s="1"/>
  <c r="E81" i="2" s="1"/>
  <c r="E96" i="2" s="1"/>
  <c r="F28" i="1"/>
  <c r="F24" i="1"/>
  <c r="D43" i="2" l="1"/>
  <c r="E18" i="2"/>
  <c r="F33" i="2"/>
  <c r="F35" i="2"/>
  <c r="E58" i="2"/>
  <c r="E100" i="2"/>
  <c r="E44" i="2"/>
  <c r="G33" i="2"/>
  <c r="G35" i="2"/>
  <c r="G14" i="2"/>
  <c r="G16" i="2" s="1"/>
  <c r="G55" i="2" s="1"/>
  <c r="C24" i="2"/>
  <c r="D49" i="2"/>
  <c r="C50" i="2"/>
  <c r="G3" i="2"/>
  <c r="O12" i="2" s="1"/>
  <c r="F46" i="1"/>
  <c r="G28" i="1"/>
  <c r="G24" i="1"/>
  <c r="F35" i="1"/>
  <c r="F69" i="1" s="1"/>
  <c r="F43" i="1"/>
  <c r="F31" i="2"/>
  <c r="F54" i="2" s="1"/>
  <c r="F76" i="2" s="1"/>
  <c r="F81" i="2" s="1"/>
  <c r="F96" i="2" s="1"/>
  <c r="F12" i="1"/>
  <c r="F23" i="1" s="1"/>
  <c r="F27" i="1" s="1"/>
  <c r="F18" i="2" l="1"/>
  <c r="G32" i="2"/>
  <c r="G57" i="2" s="1"/>
  <c r="G100" i="2" s="1"/>
  <c r="G17" i="2"/>
  <c r="F32" i="2"/>
  <c r="F57" i="2" s="1"/>
  <c r="F17" i="2"/>
  <c r="G31" i="2"/>
  <c r="G54" i="2" s="1"/>
  <c r="G76" i="2" s="1"/>
  <c r="G81" i="2" s="1"/>
  <c r="G96" i="2" s="1"/>
  <c r="F100" i="2" l="1"/>
  <c r="F44" i="2"/>
  <c r="F58" i="2"/>
  <c r="G58" i="2"/>
  <c r="G44" i="2"/>
  <c r="D39" i="2"/>
  <c r="G18" i="2" l="1"/>
  <c r="D45" i="2"/>
  <c r="E19" i="2"/>
  <c r="E20" i="2" s="1"/>
  <c r="D27" i="2" l="1"/>
  <c r="D51" i="2"/>
  <c r="D52" i="2" s="1"/>
  <c r="E21" i="2"/>
  <c r="E60" i="2"/>
  <c r="E56" i="2" l="1"/>
  <c r="E47" i="2"/>
  <c r="E39" i="2"/>
  <c r="F39" i="2"/>
  <c r="G39" i="2"/>
  <c r="E59" i="2" l="1"/>
  <c r="E77" i="2" s="1"/>
  <c r="E97" i="2"/>
  <c r="G43" i="2"/>
  <c r="F43" i="2"/>
  <c r="E43" i="2"/>
  <c r="G19" i="2"/>
  <c r="G20" i="2" s="1"/>
  <c r="F19" i="2"/>
  <c r="F20" i="2" s="1"/>
  <c r="E45" i="2" l="1"/>
  <c r="E27" i="2" s="1"/>
  <c r="E25" i="2" s="1"/>
  <c r="E50" i="2" s="1"/>
  <c r="E82" i="2"/>
  <c r="F45" i="2"/>
  <c r="F51" i="2" s="1"/>
  <c r="F52" i="2" s="1"/>
  <c r="G45" i="2"/>
  <c r="G51" i="2" s="1"/>
  <c r="G52" i="2" s="1"/>
  <c r="G21" i="2"/>
  <c r="G60" i="2"/>
  <c r="F21" i="2"/>
  <c r="F60" i="2"/>
  <c r="E51" i="2" l="1"/>
  <c r="E52" i="2" s="1"/>
  <c r="F27" i="2"/>
  <c r="F25" i="2" s="1"/>
  <c r="F50" i="2" s="1"/>
  <c r="G56" i="2"/>
  <c r="H60" i="2"/>
  <c r="F56" i="2"/>
  <c r="E24" i="2"/>
  <c r="G27" i="2"/>
  <c r="G25" i="2" s="1"/>
  <c r="G50" i="2" s="1"/>
  <c r="F47" i="2"/>
  <c r="G47" i="2"/>
  <c r="E28" i="2"/>
  <c r="E48" i="2" s="1"/>
  <c r="F59" i="2" l="1"/>
  <c r="F77" i="2" s="1"/>
  <c r="F97" i="2"/>
  <c r="G59" i="2"/>
  <c r="G77" i="2" s="1"/>
  <c r="G97" i="2"/>
  <c r="F24" i="2"/>
  <c r="G24" i="2"/>
  <c r="F28" i="2"/>
  <c r="F48" i="2" s="1"/>
  <c r="G28" i="2"/>
  <c r="G48" i="2" s="1"/>
  <c r="D18" i="2"/>
  <c r="D19" i="2" s="1"/>
  <c r="G82" i="2" l="1"/>
  <c r="H98" i="2"/>
  <c r="H71" i="2"/>
  <c r="I71" i="2" s="1"/>
  <c r="I69" i="2"/>
  <c r="F82" i="2"/>
  <c r="D20" i="2"/>
  <c r="C51" i="2"/>
  <c r="C52" i="2" s="1"/>
  <c r="H56" i="2" l="1"/>
  <c r="H97" i="2" s="1"/>
  <c r="H99" i="2" s="1"/>
  <c r="G101" i="2" s="1"/>
  <c r="G102" i="2" s="1"/>
  <c r="D21" i="2"/>
  <c r="D60" i="2"/>
  <c r="H55" i="2" l="1"/>
  <c r="D56" i="2"/>
  <c r="H58" i="2"/>
  <c r="H57" i="2" s="1"/>
  <c r="D47" i="2"/>
  <c r="D25" i="2"/>
  <c r="H59" i="2" l="1"/>
  <c r="H77" i="2" s="1"/>
  <c r="G78" i="2" s="1"/>
  <c r="H88" i="2" s="1"/>
  <c r="H89" i="2" s="1"/>
  <c r="H90" i="2" s="1"/>
  <c r="G91" i="2" s="1"/>
  <c r="D59" i="2"/>
  <c r="D77" i="2" s="1"/>
  <c r="D97" i="2"/>
  <c r="D50" i="2"/>
  <c r="D28" i="2"/>
  <c r="D48" i="2" s="1"/>
  <c r="E49" i="2"/>
  <c r="F49" i="2" s="1"/>
  <c r="G49" i="2" s="1"/>
  <c r="D24" i="2"/>
  <c r="F92" i="2" l="1"/>
  <c r="H82" i="2"/>
  <c r="G83" i="2" s="1"/>
  <c r="F84" i="2" s="1"/>
  <c r="E84" i="2" s="1"/>
  <c r="D84" i="2" s="1"/>
  <c r="C84" i="2" s="1"/>
  <c r="D82" i="2"/>
  <c r="E46" i="2"/>
  <c r="F46" i="2" s="1"/>
  <c r="G46" i="2" s="1"/>
  <c r="F93" i="2" l="1"/>
  <c r="E92" i="2"/>
  <c r="D92" i="2" s="1"/>
  <c r="C92" i="2" s="1"/>
  <c r="G93" i="2"/>
  <c r="E93" i="2" l="1"/>
  <c r="D93" i="2"/>
  <c r="C93" i="2"/>
  <c r="G70" i="2" l="1"/>
  <c r="G69" i="2" s="1"/>
  <c r="F70" i="2"/>
  <c r="F69" i="2" l="1"/>
  <c r="F98" i="2" s="1"/>
  <c r="F99" i="2" s="1"/>
  <c r="F79" i="2"/>
  <c r="E79" i="2" s="1"/>
  <c r="E70" i="2"/>
  <c r="E69" i="2" s="1"/>
  <c r="E98" i="2" s="1"/>
  <c r="E99" i="2" s="1"/>
  <c r="C94" i="2"/>
  <c r="G98" i="2" l="1"/>
  <c r="G99" i="2" s="1"/>
  <c r="F101" i="2" s="1"/>
  <c r="F102" i="2" s="1"/>
  <c r="D70" i="2"/>
  <c r="D79" i="2"/>
  <c r="D69" i="2" l="1"/>
  <c r="D98" i="2" s="1"/>
  <c r="D99" i="2" s="1"/>
  <c r="E101" i="2"/>
  <c r="E102" i="2" s="1"/>
  <c r="C79" i="2" l="1"/>
  <c r="D101" i="2"/>
  <c r="D102" i="2" s="1"/>
  <c r="C101" i="2" l="1"/>
  <c r="C10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tc={90AE976A-EC26-4180-919D-99AC56F493DB}</author>
  </authors>
  <commentList>
    <comment ref="H70" authorId="0" shapeId="0" xr:uid="{90AE976A-EC26-4180-919D-99AC56F493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D/V ratio stabilizes at 40% in the terminal value period. 
</t>
      </text>
    </comment>
  </commentList>
</comments>
</file>

<file path=xl/sharedStrings.xml><?xml version="1.0" encoding="utf-8"?>
<sst xmlns="http://schemas.openxmlformats.org/spreadsheetml/2006/main" count="185" uniqueCount="147">
  <si>
    <t>Macro assumptions</t>
  </si>
  <si>
    <t>General</t>
  </si>
  <si>
    <t>TV</t>
  </si>
  <si>
    <t>Inflation (Hungary)</t>
  </si>
  <si>
    <t>Inflation (Slovakia)</t>
  </si>
  <si>
    <t>Corporate Tax</t>
  </si>
  <si>
    <t>Wage contribution</t>
  </si>
  <si>
    <t>Number of months</t>
  </si>
  <si>
    <t>Assumptions for the balance sheet &amp; income statement</t>
  </si>
  <si>
    <t>Number of days</t>
  </si>
  <si>
    <t>Accounts receivables days</t>
  </si>
  <si>
    <t>Accounts receivables</t>
  </si>
  <si>
    <t xml:space="preserve">Accounts payables days </t>
  </si>
  <si>
    <t xml:space="preserve">Accounts payables </t>
  </si>
  <si>
    <t>Inventory days</t>
  </si>
  <si>
    <t>Inventory</t>
  </si>
  <si>
    <t>Debt</t>
  </si>
  <si>
    <t>Cost of debt</t>
  </si>
  <si>
    <t xml:space="preserve">Debit </t>
  </si>
  <si>
    <t>debit interest rate</t>
  </si>
  <si>
    <t>Costs</t>
  </si>
  <si>
    <t>Monthly operating costs</t>
  </si>
  <si>
    <t>Monthly rent</t>
  </si>
  <si>
    <t>Growth</t>
  </si>
  <si>
    <t>paprika</t>
  </si>
  <si>
    <t>pepper</t>
  </si>
  <si>
    <t>herbs</t>
  </si>
  <si>
    <t>export</t>
  </si>
  <si>
    <t>net investment in the ratio of the sales</t>
  </si>
  <si>
    <t>Depreciation &amp; amortization</t>
  </si>
  <si>
    <t>DD&amp;A</t>
  </si>
  <si>
    <t>Wages</t>
  </si>
  <si>
    <t>one month wage</t>
  </si>
  <si>
    <t>New employees gross wage per month</t>
  </si>
  <si>
    <t>new employers capacity in sales</t>
  </si>
  <si>
    <t>Premium over COGS (per ton)</t>
  </si>
  <si>
    <t>export (paprika)</t>
  </si>
  <si>
    <t>Sales (ton)</t>
  </si>
  <si>
    <t>Cost of sales (per ton)</t>
  </si>
  <si>
    <t>D/IC</t>
  </si>
  <si>
    <t>Income Statement</t>
  </si>
  <si>
    <t>eFT</t>
  </si>
  <si>
    <t>Net sales</t>
  </si>
  <si>
    <t>Cost of sales</t>
  </si>
  <si>
    <t>Gross profit</t>
  </si>
  <si>
    <t>Selling, general and administrative</t>
  </si>
  <si>
    <t>operating costs</t>
  </si>
  <si>
    <t>wages</t>
  </si>
  <si>
    <t>wage contribution</t>
  </si>
  <si>
    <t>Increase in the number of employees compared to 2023</t>
  </si>
  <si>
    <t>Research and development</t>
  </si>
  <si>
    <t>Depreciation &amp; Amortization</t>
  </si>
  <si>
    <t>Operating income</t>
  </si>
  <si>
    <t>Other income/expenses</t>
  </si>
  <si>
    <t>Earning before interest and taxes</t>
  </si>
  <si>
    <t>export paprika</t>
  </si>
  <si>
    <t>Interest income</t>
  </si>
  <si>
    <t>interest expense</t>
  </si>
  <si>
    <t>Cost of sales/ton</t>
  </si>
  <si>
    <t>Pretax income</t>
  </si>
  <si>
    <t>Taxes</t>
  </si>
  <si>
    <t>Net income</t>
  </si>
  <si>
    <t>Dividend</t>
  </si>
  <si>
    <t>Net sales/ton</t>
  </si>
  <si>
    <t>Retained earning</t>
  </si>
  <si>
    <t>Stockholders' equity change needed</t>
  </si>
  <si>
    <t>Common stock repurchase/issue</t>
  </si>
  <si>
    <t>Net sales - Hungary</t>
  </si>
  <si>
    <t>Balance sheet</t>
  </si>
  <si>
    <t>eFt</t>
  </si>
  <si>
    <t>Net sales - Slovakia</t>
  </si>
  <si>
    <t>Cost of sales - Hungary</t>
  </si>
  <si>
    <t>Current assets</t>
  </si>
  <si>
    <t>Cost of sales - Slovakia</t>
  </si>
  <si>
    <t>Cash (operation)</t>
  </si>
  <si>
    <t>Inventories</t>
  </si>
  <si>
    <t>Long-term assets</t>
  </si>
  <si>
    <t>Intangible assets</t>
  </si>
  <si>
    <t>Net property land and equipement</t>
  </si>
  <si>
    <t>Total assets</t>
  </si>
  <si>
    <t>Current liablities</t>
  </si>
  <si>
    <t>Accounts payables</t>
  </si>
  <si>
    <t>Notes payable/short-term debt</t>
  </si>
  <si>
    <t>Long-term liabilities</t>
  </si>
  <si>
    <t>Long-term debt</t>
  </si>
  <si>
    <t>Stockholder's equity</t>
  </si>
  <si>
    <t>Common stocks</t>
  </si>
  <si>
    <t>Common stocks repurchase/issue</t>
  </si>
  <si>
    <t>Accumulated retained earnings</t>
  </si>
  <si>
    <t>Retained earnings</t>
  </si>
  <si>
    <t>Total liabilities and Stockholders' Equity</t>
  </si>
  <si>
    <t>Check</t>
  </si>
  <si>
    <t>CF</t>
  </si>
  <si>
    <t>TV2</t>
  </si>
  <si>
    <t>EBIT</t>
  </si>
  <si>
    <t>NOPLAT</t>
  </si>
  <si>
    <t>IC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</si>
  <si>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charset val="238"/>
        <scheme val="minor"/>
      </rPr>
      <t>IC</t>
    </r>
  </si>
  <si>
    <t>FCFF</t>
  </si>
  <si>
    <t>effective taxrate</t>
  </si>
  <si>
    <t>g</t>
  </si>
  <si>
    <t>rA</t>
  </si>
  <si>
    <t>rf</t>
  </si>
  <si>
    <t>http://www.worldgovernmentbonds.com/country/hungary/</t>
  </si>
  <si>
    <t>unlevered beta (food processing)</t>
  </si>
  <si>
    <t>https://pages.stern.nyu.edu/~adamodar/New_Home_Page/datafile/Betas.html</t>
  </si>
  <si>
    <t>MRP</t>
  </si>
  <si>
    <t>CRP</t>
  </si>
  <si>
    <t>forward rate</t>
  </si>
  <si>
    <t>WACC</t>
  </si>
  <si>
    <t>D/V</t>
  </si>
  <si>
    <t>RONIC</t>
  </si>
  <si>
    <t>Return on Newly Invested Capital</t>
  </si>
  <si>
    <r>
      <t>RONIC(t+1)=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charset val="238"/>
        <scheme val="minor"/>
      </rPr>
      <t>NOPLAT(t+1)/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charset val="238"/>
        <scheme val="minor"/>
      </rPr>
      <t>IC(t)</t>
    </r>
  </si>
  <si>
    <t>g(t+1)/RONIC(t+1)=</t>
  </si>
  <si>
    <r>
      <t>g(t+1)=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charset val="238"/>
        <scheme val="minor"/>
      </rPr>
      <t>NOPLAT(at time t+1)/NOPLAT(at time t)</t>
    </r>
  </si>
  <si>
    <t>https://papers.ssrn.com/sol3/papers.cfm?abstract_id=4754347</t>
  </si>
  <si>
    <t>https://pages.stern.nyu.edu/~adamodar/New_Home_Page/datafile/ctryprem.html</t>
  </si>
  <si>
    <t>PV(FCFF) = V</t>
  </si>
  <si>
    <t>APV (Adjusted Present Value)</t>
  </si>
  <si>
    <t xml:space="preserve">PV(FCFF) - value of the operation </t>
  </si>
  <si>
    <t>t</t>
  </si>
  <si>
    <t>rD</t>
  </si>
  <si>
    <t>D</t>
  </si>
  <si>
    <t>D (beginning of the year)</t>
  </si>
  <si>
    <t>!!!!!</t>
  </si>
  <si>
    <t>Interest (rD*D)</t>
  </si>
  <si>
    <t>TS = tax shield (t*rD*D)</t>
  </si>
  <si>
    <t>PV(TS)</t>
  </si>
  <si>
    <t>V</t>
  </si>
  <si>
    <t>E</t>
  </si>
  <si>
    <t>EVA (Economic Value Added)</t>
  </si>
  <si>
    <t>ROIC</t>
  </si>
  <si>
    <t>EVA</t>
  </si>
  <si>
    <t>PV(EVA)</t>
  </si>
  <si>
    <t>if RONIC=WACC --&gt; EVA/WACC</t>
  </si>
  <si>
    <t>Value of unlevered firm</t>
  </si>
  <si>
    <r>
      <t>RONIC(2029)=(</t>
    </r>
    <r>
      <rPr>
        <sz val="11"/>
        <color rgb="FFFF0000"/>
        <rFont val="Calibri"/>
        <family val="2"/>
        <charset val="238"/>
        <scheme val="minor"/>
      </rPr>
      <t>NOPLAT(2029)-</t>
    </r>
    <r>
      <rPr>
        <sz val="11"/>
        <color theme="1"/>
        <rFont val="Calibri"/>
        <family val="2"/>
        <charset val="238"/>
        <scheme val="minor"/>
      </rPr>
      <t>NOPLAT(2028))/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charset val="238"/>
        <scheme val="minor"/>
      </rPr>
      <t>IC(2028)</t>
    </r>
  </si>
  <si>
    <t>2029 (TV cash flow)</t>
  </si>
  <si>
    <t>IC=NWC+LTA</t>
  </si>
  <si>
    <t>Equity= Debt-IC</t>
  </si>
  <si>
    <t>rA=rg+βA*MRP</t>
  </si>
  <si>
    <t>ROA = (Net Income / Total Assets)</t>
  </si>
  <si>
    <t>MRP = E(Rm) - Rf</t>
  </si>
  <si>
    <t>CRP country risk premuim</t>
  </si>
  <si>
    <t>TV of TS</t>
  </si>
  <si>
    <t xml:space="preserve">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</si>
</sst>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F_t_-;\-* #,##0.00\ _F_t_-;_-* &quot;-&quot;??\ _F_t_-;_-@_-"/>
    <numFmt numFmtId="165" formatCode="0.000%"/>
    <numFmt numFmtId="166" formatCode="0.0%"/>
  </numFmts>
  <fonts count="3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color indexed="9"/>
      <name val="Arial"/>
      <family val="2"/>
      <charset val="238"/>
    </font>
    <font>
      <b/>
      <sz val="12"/>
      <color indexed="9"/>
      <name val="Arial"/>
      <family val="2"/>
      <charset val="238"/>
    </font>
    <font>
      <sz val="10"/>
      <color indexed="9"/>
      <name val="Arial"/>
      <family val="2"/>
      <charset val="238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Arial"/>
      <family val="2"/>
      <charset val="238"/>
    </font>
    <font>
      <sz val="11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2"/>
      <color indexed="9"/>
      <name val="Arial"/>
      <family val="2"/>
      <charset val="238"/>
    </font>
    <font>
      <b/>
      <i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12"/>
      <name val="Calibri"/>
      <family val="2"/>
    </font>
    <font>
      <sz val="11"/>
      <color indexed="12"/>
      <name val="Calibri"/>
      <family val="2"/>
      <charset val="238"/>
    </font>
    <font>
      <i/>
      <sz val="11"/>
      <color theme="1"/>
      <name val="Calibri"/>
      <family val="2"/>
      <charset val="238"/>
      <scheme val="minor"/>
    </font>
    <font>
      <i/>
      <sz val="11"/>
      <color indexed="8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i/>
      <sz val="10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1"/>
      <name val="Symbol"/>
      <family val="1"/>
      <charset val="2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</font>
    <font>
      <b/>
      <sz val="11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9"/>
      <color rgb="FF000000"/>
      <name val="Geneva"/>
    </font>
    <font>
      <sz val="9"/>
      <color indexed="81"/>
      <name val="Tahoma"/>
      <family val="2"/>
      <charset val="238"/>
    </font>
    <font>
      <sz val="12"/>
      <color rgb="FF374151"/>
      <name val="Söhne"/>
      <charset val="1"/>
    </font>
    <font>
      <sz val="12"/>
      <color theme="1"/>
      <name val="Segoe UI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56"/>
        <bgColor indexed="19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19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 tint="-4.9989318521683403E-2"/>
        <bgColor indexed="31"/>
      </patternFill>
    </fill>
    <fill>
      <patternFill patternType="solid">
        <fgColor indexed="56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105">
    <xf numFmtId="0" fontId="0" fillId="0" borderId="0" xfId="0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3" fontId="0" fillId="0" borderId="1" xfId="0" applyNumberFormat="1" applyBorder="1"/>
    <xf numFmtId="9" fontId="0" fillId="0" borderId="1" xfId="0" applyNumberFormat="1" applyBorder="1"/>
    <xf numFmtId="10" fontId="0" fillId="0" borderId="1" xfId="0" applyNumberFormat="1" applyBorder="1"/>
    <xf numFmtId="4" fontId="0" fillId="0" borderId="0" xfId="0" applyNumberFormat="1"/>
    <xf numFmtId="4" fontId="0" fillId="0" borderId="1" xfId="0" applyNumberFormat="1" applyBorder="1"/>
    <xf numFmtId="0" fontId="7" fillId="5" borderId="1" xfId="0" applyFont="1" applyFill="1" applyBorder="1" applyAlignment="1">
      <alignment horizontal="right"/>
    </xf>
    <xf numFmtId="0" fontId="18" fillId="6" borderId="1" xfId="0" applyFont="1" applyFill="1" applyBorder="1" applyAlignment="1">
      <alignment horizontal="right"/>
    </xf>
    <xf numFmtId="0" fontId="20" fillId="0" borderId="0" xfId="0" applyFont="1"/>
    <xf numFmtId="0" fontId="24" fillId="8" borderId="1" xfId="0" applyFont="1" applyFill="1" applyBorder="1"/>
    <xf numFmtId="3" fontId="24" fillId="8" borderId="1" xfId="0" applyNumberFormat="1" applyFont="1" applyFill="1" applyBorder="1"/>
    <xf numFmtId="0" fontId="22" fillId="0" borderId="1" xfId="0" applyFont="1" applyBorder="1" applyAlignment="1">
      <alignment horizontal="justify" vertical="center"/>
    </xf>
    <xf numFmtId="165" fontId="0" fillId="0" borderId="0" xfId="2" applyNumberFormat="1" applyFont="1"/>
    <xf numFmtId="0" fontId="28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9" fillId="6" borderId="1" xfId="0" applyFont="1" applyFill="1" applyBorder="1"/>
    <xf numFmtId="3" fontId="0" fillId="7" borderId="1" xfId="0" applyNumberFormat="1" applyFill="1" applyBorder="1"/>
    <xf numFmtId="0" fontId="8" fillId="6" borderId="1" xfId="0" applyFont="1" applyFill="1" applyBorder="1" applyAlignment="1">
      <alignment horizontal="left"/>
    </xf>
    <xf numFmtId="3" fontId="19" fillId="7" borderId="1" xfId="0" applyNumberFormat="1" applyFont="1" applyFill="1" applyBorder="1"/>
    <xf numFmtId="0" fontId="9" fillId="6" borderId="1" xfId="0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8" fillId="8" borderId="1" xfId="0" applyFont="1" applyFill="1" applyBorder="1"/>
    <xf numFmtId="3" fontId="6" fillId="9" borderId="1" xfId="1" applyNumberFormat="1" applyFont="1" applyFill="1" applyBorder="1" applyAlignment="1" applyProtection="1">
      <alignment vertical="center" wrapText="1"/>
      <protection hidden="1"/>
    </xf>
    <xf numFmtId="3" fontId="6" fillId="7" borderId="1" xfId="1" applyNumberFormat="1" applyFont="1" applyFill="1" applyBorder="1" applyAlignment="1" applyProtection="1">
      <alignment vertical="center" wrapText="1"/>
      <protection hidden="1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7" fillId="5" borderId="1" xfId="0" applyFont="1" applyFill="1" applyBorder="1"/>
    <xf numFmtId="0" fontId="6" fillId="11" borderId="1" xfId="0" applyFont="1" applyFill="1" applyBorder="1"/>
    <xf numFmtId="3" fontId="13" fillId="0" borderId="1" xfId="1" applyNumberFormat="1" applyFont="1" applyFill="1" applyBorder="1" applyAlignment="1" applyProtection="1"/>
    <xf numFmtId="3" fontId="14" fillId="0" borderId="1" xfId="1" applyNumberFormat="1" applyFont="1" applyFill="1" applyBorder="1" applyAlignment="1" applyProtection="1"/>
    <xf numFmtId="0" fontId="10" fillId="11" borderId="1" xfId="0" applyFont="1" applyFill="1" applyBorder="1"/>
    <xf numFmtId="0" fontId="2" fillId="2" borderId="1" xfId="0" applyFont="1" applyFill="1" applyBorder="1" applyAlignment="1">
      <alignment wrapText="1"/>
    </xf>
    <xf numFmtId="3" fontId="2" fillId="2" borderId="1" xfId="1" applyNumberFormat="1" applyFont="1" applyFill="1" applyBorder="1" applyAlignment="1" applyProtection="1">
      <alignment horizontal="right" vertical="center" wrapText="1"/>
      <protection hidden="1"/>
    </xf>
    <xf numFmtId="3" fontId="14" fillId="0" borderId="1" xfId="1" applyNumberFormat="1" applyFont="1" applyFill="1" applyBorder="1" applyAlignment="1" applyProtection="1">
      <alignment vertical="center"/>
    </xf>
    <xf numFmtId="3" fontId="10" fillId="0" borderId="1" xfId="1" applyNumberFormat="1" applyFont="1" applyFill="1" applyBorder="1" applyAlignment="1" applyProtection="1">
      <alignment vertical="center"/>
    </xf>
    <xf numFmtId="0" fontId="10" fillId="11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3" fontId="10" fillId="16" borderId="1" xfId="1" applyNumberFormat="1" applyFont="1" applyFill="1" applyBorder="1" applyAlignment="1" applyProtection="1">
      <alignment vertical="center"/>
    </xf>
    <xf numFmtId="3" fontId="14" fillId="16" borderId="1" xfId="1" applyNumberFormat="1" applyFont="1" applyFill="1" applyBorder="1" applyAlignment="1" applyProtection="1"/>
    <xf numFmtId="3" fontId="6" fillId="19" borderId="1" xfId="1" applyNumberFormat="1" applyFont="1" applyFill="1" applyBorder="1" applyAlignment="1" applyProtection="1">
      <alignment vertical="center" wrapText="1"/>
      <protection hidden="1"/>
    </xf>
    <xf numFmtId="0" fontId="4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3" fontId="2" fillId="10" borderId="1" xfId="1" applyNumberFormat="1" applyFont="1" applyFill="1" applyBorder="1" applyAlignment="1" applyProtection="1">
      <alignment vertical="center" wrapText="1"/>
      <protection hidden="1"/>
    </xf>
    <xf numFmtId="3" fontId="11" fillId="7" borderId="1" xfId="1" applyNumberFormat="1" applyFont="1" applyFill="1" applyBorder="1" applyAlignment="1" applyProtection="1">
      <alignment vertical="center" wrapText="1"/>
    </xf>
    <xf numFmtId="0" fontId="25" fillId="17" borderId="1" xfId="0" applyFont="1" applyFill="1" applyBorder="1"/>
    <xf numFmtId="0" fontId="27" fillId="18" borderId="1" xfId="0" applyFont="1" applyFill="1" applyBorder="1"/>
    <xf numFmtId="3" fontId="27" fillId="18" borderId="1" xfId="0" applyNumberFormat="1" applyFont="1" applyFill="1" applyBorder="1"/>
    <xf numFmtId="0" fontId="17" fillId="0" borderId="1" xfId="0" applyFont="1" applyBorder="1"/>
    <xf numFmtId="9" fontId="17" fillId="0" borderId="1" xfId="2" applyFont="1" applyBorder="1"/>
    <xf numFmtId="0" fontId="7" fillId="12" borderId="1" xfId="0" applyFont="1" applyFill="1" applyBorder="1"/>
    <xf numFmtId="0" fontId="0" fillId="6" borderId="1" xfId="0" applyFill="1" applyBorder="1"/>
    <xf numFmtId="0" fontId="7" fillId="7" borderId="1" xfId="0" applyFont="1" applyFill="1" applyBorder="1"/>
    <xf numFmtId="0" fontId="0" fillId="14" borderId="1" xfId="0" applyFill="1" applyBorder="1"/>
    <xf numFmtId="10" fontId="15" fillId="14" borderId="1" xfId="0" applyNumberFormat="1" applyFont="1" applyFill="1" applyBorder="1"/>
    <xf numFmtId="10" fontId="16" fillId="14" borderId="1" xfId="0" applyNumberFormat="1" applyFont="1" applyFill="1" applyBorder="1"/>
    <xf numFmtId="3" fontId="16" fillId="14" borderId="1" xfId="0" applyNumberFormat="1" applyFont="1" applyFill="1" applyBorder="1"/>
    <xf numFmtId="0" fontId="0" fillId="13" borderId="1" xfId="0" applyFill="1" applyBorder="1"/>
    <xf numFmtId="0" fontId="16" fillId="13" borderId="1" xfId="0" applyFont="1" applyFill="1" applyBorder="1"/>
    <xf numFmtId="3" fontId="0" fillId="13" borderId="1" xfId="0" applyNumberFormat="1" applyFill="1" applyBorder="1"/>
    <xf numFmtId="9" fontId="16" fillId="14" borderId="1" xfId="0" applyNumberFormat="1" applyFont="1" applyFill="1" applyBorder="1"/>
    <xf numFmtId="3" fontId="21" fillId="0" borderId="1" xfId="0" applyNumberFormat="1" applyFont="1" applyBorder="1"/>
    <xf numFmtId="10" fontId="21" fillId="0" borderId="1" xfId="0" applyNumberFormat="1" applyFont="1" applyBorder="1"/>
    <xf numFmtId="9" fontId="21" fillId="0" borderId="1" xfId="0" applyNumberFormat="1" applyFont="1" applyBorder="1"/>
    <xf numFmtId="0" fontId="23" fillId="0" borderId="1" xfId="0" applyFont="1" applyBorder="1"/>
    <xf numFmtId="9" fontId="15" fillId="14" borderId="1" xfId="0" applyNumberFormat="1" applyFont="1" applyFill="1" applyBorder="1"/>
    <xf numFmtId="166" fontId="16" fillId="14" borderId="1" xfId="0" applyNumberFormat="1" applyFont="1" applyFill="1" applyBorder="1"/>
    <xf numFmtId="0" fontId="19" fillId="15" borderId="2" xfId="0" applyFont="1" applyFill="1" applyBorder="1" applyAlignment="1">
      <alignment horizontal="center"/>
    </xf>
    <xf numFmtId="0" fontId="19" fillId="15" borderId="4" xfId="0" applyFont="1" applyFill="1" applyBorder="1" applyAlignment="1">
      <alignment horizontal="center"/>
    </xf>
    <xf numFmtId="0" fontId="19" fillId="15" borderId="3" xfId="0" applyFont="1" applyFill="1" applyBorder="1" applyAlignment="1">
      <alignment horizontal="center"/>
    </xf>
    <xf numFmtId="10" fontId="0" fillId="0" borderId="1" xfId="2" applyNumberFormat="1" applyFont="1" applyBorder="1"/>
    <xf numFmtId="9" fontId="31" fillId="20" borderId="1" xfId="0" applyNumberFormat="1" applyFont="1" applyFill="1" applyBorder="1"/>
    <xf numFmtId="0" fontId="0" fillId="21" borderId="0" xfId="0" applyFill="1"/>
    <xf numFmtId="0" fontId="0" fillId="18" borderId="1" xfId="0" applyFill="1" applyBorder="1"/>
    <xf numFmtId="10" fontId="0" fillId="18" borderId="1" xfId="0" applyNumberFormat="1" applyFill="1" applyBorder="1"/>
    <xf numFmtId="0" fontId="30" fillId="0" borderId="1" xfId="3" applyBorder="1"/>
    <xf numFmtId="0" fontId="0" fillId="0" borderId="5" xfId="0" applyBorder="1"/>
    <xf numFmtId="10" fontId="0" fillId="0" borderId="5" xfId="2" applyNumberFormat="1" applyFont="1" applyBorder="1"/>
    <xf numFmtId="0" fontId="0" fillId="22" borderId="5" xfId="0" applyFill="1" applyBorder="1"/>
    <xf numFmtId="10" fontId="0" fillId="22" borderId="5" xfId="0" applyNumberFormat="1" applyFill="1" applyBorder="1"/>
    <xf numFmtId="10" fontId="0" fillId="21" borderId="5" xfId="0" applyNumberFormat="1" applyFill="1" applyBorder="1"/>
    <xf numFmtId="0" fontId="0" fillId="22" borderId="1" xfId="0" applyFill="1" applyBorder="1"/>
    <xf numFmtId="10" fontId="0" fillId="22" borderId="1" xfId="2" applyNumberFormat="1" applyFont="1" applyFill="1" applyBorder="1"/>
    <xf numFmtId="10" fontId="0" fillId="23" borderId="1" xfId="2" applyNumberFormat="1" applyFont="1" applyFill="1" applyBorder="1"/>
    <xf numFmtId="10" fontId="0" fillId="21" borderId="1" xfId="0" applyNumberFormat="1" applyFill="1" applyBorder="1"/>
    <xf numFmtId="10" fontId="0" fillId="0" borderId="0" xfId="2" applyNumberFormat="1" applyFont="1"/>
    <xf numFmtId="0" fontId="0" fillId="23" borderId="0" xfId="0" applyFill="1"/>
    <xf numFmtId="10" fontId="33" fillId="0" borderId="0" xfId="0" applyNumberFormat="1" applyFont="1"/>
    <xf numFmtId="0" fontId="0" fillId="24" borderId="0" xfId="0" applyFill="1"/>
    <xf numFmtId="3" fontId="0" fillId="24" borderId="0" xfId="0" applyNumberFormat="1" applyFill="1" applyAlignment="1">
      <alignment horizontal="left"/>
    </xf>
    <xf numFmtId="0" fontId="0" fillId="25" borderId="0" xfId="0" applyFill="1"/>
    <xf numFmtId="3" fontId="0" fillId="25" borderId="0" xfId="0" applyNumberFormat="1" applyFill="1" applyAlignment="1">
      <alignment horizontal="left"/>
    </xf>
    <xf numFmtId="3" fontId="0" fillId="0" borderId="0" xfId="0" applyNumberFormat="1" applyAlignment="1">
      <alignment horizontal="left"/>
    </xf>
    <xf numFmtId="3" fontId="0" fillId="20" borderId="0" xfId="0" applyNumberFormat="1" applyFill="1" applyAlignment="1">
      <alignment horizontal="left"/>
    </xf>
    <xf numFmtId="0" fontId="0" fillId="26" borderId="0" xfId="0" applyFill="1"/>
    <xf numFmtId="3" fontId="0" fillId="26" borderId="0" xfId="0" applyNumberFormat="1" applyFill="1" applyAlignment="1">
      <alignment horizontal="left"/>
    </xf>
    <xf numFmtId="0" fontId="0" fillId="27" borderId="0" xfId="0" applyFill="1"/>
    <xf numFmtId="0" fontId="35" fillId="0" borderId="0" xfId="0" applyFont="1"/>
    <xf numFmtId="0" fontId="36" fillId="0" borderId="0" xfId="0" applyFont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401604</xdr:colOff>
      <xdr:row>48</xdr:row>
      <xdr:rowOff>5278</xdr:rowOff>
    </xdr:from>
    <xdr:to>
      <xdr:col>15</xdr:col>
      <xdr:colOff>553759</xdr:colOff>
      <xdr:row>61</xdr:row>
      <xdr:rowOff>14804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73203-B910-3FB7-D48A-A6A5F2FCD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4734" y="9502669"/>
          <a:ext cx="6872112" cy="2512393"/>
        </a:xfrm>
        <a:prstGeom prst="rect">
          <a:avLst/>
        </a:prstGeom>
      </xdr:spPr>
    </xdr:pic>
    <xdr:clientData/>
  </xdr:twoCellAnchor>
  <xdr:twoCellAnchor>
    <xdr:from>
      <xdr:col>9</xdr:col>
      <xdr:colOff>201483</xdr:colOff>
      <xdr:row>63</xdr:row>
      <xdr:rowOff>37498</xdr:rowOff>
    </xdr:from>
    <xdr:to>
      <xdr:col>13</xdr:col>
      <xdr:colOff>935337</xdr:colOff>
      <xdr:row>70</xdr:row>
      <xdr:rowOff>14931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5D8A90-BC1F-F915-4A75-E7D767EC56AE}"/>
            </a:ext>
          </a:extLst>
        </xdr:cNvPr>
        <xdr:cNvSpPr txBox="1"/>
      </xdr:nvSpPr>
      <xdr:spPr>
        <a:xfrm>
          <a:off x="9134388" y="12171147"/>
          <a:ext cx="5333314" cy="1298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V(levered)=V(unlevered)+Dt</a:t>
          </a:r>
        </a:p>
        <a:p>
          <a:r>
            <a:rPr lang="en-US" sz="1100"/>
            <a:t>Value</a:t>
          </a:r>
          <a:r>
            <a:rPr lang="en-US" sz="1100" baseline="0"/>
            <a:t> of levered firm=Value unlevered firm+ tax shield</a:t>
          </a:r>
        </a:p>
        <a:p>
          <a:r>
            <a:rPr lang="en-US" sz="1100" baseline="0"/>
            <a:t>WACC(unlevered)=Cost of Equity=Cost of Assets</a:t>
          </a:r>
        </a:p>
        <a:p>
          <a:r>
            <a:rPr lang="en-US" sz="1100" baseline="0"/>
            <a:t>WACC (levered)=WACC(unlevered)-t*r*D/V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usifzada Leyla" id="{E0675357-41A7-4B80-B3B3-878312BC01BE}" userId="S::leyla.yusifzada@uni-corvinus.hu::ae4c97af-30dd-421f-ae78-da020e133fd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70" dT="2024-10-04T11:48:32.30" personId="{E0675357-41A7-4B80-B3B3-878312BC01BE}" id="{90AE976A-EC26-4180-919D-99AC56F493DB}">
    <text xml:space="preserve">
D/V ratio stabilizes at 40% in the terminal value period. 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worldgovernmentbonds.com/country/hungary/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opLeftCell="A16" zoomScale="98" zoomScaleNormal="90" workbookViewId="0">
      <selection activeCell="C47" sqref="C47"/>
    </sheetView>
  </sheetViews>
  <sheetFormatPr defaultRowHeight="15"/>
  <cols>
    <col min="1" max="1" width="50.85546875" bestFit="1" customWidth="1"/>
    <col min="2" max="2" width="9.7109375" bestFit="1" customWidth="1"/>
    <col min="3" max="3" width="9.7109375" customWidth="1"/>
    <col min="4" max="4" width="10.7109375" customWidth="1"/>
    <col min="5" max="5" width="10.5703125" customWidth="1"/>
    <col min="6" max="6" width="10.28515625" customWidth="1"/>
    <col min="7" max="7" width="12" bestFit="1" customWidth="1"/>
    <col min="11" max="11" width="12.42578125" bestFit="1" customWidth="1"/>
    <col min="12" max="12" width="11.28515625" customWidth="1"/>
    <col min="19" max="19" width="9.140625" customWidth="1"/>
  </cols>
  <sheetData>
    <row r="1" spans="1:11">
      <c r="A1" s="56" t="s">
        <v>0</v>
      </c>
      <c r="B1" s="57"/>
      <c r="C1" s="57"/>
      <c r="D1" s="57"/>
      <c r="E1" s="57"/>
      <c r="F1" s="57"/>
      <c r="G1" s="57"/>
    </row>
    <row r="2" spans="1:11">
      <c r="A2" s="57"/>
      <c r="B2" s="57"/>
      <c r="C2" s="57"/>
      <c r="D2" s="57"/>
      <c r="E2" s="57"/>
      <c r="F2" s="57"/>
      <c r="G2" s="57"/>
    </row>
    <row r="3" spans="1:11">
      <c r="A3" s="32" t="s">
        <v>1</v>
      </c>
      <c r="B3" s="58">
        <v>2024</v>
      </c>
      <c r="C3" s="32">
        <f>+B3+1</f>
        <v>2025</v>
      </c>
      <c r="D3" s="32">
        <f t="shared" ref="D3:F3" si="0">+C3+1</f>
        <v>2026</v>
      </c>
      <c r="E3" s="32">
        <f t="shared" si="0"/>
        <v>2027</v>
      </c>
      <c r="F3" s="32">
        <f t="shared" si="0"/>
        <v>2028</v>
      </c>
      <c r="G3" s="32" t="s">
        <v>2</v>
      </c>
    </row>
    <row r="4" spans="1:11">
      <c r="A4" s="59" t="s">
        <v>3</v>
      </c>
      <c r="B4" s="60">
        <v>4.3999999999999997E-2</v>
      </c>
      <c r="C4" s="60">
        <v>2.9000000000000001E-2</v>
      </c>
      <c r="D4" s="71">
        <v>0.03</v>
      </c>
      <c r="E4" s="71">
        <v>0.03</v>
      </c>
      <c r="F4" s="71">
        <v>0.03</v>
      </c>
      <c r="G4" s="71">
        <v>0.03</v>
      </c>
    </row>
    <row r="5" spans="1:11">
      <c r="A5" s="59" t="s">
        <v>4</v>
      </c>
      <c r="B5" s="60">
        <v>3.4000000000000002E-2</v>
      </c>
      <c r="C5" s="60">
        <v>3.3000000000000002E-2</v>
      </c>
      <c r="D5" s="71">
        <v>0.02</v>
      </c>
      <c r="E5" s="71">
        <v>0.02</v>
      </c>
      <c r="F5" s="71">
        <v>0.02</v>
      </c>
      <c r="G5" s="71">
        <v>0.02</v>
      </c>
    </row>
    <row r="6" spans="1:11">
      <c r="A6" s="59" t="s">
        <v>5</v>
      </c>
      <c r="B6" s="61">
        <v>0.09</v>
      </c>
      <c r="C6" s="61">
        <v>0.09</v>
      </c>
      <c r="D6" s="61">
        <v>0.09</v>
      </c>
      <c r="E6" s="61">
        <v>0.09</v>
      </c>
      <c r="F6" s="61">
        <v>0.09</v>
      </c>
      <c r="G6" s="61">
        <v>0.09</v>
      </c>
    </row>
    <row r="7" spans="1:11">
      <c r="A7" s="59" t="s">
        <v>6</v>
      </c>
      <c r="B7" s="72">
        <v>0.13</v>
      </c>
      <c r="C7" s="72">
        <v>0.13</v>
      </c>
      <c r="D7" s="72">
        <v>0.13</v>
      </c>
      <c r="E7" s="72">
        <v>0.13</v>
      </c>
      <c r="F7" s="72">
        <v>0.13</v>
      </c>
      <c r="G7" s="72">
        <v>0.13</v>
      </c>
    </row>
    <row r="8" spans="1:11">
      <c r="A8" s="59" t="s">
        <v>7</v>
      </c>
      <c r="B8" s="62">
        <v>12</v>
      </c>
      <c r="C8" s="62">
        <v>12</v>
      </c>
      <c r="D8" s="62">
        <v>12</v>
      </c>
      <c r="E8" s="62">
        <v>12</v>
      </c>
      <c r="F8" s="62">
        <v>12</v>
      </c>
      <c r="G8" s="62">
        <v>12</v>
      </c>
    </row>
    <row r="9" spans="1:11">
      <c r="A9" s="57"/>
      <c r="B9" s="57"/>
      <c r="C9" s="57"/>
      <c r="D9" s="57"/>
      <c r="E9" s="57"/>
      <c r="F9" s="57"/>
      <c r="G9" s="57"/>
      <c r="J9" s="2"/>
    </row>
    <row r="10" spans="1:11">
      <c r="A10" s="56" t="s">
        <v>8</v>
      </c>
      <c r="B10" s="57"/>
      <c r="C10" s="57"/>
      <c r="D10" s="57"/>
      <c r="E10" s="57"/>
      <c r="F10" s="57"/>
      <c r="G10" s="57"/>
      <c r="J10" s="3"/>
    </row>
    <row r="11" spans="1:11">
      <c r="A11" s="57"/>
      <c r="B11" s="57"/>
      <c r="C11" s="57"/>
      <c r="D11" s="57"/>
      <c r="E11" s="57"/>
      <c r="F11" s="57"/>
      <c r="G11" s="57"/>
    </row>
    <row r="12" spans="1:11">
      <c r="A12" s="32" t="s">
        <v>9</v>
      </c>
      <c r="B12" s="32">
        <f>B3</f>
        <v>2024</v>
      </c>
      <c r="C12" s="32">
        <f>+C3</f>
        <v>2025</v>
      </c>
      <c r="D12" s="32">
        <f>+D3</f>
        <v>2026</v>
      </c>
      <c r="E12" s="32">
        <f>+E3</f>
        <v>2027</v>
      </c>
      <c r="F12" s="32">
        <f>+F3</f>
        <v>2028</v>
      </c>
      <c r="G12" s="32" t="str">
        <f>+G3</f>
        <v>TV</v>
      </c>
    </row>
    <row r="13" spans="1:11">
      <c r="A13" s="63" t="s">
        <v>10</v>
      </c>
      <c r="B13" s="64">
        <v>30</v>
      </c>
      <c r="C13" s="64">
        <v>30</v>
      </c>
      <c r="D13" s="64">
        <v>30</v>
      </c>
      <c r="E13" s="64">
        <v>30</v>
      </c>
      <c r="F13" s="64">
        <v>30</v>
      </c>
      <c r="G13" s="64"/>
    </row>
    <row r="14" spans="1:11">
      <c r="A14" s="63" t="s">
        <v>11</v>
      </c>
      <c r="B14" s="65"/>
      <c r="C14" s="65"/>
      <c r="D14" s="65"/>
      <c r="E14" s="65"/>
      <c r="F14" s="65"/>
      <c r="G14" s="65"/>
      <c r="K14" s="1"/>
    </row>
    <row r="15" spans="1:11">
      <c r="A15" s="57"/>
      <c r="B15" s="4"/>
      <c r="C15" s="57"/>
      <c r="D15" s="57"/>
      <c r="E15" s="57"/>
      <c r="F15" s="57"/>
      <c r="G15" s="57"/>
    </row>
    <row r="16" spans="1:11">
      <c r="A16" s="63" t="s">
        <v>12</v>
      </c>
      <c r="B16" s="64">
        <v>30</v>
      </c>
      <c r="C16" s="64">
        <v>30</v>
      </c>
      <c r="D16" s="64">
        <v>30</v>
      </c>
      <c r="E16" s="64">
        <v>30</v>
      </c>
      <c r="F16" s="64">
        <v>30</v>
      </c>
      <c r="G16" s="64"/>
    </row>
    <row r="17" spans="1:9">
      <c r="A17" s="63" t="s">
        <v>13</v>
      </c>
      <c r="B17" s="65"/>
      <c r="C17" s="65"/>
      <c r="D17" s="65"/>
      <c r="E17" s="65"/>
      <c r="F17" s="65"/>
      <c r="G17" s="65"/>
    </row>
    <row r="18" spans="1:9">
      <c r="A18" s="57"/>
      <c r="B18" s="4"/>
      <c r="C18" s="57"/>
      <c r="D18" s="57"/>
      <c r="E18" s="57"/>
      <c r="F18" s="57"/>
      <c r="G18" s="57"/>
    </row>
    <row r="19" spans="1:9">
      <c r="A19" s="63" t="s">
        <v>14</v>
      </c>
      <c r="B19" s="64">
        <v>45</v>
      </c>
      <c r="C19" s="64">
        <v>45</v>
      </c>
      <c r="D19" s="64">
        <v>45</v>
      </c>
      <c r="E19" s="64">
        <v>45</v>
      </c>
      <c r="F19" s="64">
        <v>45</v>
      </c>
      <c r="G19" s="64"/>
    </row>
    <row r="20" spans="1:9">
      <c r="A20" s="63" t="s">
        <v>15</v>
      </c>
      <c r="B20" s="65"/>
      <c r="C20" s="65"/>
      <c r="D20" s="65"/>
      <c r="E20" s="65"/>
      <c r="F20" s="65"/>
      <c r="G20" s="65"/>
    </row>
    <row r="21" spans="1:9">
      <c r="A21" s="57"/>
      <c r="B21" s="57"/>
      <c r="C21" s="57"/>
      <c r="D21" s="57"/>
      <c r="E21" s="57"/>
      <c r="F21" s="57"/>
      <c r="G21" s="57"/>
    </row>
    <row r="22" spans="1:9">
      <c r="A22" s="57"/>
      <c r="B22" s="57"/>
      <c r="C22" s="57"/>
      <c r="D22" s="57"/>
      <c r="E22" s="57"/>
      <c r="F22" s="57"/>
      <c r="G22" s="57"/>
    </row>
    <row r="23" spans="1:9">
      <c r="A23" s="32" t="s">
        <v>16</v>
      </c>
      <c r="B23" s="32">
        <f t="shared" ref="B23:F23" si="1">+B12</f>
        <v>2024</v>
      </c>
      <c r="C23" s="32">
        <f t="shared" si="1"/>
        <v>2025</v>
      </c>
      <c r="D23" s="32">
        <f t="shared" si="1"/>
        <v>2026</v>
      </c>
      <c r="E23" s="32">
        <f t="shared" si="1"/>
        <v>2027</v>
      </c>
      <c r="F23" s="32">
        <f t="shared" si="1"/>
        <v>2028</v>
      </c>
      <c r="G23" s="32" t="str">
        <f t="shared" ref="G23" si="2">+G12</f>
        <v>TV</v>
      </c>
    </row>
    <row r="24" spans="1:9">
      <c r="A24" s="59" t="s">
        <v>17</v>
      </c>
      <c r="B24" s="66">
        <v>0.15</v>
      </c>
      <c r="C24" s="66">
        <v>0.12</v>
      </c>
      <c r="D24" s="66">
        <v>0.09</v>
      </c>
      <c r="E24" s="66">
        <f t="shared" ref="E24:G24" si="3">+D24</f>
        <v>0.09</v>
      </c>
      <c r="F24" s="66">
        <f t="shared" si="3"/>
        <v>0.09</v>
      </c>
      <c r="G24" s="66">
        <f t="shared" si="3"/>
        <v>0.09</v>
      </c>
    </row>
    <row r="25" spans="1:9">
      <c r="A25" s="57"/>
      <c r="B25" s="57"/>
      <c r="C25" s="57"/>
      <c r="D25" s="57"/>
      <c r="E25" s="57"/>
      <c r="F25" s="57"/>
      <c r="G25" s="57"/>
    </row>
    <row r="26" spans="1:9">
      <c r="A26" s="57"/>
      <c r="B26" s="57"/>
      <c r="C26" s="57"/>
      <c r="D26" s="57"/>
      <c r="E26" s="57"/>
      <c r="F26" s="57"/>
      <c r="G26" s="57"/>
    </row>
    <row r="27" spans="1:9">
      <c r="A27" s="32" t="s">
        <v>18</v>
      </c>
      <c r="B27" s="32">
        <f>B3</f>
        <v>2024</v>
      </c>
      <c r="C27" s="32">
        <f t="shared" ref="C27:F27" si="4">+C23</f>
        <v>2025</v>
      </c>
      <c r="D27" s="32">
        <f t="shared" si="4"/>
        <v>2026</v>
      </c>
      <c r="E27" s="32">
        <f t="shared" si="4"/>
        <v>2027</v>
      </c>
      <c r="F27" s="32">
        <f t="shared" si="4"/>
        <v>2028</v>
      </c>
      <c r="G27" s="32" t="str">
        <f>G23</f>
        <v>TV</v>
      </c>
    </row>
    <row r="28" spans="1:9">
      <c r="A28" s="59" t="s">
        <v>19</v>
      </c>
      <c r="B28" s="61">
        <v>2.5000000000000001E-3</v>
      </c>
      <c r="C28" s="61">
        <f>+B28</f>
        <v>2.5000000000000001E-3</v>
      </c>
      <c r="D28" s="61">
        <f t="shared" ref="D28:G28" si="5">+C28</f>
        <v>2.5000000000000001E-3</v>
      </c>
      <c r="E28" s="61">
        <f t="shared" si="5"/>
        <v>2.5000000000000001E-3</v>
      </c>
      <c r="F28" s="61">
        <f t="shared" si="5"/>
        <v>2.5000000000000001E-3</v>
      </c>
      <c r="G28" s="61">
        <f t="shared" si="5"/>
        <v>2.5000000000000001E-3</v>
      </c>
    </row>
    <row r="29" spans="1:9">
      <c r="A29" s="4"/>
      <c r="B29" s="4"/>
      <c r="C29" s="4"/>
      <c r="D29" s="4"/>
      <c r="E29" s="4"/>
      <c r="F29" s="4"/>
      <c r="G29" s="4"/>
    </row>
    <row r="30" spans="1:9">
      <c r="A30" s="4"/>
      <c r="B30" s="4"/>
      <c r="C30" s="4"/>
      <c r="D30" s="4"/>
      <c r="E30" s="4"/>
      <c r="F30" s="4"/>
      <c r="G30" s="4"/>
    </row>
    <row r="31" spans="1:9">
      <c r="A31" s="32" t="s">
        <v>20</v>
      </c>
      <c r="B31" s="32">
        <f>B3</f>
        <v>2024</v>
      </c>
      <c r="C31" s="5"/>
      <c r="D31" s="5"/>
      <c r="E31" s="5"/>
      <c r="F31" s="5"/>
      <c r="G31" s="5"/>
      <c r="I31">
        <v>3200</v>
      </c>
    </row>
    <row r="32" spans="1:9">
      <c r="A32" s="4" t="s">
        <v>21</v>
      </c>
      <c r="B32" s="67">
        <v>700</v>
      </c>
      <c r="C32" s="5"/>
      <c r="D32" s="5"/>
      <c r="E32" s="5"/>
      <c r="F32" s="5"/>
      <c r="G32" s="5"/>
    </row>
    <row r="33" spans="1:12">
      <c r="A33" s="4" t="s">
        <v>22</v>
      </c>
      <c r="B33" s="67">
        <v>6000</v>
      </c>
      <c r="C33" s="5"/>
      <c r="D33" s="5"/>
      <c r="E33" s="5"/>
      <c r="F33" s="5"/>
      <c r="G33" s="5"/>
    </row>
    <row r="34" spans="1:12">
      <c r="A34" s="4"/>
      <c r="B34" s="4"/>
      <c r="C34" s="4"/>
      <c r="D34" s="4"/>
      <c r="E34" s="4"/>
      <c r="F34" s="4"/>
      <c r="G34" s="4"/>
    </row>
    <row r="35" spans="1:12">
      <c r="A35" s="32" t="s">
        <v>23</v>
      </c>
      <c r="B35" s="32">
        <f>B3</f>
        <v>2024</v>
      </c>
      <c r="C35" s="32">
        <f>C3</f>
        <v>2025</v>
      </c>
      <c r="D35" s="32">
        <f>D3</f>
        <v>2026</v>
      </c>
      <c r="E35" s="32">
        <f>E3</f>
        <v>2027</v>
      </c>
      <c r="F35" s="32">
        <f>F3</f>
        <v>2028</v>
      </c>
      <c r="G35" s="32"/>
    </row>
    <row r="36" spans="1:12">
      <c r="A36" s="4" t="s">
        <v>24</v>
      </c>
      <c r="B36" s="7"/>
      <c r="C36" s="68">
        <v>0.25</v>
      </c>
      <c r="D36" s="68">
        <v>0.2</v>
      </c>
      <c r="E36" s="68">
        <v>0.12</v>
      </c>
      <c r="F36" s="68">
        <v>0.05</v>
      </c>
      <c r="G36" s="7"/>
      <c r="H36" s="3"/>
    </row>
    <row r="37" spans="1:12">
      <c r="A37" s="4" t="s">
        <v>25</v>
      </c>
      <c r="B37" s="7"/>
      <c r="C37" s="68">
        <v>0.25</v>
      </c>
      <c r="D37" s="68">
        <v>0.15</v>
      </c>
      <c r="E37" s="68">
        <v>0.08</v>
      </c>
      <c r="F37" s="68">
        <v>0.05</v>
      </c>
      <c r="G37" s="7"/>
      <c r="H37" s="3"/>
      <c r="L37" s="1"/>
    </row>
    <row r="38" spans="1:12">
      <c r="A38" s="4" t="s">
        <v>26</v>
      </c>
      <c r="B38" s="7"/>
      <c r="C38" s="68">
        <v>0.2</v>
      </c>
      <c r="D38" s="68">
        <v>0.1</v>
      </c>
      <c r="E38" s="68">
        <v>0.05</v>
      </c>
      <c r="F38" s="68">
        <v>0.03</v>
      </c>
      <c r="G38" s="7"/>
      <c r="H38" s="3"/>
    </row>
    <row r="39" spans="1:12">
      <c r="A39" s="4" t="s">
        <v>27</v>
      </c>
      <c r="B39" s="7"/>
      <c r="C39" s="68">
        <v>0.1</v>
      </c>
      <c r="D39" s="68">
        <v>0.08</v>
      </c>
      <c r="E39" s="68">
        <v>0.06</v>
      </c>
      <c r="F39" s="68">
        <v>0.04</v>
      </c>
      <c r="G39" s="7"/>
      <c r="H39" s="3"/>
    </row>
    <row r="40" spans="1:12">
      <c r="A40" s="4"/>
      <c r="B40" s="7"/>
      <c r="C40" s="7"/>
      <c r="D40" s="7"/>
      <c r="E40" s="7"/>
      <c r="F40" s="7"/>
      <c r="G40" s="7"/>
      <c r="H40" s="3"/>
    </row>
    <row r="41" spans="1:12">
      <c r="A41" s="4" t="s">
        <v>28</v>
      </c>
      <c r="B41" s="4"/>
      <c r="C41" s="69">
        <v>0.02</v>
      </c>
      <c r="D41" s="69">
        <v>0.02</v>
      </c>
      <c r="E41" s="69">
        <v>0.02</v>
      </c>
      <c r="F41" s="69">
        <v>0.02</v>
      </c>
      <c r="G41" s="6"/>
    </row>
    <row r="42" spans="1:12">
      <c r="A42" s="4"/>
      <c r="B42" s="4"/>
      <c r="C42" s="4"/>
      <c r="D42" s="4"/>
      <c r="E42" s="4"/>
      <c r="F42" s="4"/>
      <c r="G42" s="4"/>
    </row>
    <row r="43" spans="1:12">
      <c r="A43" s="32" t="s">
        <v>29</v>
      </c>
      <c r="B43" s="32">
        <f>B3</f>
        <v>2024</v>
      </c>
      <c r="C43" s="32">
        <f>C3</f>
        <v>2025</v>
      </c>
      <c r="D43" s="32">
        <f>D3</f>
        <v>2026</v>
      </c>
      <c r="E43" s="32">
        <f>E3</f>
        <v>2027</v>
      </c>
      <c r="F43" s="32">
        <f>F3</f>
        <v>2028</v>
      </c>
      <c r="G43" s="32"/>
    </row>
    <row r="44" spans="1:12">
      <c r="A44" s="4" t="s">
        <v>30</v>
      </c>
      <c r="B44" s="69">
        <v>0.05</v>
      </c>
      <c r="C44" s="69">
        <v>0.05</v>
      </c>
      <c r="D44" s="69">
        <v>0.05</v>
      </c>
      <c r="E44" s="69">
        <v>0.05</v>
      </c>
      <c r="F44" s="69">
        <v>0.05</v>
      </c>
      <c r="G44" s="6"/>
    </row>
    <row r="45" spans="1:12">
      <c r="A45" s="4"/>
      <c r="B45" s="4"/>
      <c r="C45" s="4"/>
      <c r="D45" s="4"/>
      <c r="E45" s="4"/>
      <c r="F45" s="4"/>
      <c r="G45" s="4"/>
    </row>
    <row r="46" spans="1:12">
      <c r="A46" s="32" t="s">
        <v>31</v>
      </c>
      <c r="B46" s="32">
        <f>B3</f>
        <v>2024</v>
      </c>
      <c r="C46" s="32">
        <f t="shared" ref="C46:G46" si="6">C3</f>
        <v>2025</v>
      </c>
      <c r="D46" s="32">
        <f t="shared" si="6"/>
        <v>2026</v>
      </c>
      <c r="E46" s="32">
        <f t="shared" si="6"/>
        <v>2027</v>
      </c>
      <c r="F46" s="32">
        <f t="shared" si="6"/>
        <v>2028</v>
      </c>
      <c r="G46" s="32" t="str">
        <f t="shared" si="6"/>
        <v>TV</v>
      </c>
    </row>
    <row r="47" spans="1:12">
      <c r="A47" s="4" t="s">
        <v>32</v>
      </c>
      <c r="B47" s="67">
        <v>3200</v>
      </c>
      <c r="C47" s="4"/>
      <c r="D47" s="4"/>
      <c r="E47" s="4"/>
      <c r="F47" s="4"/>
      <c r="G47" s="4"/>
    </row>
    <row r="48" spans="1:12">
      <c r="A48" s="4" t="s">
        <v>33</v>
      </c>
      <c r="B48" s="67">
        <v>232</v>
      </c>
      <c r="C48" s="4">
        <f>B48*(1+B4)</f>
        <v>242.208</v>
      </c>
      <c r="D48" s="4">
        <f t="shared" ref="D48:G48" si="7">C48*(1+C4)</f>
        <v>249.23203199999998</v>
      </c>
      <c r="E48" s="4">
        <f t="shared" si="7"/>
        <v>256.70899295999999</v>
      </c>
      <c r="F48" s="4">
        <f t="shared" si="7"/>
        <v>264.41026274879999</v>
      </c>
      <c r="G48" s="4">
        <f t="shared" si="7"/>
        <v>272.34257063126398</v>
      </c>
    </row>
    <row r="49" spans="1:7">
      <c r="A49" s="4" t="s">
        <v>34</v>
      </c>
      <c r="B49" s="67">
        <v>45000</v>
      </c>
      <c r="C49" s="4">
        <f>B49*(1+B4)</f>
        <v>46980</v>
      </c>
      <c r="D49" s="4">
        <f t="shared" ref="D49:F49" si="8">C49*(1+C4)</f>
        <v>48342.42</v>
      </c>
      <c r="E49" s="4">
        <f t="shared" si="8"/>
        <v>49792.692600000002</v>
      </c>
      <c r="F49" s="4">
        <f t="shared" si="8"/>
        <v>51286.473378000002</v>
      </c>
      <c r="G49" s="4">
        <f>F49*(1+F4)</f>
        <v>52825.067579340001</v>
      </c>
    </row>
    <row r="50" spans="1:7">
      <c r="A50" s="4"/>
      <c r="B50" s="4"/>
      <c r="C50" s="4"/>
      <c r="D50" s="4"/>
      <c r="E50" s="4"/>
      <c r="F50" s="4"/>
      <c r="G50" s="4"/>
    </row>
    <row r="51" spans="1:7">
      <c r="A51" s="32" t="s">
        <v>35</v>
      </c>
      <c r="B51" s="32">
        <f>B46</f>
        <v>2024</v>
      </c>
      <c r="C51" s="4"/>
      <c r="D51" s="4"/>
      <c r="E51" s="4"/>
      <c r="F51" s="4"/>
      <c r="G51" s="4"/>
    </row>
    <row r="52" spans="1:7">
      <c r="A52" s="4" t="s">
        <v>24</v>
      </c>
      <c r="B52" s="67">
        <v>525</v>
      </c>
      <c r="C52" s="4"/>
      <c r="D52" s="4"/>
      <c r="E52" s="4"/>
      <c r="F52" s="4"/>
      <c r="G52" s="4"/>
    </row>
    <row r="53" spans="1:7">
      <c r="A53" s="4" t="s">
        <v>25</v>
      </c>
      <c r="B53" s="67">
        <v>500</v>
      </c>
      <c r="C53" s="4"/>
      <c r="D53" s="4"/>
      <c r="E53" s="4"/>
      <c r="F53" s="4"/>
      <c r="G53" s="4"/>
    </row>
    <row r="54" spans="1:7">
      <c r="A54" s="4" t="s">
        <v>26</v>
      </c>
      <c r="B54" s="67">
        <v>450</v>
      </c>
      <c r="C54" s="4"/>
      <c r="D54" s="4"/>
      <c r="E54" s="4"/>
      <c r="F54" s="4"/>
      <c r="G54" s="4"/>
    </row>
    <row r="55" spans="1:7">
      <c r="A55" s="4" t="s">
        <v>36</v>
      </c>
      <c r="B55" s="67">
        <f>B52*1.2</f>
        <v>630</v>
      </c>
      <c r="C55" s="4"/>
      <c r="D55" s="4"/>
      <c r="E55" s="4"/>
      <c r="F55" s="4"/>
      <c r="G55" s="4"/>
    </row>
    <row r="56" spans="1:7">
      <c r="A56" s="4"/>
      <c r="B56" s="4"/>
      <c r="C56" s="4"/>
      <c r="D56" s="4"/>
      <c r="E56" s="4"/>
      <c r="F56" s="4"/>
      <c r="G56" s="4"/>
    </row>
    <row r="57" spans="1:7">
      <c r="A57" s="32" t="s">
        <v>37</v>
      </c>
      <c r="B57" s="32">
        <f>B51</f>
        <v>2024</v>
      </c>
      <c r="C57" s="4"/>
      <c r="D57" s="4"/>
      <c r="E57" s="4"/>
      <c r="F57" s="4"/>
      <c r="G57" s="4"/>
    </row>
    <row r="58" spans="1:7">
      <c r="A58" s="4" t="s">
        <v>24</v>
      </c>
      <c r="B58" s="67">
        <v>180</v>
      </c>
      <c r="C58" s="5"/>
      <c r="D58" s="4"/>
      <c r="E58" s="4"/>
      <c r="F58" s="4"/>
      <c r="G58" s="4"/>
    </row>
    <row r="59" spans="1:7">
      <c r="A59" s="4" t="s">
        <v>25</v>
      </c>
      <c r="B59" s="67">
        <v>55</v>
      </c>
      <c r="C59" s="5"/>
      <c r="D59" s="4"/>
      <c r="E59" s="4"/>
      <c r="F59" s="4"/>
      <c r="G59" s="4"/>
    </row>
    <row r="60" spans="1:7">
      <c r="A60" s="4" t="s">
        <v>26</v>
      </c>
      <c r="B60" s="67">
        <v>37</v>
      </c>
      <c r="C60" s="4"/>
      <c r="D60" s="4"/>
      <c r="E60" s="4"/>
      <c r="F60" s="4"/>
      <c r="G60" s="4"/>
    </row>
    <row r="61" spans="1:7">
      <c r="A61" s="4" t="s">
        <v>36</v>
      </c>
      <c r="B61" s="67">
        <v>110</v>
      </c>
      <c r="C61" s="4"/>
      <c r="D61" s="4"/>
      <c r="E61" s="4"/>
      <c r="F61" s="4"/>
      <c r="G61" s="4"/>
    </row>
    <row r="62" spans="1:7">
      <c r="A62" s="4"/>
      <c r="B62" s="4"/>
      <c r="C62" s="4"/>
      <c r="D62" s="4"/>
      <c r="E62" s="4"/>
      <c r="F62" s="4"/>
      <c r="G62" s="4"/>
    </row>
    <row r="63" spans="1:7">
      <c r="A63" s="32" t="s">
        <v>38</v>
      </c>
      <c r="B63" s="32">
        <f>B57</f>
        <v>2024</v>
      </c>
      <c r="C63" s="70"/>
      <c r="D63" s="4"/>
      <c r="E63" s="4"/>
      <c r="F63" s="4"/>
      <c r="G63" s="4"/>
    </row>
    <row r="64" spans="1:7">
      <c r="A64" s="4" t="s">
        <v>24</v>
      </c>
      <c r="B64" s="67">
        <v>1352</v>
      </c>
      <c r="C64" s="4"/>
      <c r="D64" s="4"/>
      <c r="E64" s="4"/>
      <c r="F64" s="4"/>
      <c r="G64" s="4"/>
    </row>
    <row r="65" spans="1:7">
      <c r="A65" s="4" t="s">
        <v>25</v>
      </c>
      <c r="B65" s="67">
        <v>1361</v>
      </c>
      <c r="C65" s="4"/>
      <c r="D65" s="4"/>
      <c r="E65" s="4"/>
      <c r="F65" s="4"/>
      <c r="G65" s="4"/>
    </row>
    <row r="66" spans="1:7">
      <c r="A66" s="4" t="s">
        <v>26</v>
      </c>
      <c r="B66" s="67">
        <v>1487</v>
      </c>
      <c r="C66" s="4"/>
      <c r="D66" s="4"/>
      <c r="E66" s="4"/>
      <c r="F66" s="4"/>
      <c r="G66" s="4"/>
    </row>
    <row r="67" spans="1:7">
      <c r="A67" s="4" t="s">
        <v>36</v>
      </c>
      <c r="B67" s="67">
        <f>B64</f>
        <v>1352</v>
      </c>
      <c r="C67" s="4"/>
      <c r="D67" s="4"/>
      <c r="E67" s="4"/>
      <c r="F67" s="4"/>
      <c r="G67" s="4"/>
    </row>
    <row r="68" spans="1:7">
      <c r="A68" s="4"/>
      <c r="B68" s="4"/>
      <c r="C68" s="4"/>
      <c r="D68" s="4"/>
      <c r="E68" s="4"/>
      <c r="F68" s="4"/>
      <c r="G68" s="4"/>
    </row>
    <row r="69" spans="1:7">
      <c r="A69" s="32" t="s">
        <v>39</v>
      </c>
      <c r="B69" s="32">
        <f>B35</f>
        <v>2024</v>
      </c>
      <c r="C69" s="32">
        <f t="shared" ref="C69:F69" si="9">C35</f>
        <v>2025</v>
      </c>
      <c r="D69" s="32">
        <f t="shared" si="9"/>
        <v>2026</v>
      </c>
      <c r="E69" s="32">
        <f t="shared" si="9"/>
        <v>2027</v>
      </c>
      <c r="F69" s="32">
        <f t="shared" si="9"/>
        <v>2028</v>
      </c>
      <c r="G69" s="32"/>
    </row>
    <row r="70" spans="1:7">
      <c r="A70" s="4" t="s">
        <v>39</v>
      </c>
      <c r="B70" s="68">
        <v>0.4</v>
      </c>
      <c r="C70" s="68">
        <v>0.4</v>
      </c>
      <c r="D70" s="68">
        <v>0.4</v>
      </c>
      <c r="E70" s="68">
        <v>0.4</v>
      </c>
      <c r="F70" s="68">
        <v>0.4</v>
      </c>
      <c r="G7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13"/>
  <sheetViews>
    <sheetView tabSelected="1" topLeftCell="B90" zoomScale="115" zoomScaleNormal="115" workbookViewId="0">
      <selection activeCell="L77" sqref="L77"/>
    </sheetView>
  </sheetViews>
  <sheetFormatPr defaultRowHeight="15"/>
  <cols>
    <col min="1" max="1" width="2.5703125" customWidth="1"/>
    <col min="2" max="2" width="39.5703125" customWidth="1"/>
    <col min="3" max="3" width="11.7109375" customWidth="1"/>
    <col min="4" max="4" width="13.7109375" bestFit="1" customWidth="1"/>
    <col min="5" max="5" width="12.7109375" customWidth="1"/>
    <col min="6" max="6" width="13.28515625" customWidth="1"/>
    <col min="7" max="7" width="12.42578125" customWidth="1"/>
    <col min="8" max="8" width="13.28515625" customWidth="1"/>
    <col min="9" max="9" width="14.28515625" customWidth="1"/>
    <col min="10" max="10" width="24.140625" bestFit="1" customWidth="1"/>
    <col min="11" max="11" width="13" bestFit="1" customWidth="1"/>
    <col min="12" max="12" width="13.7109375" bestFit="1" customWidth="1"/>
    <col min="13" max="13" width="18" bestFit="1" customWidth="1"/>
    <col min="14" max="14" width="16.42578125" bestFit="1" customWidth="1"/>
    <col min="15" max="15" width="15.28515625" customWidth="1"/>
    <col min="16" max="16" width="12.28515625" customWidth="1"/>
  </cols>
  <sheetData>
    <row r="2" spans="2:15" ht="15.75">
      <c r="B2" s="29" t="s">
        <v>40</v>
      </c>
      <c r="C2" s="46" t="s">
        <v>41</v>
      </c>
      <c r="D2" s="46"/>
      <c r="E2" s="46"/>
      <c r="F2" s="46"/>
      <c r="G2" s="46"/>
      <c r="I2" s="17"/>
    </row>
    <row r="3" spans="2:15">
      <c r="B3" s="47"/>
      <c r="C3" s="10">
        <f>Assumptions!B3</f>
        <v>2024</v>
      </c>
      <c r="D3" s="10">
        <f>Assumptions!C3</f>
        <v>2025</v>
      </c>
      <c r="E3" s="10">
        <f>Assumptions!D3</f>
        <v>2026</v>
      </c>
      <c r="F3" s="10">
        <f>Assumptions!E3</f>
        <v>2027</v>
      </c>
      <c r="G3" s="10">
        <f>Assumptions!F3</f>
        <v>2028</v>
      </c>
      <c r="I3" s="17"/>
    </row>
    <row r="4" spans="2:15">
      <c r="B4" s="19" t="s">
        <v>42</v>
      </c>
      <c r="C4" s="20">
        <f>K29+K30</f>
        <v>729904</v>
      </c>
      <c r="D4" s="20">
        <f t="shared" ref="D4:G4" si="0">L29+L30</f>
        <v>902459.55094999995</v>
      </c>
      <c r="E4" s="20">
        <f t="shared" si="0"/>
        <v>1066248.9037605752</v>
      </c>
      <c r="F4" s="20">
        <f t="shared" si="0"/>
        <v>1196612.1789625462</v>
      </c>
      <c r="G4" s="20">
        <f t="shared" si="0"/>
        <v>1285794.365704068</v>
      </c>
      <c r="I4" s="17"/>
    </row>
    <row r="5" spans="2:15">
      <c r="B5" s="19" t="s">
        <v>43</v>
      </c>
      <c r="C5" s="20">
        <f>K31+K32</f>
        <v>521954</v>
      </c>
      <c r="D5" s="20">
        <f t="shared" ref="D5:G5" si="1">L31+L32</f>
        <v>646232.04095000005</v>
      </c>
      <c r="E5" s="20">
        <f t="shared" si="1"/>
        <v>764074.38051907497</v>
      </c>
      <c r="F5" s="20">
        <f t="shared" si="1"/>
        <v>857709.75127672823</v>
      </c>
      <c r="G5" s="20">
        <f t="shared" si="1"/>
        <v>921731.80243543768</v>
      </c>
      <c r="I5" s="18"/>
      <c r="J5" s="1"/>
      <c r="K5" s="1"/>
      <c r="L5" s="1"/>
      <c r="M5" s="1"/>
    </row>
    <row r="6" spans="2:15">
      <c r="B6" s="21" t="s">
        <v>44</v>
      </c>
      <c r="C6" s="22">
        <f>C4-C5</f>
        <v>207950</v>
      </c>
      <c r="D6" s="22">
        <f t="shared" ref="D6:G6" si="2">D4-D5</f>
        <v>256227.50999999989</v>
      </c>
      <c r="E6" s="22">
        <f t="shared" si="2"/>
        <v>302174.52324150025</v>
      </c>
      <c r="F6" s="22">
        <f t="shared" si="2"/>
        <v>338902.42768581794</v>
      </c>
      <c r="G6" s="22">
        <f t="shared" si="2"/>
        <v>364062.5632686303</v>
      </c>
      <c r="I6" s="17"/>
      <c r="J6" s="1"/>
      <c r="K6" s="1"/>
      <c r="L6" s="1"/>
      <c r="M6" s="1"/>
    </row>
    <row r="7" spans="2:15">
      <c r="B7" s="21" t="s">
        <v>45</v>
      </c>
      <c r="C7" s="22">
        <f>SUM(C8:C10)</f>
        <v>123792</v>
      </c>
      <c r="D7" s="22">
        <f t="shared" ref="D7:G7" si="3">SUM(D8:D10)</f>
        <v>142376.20992000002</v>
      </c>
      <c r="E7" s="22">
        <f t="shared" si="3"/>
        <v>156643.87906943998</v>
      </c>
      <c r="F7" s="22">
        <f t="shared" si="3"/>
        <v>171786.117275136</v>
      </c>
      <c r="G7" s="22">
        <f t="shared" si="3"/>
        <v>180525.10395626383</v>
      </c>
      <c r="I7" s="17"/>
      <c r="J7" s="1"/>
      <c r="K7" s="1"/>
      <c r="L7" s="1"/>
      <c r="M7" s="1"/>
    </row>
    <row r="8" spans="2:15">
      <c r="B8" s="11" t="s">
        <v>46</v>
      </c>
      <c r="C8" s="20">
        <f>(Assumptions!B32+Assumptions!B33)*Assumptions!B8</f>
        <v>80400</v>
      </c>
      <c r="D8" s="5">
        <f>C8*(1+Assumptions!B4)</f>
        <v>83937.600000000006</v>
      </c>
      <c r="E8" s="5">
        <f>D8*(1+Assumptions!C4)</f>
        <v>86371.790399999998</v>
      </c>
      <c r="F8" s="5">
        <f>E8*(1+Assumptions!D4)</f>
        <v>88962.944111999997</v>
      </c>
      <c r="G8" s="5">
        <f>F8*(1+Assumptions!E4)</f>
        <v>91631.832435360004</v>
      </c>
      <c r="I8" s="17"/>
      <c r="J8" s="1"/>
      <c r="K8" s="1"/>
      <c r="L8" s="1"/>
      <c r="M8" s="1"/>
    </row>
    <row r="9" spans="2:15">
      <c r="B9" s="23" t="s">
        <v>47</v>
      </c>
      <c r="C9" s="20">
        <f>Assumptions!B47*12</f>
        <v>38400</v>
      </c>
      <c r="D9" s="5">
        <f>C9*(1+Assumptions!B4)+(D11-C11)*Assumptions!C48*12</f>
        <v>51715.584000000003</v>
      </c>
      <c r="E9" s="5">
        <f>D9*(1+Assumptions!C4)+(E11-D11)*Assumptions!D48*12</f>
        <v>62187.689087999999</v>
      </c>
      <c r="F9" s="5">
        <f>E9*(1+Assumptions!D4)+(F11-E11)*Assumptions!E48*12</f>
        <v>73294.843507199999</v>
      </c>
      <c r="G9" s="5">
        <f>F9*(1+Assumptions!E4)+(G11-F11)*Assumptions!F48*12</f>
        <v>78666.611965401607</v>
      </c>
      <c r="I9" s="17"/>
      <c r="K9" s="8"/>
      <c r="L9" s="8"/>
      <c r="M9" s="8"/>
      <c r="N9" s="8"/>
      <c r="O9" s="8"/>
    </row>
    <row r="10" spans="2:15">
      <c r="B10" s="23" t="s">
        <v>48</v>
      </c>
      <c r="C10" s="20">
        <f>C9*Assumptions!B7</f>
        <v>4992</v>
      </c>
      <c r="D10" s="20">
        <f>D9*Assumptions!C7</f>
        <v>6723.025920000001</v>
      </c>
      <c r="E10" s="20">
        <f>E9*Assumptions!D7</f>
        <v>8084.3995814400005</v>
      </c>
      <c r="F10" s="20">
        <f>F9*Assumptions!E7</f>
        <v>9528.3296559360006</v>
      </c>
      <c r="G10" s="20">
        <f>G9*Assumptions!F7</f>
        <v>10226.659555502209</v>
      </c>
      <c r="I10" s="17"/>
    </row>
    <row r="11" spans="2:15" ht="30">
      <c r="B11" s="24" t="s">
        <v>49</v>
      </c>
      <c r="C11" s="9"/>
      <c r="D11" s="9">
        <f>ROUNDUP((D4-$C$4)/Assumptions!C49,0)</f>
        <v>4</v>
      </c>
      <c r="E11" s="9">
        <f>ROUNDUP((E4-$C$4)/Assumptions!D49,0)</f>
        <v>7</v>
      </c>
      <c r="F11" s="9">
        <f>ROUNDUP((F4-$C$4)/Assumptions!E49,0)</f>
        <v>10</v>
      </c>
      <c r="G11" s="9">
        <f>ROUNDUP((G4-$C$4)/Assumptions!F49,0)</f>
        <v>11</v>
      </c>
      <c r="I11" s="17"/>
      <c r="J11" s="73" t="s">
        <v>37</v>
      </c>
      <c r="K11" s="74"/>
      <c r="L11" s="74"/>
      <c r="M11" s="74"/>
      <c r="N11" s="74"/>
      <c r="O11" s="75"/>
    </row>
    <row r="12" spans="2:15">
      <c r="B12" s="25" t="s">
        <v>50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I12" s="17"/>
      <c r="J12" s="10" t="s">
        <v>37</v>
      </c>
      <c r="K12" s="10">
        <f>C3</f>
        <v>2024</v>
      </c>
      <c r="L12" s="10">
        <f>D3</f>
        <v>2025</v>
      </c>
      <c r="M12" s="10">
        <f>E3</f>
        <v>2026</v>
      </c>
      <c r="N12" s="10">
        <f>F3</f>
        <v>2027</v>
      </c>
      <c r="O12" s="10">
        <f>G3</f>
        <v>2028</v>
      </c>
    </row>
    <row r="13" spans="2:15">
      <c r="B13" s="25" t="s">
        <v>51</v>
      </c>
      <c r="C13" s="45">
        <v>33000</v>
      </c>
      <c r="D13" s="27">
        <f>D36*Assumptions!C44</f>
        <v>38075.859550950001</v>
      </c>
      <c r="E13" s="27">
        <f>E36*Assumptions!D44</f>
        <v>39142.108454710578</v>
      </c>
      <c r="F13" s="27">
        <f>F36*Assumptions!E44</f>
        <v>40338.720633673125</v>
      </c>
      <c r="G13" s="27">
        <f>G36*Assumptions!F44</f>
        <v>40338.720633673125</v>
      </c>
      <c r="I13" s="17"/>
      <c r="J13" s="11" t="s">
        <v>24</v>
      </c>
      <c r="K13" s="5">
        <f>Assumptions!B58</f>
        <v>180</v>
      </c>
      <c r="L13" s="9">
        <f>K13*(1+Assumptions!C36)</f>
        <v>225</v>
      </c>
      <c r="M13" s="9">
        <f>L13*(1+Assumptions!D36)</f>
        <v>270</v>
      </c>
      <c r="N13" s="9">
        <f>M13*(1+Assumptions!E36)</f>
        <v>302.40000000000003</v>
      </c>
      <c r="O13" s="9">
        <f>N13*(1+Assumptions!F36)</f>
        <v>317.52000000000004</v>
      </c>
    </row>
    <row r="14" spans="2:15">
      <c r="B14" s="48" t="s">
        <v>52</v>
      </c>
      <c r="C14" s="49">
        <f>C6-C7-C13</f>
        <v>51158</v>
      </c>
      <c r="D14" s="49">
        <f t="shared" ref="D14:G14" si="4">D6-D7-D13</f>
        <v>75775.440529049869</v>
      </c>
      <c r="E14" s="49">
        <f t="shared" si="4"/>
        <v>106388.5357173497</v>
      </c>
      <c r="F14" s="49">
        <f t="shared" si="4"/>
        <v>126777.5897770088</v>
      </c>
      <c r="G14" s="49">
        <f t="shared" si="4"/>
        <v>143198.73867869333</v>
      </c>
      <c r="J14" s="11" t="s">
        <v>25</v>
      </c>
      <c r="K14" s="5">
        <f>Assumptions!B59</f>
        <v>55</v>
      </c>
      <c r="L14" s="9">
        <f>K14*(1+Assumptions!C37)</f>
        <v>68.75</v>
      </c>
      <c r="M14" s="9">
        <f>L14*(1+Assumptions!D37)</f>
        <v>79.0625</v>
      </c>
      <c r="N14" s="9">
        <f>M14*(1+Assumptions!E37)</f>
        <v>85.387500000000003</v>
      </c>
      <c r="O14" s="9">
        <f>N14*(1+Assumptions!F37)</f>
        <v>89.656875000000014</v>
      </c>
    </row>
    <row r="15" spans="2:15">
      <c r="B15" s="4" t="s">
        <v>53</v>
      </c>
      <c r="C15" s="4"/>
      <c r="D15" s="4"/>
      <c r="E15" s="4"/>
      <c r="F15" s="4"/>
      <c r="G15" s="4"/>
      <c r="J15" s="11" t="s">
        <v>26</v>
      </c>
      <c r="K15" s="5">
        <f>Assumptions!B60</f>
        <v>37</v>
      </c>
      <c r="L15" s="9">
        <f>K15*(1+Assumptions!C38)</f>
        <v>44.4</v>
      </c>
      <c r="M15" s="9">
        <f>L15*(1+Assumptions!D38)</f>
        <v>48.84</v>
      </c>
      <c r="N15" s="9">
        <f>M15*(1+Assumptions!E38)</f>
        <v>51.282000000000004</v>
      </c>
      <c r="O15" s="9">
        <f>N15*(1+Assumptions!F38)</f>
        <v>52.820460000000004</v>
      </c>
    </row>
    <row r="16" spans="2:15">
      <c r="B16" s="48" t="s">
        <v>54</v>
      </c>
      <c r="C16" s="49">
        <f>C14+C15</f>
        <v>51158</v>
      </c>
      <c r="D16" s="49">
        <f t="shared" ref="D16:G16" si="5">D14+D15</f>
        <v>75775.440529049869</v>
      </c>
      <c r="E16" s="49">
        <f t="shared" si="5"/>
        <v>106388.5357173497</v>
      </c>
      <c r="F16" s="49">
        <f t="shared" si="5"/>
        <v>126777.5897770088</v>
      </c>
      <c r="G16" s="49">
        <f t="shared" si="5"/>
        <v>143198.73867869333</v>
      </c>
      <c r="J16" s="11" t="s">
        <v>55</v>
      </c>
      <c r="K16" s="5">
        <f>Assumptions!B61</f>
        <v>110</v>
      </c>
      <c r="L16" s="9">
        <f>K16*(1+Assumptions!C39)</f>
        <v>121.00000000000001</v>
      </c>
      <c r="M16" s="9">
        <f>L16*(1+Assumptions!D39)</f>
        <v>130.68000000000004</v>
      </c>
      <c r="N16" s="9">
        <f>M16*(1+Assumptions!E39)</f>
        <v>138.52080000000004</v>
      </c>
      <c r="O16" s="9">
        <f>N16*(1+Assumptions!F39)</f>
        <v>144.06163200000003</v>
      </c>
    </row>
    <row r="17" spans="2:15">
      <c r="B17" s="11" t="s">
        <v>56</v>
      </c>
      <c r="C17" s="43">
        <v>3000</v>
      </c>
      <c r="D17" s="40">
        <f>D33*Assumptions!C28</f>
        <v>298.92506079583336</v>
      </c>
      <c r="E17" s="40">
        <f>E33*Assumptions!D28</f>
        <v>350.99846668908128</v>
      </c>
      <c r="F17" s="40">
        <f>F33*Assumptions!E28</f>
        <v>393.16783746429007</v>
      </c>
      <c r="G17" s="40">
        <f>G33*Assumptions!F28</f>
        <v>421.66431433898731</v>
      </c>
      <c r="J17" s="11"/>
      <c r="K17" s="4"/>
      <c r="L17" s="5"/>
      <c r="M17" s="5"/>
      <c r="N17" s="5"/>
      <c r="O17" s="5"/>
    </row>
    <row r="18" spans="2:15">
      <c r="B18" s="11" t="s">
        <v>57</v>
      </c>
      <c r="C18" s="43">
        <v>40000</v>
      </c>
      <c r="D18" s="40">
        <f>C44*Assumptions!C24</f>
        <v>44999.070465753422</v>
      </c>
      <c r="E18" s="40">
        <f>D44*Assumptions!D24</f>
        <v>35977.41667600537</v>
      </c>
      <c r="F18" s="40">
        <f>E44*Assumptions!E24</f>
        <v>38217.277009451958</v>
      </c>
      <c r="G18" s="40">
        <f>F44*Assumptions!F24</f>
        <v>40277.544836154273</v>
      </c>
      <c r="J18" s="11" t="s">
        <v>58</v>
      </c>
      <c r="K18" s="4"/>
      <c r="L18" s="5"/>
      <c r="M18" s="5"/>
      <c r="N18" s="5"/>
      <c r="O18" s="5"/>
    </row>
    <row r="19" spans="2:15">
      <c r="B19" s="48" t="s">
        <v>59</v>
      </c>
      <c r="C19" s="49">
        <f>C16+C17-C18</f>
        <v>14158</v>
      </c>
      <c r="D19" s="49">
        <f t="shared" ref="D19:G19" si="6">D16+D17-D18</f>
        <v>31075.295124092285</v>
      </c>
      <c r="E19" s="49">
        <f t="shared" si="6"/>
        <v>70762.117508033407</v>
      </c>
      <c r="F19" s="49">
        <f t="shared" si="6"/>
        <v>88953.480605021148</v>
      </c>
      <c r="G19" s="49">
        <f t="shared" si="6"/>
        <v>103342.85815687806</v>
      </c>
      <c r="J19" s="11" t="s">
        <v>24</v>
      </c>
      <c r="K19" s="9">
        <f>Assumptions!B64</f>
        <v>1352</v>
      </c>
      <c r="L19" s="9">
        <f>K19*(1+Assumptions!C$4)</f>
        <v>1391.2079999999999</v>
      </c>
      <c r="M19" s="9">
        <f>L19*(1+Assumptions!D$4)</f>
        <v>1432.9442399999998</v>
      </c>
      <c r="N19" s="9">
        <f>M19*(1+Assumptions!E$4)</f>
        <v>1475.9325671999998</v>
      </c>
      <c r="O19" s="9">
        <f>N19*(1+Assumptions!F$4)</f>
        <v>1520.2105442159998</v>
      </c>
    </row>
    <row r="20" spans="2:15">
      <c r="B20" s="25" t="s">
        <v>60</v>
      </c>
      <c r="C20" s="50">
        <f>C19*Assumptions!B6</f>
        <v>1274.22</v>
      </c>
      <c r="D20" s="50">
        <f>D19*Assumptions!C6</f>
        <v>2796.7765611683053</v>
      </c>
      <c r="E20" s="50">
        <f>E19*Assumptions!D6</f>
        <v>6368.5905757230066</v>
      </c>
      <c r="F20" s="50">
        <f>F19*Assumptions!E6</f>
        <v>8005.813254451903</v>
      </c>
      <c r="G20" s="50">
        <f>G19*Assumptions!F6</f>
        <v>9300.8572341190247</v>
      </c>
      <c r="J20" s="11" t="s">
        <v>25</v>
      </c>
      <c r="K20" s="9">
        <f>Assumptions!B65</f>
        <v>1361</v>
      </c>
      <c r="L20" s="9">
        <f>K20*(1+Assumptions!C$4)</f>
        <v>1400.4689999999998</v>
      </c>
      <c r="M20" s="9">
        <f>L20*(1+Assumptions!D$4)</f>
        <v>1442.4830699999998</v>
      </c>
      <c r="N20" s="9">
        <f>M20*(1+Assumptions!E$4)</f>
        <v>1485.7575620999999</v>
      </c>
      <c r="O20" s="9">
        <f>N20*(1+Assumptions!F$4)</f>
        <v>1530.3302889629999</v>
      </c>
    </row>
    <row r="21" spans="2:15">
      <c r="B21" s="48" t="s">
        <v>61</v>
      </c>
      <c r="C21" s="49">
        <f>C19-C20</f>
        <v>12883.78</v>
      </c>
      <c r="D21" s="49">
        <f t="shared" ref="D21:G21" si="7">D19-D20</f>
        <v>28278.518562923979</v>
      </c>
      <c r="E21" s="49">
        <f t="shared" si="7"/>
        <v>64393.5269323104</v>
      </c>
      <c r="F21" s="49">
        <f t="shared" si="7"/>
        <v>80947.667350569245</v>
      </c>
      <c r="G21" s="49">
        <f t="shared" si="7"/>
        <v>94042.000922759034</v>
      </c>
      <c r="J21" s="11" t="s">
        <v>26</v>
      </c>
      <c r="K21" s="9">
        <f>Assumptions!B66</f>
        <v>1487</v>
      </c>
      <c r="L21" s="9">
        <f>K21*(1+Assumptions!C$4)</f>
        <v>1530.1229999999998</v>
      </c>
      <c r="M21" s="9">
        <f>L21*(1+Assumptions!D$4)</f>
        <v>1576.0266899999999</v>
      </c>
      <c r="N21" s="9">
        <f>M21*(1+Assumptions!E$4)</f>
        <v>1623.3074907</v>
      </c>
      <c r="O21" s="9">
        <f>N21*(1+Assumptions!F$4)</f>
        <v>1672.0067154210001</v>
      </c>
    </row>
    <row r="22" spans="2:15">
      <c r="J22" s="11" t="s">
        <v>55</v>
      </c>
      <c r="K22" s="9">
        <f>Assumptions!B67</f>
        <v>1352</v>
      </c>
      <c r="L22" s="9">
        <f>K22*(1+Assumptions!C$5)</f>
        <v>1396.616</v>
      </c>
      <c r="M22" s="9">
        <f>L22*(1+Assumptions!D$5)</f>
        <v>1424.5483200000001</v>
      </c>
      <c r="N22" s="9">
        <f>M22*(1+Assumptions!E$5)</f>
        <v>1453.0392864</v>
      </c>
      <c r="O22" s="9">
        <f>N22*(1+Assumptions!F$5)</f>
        <v>1482.100072128</v>
      </c>
    </row>
    <row r="23" spans="2:15" ht="15.75">
      <c r="J23" s="15"/>
      <c r="K23" s="4"/>
      <c r="L23" s="4"/>
      <c r="M23" s="4"/>
      <c r="N23" s="4"/>
      <c r="O23" s="4"/>
    </row>
    <row r="24" spans="2:15">
      <c r="B24" s="13" t="s">
        <v>62</v>
      </c>
      <c r="C24" s="14">
        <f>C21-C25</f>
        <v>10395.399178082213</v>
      </c>
      <c r="D24" s="14">
        <f>D21-D25</f>
        <v>0</v>
      </c>
      <c r="E24" s="14">
        <f>E21-E25</f>
        <v>27062.521374867269</v>
      </c>
      <c r="F24" s="14">
        <f>F21-F25</f>
        <v>46609.870238864067</v>
      </c>
      <c r="G24" s="14">
        <f>G21-G25</f>
        <v>80579.749316211761</v>
      </c>
      <c r="J24" s="11" t="s">
        <v>63</v>
      </c>
      <c r="K24" s="9"/>
      <c r="L24" s="4"/>
      <c r="M24" s="4"/>
      <c r="N24" s="4"/>
      <c r="O24" s="4"/>
    </row>
    <row r="25" spans="2:15">
      <c r="B25" s="13" t="s">
        <v>64</v>
      </c>
      <c r="C25" s="14">
        <f>IF(C21&lt;0,C21,MAX(0,MIN(C27,C21)))</f>
        <v>2488.3808219177881</v>
      </c>
      <c r="D25" s="14">
        <f>IF(D21&lt;0,D21,MAX(0,MIN(D27,D21)))</f>
        <v>28278.518562923979</v>
      </c>
      <c r="E25" s="14">
        <f t="shared" ref="E25:G25" si="8">IF(E21&lt;0,E21,MAX(0,MIN(E27,E21)))</f>
        <v>37331.005557443132</v>
      </c>
      <c r="F25" s="14">
        <f t="shared" si="8"/>
        <v>34337.797111705178</v>
      </c>
      <c r="G25" s="14">
        <f t="shared" si="8"/>
        <v>13462.251606547274</v>
      </c>
      <c r="J25" s="11" t="s">
        <v>24</v>
      </c>
      <c r="K25" s="9">
        <f>K19+Assumptions!B52</f>
        <v>1877</v>
      </c>
      <c r="L25" s="9">
        <f>K25*(1+Assumptions!C4)</f>
        <v>1931.4329999999998</v>
      </c>
      <c r="M25" s="9">
        <f>L25*(1+Assumptions!D4)</f>
        <v>1989.3759899999998</v>
      </c>
      <c r="N25" s="9">
        <f>M25*(1+Assumptions!E4)</f>
        <v>2049.0572696999998</v>
      </c>
      <c r="O25" s="9">
        <f>N25*(1+Assumptions!F4)</f>
        <v>2110.528987791</v>
      </c>
    </row>
    <row r="26" spans="2:15">
      <c r="B26" s="13"/>
      <c r="C26" s="14"/>
      <c r="D26" s="14"/>
      <c r="E26" s="14"/>
      <c r="F26" s="14"/>
      <c r="G26" s="14"/>
      <c r="J26" s="11" t="s">
        <v>25</v>
      </c>
      <c r="K26" s="9">
        <f>K20+Assumptions!B53</f>
        <v>1861</v>
      </c>
      <c r="L26" s="9">
        <f>K26*(1+Assumptions!C4)</f>
        <v>1914.9689999999998</v>
      </c>
      <c r="M26" s="9">
        <f>L26*(1+Assumptions!D4)</f>
        <v>1972.4180699999999</v>
      </c>
      <c r="N26" s="9">
        <f>M26*(1+Assumptions!E4)</f>
        <v>2031.5906121</v>
      </c>
      <c r="O26" s="9">
        <f>N26*(1+Assumptions!F4)</f>
        <v>2092.538330463</v>
      </c>
    </row>
    <row r="27" spans="2:15">
      <c r="B27" s="13" t="s">
        <v>65</v>
      </c>
      <c r="C27" s="14">
        <f>C45-C46-C49</f>
        <v>2488.3808219177881</v>
      </c>
      <c r="D27" s="14">
        <f>D45-C45</f>
        <v>37135.230444838293</v>
      </c>
      <c r="E27" s="14">
        <f>E45-D45</f>
        <v>37331.005557443132</v>
      </c>
      <c r="F27" s="14">
        <f t="shared" ref="F27:G27" si="9">F45-E45</f>
        <v>34337.797111705178</v>
      </c>
      <c r="G27" s="14">
        <f t="shared" si="9"/>
        <v>13462.251606547274</v>
      </c>
      <c r="H27" s="28"/>
      <c r="J27" s="11" t="s">
        <v>26</v>
      </c>
      <c r="K27" s="9">
        <f>K21+Assumptions!B54</f>
        <v>1937</v>
      </c>
      <c r="L27" s="9">
        <f>K27*(1+Assumptions!C4)</f>
        <v>1993.1729999999998</v>
      </c>
      <c r="M27" s="9">
        <f>L27*(1+Assumptions!D4)</f>
        <v>2052.9681899999996</v>
      </c>
      <c r="N27" s="9">
        <f>M27*(1+Assumptions!E4)</f>
        <v>2114.5572356999996</v>
      </c>
      <c r="O27" s="9">
        <f>N27*(1+Assumptions!F4)</f>
        <v>2177.9939527709998</v>
      </c>
    </row>
    <row r="28" spans="2:15">
      <c r="B28" s="13" t="s">
        <v>66</v>
      </c>
      <c r="C28" s="14">
        <f>C27-C25</f>
        <v>0</v>
      </c>
      <c r="D28" s="14">
        <f>D27-D25</f>
        <v>8856.7118819143143</v>
      </c>
      <c r="E28" s="14">
        <f t="shared" ref="E28:G28" si="10">E27-E25</f>
        <v>0</v>
      </c>
      <c r="F28" s="14">
        <f t="shared" si="10"/>
        <v>0</v>
      </c>
      <c r="G28" s="14">
        <f t="shared" si="10"/>
        <v>0</v>
      </c>
      <c r="J28" s="11" t="s">
        <v>55</v>
      </c>
      <c r="K28" s="9">
        <f>K22+Assumptions!B55</f>
        <v>1982</v>
      </c>
      <c r="L28" s="9">
        <f>K28*(1+Assumptions!C5)</f>
        <v>2047.4059999999999</v>
      </c>
      <c r="M28" s="9">
        <f>L28*(1+Assumptions!D5)</f>
        <v>2088.35412</v>
      </c>
      <c r="N28" s="9">
        <f>M28*(1+Assumptions!E5)</f>
        <v>2130.1212024000001</v>
      </c>
      <c r="O28" s="9">
        <f>N28*(1+Assumptions!F5)</f>
        <v>2172.7236264480002</v>
      </c>
    </row>
    <row r="29" spans="2:15">
      <c r="J29" s="11" t="s">
        <v>67</v>
      </c>
      <c r="K29" s="9">
        <f>SUMPRODUCT(K25:K27,K13:K15)</f>
        <v>511884</v>
      </c>
      <c r="L29" s="9">
        <f t="shared" ref="L29:O29" si="11">SUMPRODUCT(L25:L27,L13:L15)</f>
        <v>654723.4249499999</v>
      </c>
      <c r="M29" s="9">
        <f t="shared" si="11"/>
        <v>793342.78735897504</v>
      </c>
      <c r="N29" s="9">
        <f t="shared" si="11"/>
        <v>901546.08590913611</v>
      </c>
      <c r="O29" s="9">
        <f t="shared" si="11"/>
        <v>972788.25419301074</v>
      </c>
    </row>
    <row r="30" spans="2:15" ht="15.75">
      <c r="B30" s="29" t="s">
        <v>68</v>
      </c>
      <c r="C30" s="29" t="s">
        <v>69</v>
      </c>
      <c r="D30" s="29"/>
      <c r="E30" s="29" t="s">
        <v>69</v>
      </c>
      <c r="F30" s="30"/>
      <c r="G30" s="30"/>
      <c r="J30" s="11" t="s">
        <v>70</v>
      </c>
      <c r="K30" s="9">
        <f>K16*K28</f>
        <v>218020</v>
      </c>
      <c r="L30" s="9">
        <f t="shared" ref="L30:O30" si="12">L16*L28</f>
        <v>247736.12600000002</v>
      </c>
      <c r="M30" s="9">
        <f t="shared" si="12"/>
        <v>272906.11640160007</v>
      </c>
      <c r="N30" s="9">
        <f t="shared" si="12"/>
        <v>295066.09305341</v>
      </c>
      <c r="O30" s="9">
        <f t="shared" si="12"/>
        <v>313006.11151105736</v>
      </c>
    </row>
    <row r="31" spans="2:15">
      <c r="B31" s="31"/>
      <c r="C31" s="10">
        <f>+C3</f>
        <v>2024</v>
      </c>
      <c r="D31" s="10">
        <f>+D3</f>
        <v>2025</v>
      </c>
      <c r="E31" s="10">
        <f>+E3</f>
        <v>2026</v>
      </c>
      <c r="F31" s="32">
        <f>+F3</f>
        <v>2027</v>
      </c>
      <c r="G31" s="32">
        <f>+G3</f>
        <v>2028</v>
      </c>
      <c r="J31" s="11" t="s">
        <v>71</v>
      </c>
      <c r="K31" s="9">
        <f>SUMPRODUCT(K13:K15,K19:K21)</f>
        <v>373234</v>
      </c>
      <c r="L31" s="9">
        <f t="shared" ref="L31:O31" si="13">SUMPRODUCT(L13:L15,L19:L21)</f>
        <v>477241.50494999997</v>
      </c>
      <c r="M31" s="9">
        <f t="shared" si="13"/>
        <v>577914.40606147493</v>
      </c>
      <c r="N31" s="9">
        <f t="shared" si="13"/>
        <v>656433.58689317107</v>
      </c>
      <c r="O31" s="9">
        <f t="shared" si="13"/>
        <v>708218.04725736019</v>
      </c>
    </row>
    <row r="32" spans="2:15">
      <c r="B32" s="33" t="s">
        <v>72</v>
      </c>
      <c r="C32" s="34">
        <f>SUM(C33:C35)</f>
        <v>236912.96347031964</v>
      </c>
      <c r="D32" s="34">
        <f t="shared" ref="D32:G32" si="14">SUM(D33:D35)</f>
        <v>290970.45669545664</v>
      </c>
      <c r="E32" s="34">
        <f t="shared" si="14"/>
        <v>341549.49296138709</v>
      </c>
      <c r="F32" s="34">
        <f t="shared" si="14"/>
        <v>382542.96910547023</v>
      </c>
      <c r="G32" s="34">
        <f t="shared" si="14"/>
        <v>410242.14151298837</v>
      </c>
      <c r="J32" s="11" t="s">
        <v>73</v>
      </c>
      <c r="K32" s="9">
        <f>K16*K22</f>
        <v>148720</v>
      </c>
      <c r="L32" s="9">
        <f t="shared" ref="L32:O32" si="15">L16*L22</f>
        <v>168990.53600000002</v>
      </c>
      <c r="M32" s="9">
        <f t="shared" si="15"/>
        <v>186159.97445760007</v>
      </c>
      <c r="N32" s="9">
        <f t="shared" si="15"/>
        <v>201276.16438355719</v>
      </c>
      <c r="O32" s="9">
        <f t="shared" si="15"/>
        <v>213513.75517807744</v>
      </c>
    </row>
    <row r="33" spans="2:15">
      <c r="B33" s="4" t="s">
        <v>74</v>
      </c>
      <c r="C33" s="35">
        <f>C5/6+C7/12</f>
        <v>97308.333333333328</v>
      </c>
      <c r="D33" s="35">
        <f>D5/6+D7/12</f>
        <v>119570.02431833335</v>
      </c>
      <c r="E33" s="35">
        <f t="shared" ref="E33:G33" si="16">E5/6+E7/12</f>
        <v>140399.3866756325</v>
      </c>
      <c r="F33" s="35">
        <f t="shared" si="16"/>
        <v>157267.13498571602</v>
      </c>
      <c r="G33" s="35">
        <f t="shared" si="16"/>
        <v>168665.72573559493</v>
      </c>
      <c r="K33" s="8"/>
      <c r="L33" s="8"/>
      <c r="M33" s="8"/>
      <c r="N33" s="8"/>
      <c r="O33" s="8"/>
    </row>
    <row r="34" spans="2:15">
      <c r="B34" s="4" t="s">
        <v>11</v>
      </c>
      <c r="C34" s="35">
        <f>C4*Assumptions!B13/365</f>
        <v>59992.109589041094</v>
      </c>
      <c r="D34" s="35">
        <f>D4*Assumptions!C13/365</f>
        <v>74174.757612328758</v>
      </c>
      <c r="E34" s="35">
        <f>E4*Assumptions!D13/365</f>
        <v>87636.89619949933</v>
      </c>
      <c r="F34" s="35">
        <f>F4*Assumptions!E13/365</f>
        <v>98351.685942127078</v>
      </c>
      <c r="G34" s="35">
        <f>G4*Assumptions!F13/365</f>
        <v>105681.72868800559</v>
      </c>
      <c r="K34" s="8"/>
      <c r="L34" s="8"/>
      <c r="M34" s="8"/>
      <c r="N34" s="8"/>
    </row>
    <row r="35" spans="2:15">
      <c r="B35" s="4" t="s">
        <v>75</v>
      </c>
      <c r="C35" s="35">
        <f>(C5+C7)*Assumptions!B19/365</f>
        <v>79612.520547945212</v>
      </c>
      <c r="D35" s="35">
        <f>(D5+D7)*Assumptions!C19/365</f>
        <v>97225.674764794545</v>
      </c>
      <c r="E35" s="35">
        <f>(E5+E7)*Assumptions!D19/365</f>
        <v>113513.21008625526</v>
      </c>
      <c r="F35" s="35">
        <f>(F5+F7)*Assumptions!E19/365</f>
        <v>126924.1481776271</v>
      </c>
      <c r="G35" s="35">
        <f>(G5+G7)*Assumptions!F19/365</f>
        <v>135894.68708938785</v>
      </c>
      <c r="K35" s="8"/>
      <c r="L35" s="8"/>
      <c r="M35" s="8"/>
      <c r="N35" s="8"/>
    </row>
    <row r="36" spans="2:15">
      <c r="B36" s="33" t="s">
        <v>76</v>
      </c>
      <c r="C36" s="34">
        <f>C37+C38</f>
        <v>743468</v>
      </c>
      <c r="D36" s="34">
        <f>C36+D4*Assumptions!D41</f>
        <v>761517.19101900002</v>
      </c>
      <c r="E36" s="34">
        <f>D36+E4*Assumptions!E41</f>
        <v>782842.16909421154</v>
      </c>
      <c r="F36" s="34">
        <f>E36+F4*Assumptions!F41</f>
        <v>806774.41267346242</v>
      </c>
      <c r="G36" s="34">
        <f>F36+G4*Assumptions!G41</f>
        <v>806774.41267346242</v>
      </c>
      <c r="K36" s="8"/>
      <c r="L36" s="8"/>
      <c r="M36" s="8"/>
      <c r="N36" s="8"/>
    </row>
    <row r="37" spans="2:15">
      <c r="B37" s="36" t="s">
        <v>77</v>
      </c>
      <c r="C37" s="44">
        <v>80000</v>
      </c>
      <c r="D37" s="35"/>
      <c r="E37" s="35"/>
      <c r="F37" s="35"/>
      <c r="G37" s="35"/>
      <c r="K37" s="8"/>
      <c r="L37" s="8"/>
      <c r="M37" s="8"/>
      <c r="N37" s="8"/>
    </row>
    <row r="38" spans="2:15">
      <c r="B38" s="36" t="s">
        <v>78</v>
      </c>
      <c r="C38" s="44">
        <v>663468</v>
      </c>
      <c r="D38" s="35"/>
      <c r="E38" s="35"/>
      <c r="F38" s="35"/>
      <c r="G38" s="35"/>
    </row>
    <row r="39" spans="2:15">
      <c r="B39" s="37" t="s">
        <v>79</v>
      </c>
      <c r="C39" s="38">
        <f>+C32+C36</f>
        <v>980380.96347031964</v>
      </c>
      <c r="D39" s="38">
        <f>+D32+D36</f>
        <v>1052487.6477144565</v>
      </c>
      <c r="E39" s="38">
        <f>+E32+E36</f>
        <v>1124391.6620555986</v>
      </c>
      <c r="F39" s="38">
        <f>+F32+F36</f>
        <v>1189317.3817789326</v>
      </c>
      <c r="G39" s="38">
        <f>+G32+G36</f>
        <v>1217016.5541864508</v>
      </c>
    </row>
    <row r="40" spans="2:15">
      <c r="B40" s="33" t="s">
        <v>80</v>
      </c>
      <c r="C40" s="34">
        <f>C41+C42</f>
        <v>42900.32876712329</v>
      </c>
      <c r="D40" s="34">
        <f t="shared" ref="D40:G40" si="17">D41+D42</f>
        <v>53114.962269863019</v>
      </c>
      <c r="E40" s="34">
        <f t="shared" si="17"/>
        <v>62800.634015266434</v>
      </c>
      <c r="F40" s="34">
        <f t="shared" si="17"/>
        <v>70496.691885758482</v>
      </c>
      <c r="G40" s="34">
        <f t="shared" si="17"/>
        <v>75758.778282364743</v>
      </c>
    </row>
    <row r="41" spans="2:15">
      <c r="B41" s="4" t="s">
        <v>81</v>
      </c>
      <c r="C41" s="39">
        <f>C5*Assumptions!B16/365</f>
        <v>42900.32876712329</v>
      </c>
      <c r="D41" s="39">
        <f>D5*Assumptions!C16/365</f>
        <v>53114.962269863019</v>
      </c>
      <c r="E41" s="39">
        <f>E5*Assumptions!D16/365</f>
        <v>62800.634015266434</v>
      </c>
      <c r="F41" s="39">
        <f>F5*Assumptions!E16/365</f>
        <v>70496.691885758482</v>
      </c>
      <c r="G41" s="39">
        <f>G5*Assumptions!F16/365</f>
        <v>75758.778282364743</v>
      </c>
    </row>
    <row r="42" spans="2:15">
      <c r="B42" s="4" t="s">
        <v>82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</row>
    <row r="43" spans="2:15">
      <c r="B43" s="33" t="s">
        <v>83</v>
      </c>
      <c r="C43" s="34">
        <f>C44</f>
        <v>374992.25388127856</v>
      </c>
      <c r="D43" s="34">
        <f>D44</f>
        <v>399749.07417783746</v>
      </c>
      <c r="E43" s="34">
        <f t="shared" ref="E43:F43" si="18">E44</f>
        <v>424636.41121613292</v>
      </c>
      <c r="F43" s="34">
        <f t="shared" si="18"/>
        <v>447528.27595726971</v>
      </c>
      <c r="G43" s="34">
        <f>G44</f>
        <v>456503.1103616344</v>
      </c>
    </row>
    <row r="44" spans="2:15">
      <c r="B44" s="4" t="s">
        <v>84</v>
      </c>
      <c r="C44" s="39">
        <f>C57*Assumptions!B70</f>
        <v>374992.25388127856</v>
      </c>
      <c r="D44" s="39">
        <f>D57*Assumptions!C70</f>
        <v>399749.07417783746</v>
      </c>
      <c r="E44" s="39">
        <f>E57*Assumptions!D70</f>
        <v>424636.41121613292</v>
      </c>
      <c r="F44" s="39">
        <f>F57*Assumptions!E70</f>
        <v>447528.27595726971</v>
      </c>
      <c r="G44" s="39">
        <f>G57*Assumptions!F70</f>
        <v>456503.1103616344</v>
      </c>
    </row>
    <row r="45" spans="2:15">
      <c r="B45" s="33" t="s">
        <v>85</v>
      </c>
      <c r="C45" s="5">
        <f>C39-C43-C40</f>
        <v>562488.38082191779</v>
      </c>
      <c r="D45" s="5">
        <f t="shared" ref="D45:G45" si="19">D39-D43-D40</f>
        <v>599623.61126675608</v>
      </c>
      <c r="E45" s="5">
        <f t="shared" si="19"/>
        <v>636954.61682419921</v>
      </c>
      <c r="F45" s="5">
        <f t="shared" si="19"/>
        <v>671292.41393590439</v>
      </c>
      <c r="G45" s="5">
        <f t="shared" si="19"/>
        <v>684754.66554245166</v>
      </c>
    </row>
    <row r="46" spans="2:15">
      <c r="B46" s="4" t="s">
        <v>86</v>
      </c>
      <c r="C46" s="43">
        <v>500000</v>
      </c>
      <c r="D46" s="40">
        <f>C46+C48</f>
        <v>500000</v>
      </c>
      <c r="E46" s="40">
        <f>D46+D48</f>
        <v>508856.71188191429</v>
      </c>
      <c r="F46" s="40">
        <f t="shared" ref="F46:G46" si="20">E46+E48</f>
        <v>508856.71188191429</v>
      </c>
      <c r="G46" s="40">
        <f t="shared" si="20"/>
        <v>508856.71188191429</v>
      </c>
    </row>
    <row r="47" spans="2:15">
      <c r="B47" s="4" t="s">
        <v>61</v>
      </c>
      <c r="C47" s="40">
        <f>C21</f>
        <v>12883.78</v>
      </c>
      <c r="D47" s="40">
        <f t="shared" ref="D47:G47" si="21">D21</f>
        <v>28278.518562923979</v>
      </c>
      <c r="E47" s="40">
        <f t="shared" si="21"/>
        <v>64393.5269323104</v>
      </c>
      <c r="F47" s="40">
        <f t="shared" si="21"/>
        <v>80947.667350569245</v>
      </c>
      <c r="G47" s="40">
        <f t="shared" si="21"/>
        <v>94042.000922759034</v>
      </c>
    </row>
    <row r="48" spans="2:15">
      <c r="B48" s="36" t="s">
        <v>87</v>
      </c>
      <c r="C48" s="40">
        <f>C28</f>
        <v>0</v>
      </c>
      <c r="D48" s="40">
        <f t="shared" ref="D48:G48" si="22">D28</f>
        <v>8856.7118819143143</v>
      </c>
      <c r="E48" s="40">
        <f t="shared" si="22"/>
        <v>0</v>
      </c>
      <c r="F48" s="40">
        <f t="shared" si="22"/>
        <v>0</v>
      </c>
      <c r="G48" s="40">
        <f t="shared" si="22"/>
        <v>0</v>
      </c>
    </row>
    <row r="49" spans="2:15">
      <c r="B49" s="41" t="s">
        <v>88</v>
      </c>
      <c r="C49" s="43">
        <v>60000</v>
      </c>
      <c r="D49" s="40">
        <f>C49+C25</f>
        <v>62488.380821917788</v>
      </c>
      <c r="E49" s="40">
        <f t="shared" ref="E49:G49" si="23">D49+D25</f>
        <v>90766.899384841759</v>
      </c>
      <c r="F49" s="40">
        <f t="shared" si="23"/>
        <v>128097.90494228489</v>
      </c>
      <c r="G49" s="40">
        <f t="shared" si="23"/>
        <v>162435.70205399007</v>
      </c>
    </row>
    <row r="50" spans="2:15">
      <c r="B50" s="36" t="s">
        <v>89</v>
      </c>
      <c r="C50" s="40">
        <f>C25</f>
        <v>2488.3808219177881</v>
      </c>
      <c r="D50" s="40">
        <f>D25</f>
        <v>28278.518562923979</v>
      </c>
      <c r="E50" s="40">
        <f t="shared" ref="E50:G50" si="24">E25</f>
        <v>37331.005557443132</v>
      </c>
      <c r="F50" s="40">
        <f t="shared" si="24"/>
        <v>34337.797111705178</v>
      </c>
      <c r="G50" s="40">
        <f t="shared" si="24"/>
        <v>13462.251606547274</v>
      </c>
    </row>
    <row r="51" spans="2:15">
      <c r="B51" s="42" t="s">
        <v>90</v>
      </c>
      <c r="C51" s="38">
        <f>C45+C43+C40</f>
        <v>980380.96347031964</v>
      </c>
      <c r="D51" s="38">
        <f>D45+D43+D40</f>
        <v>1052487.6477144565</v>
      </c>
      <c r="E51" s="38">
        <f t="shared" ref="E51:G51" si="25">E45+E43+E40</f>
        <v>1124391.6620555986</v>
      </c>
      <c r="F51" s="38">
        <f t="shared" si="25"/>
        <v>1189317.3817789324</v>
      </c>
      <c r="G51" s="38">
        <f t="shared" si="25"/>
        <v>1217016.5541864508</v>
      </c>
    </row>
    <row r="52" spans="2:15">
      <c r="B52" s="4" t="s">
        <v>91</v>
      </c>
      <c r="C52" s="5">
        <f>C51-C39</f>
        <v>0</v>
      </c>
      <c r="D52" s="5">
        <f>D51-D39</f>
        <v>0</v>
      </c>
      <c r="E52" s="5">
        <f>E51-E39</f>
        <v>0</v>
      </c>
      <c r="F52" s="5">
        <f>F51-F39</f>
        <v>0</v>
      </c>
      <c r="G52" s="5">
        <f>G51-G39</f>
        <v>0</v>
      </c>
    </row>
    <row r="54" spans="2:15">
      <c r="B54" s="51" t="s">
        <v>92</v>
      </c>
      <c r="C54" s="51">
        <f>C31</f>
        <v>2024</v>
      </c>
      <c r="D54" s="51">
        <f>D31</f>
        <v>2025</v>
      </c>
      <c r="E54" s="51">
        <f>E31</f>
        <v>2026</v>
      </c>
      <c r="F54" s="51">
        <f>F31</f>
        <v>2027</v>
      </c>
      <c r="G54" s="51">
        <f>G31</f>
        <v>2028</v>
      </c>
      <c r="H54" s="51" t="s">
        <v>138</v>
      </c>
      <c r="I54" s="51" t="s">
        <v>93</v>
      </c>
    </row>
    <row r="55" spans="2:15">
      <c r="B55" s="4" t="s">
        <v>94</v>
      </c>
      <c r="C55" s="5">
        <f>C16</f>
        <v>51158</v>
      </c>
      <c r="D55" s="5">
        <f t="shared" ref="D55:G55" si="26">D16</f>
        <v>75775.440529049869</v>
      </c>
      <c r="E55" s="5">
        <f t="shared" si="26"/>
        <v>106388.5357173497</v>
      </c>
      <c r="F55" s="5">
        <f t="shared" si="26"/>
        <v>126777.5897770088</v>
      </c>
      <c r="G55" s="5">
        <f t="shared" si="26"/>
        <v>143198.73867869333</v>
      </c>
      <c r="H55" s="5">
        <f>H56/(1-H60)</f>
        <v>349515.6032085499</v>
      </c>
      <c r="I55" s="4"/>
    </row>
    <row r="56" spans="2:15">
      <c r="B56" s="4" t="s">
        <v>95</v>
      </c>
      <c r="C56" s="5">
        <f>C55*(1-C60)</f>
        <v>46553.78</v>
      </c>
      <c r="D56" s="5">
        <f t="shared" ref="D56:G56" si="27">D55*(1-D60)</f>
        <v>68955.650881435387</v>
      </c>
      <c r="E56" s="5">
        <f t="shared" si="27"/>
        <v>96813.567502788239</v>
      </c>
      <c r="F56" s="5">
        <f t="shared" si="27"/>
        <v>115367.60669707802</v>
      </c>
      <c r="G56" s="5">
        <f t="shared" si="27"/>
        <v>130310.85219761093</v>
      </c>
      <c r="H56" s="5">
        <f>G56+G57*I71</f>
        <v>318059.19891978044</v>
      </c>
      <c r="I56" s="4"/>
    </row>
    <row r="57" spans="2:15">
      <c r="B57" s="4" t="s">
        <v>96</v>
      </c>
      <c r="C57" s="5">
        <f>C32-C40+C36</f>
        <v>937480.63470319635</v>
      </c>
      <c r="D57" s="5">
        <f>D32-D40+D36</f>
        <v>999372.68544459366</v>
      </c>
      <c r="E57" s="5">
        <f>E32-E40+E36</f>
        <v>1061591.0280403323</v>
      </c>
      <c r="F57" s="5">
        <f t="shared" ref="F57:G57" si="28">F32-F40+F36</f>
        <v>1118820.6898931742</v>
      </c>
      <c r="G57" s="5">
        <f t="shared" si="28"/>
        <v>1141257.775904086</v>
      </c>
      <c r="H57" s="5">
        <f>G57+H58</f>
        <v>1199258.9578535878</v>
      </c>
      <c r="I57" s="5"/>
    </row>
    <row r="58" spans="2:15">
      <c r="B58" s="4" t="s">
        <v>97</v>
      </c>
      <c r="C58" s="5"/>
      <c r="D58" s="5">
        <f>D57-C57</f>
        <v>61892.05074139731</v>
      </c>
      <c r="E58" s="5">
        <f t="shared" ref="E58:G58" si="29">E57-D57</f>
        <v>62218.342595738592</v>
      </c>
      <c r="F58" s="5">
        <f t="shared" si="29"/>
        <v>57229.661852841964</v>
      </c>
      <c r="G58" s="5">
        <f t="shared" si="29"/>
        <v>22437.086010911735</v>
      </c>
      <c r="H58" s="5">
        <f>(I62/I71)*H56</f>
        <v>58001.181949501872</v>
      </c>
      <c r="I58" s="4"/>
    </row>
    <row r="59" spans="2:15">
      <c r="B59" s="52" t="s">
        <v>98</v>
      </c>
      <c r="C59" s="53"/>
      <c r="D59" s="53">
        <f>D56-D58</f>
        <v>7063.6001400380774</v>
      </c>
      <c r="E59" s="53">
        <f t="shared" ref="E59:G59" si="30">E56-E58</f>
        <v>34595.224907049647</v>
      </c>
      <c r="F59" s="53">
        <f t="shared" si="30"/>
        <v>58137.944844236059</v>
      </c>
      <c r="G59" s="53">
        <f t="shared" si="30"/>
        <v>107873.7661866992</v>
      </c>
      <c r="H59" s="53">
        <f>H56-H58</f>
        <v>260058.01697027858</v>
      </c>
      <c r="I59" s="4"/>
    </row>
    <row r="60" spans="2:15">
      <c r="B60" s="54" t="s">
        <v>99</v>
      </c>
      <c r="C60" s="55">
        <f>C20/C19</f>
        <v>0.09</v>
      </c>
      <c r="D60" s="55">
        <f t="shared" ref="D60:G60" si="31">D20/D19</f>
        <v>8.9999999999999983E-2</v>
      </c>
      <c r="E60" s="55">
        <f t="shared" si="31"/>
        <v>0.09</v>
      </c>
      <c r="F60" s="55">
        <f t="shared" si="31"/>
        <v>0.09</v>
      </c>
      <c r="G60" s="55">
        <f t="shared" si="31"/>
        <v>8.9999999999999983E-2</v>
      </c>
      <c r="H60" s="55">
        <f>G60</f>
        <v>8.9999999999999983E-2</v>
      </c>
      <c r="I60" s="4"/>
    </row>
    <row r="62" spans="2:15">
      <c r="B62" s="4" t="s">
        <v>100</v>
      </c>
      <c r="C62" s="4"/>
      <c r="D62" s="4"/>
      <c r="E62" s="4"/>
      <c r="F62" s="4"/>
      <c r="G62" s="4"/>
      <c r="H62" s="76"/>
      <c r="I62" s="77">
        <v>0.03</v>
      </c>
      <c r="J62" s="78" t="s">
        <v>115</v>
      </c>
    </row>
    <row r="63" spans="2:15">
      <c r="B63" s="79" t="s">
        <v>101</v>
      </c>
      <c r="C63" s="79"/>
      <c r="D63" s="80">
        <f>D68+D65*D66+D67</f>
        <v>0.12872050554623882</v>
      </c>
      <c r="E63" s="80">
        <f>E68+E65*E66+E67</f>
        <v>0.13363328221313853</v>
      </c>
      <c r="F63" s="80">
        <f>F68+F65*F66+F67</f>
        <v>0.12873764667968435</v>
      </c>
      <c r="G63" s="80">
        <f>G68+G65*G66+G67</f>
        <v>0.12903773692174081</v>
      </c>
      <c r="H63" s="80">
        <f>H68+H65*H66+H67</f>
        <v>0.16775002629396174</v>
      </c>
      <c r="I63" s="4"/>
    </row>
    <row r="64" spans="2:15">
      <c r="B64" s="4" t="s">
        <v>102</v>
      </c>
      <c r="C64" s="7">
        <v>5.4600000000000003E-2</v>
      </c>
      <c r="D64" s="7">
        <f>AVERAGE(C64,E64)</f>
        <v>5.7050000000000003E-2</v>
      </c>
      <c r="E64" s="7">
        <v>5.9499999999999997E-2</v>
      </c>
      <c r="F64" s="7">
        <f>AVERAGE(E64,G64)</f>
        <v>5.9649999999999995E-2</v>
      </c>
      <c r="G64" s="7">
        <v>5.9799999999999999E-2</v>
      </c>
      <c r="H64" s="7">
        <v>6.6000000000000003E-2</v>
      </c>
      <c r="I64" s="81" t="s">
        <v>103</v>
      </c>
      <c r="O64" t="s">
        <v>139</v>
      </c>
    </row>
    <row r="65" spans="2:15">
      <c r="B65" s="4" t="s">
        <v>104</v>
      </c>
      <c r="C65" s="4">
        <v>0.48</v>
      </c>
      <c r="D65" s="4">
        <f>+C65</f>
        <v>0.48</v>
      </c>
      <c r="E65" s="4">
        <f>+D65</f>
        <v>0.48</v>
      </c>
      <c r="F65" s="4">
        <f>+E65</f>
        <v>0.48</v>
      </c>
      <c r="G65" s="4">
        <f>+F65</f>
        <v>0.48</v>
      </c>
      <c r="H65" s="4">
        <f>+G65</f>
        <v>0.48</v>
      </c>
      <c r="I65" s="81" t="s">
        <v>105</v>
      </c>
      <c r="O65" t="s">
        <v>140</v>
      </c>
    </row>
    <row r="66" spans="2:15">
      <c r="B66" s="4" t="s">
        <v>106</v>
      </c>
      <c r="C66" s="7">
        <v>8.5000000000000006E-2</v>
      </c>
      <c r="D66" s="7">
        <v>8.5000000000000006E-2</v>
      </c>
      <c r="E66" s="7">
        <v>8.5000000000000006E-2</v>
      </c>
      <c r="F66" s="7">
        <v>8.5000000000000006E-2</v>
      </c>
      <c r="G66" s="7">
        <v>8.5000000000000006E-2</v>
      </c>
      <c r="H66" s="7">
        <v>8.5000000000000006E-2</v>
      </c>
      <c r="I66" s="4" t="s">
        <v>116</v>
      </c>
      <c r="O66" t="s">
        <v>141</v>
      </c>
    </row>
    <row r="67" spans="2:15" ht="15.75">
      <c r="B67" s="4" t="s">
        <v>107</v>
      </c>
      <c r="C67" s="93">
        <v>2.7799999999999998E-2</v>
      </c>
      <c r="D67" s="93">
        <v>2.7799999999999998E-2</v>
      </c>
      <c r="E67" s="93">
        <v>2.7799999999999998E-2</v>
      </c>
      <c r="F67" s="93">
        <v>2.7799999999999998E-2</v>
      </c>
      <c r="G67" s="93">
        <v>2.7799999999999998E-2</v>
      </c>
      <c r="H67" s="93">
        <v>2.7799999999999998E-2</v>
      </c>
      <c r="I67" s="4" t="s">
        <v>117</v>
      </c>
      <c r="O67" s="103" t="s">
        <v>142</v>
      </c>
    </row>
    <row r="68" spans="2:15" ht="17.25">
      <c r="B68" s="82" t="s">
        <v>108</v>
      </c>
      <c r="C68" s="82"/>
      <c r="D68" s="83">
        <f>((1+D64)^2.25)/((1+C64)^1.25)-1</f>
        <v>6.0120505546238823E-2</v>
      </c>
      <c r="E68" s="83">
        <f>((1+E64)^3.25)/((1+D64)^2.25)-1</f>
        <v>6.5033282213138532E-2</v>
      </c>
      <c r="F68" s="83">
        <f>((1+F64)^4.25)/((1+E64)^3.25)-1</f>
        <v>6.0137646679684353E-2</v>
      </c>
      <c r="G68" s="83">
        <f>((1+G64)^5.25)/((1+F64)^4.25)-1</f>
        <v>6.0437736921740814E-2</v>
      </c>
      <c r="H68" s="83">
        <f>((1+H64)^6.25)/((1+G64)^5.25)-1</f>
        <v>9.9150026293961746E-2</v>
      </c>
      <c r="I68" s="82"/>
      <c r="O68" s="104" t="s">
        <v>143</v>
      </c>
    </row>
    <row r="69" spans="2:15">
      <c r="B69" s="84" t="s">
        <v>109</v>
      </c>
      <c r="C69" s="84"/>
      <c r="D69" s="85">
        <f>D63-D60*D86*D70</f>
        <v>0.12568929456656444</v>
      </c>
      <c r="E69" s="85">
        <f t="shared" ref="E69:F69" si="32">E63-E60*E86*E70</f>
        <v>0.13147022230768807</v>
      </c>
      <c r="F69" s="85">
        <f>F63-F60*F86*F70</f>
        <v>0.1266645591637329</v>
      </c>
      <c r="G69" s="85">
        <f>G63-G60*G86*G70</f>
        <v>0.12703627219760452</v>
      </c>
      <c r="H69" s="83">
        <f>H63-H60*(H86)*H70</f>
        <v>0.16451002629396175</v>
      </c>
      <c r="I69" s="86">
        <f>H69</f>
        <v>0.16451002629396175</v>
      </c>
      <c r="O69" t="s">
        <v>144</v>
      </c>
    </row>
    <row r="70" spans="2:15">
      <c r="B70" s="87" t="s">
        <v>110</v>
      </c>
      <c r="C70" s="87"/>
      <c r="D70" s="88">
        <f>D88/C93</f>
        <v>0.2806676833031822</v>
      </c>
      <c r="E70" s="88">
        <f>E88/D93</f>
        <v>0.26704443277166029</v>
      </c>
      <c r="F70" s="88">
        <f>F88/E93</f>
        <v>0.25593673036437609</v>
      </c>
      <c r="G70" s="88">
        <f>G88/F93</f>
        <v>0.24709441038719532</v>
      </c>
      <c r="H70" s="77">
        <v>0.4</v>
      </c>
      <c r="I70" s="4"/>
    </row>
    <row r="71" spans="2:15">
      <c r="B71" s="4" t="s">
        <v>111</v>
      </c>
      <c r="C71" s="4"/>
      <c r="D71" s="4"/>
      <c r="E71" s="4"/>
      <c r="F71" s="4"/>
      <c r="G71" s="4"/>
      <c r="H71" s="89">
        <f>H69</f>
        <v>0.16451002629396175</v>
      </c>
      <c r="I71" s="90">
        <f>H71</f>
        <v>0.16451002629396175</v>
      </c>
      <c r="J71" s="16" t="s">
        <v>112</v>
      </c>
      <c r="K71" s="16"/>
      <c r="L71" s="16"/>
    </row>
    <row r="72" spans="2:15">
      <c r="D72" s="91">
        <f>((1+D64)^2)/((1+C64)^1)-1</f>
        <v>5.9505691731462251E-2</v>
      </c>
      <c r="H72" s="1"/>
      <c r="J72" s="78" t="s">
        <v>113</v>
      </c>
    </row>
    <row r="73" spans="2:15">
      <c r="H73" s="1"/>
      <c r="J73" s="92" t="s">
        <v>137</v>
      </c>
    </row>
    <row r="74" spans="2:15">
      <c r="H74" s="1"/>
      <c r="J74" t="s">
        <v>114</v>
      </c>
    </row>
    <row r="75" spans="2:15">
      <c r="B75" s="102" t="s">
        <v>136</v>
      </c>
      <c r="H75" s="1"/>
    </row>
    <row r="76" spans="2:15">
      <c r="B76" s="51" t="s">
        <v>98</v>
      </c>
      <c r="C76" s="51">
        <f>C54</f>
        <v>2024</v>
      </c>
      <c r="D76" s="51">
        <f t="shared" ref="D76:G76" si="33">D54</f>
        <v>2025</v>
      </c>
      <c r="E76" s="51">
        <f t="shared" si="33"/>
        <v>2026</v>
      </c>
      <c r="F76" s="51">
        <f t="shared" si="33"/>
        <v>2027</v>
      </c>
      <c r="G76" s="51">
        <f t="shared" si="33"/>
        <v>2028</v>
      </c>
      <c r="H76" s="51" t="s">
        <v>138</v>
      </c>
    </row>
    <row r="77" spans="2:15">
      <c r="B77" t="s">
        <v>98</v>
      </c>
      <c r="C77" s="1">
        <f>C59</f>
        <v>0</v>
      </c>
      <c r="D77" s="1">
        <f>D59</f>
        <v>7063.6001400380774</v>
      </c>
      <c r="E77" s="1">
        <f t="shared" ref="E77:F77" si="34">E59</f>
        <v>34595.224907049647</v>
      </c>
      <c r="F77" s="1">
        <f t="shared" si="34"/>
        <v>58137.944844236059</v>
      </c>
      <c r="G77" s="1">
        <f>G59</f>
        <v>107873.7661866992</v>
      </c>
      <c r="H77" s="1">
        <f>H59</f>
        <v>260058.01697027858</v>
      </c>
    </row>
    <row r="78" spans="2:15">
      <c r="B78" t="s">
        <v>2</v>
      </c>
      <c r="C78" s="1"/>
      <c r="D78" s="1"/>
      <c r="E78" s="1"/>
      <c r="F78" s="1"/>
      <c r="G78" s="95">
        <f>H77/(H69-I62)</f>
        <v>1933372.7316500626</v>
      </c>
      <c r="H78" s="1"/>
    </row>
    <row r="79" spans="2:15">
      <c r="B79" s="94" t="s">
        <v>118</v>
      </c>
      <c r="C79" s="95">
        <f>(D77+D79)/(1+D69)</f>
        <v>1336072.0745188363</v>
      </c>
      <c r="D79" s="95">
        <f>(E77+E79)/(1+E69)</f>
        <v>1496938.4309151571</v>
      </c>
      <c r="E79" s="95">
        <f>(F77+F79)/(1+F69)</f>
        <v>1659146.0343014449</v>
      </c>
      <c r="F79" s="95">
        <f>(G77+G78)/(1+G69)</f>
        <v>1811163.0904802571</v>
      </c>
    </row>
    <row r="81" spans="2:13">
      <c r="B81" s="51" t="s">
        <v>119</v>
      </c>
      <c r="C81" s="51">
        <f>C76</f>
        <v>2024</v>
      </c>
      <c r="D81" s="51">
        <f>D76</f>
        <v>2025</v>
      </c>
      <c r="E81" s="51">
        <f>E76</f>
        <v>2026</v>
      </c>
      <c r="F81" s="51">
        <f>F76</f>
        <v>2027</v>
      </c>
      <c r="G81" s="51">
        <f>G76</f>
        <v>2028</v>
      </c>
      <c r="H81" s="51" t="s">
        <v>138</v>
      </c>
    </row>
    <row r="82" spans="2:13">
      <c r="B82" t="s">
        <v>98</v>
      </c>
      <c r="C82" s="1">
        <f>C77</f>
        <v>0</v>
      </c>
      <c r="D82" s="1">
        <f>D77</f>
        <v>7063.6001400380774</v>
      </c>
      <c r="E82" s="1">
        <f>E77</f>
        <v>34595.224907049647</v>
      </c>
      <c r="F82" s="1">
        <f>F77</f>
        <v>58137.944844236059</v>
      </c>
      <c r="G82" s="1">
        <f>G77</f>
        <v>107873.7661866992</v>
      </c>
      <c r="H82" s="1">
        <f>H77</f>
        <v>260058.01697027858</v>
      </c>
    </row>
    <row r="83" spans="2:13">
      <c r="B83" t="s">
        <v>2</v>
      </c>
      <c r="C83" s="1"/>
      <c r="D83" s="1"/>
      <c r="E83" s="1"/>
      <c r="F83" s="1"/>
      <c r="G83" s="97">
        <f>H82/(H63-I62)</f>
        <v>1887898.1294370773</v>
      </c>
      <c r="H83" s="1"/>
    </row>
    <row r="84" spans="2:13">
      <c r="B84" s="96" t="s">
        <v>120</v>
      </c>
      <c r="C84" s="97">
        <f>(D82+D84)/(1+D63)</f>
        <v>1297461.5203919641</v>
      </c>
      <c r="D84" s="97">
        <f>(E82+E84)/(1+E63)</f>
        <v>1457407.8230835712</v>
      </c>
      <c r="E84" s="97">
        <f>(F82+F84)/(1+F63)</f>
        <v>1617570.7890982842</v>
      </c>
      <c r="F84" s="97">
        <f>(G82+G83)/(1+G63)</f>
        <v>1767675.1009803612</v>
      </c>
    </row>
    <row r="85" spans="2:13">
      <c r="B85" t="s">
        <v>121</v>
      </c>
      <c r="C85" s="3">
        <f>Assumptions!B6</f>
        <v>0.09</v>
      </c>
      <c r="D85" s="3">
        <f>Assumptions!C6</f>
        <v>0.09</v>
      </c>
      <c r="E85" s="3">
        <f>Assumptions!D6</f>
        <v>0.09</v>
      </c>
      <c r="F85" s="3">
        <f>Assumptions!E6</f>
        <v>0.09</v>
      </c>
      <c r="G85" s="3">
        <f>Assumptions!F6</f>
        <v>0.09</v>
      </c>
      <c r="H85" s="3">
        <f>Assumptions!G6</f>
        <v>0.09</v>
      </c>
    </row>
    <row r="86" spans="2:13">
      <c r="B86" t="s">
        <v>122</v>
      </c>
      <c r="C86" s="2">
        <f>Assumptions!B24</f>
        <v>0.15</v>
      </c>
      <c r="D86" s="2">
        <f>Assumptions!C24</f>
        <v>0.12</v>
      </c>
      <c r="E86" s="2">
        <f>Assumptions!D24</f>
        <v>0.09</v>
      </c>
      <c r="F86" s="2">
        <f>Assumptions!E24</f>
        <v>0.09</v>
      </c>
      <c r="G86" s="2">
        <f>Assumptions!F24</f>
        <v>0.09</v>
      </c>
      <c r="H86" s="2">
        <f>Assumptions!G24</f>
        <v>0.09</v>
      </c>
    </row>
    <row r="87" spans="2:13">
      <c r="B87" t="s">
        <v>123</v>
      </c>
      <c r="C87" s="1">
        <f>C43</f>
        <v>374992.25388127856</v>
      </c>
      <c r="D87" s="1">
        <f t="shared" ref="D87:E87" si="35">D43</f>
        <v>399749.07417783746</v>
      </c>
      <c r="E87" s="1">
        <f t="shared" si="35"/>
        <v>424636.41121613292</v>
      </c>
      <c r="F87" s="1">
        <f>F43</f>
        <v>447528.27595726971</v>
      </c>
      <c r="G87" s="1">
        <f>G43</f>
        <v>456503.1103616344</v>
      </c>
      <c r="H87" s="1"/>
    </row>
    <row r="88" spans="2:13">
      <c r="B88" t="s">
        <v>124</v>
      </c>
      <c r="D88" s="98">
        <f>C87</f>
        <v>374992.25388127856</v>
      </c>
      <c r="E88" s="98">
        <f t="shared" ref="E88:F88" si="36">D87</f>
        <v>399749.07417783746</v>
      </c>
      <c r="F88" s="98">
        <f t="shared" si="36"/>
        <v>424636.41121613292</v>
      </c>
      <c r="G88" s="98">
        <f>F87</f>
        <v>447528.27595726971</v>
      </c>
      <c r="H88" s="99">
        <f>G78*H70</f>
        <v>773349.09266002511</v>
      </c>
      <c r="I88" t="s">
        <v>125</v>
      </c>
    </row>
    <row r="89" spans="2:13">
      <c r="B89" t="s">
        <v>126</v>
      </c>
      <c r="C89" s="1"/>
      <c r="D89" s="1">
        <f>D88*D86</f>
        <v>44999.070465753422</v>
      </c>
      <c r="E89" s="1">
        <f>E88*E86</f>
        <v>35977.41667600537</v>
      </c>
      <c r="F89" s="1">
        <f t="shared" ref="F89:G89" si="37">F88*F86</f>
        <v>38217.277009451958</v>
      </c>
      <c r="G89" s="1">
        <f>G88*G86</f>
        <v>40277.544836154273</v>
      </c>
      <c r="H89" s="1">
        <f>H88*H86</f>
        <v>69601.418339402255</v>
      </c>
    </row>
    <row r="90" spans="2:13">
      <c r="B90" t="s">
        <v>127</v>
      </c>
      <c r="C90" s="1"/>
      <c r="D90" s="1">
        <f>D89*D85</f>
        <v>4049.916341917808</v>
      </c>
      <c r="E90" s="1">
        <f t="shared" ref="E90:G90" si="38">E89*E85</f>
        <v>3237.9675008404834</v>
      </c>
      <c r="F90" s="1">
        <f>F89*F85</f>
        <v>3439.5549308506761</v>
      </c>
      <c r="G90" s="1">
        <f t="shared" si="38"/>
        <v>3624.9790352538844</v>
      </c>
      <c r="H90" s="1">
        <f>H89*H85</f>
        <v>6264.1276505462029</v>
      </c>
    </row>
    <row r="91" spans="2:13">
      <c r="B91" t="s">
        <v>145</v>
      </c>
      <c r="C91" s="1"/>
      <c r="D91" s="1"/>
      <c r="E91" s="1"/>
      <c r="F91" s="1"/>
      <c r="G91" s="97">
        <f>H90/(H63-I62)</f>
        <v>45474.602212985497</v>
      </c>
    </row>
    <row r="92" spans="2:13">
      <c r="B92" s="96" t="s">
        <v>128</v>
      </c>
      <c r="C92" s="97">
        <f>(D90+D92)/(1+D63)</f>
        <v>38610.554126872725</v>
      </c>
      <c r="D92" s="97">
        <f>(E90+E92)/(1+E63)</f>
        <v>39530.607831586392</v>
      </c>
      <c r="E92" s="97">
        <f>(F90+F92)/(1+F63)</f>
        <v>41575.245203161197</v>
      </c>
      <c r="F92" s="97">
        <f>(G90+G91)/(1+G63)</f>
        <v>43487.989499896328</v>
      </c>
      <c r="M92" s="16"/>
    </row>
    <row r="93" spans="2:13">
      <c r="B93" s="94" t="s">
        <v>129</v>
      </c>
      <c r="C93" s="95">
        <f>C92+C84</f>
        <v>1336072.0745188368</v>
      </c>
      <c r="D93" s="95">
        <f>D92+D84</f>
        <v>1496938.4309151575</v>
      </c>
      <c r="E93" s="95">
        <f>E92+E84</f>
        <v>1659146.0343014454</v>
      </c>
      <c r="F93" s="95">
        <f>F92+F84</f>
        <v>1811163.0904802575</v>
      </c>
      <c r="G93" s="95">
        <f>G91+G83</f>
        <v>1933372.7316500628</v>
      </c>
    </row>
    <row r="94" spans="2:13">
      <c r="B94" s="100" t="s">
        <v>130</v>
      </c>
      <c r="C94" s="101">
        <f>C93-D88</f>
        <v>961079.82063755824</v>
      </c>
      <c r="D94" s="1"/>
      <c r="E94" s="1"/>
      <c r="F94" s="1"/>
      <c r="G94" s="1"/>
    </row>
    <row r="95" spans="2:13">
      <c r="C95" s="1"/>
      <c r="D95" s="1"/>
      <c r="E95" s="1"/>
      <c r="F95" s="1"/>
      <c r="G95" s="1"/>
      <c r="H95" s="1"/>
    </row>
    <row r="96" spans="2:13">
      <c r="B96" s="51" t="s">
        <v>131</v>
      </c>
      <c r="C96" s="51">
        <f>C81</f>
        <v>2024</v>
      </c>
      <c r="D96" s="51">
        <f>D81</f>
        <v>2025</v>
      </c>
      <c r="E96" s="51">
        <f>E81</f>
        <v>2026</v>
      </c>
      <c r="F96" s="51">
        <f>F81</f>
        <v>2027</v>
      </c>
      <c r="G96" s="51">
        <f>G81</f>
        <v>2028</v>
      </c>
      <c r="H96" s="51" t="s">
        <v>138</v>
      </c>
    </row>
    <row r="97" spans="2:9">
      <c r="B97" t="s">
        <v>132</v>
      </c>
      <c r="C97" s="1"/>
      <c r="D97" s="91">
        <f>D56/C57</f>
        <v>7.355421363265445E-2</v>
      </c>
      <c r="E97" s="91">
        <f>E56/D57</f>
        <v>9.6874338185177156E-2</v>
      </c>
      <c r="F97" s="91">
        <f>F56/E57</f>
        <v>0.10867424803885489</v>
      </c>
      <c r="G97" s="91">
        <f>G56/F57</f>
        <v>0.11647161459809356</v>
      </c>
      <c r="H97" s="91">
        <f>H56/G57</f>
        <v>0.27869181322144254</v>
      </c>
    </row>
    <row r="98" spans="2:9">
      <c r="B98" t="s">
        <v>109</v>
      </c>
      <c r="C98" s="1"/>
      <c r="D98" s="91">
        <f>D69</f>
        <v>0.12568929456656444</v>
      </c>
      <c r="E98" s="91">
        <f>E69</f>
        <v>0.13147022230768807</v>
      </c>
      <c r="F98" s="91">
        <f>F69</f>
        <v>0.1266645591637329</v>
      </c>
      <c r="G98" s="91">
        <f>G69</f>
        <v>0.12703627219760452</v>
      </c>
      <c r="H98" s="91">
        <f>H69</f>
        <v>0.16451002629396175</v>
      </c>
    </row>
    <row r="99" spans="2:9">
      <c r="B99" t="s">
        <v>133</v>
      </c>
      <c r="C99" s="1"/>
      <c r="D99" s="1">
        <f>C100*(D97-D98)</f>
        <v>-48875.62876422445</v>
      </c>
      <c r="E99" s="1">
        <f>D100*(E97-E98)</f>
        <v>-34574.181620843709</v>
      </c>
      <c r="F99" s="1">
        <f>E100*(F97-F98)</f>
        <v>-19098.352881824667</v>
      </c>
      <c r="G99" s="1">
        <f>F100*(G97-G98)</f>
        <v>-11819.957503970018</v>
      </c>
      <c r="H99" s="1">
        <f>G100*(H97-H98)</f>
        <v>130310.85219761096</v>
      </c>
    </row>
    <row r="100" spans="2:9">
      <c r="B100" t="s">
        <v>146</v>
      </c>
      <c r="C100" s="98">
        <f>C57</f>
        <v>937480.63470319635</v>
      </c>
      <c r="D100" s="98">
        <f>D57</f>
        <v>999372.68544459366</v>
      </c>
      <c r="E100" s="98">
        <f>E57</f>
        <v>1061591.0280403323</v>
      </c>
      <c r="F100" s="98">
        <f>F57</f>
        <v>1118820.6898931742</v>
      </c>
      <c r="G100" s="98">
        <f>G57</f>
        <v>1141257.775904086</v>
      </c>
    </row>
    <row r="101" spans="2:9">
      <c r="B101" t="s">
        <v>134</v>
      </c>
      <c r="C101" s="98">
        <f>(D99+D101)/(1+D98)</f>
        <v>398591.43981564004</v>
      </c>
      <c r="D101" s="98">
        <f>(E99+E101)/(1+E98)</f>
        <v>497565.74547056353</v>
      </c>
      <c r="E101" s="98">
        <f>(F99+F101)/(1+F98)</f>
        <v>597555.00626111275</v>
      </c>
      <c r="F101" s="98">
        <f>(G99+G101)/(1+G98)</f>
        <v>692342.40058708296</v>
      </c>
      <c r="G101" s="98">
        <f>H99/H98</f>
        <v>792114.95574597665</v>
      </c>
      <c r="I101" t="s">
        <v>135</v>
      </c>
    </row>
    <row r="102" spans="2:9">
      <c r="B102" s="94" t="s">
        <v>129</v>
      </c>
      <c r="C102" s="95">
        <f>C101+C100</f>
        <v>1336072.0745188363</v>
      </c>
      <c r="D102" s="95">
        <f>D101+D100</f>
        <v>1496938.4309151573</v>
      </c>
      <c r="E102" s="95">
        <f>E101+E100</f>
        <v>1659146.0343014449</v>
      </c>
      <c r="F102" s="95">
        <f>F101+F100</f>
        <v>1811163.0904802573</v>
      </c>
      <c r="G102" s="95">
        <f>G101+G100</f>
        <v>1933372.7316500626</v>
      </c>
    </row>
    <row r="103" spans="2:9">
      <c r="C103" s="1"/>
      <c r="D103" s="1"/>
      <c r="E103" s="1"/>
      <c r="F103" s="1"/>
      <c r="G103" s="1"/>
      <c r="H103" s="1"/>
    </row>
    <row r="104" spans="2:9">
      <c r="H104" s="1"/>
    </row>
    <row r="105" spans="2:9">
      <c r="H105" s="1"/>
    </row>
    <row r="106" spans="2:9">
      <c r="H106" s="1"/>
    </row>
    <row r="112" spans="2:9">
      <c r="B112" s="12"/>
      <c r="C112" s="12"/>
      <c r="D112" s="12"/>
      <c r="E112" s="12"/>
      <c r="F112" s="12"/>
      <c r="G112" s="12"/>
      <c r="H112" s="12"/>
      <c r="I112" s="12"/>
    </row>
    <row r="113" spans="2:9">
      <c r="B113" s="12"/>
      <c r="C113" s="12"/>
      <c r="D113" s="12"/>
      <c r="E113" s="12"/>
      <c r="F113" s="12"/>
      <c r="G113" s="12"/>
      <c r="H113" s="12"/>
      <c r="I113" s="12"/>
    </row>
  </sheetData>
  <mergeCells count="1">
    <mergeCell ref="J11:O11"/>
  </mergeCells>
  <hyperlinks>
    <hyperlink ref="I64" r:id="rId1" xr:uid="{B405CF6F-9E16-4517-A9CC-1020EB4EC067}"/>
  </hyperlinks>
  <pageMargins left="0.7" right="0.7" top="0.75" bottom="0.75" header="0.3" footer="0.3"/>
  <pageSetup scale="88" orientation="portrait" r:id="rId2"/>
  <rowBreaks count="1" manualBreakCount="1">
    <brk id="103" max="16383" man="1"/>
  </rowBreaks>
  <colBreaks count="1" manualBreakCount="1">
    <brk id="8" max="1048575" man="1"/>
  </colBreaks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1075A32DE9D4AB88C0349236D7AF3" ma:contentTypeVersion="3" ma:contentTypeDescription="Create a new document." ma:contentTypeScope="" ma:versionID="e57c29aab18c59ecec4a106ffc8d44e7">
  <xsd:schema xmlns:xsd="http://www.w3.org/2001/XMLSchema" xmlns:xs="http://www.w3.org/2001/XMLSchema" xmlns:p="http://schemas.microsoft.com/office/2006/metadata/properties" xmlns:ns2="d6add023-c043-440d-acfb-1e6d68a0cb87" targetNamespace="http://schemas.microsoft.com/office/2006/metadata/properties" ma:root="true" ma:fieldsID="c362307486ecde805a3c7b32a5b26003" ns2:_="">
    <xsd:import namespace="d6add023-c043-440d-acfb-1e6d68a0cb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dd023-c043-440d-acfb-1e6d68a0c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A1AAAA-2C0F-4874-9F4D-582E2B7368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4678F0-A148-4914-8839-6760AB4BC81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6114D01-B02F-4BD3-B386-6407D56E4F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dd023-c043-440d-acfb-1e6d68a0cb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Business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Kata</dc:creator>
  <cp:keywords/>
  <dc:description/>
  <cp:lastModifiedBy>Yusifzada Leyla</cp:lastModifiedBy>
  <cp:revision/>
  <dcterms:created xsi:type="dcterms:W3CDTF">2015-11-03T18:15:32Z</dcterms:created>
  <dcterms:modified xsi:type="dcterms:W3CDTF">2024-10-04T16:50:38Z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0x0101003481075A32DE9D4AB88C0349236D7AF3</vt:lpwstr>
  </property>
</Properties>
</file>