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firstSheet="3" activeTab="10"/>
  </bookViews>
  <sheets>
    <sheet name="Problem5.1" sheetId="9" r:id="rId1"/>
    <sheet name="Problem5.2" sheetId="18" r:id="rId2"/>
    <sheet name="Risk management" sheetId="19" r:id="rId3"/>
    <sheet name="Problem5.3" sheetId="21" r:id="rId4"/>
    <sheet name="Problem5.4" sheetId="24" r:id="rId5"/>
    <sheet name="Problem5.5" sheetId="22" r:id="rId6"/>
    <sheet name="Problem5.6" sheetId="23" r:id="rId7"/>
    <sheet name="Problem5.7" sheetId="25" r:id="rId8"/>
    <sheet name="Problem5.8" sheetId="26" r:id="rId9"/>
    <sheet name="Problem5.9" sheetId="27" r:id="rId10"/>
    <sheet name="Problem5.10" sheetId="28" r:id="rId11"/>
  </sheets>
  <calcPr calcId="125725"/>
</workbook>
</file>

<file path=xl/calcChain.xml><?xml version="1.0" encoding="utf-8"?>
<calcChain xmlns="http://schemas.openxmlformats.org/spreadsheetml/2006/main">
  <c r="D26" i="28"/>
  <c r="D20"/>
  <c r="D14"/>
  <c r="C7"/>
  <c r="B17"/>
  <c r="B7"/>
  <c r="D26" i="27"/>
  <c r="D23"/>
  <c r="D20"/>
  <c r="D14"/>
  <c r="D17"/>
  <c r="B17"/>
  <c r="C7"/>
  <c r="B7"/>
  <c r="G17" i="26"/>
  <c r="G17" i="25"/>
  <c r="G20" s="1"/>
  <c r="D10" i="26"/>
  <c r="D9"/>
  <c r="B9"/>
  <c r="B6"/>
  <c r="B20" s="1"/>
  <c r="B20" i="25"/>
  <c r="D10"/>
  <c r="B9"/>
  <c r="D9"/>
  <c r="B6"/>
  <c r="O24" i="22"/>
  <c r="O19"/>
  <c r="E24" i="24"/>
  <c r="D24"/>
  <c r="E23"/>
  <c r="D23"/>
  <c r="F23" s="1"/>
  <c r="B22"/>
  <c r="E19"/>
  <c r="D19"/>
  <c r="F18"/>
  <c r="E18"/>
  <c r="D18"/>
  <c r="B17"/>
  <c r="D8"/>
  <c r="C8"/>
  <c r="D7"/>
  <c r="C7"/>
  <c r="C22" i="21"/>
  <c r="D22" s="1"/>
  <c r="K18" i="23"/>
  <c r="E27"/>
  <c r="G27"/>
  <c r="E17"/>
  <c r="G24"/>
  <c r="F21"/>
  <c r="F20"/>
  <c r="E24"/>
  <c r="D21"/>
  <c r="D20"/>
  <c r="E20" s="1"/>
  <c r="C21"/>
  <c r="E21"/>
  <c r="G21" s="1"/>
  <c r="C20"/>
  <c r="G14"/>
  <c r="G11"/>
  <c r="F11"/>
  <c r="E14"/>
  <c r="E11"/>
  <c r="D11"/>
  <c r="E10"/>
  <c r="C9"/>
  <c r="D10"/>
  <c r="D9"/>
  <c r="E9" s="1"/>
  <c r="I24" i="22"/>
  <c r="I19"/>
  <c r="H11"/>
  <c r="G8"/>
  <c r="G7"/>
  <c r="E24"/>
  <c r="D24"/>
  <c r="F24" s="1"/>
  <c r="E23"/>
  <c r="D23"/>
  <c r="F23" s="1"/>
  <c r="B22"/>
  <c r="F19"/>
  <c r="E19"/>
  <c r="D19"/>
  <c r="F18"/>
  <c r="G19" s="1"/>
  <c r="E18"/>
  <c r="D18"/>
  <c r="B17"/>
  <c r="D8"/>
  <c r="C8"/>
  <c r="D7"/>
  <c r="D11" s="1"/>
  <c r="C7"/>
  <c r="C8" i="21"/>
  <c r="D8" s="1"/>
  <c r="C7"/>
  <c r="D7" s="1"/>
  <c r="F36" i="18"/>
  <c r="F30"/>
  <c r="F24"/>
  <c r="F18"/>
  <c r="E36"/>
  <c r="G36" s="1"/>
  <c r="E30"/>
  <c r="G30" s="1"/>
  <c r="E24"/>
  <c r="G24" s="1"/>
  <c r="E18"/>
  <c r="G18" s="1"/>
  <c r="D9"/>
  <c r="C9"/>
  <c r="F35"/>
  <c r="F34"/>
  <c r="C33"/>
  <c r="F29"/>
  <c r="E29"/>
  <c r="E35" s="1"/>
  <c r="G35" s="1"/>
  <c r="F28"/>
  <c r="C27"/>
  <c r="F23"/>
  <c r="F22"/>
  <c r="C21"/>
  <c r="F17"/>
  <c r="F16"/>
  <c r="E16"/>
  <c r="G16" s="1"/>
  <c r="C15"/>
  <c r="D8"/>
  <c r="C8"/>
  <c r="E17"/>
  <c r="G17" s="1"/>
  <c r="C7"/>
  <c r="D7" s="1"/>
  <c r="C29" i="9"/>
  <c r="C24"/>
  <c r="C14"/>
  <c r="F30"/>
  <c r="F25"/>
  <c r="F31"/>
  <c r="C19"/>
  <c r="F20"/>
  <c r="F15"/>
  <c r="E15"/>
  <c r="E20" s="1"/>
  <c r="F16"/>
  <c r="F21"/>
  <c r="F26"/>
  <c r="D17" i="28" l="1"/>
  <c r="D23" s="1"/>
  <c r="E10"/>
  <c r="E10" i="27"/>
  <c r="G20" i="26"/>
  <c r="G24" i="24"/>
  <c r="I24" s="1"/>
  <c r="D11"/>
  <c r="F24"/>
  <c r="F19"/>
  <c r="G19" s="1"/>
  <c r="I19" s="1"/>
  <c r="E8"/>
  <c r="F8" s="1"/>
  <c r="E7"/>
  <c r="F7" s="1"/>
  <c r="C23" i="21"/>
  <c r="D23" s="1"/>
  <c r="D26" s="1"/>
  <c r="E22" s="1"/>
  <c r="F22" s="1"/>
  <c r="D11"/>
  <c r="E7" s="1"/>
  <c r="F7" s="1"/>
  <c r="G20" i="23"/>
  <c r="F9"/>
  <c r="E8" i="22"/>
  <c r="F8" s="1"/>
  <c r="E7"/>
  <c r="F7" s="1"/>
  <c r="F11" s="1"/>
  <c r="F14" s="1"/>
  <c r="G24"/>
  <c r="D12" i="18"/>
  <c r="I17"/>
  <c r="E22"/>
  <c r="E28" s="1"/>
  <c r="G28" s="1"/>
  <c r="E23"/>
  <c r="G23" s="1"/>
  <c r="G29"/>
  <c r="E25" i="9"/>
  <c r="G20"/>
  <c r="G15"/>
  <c r="C8"/>
  <c r="C7"/>
  <c r="D7" s="1"/>
  <c r="F11" i="24" l="1"/>
  <c r="F14" s="1"/>
  <c r="K24" i="22"/>
  <c r="M24" s="1"/>
  <c r="K19"/>
  <c r="M19" s="1"/>
  <c r="E23" i="21"/>
  <c r="F23" s="1"/>
  <c r="F26" s="1"/>
  <c r="F29" s="1"/>
  <c r="E8"/>
  <c r="F8" s="1"/>
  <c r="F11" s="1"/>
  <c r="F14" s="1"/>
  <c r="F10" i="23"/>
  <c r="G9"/>
  <c r="G22" i="18"/>
  <c r="I23" s="1"/>
  <c r="K23" s="1"/>
  <c r="K17"/>
  <c r="I29"/>
  <c r="K29" s="1"/>
  <c r="E34"/>
  <c r="G34" s="1"/>
  <c r="I35" s="1"/>
  <c r="K35" s="1"/>
  <c r="D11" i="9"/>
  <c r="G25"/>
  <c r="E30"/>
  <c r="G30" s="1"/>
  <c r="E21"/>
  <c r="G21" s="1"/>
  <c r="I21" s="1"/>
  <c r="K21" s="1"/>
  <c r="E16"/>
  <c r="G16" s="1"/>
  <c r="I16" s="1"/>
  <c r="K16" s="1"/>
  <c r="E26"/>
  <c r="D8"/>
  <c r="K24" i="24" l="1"/>
  <c r="M24" s="1"/>
  <c r="K19"/>
  <c r="M19" s="1"/>
  <c r="G10" i="23"/>
  <c r="G17" s="1"/>
  <c r="K21" s="1"/>
  <c r="E31" i="9"/>
  <c r="G31" s="1"/>
  <c r="I31" s="1"/>
  <c r="K31" s="1"/>
  <c r="G26"/>
  <c r="I26" s="1"/>
  <c r="K26" s="1"/>
</calcChain>
</file>

<file path=xl/sharedStrings.xml><?xml version="1.0" encoding="utf-8"?>
<sst xmlns="http://schemas.openxmlformats.org/spreadsheetml/2006/main" count="408" uniqueCount="125">
  <si>
    <t>T</t>
  </si>
  <si>
    <t>CF</t>
  </si>
  <si>
    <t>DF</t>
  </si>
  <si>
    <t>b)</t>
  </si>
  <si>
    <t>a)</t>
  </si>
  <si>
    <t>coupon</t>
  </si>
  <si>
    <t>PV(CF)</t>
  </si>
  <si>
    <t>theoretical price</t>
  </si>
  <si>
    <t>Par value</t>
  </si>
  <si>
    <t>c)</t>
  </si>
  <si>
    <t>YTM (continous)</t>
  </si>
  <si>
    <t>T-t</t>
  </si>
  <si>
    <t>time to maturity</t>
  </si>
  <si>
    <t>First we have to solve a bond pricing problem</t>
  </si>
  <si>
    <t>Main message:</t>
  </si>
  <si>
    <t xml:space="preserve">When the yield to maturity is unchanged over the holding period, the rate of return on the bond will equal be that yield. </t>
  </si>
  <si>
    <t>yield to maturity after FOMC meeting</t>
  </si>
  <si>
    <t>Percentage change in bond price</t>
  </si>
  <si>
    <t>There is an inverse relationship between bond price and YTM change</t>
  </si>
  <si>
    <t>d)</t>
  </si>
  <si>
    <t>PV = sum(CF(t)*DF(t))</t>
  </si>
  <si>
    <t>DF(t)</t>
  </si>
  <si>
    <t>D</t>
  </si>
  <si>
    <t>D*</t>
  </si>
  <si>
    <t>C</t>
  </si>
  <si>
    <t>%</t>
  </si>
  <si>
    <t>-D/(1+r)</t>
  </si>
  <si>
    <t>-D</t>
  </si>
  <si>
    <t xml:space="preserve">Longer bonds are more sensitive if the YTM change </t>
  </si>
  <si>
    <t>Risk management</t>
  </si>
  <si>
    <t>1.step</t>
  </si>
  <si>
    <t>2.step</t>
  </si>
  <si>
    <t>measurement</t>
  </si>
  <si>
    <t>hedge</t>
  </si>
  <si>
    <t>identifying risk factors</t>
  </si>
  <si>
    <t>measuring risk/calculating risk metrics</t>
  </si>
  <si>
    <t>selection of hedging instrument</t>
  </si>
  <si>
    <t>calculate the quantity of hedging instrument</t>
  </si>
  <si>
    <t>Risk management on bond markets</t>
  </si>
  <si>
    <t>Fixed income</t>
  </si>
  <si>
    <t>risk factors</t>
  </si>
  <si>
    <t>yield curve</t>
  </si>
  <si>
    <t>deterministic</t>
  </si>
  <si>
    <t>stochastic</t>
  </si>
  <si>
    <t>Main risk factor: the yield curve change/the dynamics of yield curve</t>
  </si>
  <si>
    <t>The yield curve dynamics is complex</t>
  </si>
  <si>
    <t>flat yield curve</t>
  </si>
  <si>
    <t>We can relax this easily</t>
  </si>
  <si>
    <t>new assumption</t>
  </si>
  <si>
    <t>parallel shift</t>
  </si>
  <si>
    <t>How sensitive the bond price if the yield curve shifting parallel?</t>
  </si>
  <si>
    <t>risk factor</t>
  </si>
  <si>
    <t>parallel shift of the yield curve</t>
  </si>
  <si>
    <t>Risk metrics</t>
  </si>
  <si>
    <t>Duration</t>
  </si>
  <si>
    <t>Unit of measure</t>
  </si>
  <si>
    <t>year</t>
  </si>
  <si>
    <t>Modified duration</t>
  </si>
  <si>
    <t>Convexity</t>
  </si>
  <si>
    <t>None</t>
  </si>
  <si>
    <t>Duration/Modified duration</t>
  </si>
  <si>
    <t>sum(w(t)*t)</t>
  </si>
  <si>
    <t>=</t>
  </si>
  <si>
    <t xml:space="preserve">D </t>
  </si>
  <si>
    <t xml:space="preserve">PV(CF(t))/ P </t>
  </si>
  <si>
    <t xml:space="preserve">w(t)  = </t>
  </si>
  <si>
    <t>sum(w(t)*t^2)</t>
  </si>
  <si>
    <t xml:space="preserve">C </t>
  </si>
  <si>
    <t>annual compounding</t>
  </si>
  <si>
    <t>continous compounding</t>
  </si>
  <si>
    <t>First-order approximation</t>
  </si>
  <si>
    <t>Linear/first order approximation could be inaccurate if the realtionship highly nonlinear</t>
  </si>
  <si>
    <t>We can underestimate the gain and overestimete the loss</t>
  </si>
  <si>
    <t>Take consideration the second order approximation</t>
  </si>
  <si>
    <t>w</t>
  </si>
  <si>
    <t>t</t>
  </si>
  <si>
    <t>w*t</t>
  </si>
  <si>
    <t>Percentage change</t>
  </si>
  <si>
    <t>Percentage change based on modified duration</t>
  </si>
  <si>
    <r>
      <t>w*t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</si>
  <si>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t>Percentage change based on modified duration and convexity</t>
  </si>
  <si>
    <t>Diff</t>
  </si>
  <si>
    <t>Without convexity</t>
  </si>
  <si>
    <t>A</t>
  </si>
  <si>
    <t>B</t>
  </si>
  <si>
    <t>-</t>
  </si>
  <si>
    <t>Investment</t>
  </si>
  <si>
    <t>Portfolio duration</t>
  </si>
  <si>
    <t>Portfolio modified duration</t>
  </si>
  <si>
    <t>Investment value</t>
  </si>
  <si>
    <t>YTM (annual compounding)</t>
  </si>
  <si>
    <t>YTM (continous compounding)</t>
  </si>
  <si>
    <t>+</t>
  </si>
  <si>
    <t>1/2*(dr^2)*P*C</t>
  </si>
  <si>
    <t xml:space="preserve">Percentage change in bond price </t>
  </si>
  <si>
    <t>dP/P</t>
  </si>
  <si>
    <t>dr*(D*)</t>
  </si>
  <si>
    <t xml:space="preserve">For small changes in the bond’s yield to maturity, the duration rule is quite accurate. </t>
  </si>
  <si>
    <t>However, for larger changes in yield, the duration rule becomes less accurate.</t>
  </si>
  <si>
    <t>It's related to bond pricing problem</t>
  </si>
  <si>
    <t>The duration of a bond portfolio can be defined as a weighted average of the duration of the individual bonds in the portfolio, with the weight being proportional to the bond prices</t>
  </si>
  <si>
    <t>Portfolio</t>
  </si>
  <si>
    <t>The duration of the zero-coupon bond is exactly equal to its time to maturity.</t>
  </si>
  <si>
    <t>2A + B</t>
  </si>
  <si>
    <t>cash</t>
  </si>
  <si>
    <t>X</t>
  </si>
  <si>
    <t>-X</t>
  </si>
  <si>
    <t>D = (272,81 * 2,533 -X*1 + X*0)/(272,81 - X + X)</t>
  </si>
  <si>
    <t>0 = (272,81 * 2,533 -X*1 + X*0)/(272,81 - X + X)</t>
  </si>
  <si>
    <t>Hedge instrument investment value</t>
  </si>
  <si>
    <t xml:space="preserve">C bond market value </t>
  </si>
  <si>
    <t>Hedge instrument face value</t>
  </si>
  <si>
    <t>X = 272,81*2,533/3</t>
  </si>
  <si>
    <t>X = 272,81*2,533/1</t>
  </si>
  <si>
    <t>LIBOR</t>
  </si>
  <si>
    <t>6-month LIBOR</t>
  </si>
  <si>
    <t>coupon payment</t>
  </si>
  <si>
    <t>twice per year</t>
  </si>
  <si>
    <r>
      <t>LIBOR</t>
    </r>
    <r>
      <rPr>
        <vertAlign val="subscript"/>
        <sz val="11"/>
        <color theme="1"/>
        <rFont val="Calibri"/>
        <family val="2"/>
        <charset val="238"/>
        <scheme val="minor"/>
      </rPr>
      <t>0,5</t>
    </r>
  </si>
  <si>
    <r>
      <t>LIBOR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</si>
  <si>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LIBOR</t>
    </r>
    <r>
      <rPr>
        <vertAlign val="subscript"/>
        <sz val="11"/>
        <color theme="1"/>
        <rFont val="Calibri"/>
        <family val="2"/>
        <charset val="238"/>
        <scheme val="minor"/>
      </rPr>
      <t>1,5</t>
    </r>
    <r>
      <rPr>
        <sz val="11"/>
        <color theme="1"/>
        <rFont val="Calibri"/>
        <family val="2"/>
        <scheme val="minor"/>
      </rPr>
      <t xml:space="preserve"> + 100</t>
    </r>
  </si>
  <si>
    <t>?</t>
  </si>
  <si>
    <t>LIBOR after FOMC meeting</t>
  </si>
  <si>
    <t>Interest rate change</t>
  </si>
  <si>
    <t>end of three month interest rate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</si>
</sst>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0.000%"/>
    <numFmt numFmtId="166" formatCode="0.000"/>
    <numFmt numFmtId="167" formatCode="0.0"/>
  </numFmts>
  <fonts count="2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20"/>
      <name val="Calibri"/>
      <family val="2"/>
      <charset val="238"/>
      <scheme val="minor"/>
    </font>
    <font>
      <sz val="20"/>
      <color rgb="FFFF000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sz val="20"/>
      <color rgb="FF0070C0"/>
      <name val="Calibri"/>
      <family val="2"/>
      <charset val="238"/>
      <scheme val="minor"/>
    </font>
    <font>
      <sz val="22"/>
      <color rgb="FF0070C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7030A0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0" fontId="1" fillId="0" borderId="0" xfId="2" applyNumberFormat="1" applyFont="1" applyFill="1"/>
    <xf numFmtId="2" fontId="1" fillId="0" borderId="0" xfId="1" applyNumberFormat="1"/>
    <xf numFmtId="9" fontId="0" fillId="2" borderId="0" xfId="0" applyNumberFormat="1" applyFill="1" applyAlignment="1">
      <alignment horizontal="center"/>
    </xf>
    <xf numFmtId="10" fontId="2" fillId="3" borderId="0" xfId="2" applyNumberFormat="1" applyFont="1" applyFill="1"/>
    <xf numFmtId="0" fontId="1" fillId="2" borderId="0" xfId="1" applyFill="1" applyAlignment="1">
      <alignment horizontal="center"/>
    </xf>
    <xf numFmtId="9" fontId="1" fillId="2" borderId="0" xfId="1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1" fillId="0" borderId="0" xfId="1" applyNumberFormat="1" applyAlignment="1">
      <alignment horizontal="center"/>
    </xf>
    <xf numFmtId="164" fontId="0" fillId="0" borderId="0" xfId="0" applyNumberFormat="1"/>
    <xf numFmtId="2" fontId="0" fillId="0" borderId="0" xfId="0" applyNumberFormat="1"/>
    <xf numFmtId="9" fontId="0" fillId="0" borderId="0" xfId="0" applyNumberFormat="1" applyFill="1" applyAlignment="1">
      <alignment horizontal="center"/>
    </xf>
    <xf numFmtId="10" fontId="2" fillId="0" borderId="0" xfId="2" applyNumberFormat="1" applyFont="1" applyFill="1"/>
    <xf numFmtId="10" fontId="3" fillId="0" borderId="0" xfId="0" applyNumberFormat="1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quotePrefix="1" applyFont="1"/>
    <xf numFmtId="0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indent="4" readingOrder="1"/>
    </xf>
    <xf numFmtId="1" fontId="0" fillId="0" borderId="0" xfId="0" applyNumberFormat="1"/>
    <xf numFmtId="165" fontId="2" fillId="3" borderId="0" xfId="2" applyNumberFormat="1" applyFont="1" applyFill="1"/>
    <xf numFmtId="165" fontId="0" fillId="0" borderId="0" xfId="0" applyNumberFormat="1"/>
    <xf numFmtId="165" fontId="2" fillId="0" borderId="0" xfId="0" applyNumberFormat="1" applyFont="1"/>
    <xf numFmtId="0" fontId="1" fillId="0" borderId="0" xfId="1" applyFill="1" applyAlignment="1">
      <alignment horizontal="center"/>
    </xf>
    <xf numFmtId="166" fontId="0" fillId="0" borderId="0" xfId="0" applyNumberFormat="1"/>
    <xf numFmtId="0" fontId="15" fillId="0" borderId="0" xfId="0" applyFont="1" applyAlignment="1">
      <alignment horizontal="center"/>
    </xf>
    <xf numFmtId="166" fontId="2" fillId="3" borderId="0" xfId="2" applyNumberFormat="1" applyFont="1" applyFill="1"/>
    <xf numFmtId="0" fontId="15" fillId="0" borderId="0" xfId="0" applyFont="1" applyAlignment="1">
      <alignment horizontal="left"/>
    </xf>
    <xf numFmtId="0" fontId="15" fillId="0" borderId="0" xfId="0" applyFont="1"/>
    <xf numFmtId="0" fontId="14" fillId="0" borderId="0" xfId="0" applyFont="1"/>
    <xf numFmtId="0" fontId="1" fillId="0" borderId="0" xfId="1" applyFill="1" applyAlignment="1">
      <alignment horizontal="left"/>
    </xf>
    <xf numFmtId="165" fontId="2" fillId="0" borderId="0" xfId="2" applyNumberFormat="1" applyFont="1" applyFill="1"/>
    <xf numFmtId="165" fontId="17" fillId="0" borderId="0" xfId="2" applyNumberFormat="1" applyFont="1" applyFill="1"/>
    <xf numFmtId="0" fontId="17" fillId="0" borderId="0" xfId="0" applyFont="1"/>
    <xf numFmtId="0" fontId="0" fillId="0" borderId="0" xfId="0" applyFill="1"/>
    <xf numFmtId="0" fontId="17" fillId="0" borderId="0" xfId="0" applyFont="1" applyFill="1"/>
    <xf numFmtId="0" fontId="0" fillId="4" borderId="0" xfId="0" applyFill="1"/>
    <xf numFmtId="166" fontId="2" fillId="0" borderId="0" xfId="2" applyNumberFormat="1" applyFont="1" applyFill="1"/>
    <xf numFmtId="165" fontId="1" fillId="0" borderId="0" xfId="1" applyNumberFormat="1"/>
    <xf numFmtId="0" fontId="0" fillId="0" borderId="0" xfId="0" applyFill="1" applyAlignment="1">
      <alignment horizontal="center"/>
    </xf>
    <xf numFmtId="0" fontId="1" fillId="0" borderId="0" xfId="1" applyFill="1"/>
    <xf numFmtId="164" fontId="0" fillId="0" borderId="0" xfId="0" applyNumberFormat="1" applyFill="1"/>
    <xf numFmtId="2" fontId="1" fillId="0" borderId="0" xfId="1" applyNumberFormat="1" applyFill="1"/>
    <xf numFmtId="0" fontId="15" fillId="0" borderId="0" xfId="0" applyFont="1" applyFill="1" applyAlignment="1">
      <alignment horizontal="left"/>
    </xf>
    <xf numFmtId="0" fontId="15" fillId="0" borderId="0" xfId="0" applyFont="1" applyFill="1" applyAlignment="1">
      <alignment horizontal="center"/>
    </xf>
    <xf numFmtId="2" fontId="0" fillId="0" borderId="0" xfId="0" applyNumberFormat="1" applyFill="1"/>
    <xf numFmtId="164" fontId="1" fillId="0" borderId="0" xfId="1" applyNumberFormat="1" applyFill="1" applyAlignment="1">
      <alignment horizontal="center"/>
    </xf>
    <xf numFmtId="166" fontId="0" fillId="0" borderId="0" xfId="0" applyNumberFormat="1" applyFill="1"/>
    <xf numFmtId="166" fontId="0" fillId="0" borderId="0" xfId="0" applyNumberFormat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9" fontId="1" fillId="0" borderId="0" xfId="1" applyNumberFormat="1" applyFill="1" applyAlignment="1">
      <alignment horizontal="center"/>
    </xf>
    <xf numFmtId="0" fontId="4" fillId="0" borderId="0" xfId="0" applyFont="1" applyFill="1"/>
    <xf numFmtId="9" fontId="1" fillId="2" borderId="0" xfId="1" applyNumberFormat="1" applyFill="1" applyAlignment="1">
      <alignment horizontal="left"/>
    </xf>
    <xf numFmtId="0" fontId="1" fillId="0" borderId="0" xfId="1" applyAlignment="1">
      <alignment horizontal="left"/>
    </xf>
    <xf numFmtId="167" fontId="0" fillId="0" borderId="0" xfId="0" applyNumberFormat="1"/>
    <xf numFmtId="2" fontId="2" fillId="3" borderId="0" xfId="2" applyNumberFormat="1" applyFont="1" applyFill="1" applyAlignment="1">
      <alignment horizontal="center"/>
    </xf>
    <xf numFmtId="166" fontId="0" fillId="0" borderId="0" xfId="0" applyNumberFormat="1" applyFill="1" applyAlignment="1">
      <alignment horizontal="center"/>
    </xf>
    <xf numFmtId="0" fontId="17" fillId="0" borderId="0" xfId="0" applyFont="1" applyAlignment="1">
      <alignment horizontal="center"/>
    </xf>
    <xf numFmtId="165" fontId="0" fillId="0" borderId="0" xfId="3" applyNumberFormat="1" applyFont="1" applyFill="1" applyAlignment="1">
      <alignment horizontal="center"/>
    </xf>
    <xf numFmtId="2" fontId="0" fillId="0" borderId="0" xfId="3" applyNumberFormat="1" applyFont="1" applyFill="1" applyAlignment="1">
      <alignment horizontal="center"/>
    </xf>
    <xf numFmtId="0" fontId="17" fillId="0" borderId="0" xfId="0" applyFont="1" applyAlignment="1">
      <alignment horizontal="left"/>
    </xf>
  </cellXfs>
  <cellStyles count="4">
    <cellStyle name="Normál" xfId="0" builtinId="0"/>
    <cellStyle name="Normál 2" xfId="1"/>
    <cellStyle name="Százalék" xfId="3" builtinId="5"/>
    <cellStyle name="Százalék 2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C1" sqref="C1"/>
    </sheetView>
  </sheetViews>
  <sheetFormatPr defaultRowHeight="15"/>
  <sheetData>
    <row r="1" spans="1:12" ht="15.75">
      <c r="C1" s="20" t="s">
        <v>14</v>
      </c>
      <c r="E1" s="19" t="s">
        <v>18</v>
      </c>
    </row>
    <row r="2" spans="1:12">
      <c r="E2" s="19" t="s">
        <v>15</v>
      </c>
    </row>
    <row r="3" spans="1:12">
      <c r="A3" s="1" t="s">
        <v>8</v>
      </c>
      <c r="B3" s="1" t="s">
        <v>5</v>
      </c>
      <c r="C3" s="9" t="s">
        <v>0</v>
      </c>
      <c r="D3" s="1" t="s">
        <v>10</v>
      </c>
      <c r="E3" s="1"/>
    </row>
    <row r="4" spans="1:12">
      <c r="A4" s="7">
        <v>100</v>
      </c>
      <c r="B4" s="8">
        <v>0.1</v>
      </c>
      <c r="C4" s="10">
        <v>2</v>
      </c>
      <c r="D4" s="8">
        <v>0.06</v>
      </c>
      <c r="E4" s="3"/>
    </row>
    <row r="6" spans="1:12">
      <c r="A6" s="2" t="s">
        <v>11</v>
      </c>
      <c r="B6" s="2" t="s">
        <v>1</v>
      </c>
      <c r="C6" s="2" t="s">
        <v>2</v>
      </c>
      <c r="D6" s="1" t="s">
        <v>6</v>
      </c>
      <c r="E6" s="1"/>
    </row>
    <row r="7" spans="1:12">
      <c r="A7" s="2">
        <v>1</v>
      </c>
      <c r="B7" s="2">
        <v>10</v>
      </c>
      <c r="C7" s="11">
        <f>EXP(-A7*$D$4)</f>
        <v>0.94176453358424872</v>
      </c>
      <c r="D7" s="4">
        <f>B7*C7</f>
        <v>9.4176453358424865</v>
      </c>
      <c r="E7" s="1"/>
      <c r="F7" s="17" t="s">
        <v>13</v>
      </c>
    </row>
    <row r="8" spans="1:12">
      <c r="A8" s="2">
        <v>2</v>
      </c>
      <c r="B8" s="2">
        <v>110</v>
      </c>
      <c r="C8" s="11">
        <f>EXP(-A8*$D$4)</f>
        <v>0.88692043671715748</v>
      </c>
      <c r="D8" s="4">
        <f>B8*C8</f>
        <v>97.561248038887328</v>
      </c>
      <c r="E8" s="1"/>
    </row>
    <row r="9" spans="1:12">
      <c r="A9" s="1"/>
      <c r="B9" s="1"/>
      <c r="C9" s="1"/>
      <c r="E9" s="1"/>
    </row>
    <row r="10" spans="1:12">
      <c r="A10" s="1"/>
      <c r="B10" s="1"/>
      <c r="C10" s="1"/>
      <c r="D10" s="1" t="s">
        <v>7</v>
      </c>
      <c r="E10" s="1"/>
    </row>
    <row r="11" spans="1:12">
      <c r="A11" s="1"/>
      <c r="B11" s="1"/>
      <c r="C11" s="1"/>
      <c r="D11" s="4">
        <f>SUM(D7:D8)</f>
        <v>106.97889337472981</v>
      </c>
      <c r="E11" s="1"/>
    </row>
    <row r="12" spans="1:12">
      <c r="F12" s="17"/>
    </row>
    <row r="13" spans="1:12">
      <c r="B13" t="s">
        <v>16</v>
      </c>
    </row>
    <row r="14" spans="1:12">
      <c r="A14" t="s">
        <v>4</v>
      </c>
      <c r="B14" s="5">
        <v>0.04</v>
      </c>
      <c r="C14" s="21">
        <f>B14-$D$4</f>
        <v>-1.9999999999999997E-2</v>
      </c>
      <c r="D14" s="2" t="s">
        <v>11</v>
      </c>
      <c r="E14" s="2" t="s">
        <v>1</v>
      </c>
      <c r="F14" s="2" t="s">
        <v>2</v>
      </c>
      <c r="G14" s="1" t="s">
        <v>6</v>
      </c>
      <c r="L14" s="17"/>
    </row>
    <row r="15" spans="1:12">
      <c r="B15" s="14"/>
      <c r="D15" s="2">
        <v>1</v>
      </c>
      <c r="E15" s="2">
        <f>B7</f>
        <v>10</v>
      </c>
      <c r="F15" s="12">
        <f>EXP(-B14*D15)</f>
        <v>0.96078943915232318</v>
      </c>
      <c r="G15" s="4">
        <f>E15*F15</f>
        <v>9.6078943915232315</v>
      </c>
      <c r="I15" s="1" t="s">
        <v>7</v>
      </c>
      <c r="K15" s="18" t="s">
        <v>17</v>
      </c>
      <c r="L15" s="17"/>
    </row>
    <row r="16" spans="1:12">
      <c r="D16" s="9">
        <v>2</v>
      </c>
      <c r="E16" s="9">
        <f>B8</f>
        <v>110</v>
      </c>
      <c r="F16" s="12">
        <f>EXP(-B14*D16)</f>
        <v>0.92311634638663576</v>
      </c>
      <c r="G16" s="13">
        <f>E16*F16</f>
        <v>101.54279810252993</v>
      </c>
      <c r="I16" s="4">
        <f>SUM(G15:G16)</f>
        <v>111.15069249405316</v>
      </c>
      <c r="K16" s="32">
        <f>LN(I16/$D$11)</f>
        <v>3.8255313832825717E-2</v>
      </c>
    </row>
    <row r="17" spans="1:13">
      <c r="K17" s="33"/>
    </row>
    <row r="18" spans="1:13">
      <c r="B18" t="s">
        <v>16</v>
      </c>
      <c r="K18" s="33"/>
    </row>
    <row r="19" spans="1:13">
      <c r="A19" t="s">
        <v>3</v>
      </c>
      <c r="B19" s="5">
        <v>0.05</v>
      </c>
      <c r="C19" s="21">
        <f>B19-D4</f>
        <v>-9.999999999999995E-3</v>
      </c>
      <c r="D19" s="2" t="s">
        <v>11</v>
      </c>
      <c r="E19" s="2" t="s">
        <v>1</v>
      </c>
      <c r="F19" s="2" t="s">
        <v>2</v>
      </c>
      <c r="G19" s="1" t="s">
        <v>6</v>
      </c>
      <c r="J19" s="16"/>
      <c r="K19" s="33"/>
      <c r="L19" s="17"/>
    </row>
    <row r="20" spans="1:13">
      <c r="D20" s="2">
        <v>1</v>
      </c>
      <c r="E20" s="2">
        <f>E15</f>
        <v>10</v>
      </c>
      <c r="F20" s="12">
        <f>EXP(-B19*D20)</f>
        <v>0.95122942450071402</v>
      </c>
      <c r="G20" s="4">
        <f>E20*F20</f>
        <v>9.5122942450071406</v>
      </c>
      <c r="I20" s="1" t="s">
        <v>7</v>
      </c>
      <c r="K20" s="34" t="s">
        <v>17</v>
      </c>
    </row>
    <row r="21" spans="1:13">
      <c r="D21" s="9">
        <v>2</v>
      </c>
      <c r="E21" s="9">
        <f>B8</f>
        <v>110</v>
      </c>
      <c r="F21" s="12">
        <f>EXP(-B19*D21)</f>
        <v>0.90483741803595952</v>
      </c>
      <c r="G21" s="13">
        <f>E21*F21</f>
        <v>99.532115983955549</v>
      </c>
      <c r="I21" s="4">
        <f>SUM(G20:G21)</f>
        <v>109.04441022896269</v>
      </c>
      <c r="K21" s="32">
        <f>LN(I21/$D$11)</f>
        <v>1.9123675720116032E-2</v>
      </c>
    </row>
    <row r="22" spans="1:13">
      <c r="K22" s="33"/>
    </row>
    <row r="23" spans="1:13">
      <c r="B23" t="s">
        <v>16</v>
      </c>
      <c r="K23" s="33"/>
      <c r="L23" s="17"/>
    </row>
    <row r="24" spans="1:13">
      <c r="A24" t="s">
        <v>9</v>
      </c>
      <c r="B24" s="5">
        <v>7.0000000000000007E-2</v>
      </c>
      <c r="C24" s="21">
        <f>B24-$D$4</f>
        <v>1.0000000000000009E-2</v>
      </c>
      <c r="D24" s="2" t="s">
        <v>11</v>
      </c>
      <c r="E24" s="2" t="s">
        <v>1</v>
      </c>
      <c r="F24" s="2" t="s">
        <v>2</v>
      </c>
      <c r="G24" s="1" t="s">
        <v>6</v>
      </c>
      <c r="K24" s="33"/>
    </row>
    <row r="25" spans="1:13">
      <c r="D25" s="2">
        <v>1</v>
      </c>
      <c r="E25" s="2">
        <f>E20</f>
        <v>10</v>
      </c>
      <c r="F25" s="12">
        <f>EXP(-B24*D25)</f>
        <v>0.93239381990594827</v>
      </c>
      <c r="G25" s="4">
        <f>E25*F25</f>
        <v>9.3239381990594836</v>
      </c>
      <c r="I25" s="1" t="s">
        <v>7</v>
      </c>
      <c r="J25" s="16"/>
      <c r="K25" s="34" t="s">
        <v>17</v>
      </c>
    </row>
    <row r="26" spans="1:13">
      <c r="D26" s="9">
        <v>2</v>
      </c>
      <c r="E26" s="9">
        <f>B8</f>
        <v>110</v>
      </c>
      <c r="F26" s="12">
        <f>EXP(-B24*D26)</f>
        <v>0.86935823539880586</v>
      </c>
      <c r="G26" s="13">
        <f>E26*F26</f>
        <v>95.62940589386865</v>
      </c>
      <c r="I26" s="4">
        <f>SUM(G25:G26)</f>
        <v>104.95334409292813</v>
      </c>
      <c r="K26" s="32">
        <f>LN(I26/$D$11)</f>
        <v>-1.9115647387594289E-2</v>
      </c>
      <c r="L26" s="17"/>
      <c r="M26" s="17" t="s">
        <v>18</v>
      </c>
    </row>
    <row r="27" spans="1:13">
      <c r="K27" s="33"/>
    </row>
    <row r="28" spans="1:13">
      <c r="B28" t="s">
        <v>16</v>
      </c>
      <c r="K28" s="33"/>
    </row>
    <row r="29" spans="1:13">
      <c r="A29" t="s">
        <v>19</v>
      </c>
      <c r="B29" s="5">
        <v>0.08</v>
      </c>
      <c r="C29" s="21">
        <f>B29-$D$4</f>
        <v>2.0000000000000004E-2</v>
      </c>
      <c r="D29" s="2" t="s">
        <v>11</v>
      </c>
      <c r="E29" s="2" t="s">
        <v>1</v>
      </c>
      <c r="F29" s="2" t="s">
        <v>2</v>
      </c>
      <c r="G29" s="1" t="s">
        <v>6</v>
      </c>
      <c r="K29" s="33"/>
    </row>
    <row r="30" spans="1:13">
      <c r="D30" s="2">
        <v>1</v>
      </c>
      <c r="E30" s="2">
        <f>E25</f>
        <v>10</v>
      </c>
      <c r="F30" s="12">
        <f>EXP(-B29*D30)</f>
        <v>0.92311634638663576</v>
      </c>
      <c r="G30" s="4">
        <f>E30*F30</f>
        <v>9.2311634638663573</v>
      </c>
      <c r="I30" s="1" t="s">
        <v>7</v>
      </c>
      <c r="K30" s="34" t="s">
        <v>17</v>
      </c>
    </row>
    <row r="31" spans="1:13">
      <c r="D31" s="9">
        <v>2</v>
      </c>
      <c r="E31" s="9">
        <f>E26</f>
        <v>110</v>
      </c>
      <c r="F31" s="12">
        <f>EXP(-B29*D31)</f>
        <v>0.85214378896621135</v>
      </c>
      <c r="G31" s="13">
        <f>E31*F31</f>
        <v>93.735816786283252</v>
      </c>
      <c r="I31" s="4">
        <f>SUM(G30:G31)</f>
        <v>102.9669802501496</v>
      </c>
      <c r="K31" s="32">
        <f>LN(I31/$D$11)</f>
        <v>-3.8223200086640083E-2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I37" sqref="I37"/>
    </sheetView>
  </sheetViews>
  <sheetFormatPr defaultRowHeight="15"/>
  <sheetData>
    <row r="1" spans="1:12" ht="15.75">
      <c r="C1" s="20" t="s">
        <v>14</v>
      </c>
      <c r="E1" s="19" t="s">
        <v>28</v>
      </c>
    </row>
    <row r="2" spans="1:12">
      <c r="E2" s="19"/>
    </row>
    <row r="3" spans="1:12">
      <c r="A3" s="1" t="s">
        <v>8</v>
      </c>
      <c r="B3" s="1" t="s">
        <v>5</v>
      </c>
      <c r="C3" s="9" t="s">
        <v>0</v>
      </c>
      <c r="D3" s="1" t="s">
        <v>10</v>
      </c>
      <c r="E3" s="1"/>
    </row>
    <row r="4" spans="1:12">
      <c r="A4" s="7">
        <v>100</v>
      </c>
      <c r="B4" s="8">
        <v>0.1</v>
      </c>
      <c r="C4" s="10">
        <v>3</v>
      </c>
      <c r="D4" s="8">
        <v>0.06</v>
      </c>
      <c r="E4" s="3"/>
    </row>
    <row r="6" spans="1:12">
      <c r="A6" s="2" t="s">
        <v>11</v>
      </c>
      <c r="B6" s="2" t="s">
        <v>1</v>
      </c>
      <c r="C6" s="2" t="s">
        <v>2</v>
      </c>
      <c r="D6" s="1" t="s">
        <v>6</v>
      </c>
      <c r="E6" s="1"/>
    </row>
    <row r="7" spans="1:12">
      <c r="A7" s="2">
        <v>1</v>
      </c>
      <c r="B7" s="2">
        <v>10</v>
      </c>
      <c r="C7" s="11">
        <f>EXP(-A7*$D$4)</f>
        <v>0.94176453358424872</v>
      </c>
      <c r="D7" s="4">
        <f>B7*C7</f>
        <v>9.4176453358424865</v>
      </c>
      <c r="E7" s="1"/>
      <c r="F7" s="17" t="s">
        <v>13</v>
      </c>
    </row>
    <row r="8" spans="1:12">
      <c r="A8" s="2">
        <v>2</v>
      </c>
      <c r="B8" s="2">
        <v>10</v>
      </c>
      <c r="C8" s="11">
        <f>EXP(-A8*$D$4)</f>
        <v>0.88692043671715748</v>
      </c>
      <c r="D8" s="4">
        <f>B8*C8</f>
        <v>8.8692043671715748</v>
      </c>
      <c r="E8" s="1"/>
    </row>
    <row r="9" spans="1:12">
      <c r="A9" s="2">
        <v>3</v>
      </c>
      <c r="B9" s="2">
        <v>110</v>
      </c>
      <c r="C9" s="11">
        <f>EXP(-A9*$D$4)</f>
        <v>0.835270211411272</v>
      </c>
      <c r="D9" s="4">
        <f>B9*C9</f>
        <v>91.879723255239924</v>
      </c>
      <c r="E9" s="1"/>
    </row>
    <row r="10" spans="1:12">
      <c r="A10" s="1"/>
      <c r="B10" s="1"/>
      <c r="C10" s="1"/>
      <c r="E10" s="1"/>
    </row>
    <row r="11" spans="1:12">
      <c r="A11" s="1"/>
      <c r="B11" s="1"/>
      <c r="C11" s="1"/>
      <c r="D11" s="1" t="s">
        <v>7</v>
      </c>
      <c r="E11" s="1"/>
    </row>
    <row r="12" spans="1:12">
      <c r="A12" s="1"/>
      <c r="B12" s="1"/>
      <c r="C12" s="1"/>
      <c r="D12" s="4">
        <f>SUM(D7:D9)</f>
        <v>110.16657295825399</v>
      </c>
      <c r="E12" s="1"/>
    </row>
    <row r="13" spans="1:12">
      <c r="F13" s="17"/>
    </row>
    <row r="14" spans="1:12">
      <c r="B14" t="s">
        <v>16</v>
      </c>
    </row>
    <row r="15" spans="1:12">
      <c r="A15" t="s">
        <v>4</v>
      </c>
      <c r="B15" s="5">
        <v>0.04</v>
      </c>
      <c r="C15" s="21">
        <f>B15-$D$4</f>
        <v>-1.9999999999999997E-2</v>
      </c>
      <c r="D15" s="2" t="s">
        <v>11</v>
      </c>
      <c r="E15" s="2" t="s">
        <v>1</v>
      </c>
      <c r="F15" s="2" t="s">
        <v>2</v>
      </c>
      <c r="G15" s="1" t="s">
        <v>6</v>
      </c>
      <c r="L15" s="17"/>
    </row>
    <row r="16" spans="1:12">
      <c r="B16" s="14"/>
      <c r="D16" s="2">
        <v>1</v>
      </c>
      <c r="E16" s="2">
        <f>B7</f>
        <v>10</v>
      </c>
      <c r="F16" s="12">
        <f>EXP(-B15*D16)</f>
        <v>0.96078943915232318</v>
      </c>
      <c r="G16" s="1">
        <f>E16*F16</f>
        <v>9.6078943915232315</v>
      </c>
      <c r="I16" s="1" t="s">
        <v>7</v>
      </c>
      <c r="K16" s="18" t="s">
        <v>17</v>
      </c>
      <c r="L16" s="17"/>
    </row>
    <row r="17" spans="1:13">
      <c r="D17" s="9">
        <v>2</v>
      </c>
      <c r="E17" s="9">
        <f>B8</f>
        <v>10</v>
      </c>
      <c r="F17" s="12">
        <f>EXP(-B15*D17)</f>
        <v>0.92311634638663576</v>
      </c>
      <c r="G17" s="31">
        <f>E17*F17</f>
        <v>9.2311634638663573</v>
      </c>
      <c r="I17" s="4">
        <f>SUM(G16:G18)</f>
        <v>116.40030589427693</v>
      </c>
      <c r="K17" s="6">
        <f>LN(I17/$D$12)</f>
        <v>5.5041643234184229E-2</v>
      </c>
    </row>
    <row r="18" spans="1:13">
      <c r="D18" s="9">
        <v>3</v>
      </c>
      <c r="E18" s="9">
        <f>$B$9</f>
        <v>110</v>
      </c>
      <c r="F18" s="12">
        <f>EXP(-B15*D18)</f>
        <v>0.88692043671715748</v>
      </c>
      <c r="G18" s="13">
        <f>E18*F18</f>
        <v>97.561248038887328</v>
      </c>
      <c r="I18" s="4"/>
      <c r="K18" s="15"/>
    </row>
    <row r="20" spans="1:13">
      <c r="B20" t="s">
        <v>16</v>
      </c>
    </row>
    <row r="21" spans="1:13">
      <c r="A21" t="s">
        <v>3</v>
      </c>
      <c r="B21" s="5">
        <v>0.05</v>
      </c>
      <c r="C21" s="21">
        <f>B21-D4</f>
        <v>-9.999999999999995E-3</v>
      </c>
      <c r="D21" s="2" t="s">
        <v>11</v>
      </c>
      <c r="E21" s="2" t="s">
        <v>1</v>
      </c>
      <c r="F21" s="2" t="s">
        <v>2</v>
      </c>
      <c r="G21" s="1" t="s">
        <v>6</v>
      </c>
      <c r="J21" s="16"/>
      <c r="L21" s="17"/>
    </row>
    <row r="22" spans="1:13">
      <c r="D22" s="2">
        <v>1</v>
      </c>
      <c r="E22" s="2">
        <f>E16</f>
        <v>10</v>
      </c>
      <c r="F22" s="12">
        <f>EXP(-B21*D22)</f>
        <v>0.95122942450071402</v>
      </c>
      <c r="G22" s="1">
        <f>E22*F22</f>
        <v>9.5122942450071406</v>
      </c>
      <c r="I22" s="1" t="s">
        <v>7</v>
      </c>
      <c r="K22" s="18" t="s">
        <v>17</v>
      </c>
    </row>
    <row r="23" spans="1:13">
      <c r="D23" s="9">
        <v>2</v>
      </c>
      <c r="E23" s="9">
        <f>B8</f>
        <v>10</v>
      </c>
      <c r="F23" s="12">
        <f>EXP(-B21*D23)</f>
        <v>0.90483741803595952</v>
      </c>
      <c r="G23" s="31">
        <f>E23*F23</f>
        <v>9.0483741803595947</v>
      </c>
      <c r="I23" s="4">
        <f>SUM(G22:G24)</f>
        <v>113.23854583212309</v>
      </c>
      <c r="K23" s="6">
        <f>LN(I23/$D$12)</f>
        <v>2.7503098675482503E-2</v>
      </c>
    </row>
    <row r="24" spans="1:13">
      <c r="D24" s="9">
        <v>3</v>
      </c>
      <c r="E24" s="9">
        <f>$B$9</f>
        <v>110</v>
      </c>
      <c r="F24" s="12">
        <f>EXP(-B21*D24)</f>
        <v>0.86070797642505781</v>
      </c>
      <c r="G24" s="13">
        <f>E24*F24</f>
        <v>94.677877406756352</v>
      </c>
      <c r="I24" s="4"/>
      <c r="K24" s="15"/>
    </row>
    <row r="26" spans="1:13">
      <c r="B26" t="s">
        <v>16</v>
      </c>
      <c r="L26" s="17"/>
    </row>
    <row r="27" spans="1:13">
      <c r="A27" t="s">
        <v>9</v>
      </c>
      <c r="B27" s="5">
        <v>7.0000000000000007E-2</v>
      </c>
      <c r="C27" s="21">
        <f>B27-$D$4</f>
        <v>1.0000000000000009E-2</v>
      </c>
      <c r="D27" s="2" t="s">
        <v>11</v>
      </c>
      <c r="E27" s="2" t="s">
        <v>1</v>
      </c>
      <c r="F27" s="2" t="s">
        <v>2</v>
      </c>
      <c r="G27" s="1" t="s">
        <v>6</v>
      </c>
    </row>
    <row r="28" spans="1:13">
      <c r="D28" s="2">
        <v>1</v>
      </c>
      <c r="E28" s="2">
        <f>E22</f>
        <v>10</v>
      </c>
      <c r="F28" s="12">
        <f>EXP(-B27*D28)</f>
        <v>0.93239381990594827</v>
      </c>
      <c r="G28" s="1">
        <f>E28*F28</f>
        <v>9.3239381990594836</v>
      </c>
      <c r="I28" s="1" t="s">
        <v>7</v>
      </c>
      <c r="J28" s="16"/>
      <c r="K28" s="18" t="s">
        <v>17</v>
      </c>
    </row>
    <row r="29" spans="1:13">
      <c r="D29" s="9">
        <v>2</v>
      </c>
      <c r="E29" s="9">
        <f>B8</f>
        <v>10</v>
      </c>
      <c r="F29" s="12">
        <f>EXP(-B27*D29)</f>
        <v>0.86935823539880586</v>
      </c>
      <c r="G29" s="31">
        <f>E29*F29</f>
        <v>8.6935823539880595</v>
      </c>
      <c r="I29" s="4">
        <f>SUM(G28:G30)</f>
        <v>107.18178760976812</v>
      </c>
      <c r="K29" s="6">
        <f>LN(I29/$D$12)</f>
        <v>-2.7467177513857792E-2</v>
      </c>
      <c r="L29" s="17"/>
      <c r="M29" s="17" t="s">
        <v>28</v>
      </c>
    </row>
    <row r="30" spans="1:13">
      <c r="D30" s="9">
        <v>3</v>
      </c>
      <c r="E30" s="9">
        <f>$B$9</f>
        <v>110</v>
      </c>
      <c r="F30" s="12">
        <f>EXP(-B27*D30)</f>
        <v>0.81058424597018708</v>
      </c>
      <c r="G30" s="13">
        <f>E30*F30</f>
        <v>89.164267056720576</v>
      </c>
      <c r="I30" s="4"/>
      <c r="K30" s="15"/>
      <c r="L30" s="17"/>
      <c r="M30" s="17"/>
    </row>
    <row r="32" spans="1:13">
      <c r="B32" t="s">
        <v>16</v>
      </c>
    </row>
    <row r="33" spans="1:11">
      <c r="A33" t="s">
        <v>19</v>
      </c>
      <c r="B33" s="5">
        <v>0.08</v>
      </c>
      <c r="C33" s="21">
        <f>B33-$D$4</f>
        <v>2.0000000000000004E-2</v>
      </c>
      <c r="D33" s="2" t="s">
        <v>11</v>
      </c>
      <c r="E33" s="2" t="s">
        <v>1</v>
      </c>
      <c r="F33" s="2" t="s">
        <v>2</v>
      </c>
      <c r="G33" s="1" t="s">
        <v>6</v>
      </c>
    </row>
    <row r="34" spans="1:11">
      <c r="D34" s="2">
        <v>1</v>
      </c>
      <c r="E34" s="2">
        <f>E28</f>
        <v>10</v>
      </c>
      <c r="F34" s="12">
        <f>EXP(-B33*D34)</f>
        <v>0.92311634638663576</v>
      </c>
      <c r="G34" s="1">
        <f>E34*F34</f>
        <v>9.2311634638663573</v>
      </c>
      <c r="I34" s="1" t="s">
        <v>7</v>
      </c>
      <c r="K34" s="18" t="s">
        <v>17</v>
      </c>
    </row>
    <row r="35" spans="1:11">
      <c r="D35" s="9">
        <v>2</v>
      </c>
      <c r="E35" s="9">
        <f>E29</f>
        <v>10</v>
      </c>
      <c r="F35" s="12">
        <f>EXP(-B33*D35)</f>
        <v>0.85214378896621135</v>
      </c>
      <c r="G35" s="31">
        <f>E35*F35</f>
        <v>8.5214378896621135</v>
      </c>
      <c r="I35" s="4">
        <f>SUM(G34:G36)</f>
        <v>104.28166607084935</v>
      </c>
      <c r="K35" s="6">
        <f>LN(I35/$D$12)</f>
        <v>-5.4897954182444357E-2</v>
      </c>
    </row>
    <row r="36" spans="1:11">
      <c r="D36" s="9">
        <v>3</v>
      </c>
      <c r="E36" s="9">
        <f>$B$9</f>
        <v>110</v>
      </c>
      <c r="F36" s="12">
        <f>EXP(-B33*D36)</f>
        <v>0.78662786106655347</v>
      </c>
      <c r="G36" s="13">
        <f>E36*F36</f>
        <v>86.529064717320878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8"/>
  <sheetViews>
    <sheetView topLeftCell="A37" workbookViewId="0">
      <selection activeCell="C44" sqref="C44"/>
    </sheetView>
  </sheetViews>
  <sheetFormatPr defaultRowHeight="26.25"/>
  <cols>
    <col min="1" max="1" width="9.140625" style="23"/>
    <col min="2" max="2" width="16.28515625" style="23" customWidth="1"/>
    <col min="3" max="16384" width="9.140625" style="23"/>
  </cols>
  <sheetData>
    <row r="1" spans="1:12">
      <c r="A1" s="22" t="s">
        <v>29</v>
      </c>
    </row>
    <row r="3" spans="1:12">
      <c r="A3" s="23" t="s">
        <v>30</v>
      </c>
      <c r="C3" s="23" t="s">
        <v>32</v>
      </c>
      <c r="F3" s="23" t="s">
        <v>34</v>
      </c>
    </row>
    <row r="4" spans="1:12">
      <c r="F4" s="23" t="s">
        <v>35</v>
      </c>
    </row>
    <row r="5" spans="1:12">
      <c r="A5" s="23" t="s">
        <v>31</v>
      </c>
      <c r="C5" s="23" t="s">
        <v>33</v>
      </c>
      <c r="F5" s="23" t="s">
        <v>36</v>
      </c>
    </row>
    <row r="6" spans="1:12">
      <c r="F6" s="23" t="s">
        <v>37</v>
      </c>
    </row>
    <row r="8" spans="1:12">
      <c r="A8" s="22" t="s">
        <v>38</v>
      </c>
    </row>
    <row r="9" spans="1:12">
      <c r="A9" s="23" t="s">
        <v>39</v>
      </c>
    </row>
    <row r="10" spans="1:12">
      <c r="A10" s="23" t="s">
        <v>20</v>
      </c>
      <c r="F10" s="23" t="s">
        <v>21</v>
      </c>
      <c r="H10" s="23" t="s">
        <v>40</v>
      </c>
    </row>
    <row r="11" spans="1:12">
      <c r="H11" s="23" t="s">
        <v>12</v>
      </c>
      <c r="L11" s="23" t="s">
        <v>42</v>
      </c>
    </row>
    <row r="12" spans="1:12">
      <c r="H12" s="25" t="s">
        <v>41</v>
      </c>
      <c r="L12" s="25" t="s">
        <v>43</v>
      </c>
    </row>
    <row r="14" spans="1:12">
      <c r="D14" s="23" t="s">
        <v>44</v>
      </c>
      <c r="K14" s="24"/>
    </row>
    <row r="15" spans="1:12">
      <c r="D15" s="23" t="s">
        <v>45</v>
      </c>
      <c r="K15" s="25"/>
    </row>
    <row r="17" spans="1:17">
      <c r="D17" s="23" t="s">
        <v>47</v>
      </c>
      <c r="J17" s="23" t="s">
        <v>48</v>
      </c>
      <c r="N17" s="25" t="s">
        <v>46</v>
      </c>
    </row>
    <row r="18" spans="1:17">
      <c r="N18" s="25" t="s">
        <v>49</v>
      </c>
    </row>
    <row r="19" spans="1:17">
      <c r="G19" s="25"/>
    </row>
    <row r="20" spans="1:17">
      <c r="B20" s="25" t="s">
        <v>50</v>
      </c>
    </row>
    <row r="21" spans="1:17">
      <c r="B21" s="25" t="s">
        <v>51</v>
      </c>
      <c r="C21" s="25"/>
      <c r="D21" s="25"/>
      <c r="E21" s="25" t="s">
        <v>52</v>
      </c>
      <c r="F21" s="25"/>
    </row>
    <row r="22" spans="1:17">
      <c r="B22" s="25"/>
      <c r="C22" s="25"/>
      <c r="D22" s="25"/>
      <c r="E22" s="25"/>
      <c r="F22" s="25"/>
    </row>
    <row r="23" spans="1:17">
      <c r="A23" s="22" t="s">
        <v>53</v>
      </c>
    </row>
    <row r="24" spans="1:17">
      <c r="A24" s="23" t="s">
        <v>54</v>
      </c>
      <c r="C24" s="23" t="s">
        <v>22</v>
      </c>
      <c r="E24" s="23" t="s">
        <v>57</v>
      </c>
      <c r="I24" s="23" t="s">
        <v>23</v>
      </c>
      <c r="K24" s="23" t="s">
        <v>58</v>
      </c>
      <c r="M24" s="23" t="s">
        <v>24</v>
      </c>
    </row>
    <row r="25" spans="1:17">
      <c r="A25" s="23" t="s">
        <v>55</v>
      </c>
      <c r="C25" s="23" t="s">
        <v>56</v>
      </c>
      <c r="I25" s="23" t="s">
        <v>25</v>
      </c>
      <c r="M25" s="23" t="s">
        <v>59</v>
      </c>
    </row>
    <row r="27" spans="1:17">
      <c r="A27" s="22" t="s">
        <v>60</v>
      </c>
    </row>
    <row r="28" spans="1:17">
      <c r="A28" s="25" t="s">
        <v>70</v>
      </c>
      <c r="F28" s="23" t="s">
        <v>63</v>
      </c>
      <c r="G28" s="23" t="s">
        <v>62</v>
      </c>
      <c r="H28" s="23" t="s">
        <v>61</v>
      </c>
    </row>
    <row r="30" spans="1:17">
      <c r="F30" s="23" t="s">
        <v>65</v>
      </c>
      <c r="G30" s="23" t="s">
        <v>62</v>
      </c>
      <c r="H30" s="23" t="s">
        <v>64</v>
      </c>
    </row>
    <row r="31" spans="1:17">
      <c r="Q31" s="25"/>
    </row>
    <row r="32" spans="1:17">
      <c r="A32" s="23" t="s">
        <v>57</v>
      </c>
      <c r="D32" s="23" t="s">
        <v>23</v>
      </c>
      <c r="E32" s="23" t="s">
        <v>62</v>
      </c>
      <c r="F32" s="26" t="s">
        <v>26</v>
      </c>
      <c r="H32" s="23" t="s">
        <v>68</v>
      </c>
    </row>
    <row r="33" spans="1:11">
      <c r="E33" s="23" t="s">
        <v>62</v>
      </c>
      <c r="F33" s="26" t="s">
        <v>27</v>
      </c>
      <c r="H33" s="23" t="s">
        <v>69</v>
      </c>
    </row>
    <row r="35" spans="1:11">
      <c r="A35" s="23" t="s">
        <v>94</v>
      </c>
      <c r="F35" s="23" t="s">
        <v>95</v>
      </c>
      <c r="G35" s="23" t="s">
        <v>62</v>
      </c>
      <c r="H35" s="26" t="s">
        <v>96</v>
      </c>
      <c r="K35" s="26"/>
    </row>
    <row r="36" spans="1:11">
      <c r="E36" s="26"/>
      <c r="H36" s="26"/>
    </row>
    <row r="37" spans="1:11">
      <c r="A37" s="23" t="s">
        <v>71</v>
      </c>
    </row>
    <row r="38" spans="1:11">
      <c r="A38" s="23" t="s">
        <v>72</v>
      </c>
    </row>
    <row r="40" spans="1:11">
      <c r="A40" s="22" t="s">
        <v>58</v>
      </c>
    </row>
    <row r="41" spans="1:11">
      <c r="A41" s="23" t="s">
        <v>73</v>
      </c>
    </row>
    <row r="42" spans="1:11">
      <c r="D42" s="23" t="s">
        <v>67</v>
      </c>
      <c r="E42" s="23" t="s">
        <v>62</v>
      </c>
      <c r="F42" s="23" t="s">
        <v>66</v>
      </c>
    </row>
    <row r="44" spans="1:11">
      <c r="F44" s="23" t="s">
        <v>95</v>
      </c>
      <c r="G44" s="23" t="s">
        <v>62</v>
      </c>
      <c r="H44" s="26" t="s">
        <v>96</v>
      </c>
      <c r="J44" s="23" t="s">
        <v>92</v>
      </c>
      <c r="K44" s="26" t="s">
        <v>93</v>
      </c>
    </row>
    <row r="46" spans="1:11">
      <c r="A46" s="22" t="s">
        <v>101</v>
      </c>
      <c r="E46" s="26"/>
      <c r="F46" s="26"/>
    </row>
    <row r="47" spans="1:11">
      <c r="A47" s="23" t="s">
        <v>100</v>
      </c>
    </row>
    <row r="63" spans="1:1">
      <c r="A63" s="22"/>
    </row>
    <row r="67" spans="1:12">
      <c r="A67" s="22"/>
    </row>
    <row r="70" spans="1:12">
      <c r="A70" s="27"/>
    </row>
    <row r="72" spans="1:12">
      <c r="A72" s="22"/>
    </row>
    <row r="76" spans="1:12">
      <c r="L76" s="25"/>
    </row>
    <row r="80" spans="1:12">
      <c r="A80" s="22"/>
    </row>
    <row r="81" spans="1:13">
      <c r="A81" s="24"/>
      <c r="B81" s="24"/>
      <c r="C81" s="24"/>
      <c r="D81" s="24"/>
      <c r="E81" s="24"/>
      <c r="F81" s="24"/>
      <c r="G81" s="24"/>
      <c r="H81" s="24"/>
      <c r="I81" s="24"/>
      <c r="J81" s="24"/>
    </row>
    <row r="82" spans="1:13">
      <c r="A82" s="24"/>
      <c r="B82" s="24"/>
      <c r="C82" s="24"/>
      <c r="D82" s="24"/>
      <c r="E82" s="24"/>
      <c r="F82" s="24"/>
      <c r="G82" s="24"/>
      <c r="H82" s="24"/>
      <c r="I82" s="24"/>
      <c r="J82" s="24"/>
      <c r="M82" s="28"/>
    </row>
    <row r="83" spans="1:13">
      <c r="A83" s="24"/>
      <c r="B83" s="24"/>
      <c r="C83" s="24"/>
      <c r="D83" s="24"/>
      <c r="E83" s="24"/>
      <c r="F83" s="24"/>
      <c r="G83" s="24"/>
      <c r="H83" s="24"/>
      <c r="I83" s="24"/>
      <c r="J83" s="24"/>
    </row>
    <row r="84" spans="1:13" ht="28.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9"/>
      <c r="M84" s="30"/>
    </row>
    <row r="85" spans="1:1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9"/>
    </row>
    <row r="86" spans="1:1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9"/>
    </row>
    <row r="87" spans="1:13">
      <c r="A87" s="24"/>
      <c r="B87" s="24"/>
      <c r="C87" s="24"/>
      <c r="D87" s="24"/>
      <c r="E87" s="24"/>
      <c r="F87" s="24"/>
      <c r="G87" s="24"/>
      <c r="H87" s="24"/>
      <c r="I87" s="24"/>
      <c r="J87" s="24"/>
    </row>
    <row r="88" spans="1:13">
      <c r="F88" s="24"/>
      <c r="G88" s="24"/>
      <c r="H88" s="24"/>
      <c r="I88" s="24"/>
      <c r="J88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selection sqref="A1:XFD1048576"/>
    </sheetView>
  </sheetViews>
  <sheetFormatPr defaultRowHeight="15"/>
  <sheetData>
    <row r="1" spans="1:9" ht="15.75">
      <c r="C1" s="20"/>
    </row>
    <row r="3" spans="1:9">
      <c r="A3" s="1" t="s">
        <v>8</v>
      </c>
      <c r="B3" s="1" t="s">
        <v>5</v>
      </c>
      <c r="C3" s="9" t="s">
        <v>0</v>
      </c>
      <c r="D3" s="1" t="s">
        <v>91</v>
      </c>
    </row>
    <row r="4" spans="1:9">
      <c r="A4" s="7">
        <v>100</v>
      </c>
      <c r="B4" s="8">
        <v>0.1</v>
      </c>
      <c r="C4" s="10">
        <v>2</v>
      </c>
      <c r="D4" s="8">
        <v>0.06</v>
      </c>
    </row>
    <row r="6" spans="1:9">
      <c r="A6" s="2" t="s">
        <v>75</v>
      </c>
      <c r="B6" s="2" t="s">
        <v>1</v>
      </c>
      <c r="C6" s="2" t="s">
        <v>2</v>
      </c>
      <c r="D6" s="1" t="s">
        <v>6</v>
      </c>
      <c r="E6" s="35" t="s">
        <v>74</v>
      </c>
      <c r="F6" s="35" t="s">
        <v>76</v>
      </c>
    </row>
    <row r="7" spans="1:9">
      <c r="A7" s="2">
        <v>1</v>
      </c>
      <c r="B7" s="2">
        <v>10</v>
      </c>
      <c r="C7" s="11">
        <f>EXP(-A7*$D$4)</f>
        <v>0.94176453358424872</v>
      </c>
      <c r="D7" s="4">
        <f>B7*C7</f>
        <v>9.4176453358424865</v>
      </c>
      <c r="E7" s="36">
        <f>D7/D11</f>
        <v>8.8032742148995632E-2</v>
      </c>
      <c r="F7" s="36">
        <f>A7*E7</f>
        <v>8.8032742148995632E-2</v>
      </c>
      <c r="H7" s="17" t="s">
        <v>99</v>
      </c>
    </row>
    <row r="8" spans="1:9">
      <c r="A8" s="2">
        <v>2</v>
      </c>
      <c r="B8" s="2">
        <v>110</v>
      </c>
      <c r="C8" s="11">
        <f>EXP(-A8*$D$4)</f>
        <v>0.88692043671715748</v>
      </c>
      <c r="D8" s="4">
        <f>B8*C8</f>
        <v>97.561248038887328</v>
      </c>
      <c r="E8" s="36">
        <f>D8/D11</f>
        <v>0.91196725785100441</v>
      </c>
      <c r="F8" s="36">
        <f>A8*E8</f>
        <v>1.8239345157020088</v>
      </c>
      <c r="I8" s="41"/>
    </row>
    <row r="9" spans="1:9">
      <c r="A9" s="1"/>
      <c r="B9" s="1"/>
      <c r="C9" s="1"/>
    </row>
    <row r="10" spans="1:9">
      <c r="A10" s="1"/>
      <c r="B10" s="1"/>
      <c r="C10" s="1"/>
      <c r="D10" s="1" t="s">
        <v>7</v>
      </c>
      <c r="F10" s="37" t="s">
        <v>54</v>
      </c>
    </row>
    <row r="11" spans="1:9">
      <c r="A11" s="1"/>
      <c r="B11" s="1"/>
      <c r="C11" s="1"/>
      <c r="D11" s="4">
        <f>SUM(D7:D8)</f>
        <v>106.97889337472981</v>
      </c>
      <c r="F11" s="38">
        <f>SUM(F7:F8)</f>
        <v>1.9119672578510045</v>
      </c>
      <c r="G11" s="9" t="s">
        <v>56</v>
      </c>
    </row>
    <row r="13" spans="1:9">
      <c r="F13" s="39" t="s">
        <v>57</v>
      </c>
    </row>
    <row r="14" spans="1:9">
      <c r="F14" s="38">
        <f>-F11</f>
        <v>-1.9119672578510045</v>
      </c>
      <c r="G14" s="9" t="s">
        <v>25</v>
      </c>
    </row>
    <row r="15" spans="1:9" s="46" customFormat="1"/>
    <row r="16" spans="1:9" s="48" customFormat="1"/>
    <row r="17" spans="1:14" s="46" customFormat="1"/>
    <row r="18" spans="1:14">
      <c r="A18" s="1" t="s">
        <v>8</v>
      </c>
      <c r="B18" s="1" t="s">
        <v>5</v>
      </c>
      <c r="C18" s="9" t="s">
        <v>0</v>
      </c>
      <c r="D18" s="1" t="s">
        <v>90</v>
      </c>
    </row>
    <row r="19" spans="1:14">
      <c r="A19" s="7">
        <v>100</v>
      </c>
      <c r="B19" s="8">
        <v>0.1</v>
      </c>
      <c r="C19" s="10">
        <v>2</v>
      </c>
      <c r="D19" s="8">
        <v>0.06</v>
      </c>
    </row>
    <row r="21" spans="1:14">
      <c r="A21" s="2" t="s">
        <v>75</v>
      </c>
      <c r="B21" s="2" t="s">
        <v>1</v>
      </c>
      <c r="C21" s="2" t="s">
        <v>2</v>
      </c>
      <c r="D21" s="1" t="s">
        <v>6</v>
      </c>
      <c r="E21" s="35" t="s">
        <v>74</v>
      </c>
      <c r="F21" s="35" t="s">
        <v>76</v>
      </c>
    </row>
    <row r="22" spans="1:14">
      <c r="A22" s="2">
        <v>1</v>
      </c>
      <c r="B22" s="2">
        <v>10</v>
      </c>
      <c r="C22" s="11">
        <f>1/(1+$D$19)^A22</f>
        <v>0.94339622641509424</v>
      </c>
      <c r="D22" s="4">
        <f>B22*C22</f>
        <v>9.4339622641509422</v>
      </c>
      <c r="E22" s="36">
        <f>D22/D26</f>
        <v>8.7893864013266987E-2</v>
      </c>
      <c r="F22" s="36">
        <f>A22*E22</f>
        <v>8.7893864013266987E-2</v>
      </c>
      <c r="H22" s="17" t="s">
        <v>99</v>
      </c>
    </row>
    <row r="23" spans="1:14">
      <c r="A23" s="2">
        <v>2</v>
      </c>
      <c r="B23" s="2">
        <v>110</v>
      </c>
      <c r="C23" s="11">
        <f>1/(1+$D$19)^A23</f>
        <v>0.88999644001423983</v>
      </c>
      <c r="D23" s="4">
        <f>B23*C23</f>
        <v>97.899608401566383</v>
      </c>
      <c r="E23" s="36">
        <f>D23/D26</f>
        <v>0.91210613598673296</v>
      </c>
      <c r="F23" s="36">
        <f>A23*E23</f>
        <v>1.8242122719734659</v>
      </c>
    </row>
    <row r="24" spans="1:14">
      <c r="A24" s="1"/>
      <c r="B24" s="1"/>
      <c r="C24" s="1"/>
    </row>
    <row r="25" spans="1:14">
      <c r="A25" s="1"/>
      <c r="B25" s="1"/>
      <c r="C25" s="1"/>
      <c r="D25" s="1" t="s">
        <v>7</v>
      </c>
      <c r="F25" s="37" t="s">
        <v>54</v>
      </c>
    </row>
    <row r="26" spans="1:14">
      <c r="A26" s="1"/>
      <c r="B26" s="1"/>
      <c r="C26" s="1"/>
      <c r="D26" s="4">
        <f>SUM(D22:D23)</f>
        <v>107.33357066571733</v>
      </c>
      <c r="F26" s="38">
        <f>SUM(F22:F23)</f>
        <v>1.9121061359867328</v>
      </c>
      <c r="G26" s="9" t="s">
        <v>56</v>
      </c>
    </row>
    <row r="28" spans="1:14">
      <c r="F28" s="39" t="s">
        <v>57</v>
      </c>
    </row>
    <row r="29" spans="1:14">
      <c r="F29" s="38">
        <f>-F26/(1+D19)</f>
        <v>-1.8038737131950309</v>
      </c>
      <c r="G29" s="9" t="s">
        <v>25</v>
      </c>
    </row>
    <row r="30" spans="1:14">
      <c r="F30" s="49"/>
      <c r="G30" s="9"/>
    </row>
    <row r="31" spans="1:14" s="46" customFormat="1">
      <c r="F31" s="49"/>
      <c r="G31" s="51"/>
    </row>
    <row r="32" spans="1:14">
      <c r="A32" s="46"/>
      <c r="B32" s="46"/>
      <c r="C32" s="46"/>
      <c r="D32" s="46"/>
      <c r="E32" s="46"/>
      <c r="F32" s="49"/>
      <c r="G32" s="51"/>
      <c r="H32" s="46"/>
      <c r="I32" s="46"/>
      <c r="J32" s="46"/>
      <c r="K32" s="46"/>
      <c r="L32" s="46"/>
      <c r="M32" s="46"/>
      <c r="N32" s="46"/>
    </row>
    <row r="33" spans="1:14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4">
      <c r="A34" s="14"/>
      <c r="B34" s="14"/>
      <c r="C34" s="35"/>
      <c r="D34" s="35"/>
      <c r="E34" s="35"/>
      <c r="F34" s="52"/>
      <c r="G34" s="46"/>
      <c r="H34" s="46"/>
      <c r="I34" s="46"/>
      <c r="J34" s="46"/>
      <c r="K34" s="46"/>
      <c r="L34" s="46"/>
      <c r="M34" s="46"/>
      <c r="N34" s="46"/>
    </row>
    <row r="35" spans="1:14">
      <c r="A35" s="46"/>
      <c r="B35" s="51"/>
      <c r="C35" s="35"/>
      <c r="D35" s="35"/>
      <c r="E35" s="53"/>
      <c r="F35" s="54"/>
      <c r="G35" s="52"/>
      <c r="H35" s="46"/>
      <c r="I35" s="47"/>
      <c r="J35" s="47"/>
      <c r="K35" s="55"/>
      <c r="L35" s="46"/>
      <c r="M35" s="56"/>
      <c r="N35" s="46"/>
    </row>
    <row r="36" spans="1:14">
      <c r="A36" s="46"/>
      <c r="B36" s="51"/>
      <c r="C36" s="51"/>
      <c r="D36" s="35"/>
      <c r="E36" s="53"/>
      <c r="F36" s="57"/>
      <c r="G36" s="54"/>
      <c r="H36" s="46"/>
      <c r="I36" s="44"/>
      <c r="J36" s="46"/>
      <c r="K36" s="43"/>
      <c r="L36" s="46"/>
      <c r="M36" s="43"/>
      <c r="N36" s="46"/>
    </row>
    <row r="37" spans="1:14">
      <c r="A37" s="35"/>
      <c r="B37" s="51"/>
      <c r="C37" s="58"/>
      <c r="D37" s="54"/>
      <c r="E37" s="59"/>
      <c r="F37" s="59"/>
      <c r="G37" s="46"/>
      <c r="H37" s="46"/>
      <c r="I37" s="46"/>
      <c r="J37" s="46"/>
      <c r="K37" s="46"/>
      <c r="L37" s="46"/>
      <c r="M37" s="46"/>
      <c r="N37" s="46"/>
    </row>
    <row r="38" spans="1:14">
      <c r="A38" s="46"/>
      <c r="B38" s="51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spans="1:14">
      <c r="A39" s="14"/>
      <c r="B39" s="14"/>
      <c r="C39" s="35"/>
      <c r="D39" s="35"/>
      <c r="E39" s="35"/>
      <c r="F39" s="52"/>
      <c r="G39" s="46"/>
      <c r="H39" s="46"/>
      <c r="I39" s="46"/>
      <c r="J39" s="46"/>
      <c r="K39" s="46"/>
      <c r="L39" s="46"/>
      <c r="M39" s="46"/>
      <c r="N39" s="46"/>
    </row>
    <row r="40" spans="1:14">
      <c r="A40" s="46"/>
      <c r="B40" s="46"/>
      <c r="C40" s="35"/>
      <c r="D40" s="35"/>
      <c r="E40" s="53"/>
      <c r="F40" s="54"/>
      <c r="G40" s="52"/>
      <c r="H40" s="46"/>
      <c r="I40" s="47"/>
      <c r="J40" s="47"/>
      <c r="K40" s="55"/>
      <c r="L40" s="46"/>
      <c r="M40" s="56"/>
      <c r="N40" s="46"/>
    </row>
    <row r="41" spans="1:14">
      <c r="A41" s="46"/>
      <c r="B41" s="46"/>
      <c r="C41" s="51"/>
      <c r="D41" s="35"/>
      <c r="E41" s="53"/>
      <c r="F41" s="57"/>
      <c r="G41" s="54"/>
      <c r="H41" s="46"/>
      <c r="I41" s="44"/>
      <c r="J41" s="47"/>
      <c r="K41" s="43"/>
      <c r="L41" s="46"/>
      <c r="M41" s="43"/>
      <c r="N41" s="46"/>
    </row>
    <row r="42" spans="1:14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4"/>
  <sheetViews>
    <sheetView workbookViewId="0">
      <selection activeCell="I18" sqref="I18"/>
    </sheetView>
  </sheetViews>
  <sheetFormatPr defaultRowHeight="15"/>
  <sheetData>
    <row r="1" spans="1:9" ht="15.75">
      <c r="C1" s="20" t="s">
        <v>14</v>
      </c>
      <c r="E1" s="19" t="s">
        <v>97</v>
      </c>
    </row>
    <row r="2" spans="1:9">
      <c r="E2" s="19" t="s">
        <v>98</v>
      </c>
    </row>
    <row r="3" spans="1:9">
      <c r="A3" s="1" t="s">
        <v>8</v>
      </c>
      <c r="B3" s="1" t="s">
        <v>5</v>
      </c>
      <c r="C3" s="9" t="s">
        <v>0</v>
      </c>
      <c r="D3" s="1" t="s">
        <v>91</v>
      </c>
    </row>
    <row r="4" spans="1:9">
      <c r="A4" s="7">
        <v>100</v>
      </c>
      <c r="B4" s="8">
        <v>0.1</v>
      </c>
      <c r="C4" s="10">
        <v>2</v>
      </c>
      <c r="D4" s="8">
        <v>0.06</v>
      </c>
    </row>
    <row r="6" spans="1:9">
      <c r="A6" s="2" t="s">
        <v>75</v>
      </c>
      <c r="B6" s="2" t="s">
        <v>1</v>
      </c>
      <c r="C6" s="2" t="s">
        <v>2</v>
      </c>
      <c r="D6" s="1" t="s">
        <v>6</v>
      </c>
      <c r="E6" s="35" t="s">
        <v>74</v>
      </c>
      <c r="F6" s="35" t="s">
        <v>76</v>
      </c>
    </row>
    <row r="7" spans="1:9">
      <c r="A7" s="2">
        <v>1</v>
      </c>
      <c r="B7" s="2">
        <v>10</v>
      </c>
      <c r="C7" s="11">
        <f>EXP(-A7*$D$4)</f>
        <v>0.94176453358424872</v>
      </c>
      <c r="D7" s="4">
        <f>B7*C7</f>
        <v>9.4176453358424865</v>
      </c>
      <c r="E7" s="36">
        <f>D7/D11</f>
        <v>8.8032742148995632E-2</v>
      </c>
      <c r="F7" s="36">
        <f>A7*E7</f>
        <v>8.8032742148995632E-2</v>
      </c>
    </row>
    <row r="8" spans="1:9">
      <c r="A8" s="2">
        <v>2</v>
      </c>
      <c r="B8" s="2">
        <v>110</v>
      </c>
      <c r="C8" s="11">
        <f>EXP(-A8*$D$4)</f>
        <v>0.88692043671715748</v>
      </c>
      <c r="D8" s="4">
        <f>B8*C8</f>
        <v>97.561248038887328</v>
      </c>
      <c r="E8" s="36">
        <f>D8/D11</f>
        <v>0.91196725785100441</v>
      </c>
      <c r="F8" s="36">
        <f>A8*E8</f>
        <v>1.8239345157020088</v>
      </c>
      <c r="I8" s="41"/>
    </row>
    <row r="9" spans="1:9">
      <c r="A9" s="1"/>
      <c r="B9" s="1"/>
      <c r="C9" s="1"/>
    </row>
    <row r="10" spans="1:9">
      <c r="A10" s="1"/>
      <c r="B10" s="1"/>
      <c r="C10" s="1"/>
      <c r="D10" s="1" t="s">
        <v>7</v>
      </c>
      <c r="F10" s="37" t="s">
        <v>54</v>
      </c>
    </row>
    <row r="11" spans="1:9">
      <c r="A11" s="1"/>
      <c r="B11" s="1"/>
      <c r="C11" s="1"/>
      <c r="D11" s="4">
        <f>SUM(D7:D8)</f>
        <v>106.97889337472981</v>
      </c>
      <c r="F11" s="38">
        <f>SUM(F7:F8)</f>
        <v>1.9119672578510045</v>
      </c>
      <c r="G11" s="9" t="s">
        <v>56</v>
      </c>
    </row>
    <row r="13" spans="1:9">
      <c r="F13" s="39" t="s">
        <v>57</v>
      </c>
    </row>
    <row r="14" spans="1:9">
      <c r="F14" s="38">
        <f>-F11</f>
        <v>-1.9119672578510045</v>
      </c>
      <c r="G14" s="9" t="s">
        <v>25</v>
      </c>
    </row>
    <row r="15" spans="1:9" s="46" customFormat="1"/>
    <row r="16" spans="1:9">
      <c r="A16" t="s">
        <v>16</v>
      </c>
    </row>
    <row r="17" spans="1:15">
      <c r="A17" s="5">
        <v>7.0000000000000007E-2</v>
      </c>
      <c r="B17" s="21">
        <f>A17-D4</f>
        <v>1.0000000000000009E-2</v>
      </c>
      <c r="C17" s="2" t="s">
        <v>75</v>
      </c>
      <c r="D17" s="2" t="s">
        <v>1</v>
      </c>
      <c r="E17" s="2" t="s">
        <v>2</v>
      </c>
      <c r="F17" s="1" t="s">
        <v>6</v>
      </c>
    </row>
    <row r="18" spans="1:15">
      <c r="B18" s="9"/>
      <c r="C18" s="2">
        <v>1</v>
      </c>
      <c r="D18" s="2">
        <f>B7</f>
        <v>10</v>
      </c>
      <c r="E18" s="12">
        <f>EXP(-A17*C18)</f>
        <v>0.93239381990594827</v>
      </c>
      <c r="F18" s="4">
        <f>D18*E18</f>
        <v>9.3239381990594836</v>
      </c>
      <c r="G18" s="1" t="s">
        <v>7</v>
      </c>
      <c r="I18" s="45" t="s">
        <v>77</v>
      </c>
      <c r="J18" s="45"/>
      <c r="K18" s="39" t="s">
        <v>78</v>
      </c>
      <c r="M18" s="37" t="s">
        <v>81</v>
      </c>
      <c r="O18" s="17" t="s">
        <v>97</v>
      </c>
    </row>
    <row r="19" spans="1:15">
      <c r="B19" s="9"/>
      <c r="C19" s="9">
        <v>2</v>
      </c>
      <c r="D19" s="2">
        <f>B8</f>
        <v>110</v>
      </c>
      <c r="E19" s="12">
        <f>EXP(-A17*C19)</f>
        <v>0.86935823539880586</v>
      </c>
      <c r="F19" s="13">
        <f>D19*E19</f>
        <v>95.62940589386865</v>
      </c>
      <c r="G19" s="4">
        <f>SUM(F18:F19)</f>
        <v>104.95334409292813</v>
      </c>
      <c r="I19" s="44">
        <f>G19/D11-1</f>
        <v>-1.8934102026149202E-2</v>
      </c>
      <c r="K19" s="32">
        <f>B17*F14</f>
        <v>-1.9119672578510064E-2</v>
      </c>
      <c r="M19" s="32">
        <f>I19-K19</f>
        <v>1.855705523608614E-4</v>
      </c>
    </row>
    <row r="20" spans="1:15">
      <c r="A20" s="2"/>
      <c r="B20" s="9"/>
      <c r="C20" s="11"/>
      <c r="D20" s="4"/>
      <c r="E20" s="36"/>
      <c r="F20" s="36"/>
    </row>
    <row r="21" spans="1:15">
      <c r="A21" t="s">
        <v>16</v>
      </c>
      <c r="B21" s="9"/>
    </row>
    <row r="22" spans="1:15">
      <c r="A22" s="5">
        <v>0.1</v>
      </c>
      <c r="B22" s="21">
        <f>A22-D4</f>
        <v>4.0000000000000008E-2</v>
      </c>
      <c r="C22" s="2" t="s">
        <v>75</v>
      </c>
      <c r="D22" s="2" t="s">
        <v>1</v>
      </c>
      <c r="E22" s="2" t="s">
        <v>2</v>
      </c>
      <c r="F22" s="1" t="s">
        <v>6</v>
      </c>
    </row>
    <row r="23" spans="1:15">
      <c r="C23" s="2">
        <v>1</v>
      </c>
      <c r="D23" s="2">
        <f>B7</f>
        <v>10</v>
      </c>
      <c r="E23" s="12">
        <f>EXP(-A22*C23)</f>
        <v>0.90483741803595952</v>
      </c>
      <c r="F23" s="4">
        <f>D23*E23</f>
        <v>9.0483741803595947</v>
      </c>
      <c r="G23" s="1" t="s">
        <v>7</v>
      </c>
      <c r="I23" s="45" t="s">
        <v>77</v>
      </c>
      <c r="J23" s="45"/>
      <c r="K23" s="39" t="s">
        <v>78</v>
      </c>
      <c r="M23" s="37" t="s">
        <v>81</v>
      </c>
    </row>
    <row r="24" spans="1:15">
      <c r="C24" s="9">
        <v>2</v>
      </c>
      <c r="D24" s="2">
        <f>B8</f>
        <v>110</v>
      </c>
      <c r="E24" s="12">
        <f>EXP(-A22*C24)</f>
        <v>0.81873075307798182</v>
      </c>
      <c r="F24" s="13">
        <f>D24*E24</f>
        <v>90.060382838577993</v>
      </c>
      <c r="G24" s="4">
        <f>SUM(F23:F24)</f>
        <v>99.108757018937581</v>
      </c>
      <c r="I24" s="44">
        <f>G24/D11-1</f>
        <v>-7.3567187951967372E-2</v>
      </c>
      <c r="J24" s="47"/>
      <c r="K24" s="32">
        <f>B22*F14</f>
        <v>-7.6478690314040199E-2</v>
      </c>
      <c r="M24" s="32">
        <f>I24-K24</f>
        <v>2.9115023620728264E-3</v>
      </c>
      <c r="O24" s="17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4"/>
  <sheetViews>
    <sheetView workbookViewId="0">
      <selection activeCell="A6" sqref="A6:C8"/>
    </sheetView>
  </sheetViews>
  <sheetFormatPr defaultRowHeight="15"/>
  <cols>
    <col min="7" max="7" width="9.5703125" bestFit="1" customWidth="1"/>
  </cols>
  <sheetData>
    <row r="1" spans="1:8" ht="15.75">
      <c r="C1" s="20"/>
    </row>
    <row r="3" spans="1:8">
      <c r="A3" s="1" t="s">
        <v>8</v>
      </c>
      <c r="B3" s="1" t="s">
        <v>5</v>
      </c>
      <c r="C3" s="9" t="s">
        <v>0</v>
      </c>
      <c r="D3" s="1" t="s">
        <v>10</v>
      </c>
    </row>
    <row r="4" spans="1:8">
      <c r="A4" s="7">
        <v>100</v>
      </c>
      <c r="B4" s="8">
        <v>0.1</v>
      </c>
      <c r="C4" s="10">
        <v>2</v>
      </c>
      <c r="D4" s="8">
        <v>0.06</v>
      </c>
    </row>
    <row r="6" spans="1:8" ht="17.25">
      <c r="A6" s="2" t="s">
        <v>75</v>
      </c>
      <c r="B6" s="2" t="s">
        <v>1</v>
      </c>
      <c r="C6" s="2" t="s">
        <v>2</v>
      </c>
      <c r="D6" s="1" t="s">
        <v>6</v>
      </c>
      <c r="E6" s="35" t="s">
        <v>74</v>
      </c>
      <c r="F6" s="35" t="s">
        <v>76</v>
      </c>
      <c r="G6" s="35" t="s">
        <v>79</v>
      </c>
    </row>
    <row r="7" spans="1:8">
      <c r="A7" s="2">
        <v>1</v>
      </c>
      <c r="B7" s="2">
        <v>10</v>
      </c>
      <c r="C7" s="11">
        <f>EXP(-A7*$D$4)</f>
        <v>0.94176453358424872</v>
      </c>
      <c r="D7" s="4">
        <f>B7*C7</f>
        <v>9.4176453358424865</v>
      </c>
      <c r="E7" s="36">
        <f>D7/D11</f>
        <v>8.8032742148995632E-2</v>
      </c>
      <c r="F7" s="36">
        <f>A7*E7</f>
        <v>8.8032742148995632E-2</v>
      </c>
      <c r="G7" s="36">
        <f>E7*A7^2</f>
        <v>8.8032742148995632E-2</v>
      </c>
    </row>
    <row r="8" spans="1:8">
      <c r="A8" s="2">
        <v>2</v>
      </c>
      <c r="B8" s="2">
        <v>110</v>
      </c>
      <c r="C8" s="11">
        <f>EXP(-A8*$D$4)</f>
        <v>0.88692043671715748</v>
      </c>
      <c r="D8" s="4">
        <f>B8*C8</f>
        <v>97.561248038887328</v>
      </c>
      <c r="E8" s="36">
        <f>D8/D11</f>
        <v>0.91196725785100441</v>
      </c>
      <c r="F8" s="36">
        <f>A8*E8</f>
        <v>1.8239345157020088</v>
      </c>
      <c r="G8" s="36">
        <f>E8*A8^2</f>
        <v>3.6478690314040176</v>
      </c>
    </row>
    <row r="9" spans="1:8">
      <c r="A9" s="1"/>
      <c r="B9" s="1"/>
      <c r="C9" s="1"/>
    </row>
    <row r="10" spans="1:8">
      <c r="A10" s="1"/>
      <c r="B10" s="1"/>
      <c r="C10" s="1"/>
      <c r="D10" s="1" t="s">
        <v>7</v>
      </c>
      <c r="F10" s="1" t="s">
        <v>54</v>
      </c>
      <c r="H10" s="37" t="s">
        <v>58</v>
      </c>
    </row>
    <row r="11" spans="1:8">
      <c r="A11" s="1"/>
      <c r="B11" s="1"/>
      <c r="C11" s="1"/>
      <c r="D11" s="4">
        <f>SUM(D7:D8)</f>
        <v>106.97889337472981</v>
      </c>
      <c r="F11" s="4">
        <f>SUM(F7:F8)</f>
        <v>1.9119672578510045</v>
      </c>
      <c r="G11" s="9" t="s">
        <v>56</v>
      </c>
      <c r="H11" s="38">
        <f>SUM(G7:G8)</f>
        <v>3.7359017735530133</v>
      </c>
    </row>
    <row r="13" spans="1:8">
      <c r="F13" s="1" t="s">
        <v>57</v>
      </c>
    </row>
    <row r="14" spans="1:8">
      <c r="F14" s="4">
        <f>-F11</f>
        <v>-1.9119672578510045</v>
      </c>
      <c r="G14" s="9" t="s">
        <v>25</v>
      </c>
    </row>
    <row r="16" spans="1:8">
      <c r="A16" t="s">
        <v>16</v>
      </c>
    </row>
    <row r="17" spans="1:15">
      <c r="A17" s="5">
        <v>7.0000000000000007E-2</v>
      </c>
      <c r="B17" s="21">
        <f>A17-D4</f>
        <v>1.0000000000000009E-2</v>
      </c>
      <c r="C17" s="2" t="s">
        <v>75</v>
      </c>
      <c r="D17" s="2" t="s">
        <v>1</v>
      </c>
      <c r="E17" s="2" t="s">
        <v>2</v>
      </c>
      <c r="F17" s="1" t="s">
        <v>6</v>
      </c>
    </row>
    <row r="18" spans="1:15">
      <c r="B18" s="9"/>
      <c r="C18" s="2">
        <v>1</v>
      </c>
      <c r="D18" s="2">
        <f>B7</f>
        <v>10</v>
      </c>
      <c r="E18" s="12">
        <f>EXP(-A17*C18)</f>
        <v>0.93239381990594827</v>
      </c>
      <c r="F18" s="4">
        <f>D18*E18</f>
        <v>9.3239381990594836</v>
      </c>
      <c r="G18" s="1" t="s">
        <v>7</v>
      </c>
      <c r="I18" s="1" t="s">
        <v>77</v>
      </c>
      <c r="K18" s="40" t="s">
        <v>80</v>
      </c>
      <c r="M18" s="37" t="s">
        <v>81</v>
      </c>
      <c r="O18" s="1" t="s">
        <v>82</v>
      </c>
    </row>
    <row r="19" spans="1:15">
      <c r="B19" s="9"/>
      <c r="C19" s="9">
        <v>2</v>
      </c>
      <c r="D19" s="2">
        <f>B8</f>
        <v>110</v>
      </c>
      <c r="E19" s="12">
        <f>EXP(-A17*C19)</f>
        <v>0.86935823539880586</v>
      </c>
      <c r="F19" s="13">
        <f>D19*E19</f>
        <v>95.62940589386865</v>
      </c>
      <c r="G19" s="4">
        <f>SUM(F18:F19)</f>
        <v>104.95334409292813</v>
      </c>
      <c r="I19" s="50">
        <f>G19/D11-1</f>
        <v>-1.8934102026149202E-2</v>
      </c>
      <c r="K19" s="32">
        <f>B17*F14+0.5*H11*B17^2</f>
        <v>-1.8932877489832411E-2</v>
      </c>
      <c r="M19" s="32">
        <f>I19-K19</f>
        <v>-1.2245363167906476E-6</v>
      </c>
      <c r="O19" s="50">
        <f>Problem5.4!M19</f>
        <v>1.855705523608614E-4</v>
      </c>
    </row>
    <row r="20" spans="1:15">
      <c r="A20" s="2"/>
      <c r="B20" s="9"/>
      <c r="C20" s="11"/>
      <c r="D20" s="4"/>
      <c r="E20" s="36"/>
      <c r="F20" s="36"/>
      <c r="I20" s="1"/>
      <c r="O20" s="1"/>
    </row>
    <row r="21" spans="1:15">
      <c r="A21" t="s">
        <v>16</v>
      </c>
      <c r="B21" s="9"/>
      <c r="I21" s="4"/>
      <c r="O21" s="4"/>
    </row>
    <row r="22" spans="1:15">
      <c r="A22" s="5">
        <v>0.1</v>
      </c>
      <c r="B22" s="21">
        <f>A22-D4</f>
        <v>4.0000000000000008E-2</v>
      </c>
      <c r="C22" s="2" t="s">
        <v>75</v>
      </c>
      <c r="D22" s="2" t="s">
        <v>1</v>
      </c>
      <c r="E22" s="2" t="s">
        <v>2</v>
      </c>
      <c r="F22" s="1" t="s">
        <v>6</v>
      </c>
      <c r="I22" s="1"/>
      <c r="O22" s="1"/>
    </row>
    <row r="23" spans="1:15">
      <c r="C23" s="2">
        <v>1</v>
      </c>
      <c r="D23" s="2">
        <f>B7</f>
        <v>10</v>
      </c>
      <c r="E23" s="12">
        <f>EXP(-A22*C23)</f>
        <v>0.90483741803595952</v>
      </c>
      <c r="F23" s="4">
        <f>D23*E23</f>
        <v>9.0483741803595947</v>
      </c>
      <c r="G23" s="1" t="s">
        <v>7</v>
      </c>
      <c r="I23" s="4" t="s">
        <v>77</v>
      </c>
      <c r="K23" s="40" t="s">
        <v>80</v>
      </c>
      <c r="M23" s="37" t="s">
        <v>81</v>
      </c>
      <c r="O23" s="4" t="s">
        <v>82</v>
      </c>
    </row>
    <row r="24" spans="1:15">
      <c r="C24" s="9">
        <v>2</v>
      </c>
      <c r="D24" s="2">
        <f>B8</f>
        <v>110</v>
      </c>
      <c r="E24" s="12">
        <f>EXP(-A22*C24)</f>
        <v>0.81873075307798182</v>
      </c>
      <c r="F24" s="13">
        <f>D24*E24</f>
        <v>90.060382838577993</v>
      </c>
      <c r="G24" s="4">
        <f>SUM(F23:F24)</f>
        <v>99.108757018937581</v>
      </c>
      <c r="I24" s="50">
        <f>G24/D11-1</f>
        <v>-7.3567187951967372E-2</v>
      </c>
      <c r="K24" s="32">
        <f>B22*F14+0.5*H11*B17^2</f>
        <v>-7.6291895225362547E-2</v>
      </c>
      <c r="M24" s="32">
        <f>I24-K24</f>
        <v>2.7247072733951744E-3</v>
      </c>
      <c r="O24" s="50">
        <f>Problem5.4!M24</f>
        <v>2.9115023620728264E-3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7"/>
  <sheetViews>
    <sheetView topLeftCell="A4" workbookViewId="0">
      <selection activeCell="K21" sqref="K21"/>
    </sheetView>
  </sheetViews>
  <sheetFormatPr defaultRowHeight="15"/>
  <cols>
    <col min="11" max="11" width="9.5703125" bestFit="1" customWidth="1"/>
  </cols>
  <sheetData>
    <row r="1" spans="1:11" ht="15.75">
      <c r="C1" s="20"/>
    </row>
    <row r="3" spans="1:11">
      <c r="B3" s="1" t="s">
        <v>8</v>
      </c>
      <c r="C3" s="1" t="s">
        <v>5</v>
      </c>
      <c r="D3" s="9" t="s">
        <v>0</v>
      </c>
      <c r="E3" s="1" t="s">
        <v>10</v>
      </c>
      <c r="F3" s="42" t="s">
        <v>86</v>
      </c>
    </row>
    <row r="4" spans="1:11">
      <c r="A4" s="9" t="s">
        <v>83</v>
      </c>
      <c r="B4" s="7">
        <v>100</v>
      </c>
      <c r="C4" s="8">
        <v>0.08</v>
      </c>
      <c r="D4" s="10">
        <v>3</v>
      </c>
      <c r="E4" s="8">
        <v>0.1</v>
      </c>
      <c r="F4" s="10">
        <v>2</v>
      </c>
    </row>
    <row r="5" spans="1:11">
      <c r="A5" s="9" t="s">
        <v>84</v>
      </c>
      <c r="B5" s="7">
        <v>100</v>
      </c>
      <c r="C5" s="10" t="s">
        <v>85</v>
      </c>
      <c r="D5" s="10">
        <v>2</v>
      </c>
      <c r="E5" s="5">
        <v>0.08</v>
      </c>
      <c r="F5" s="10">
        <v>1</v>
      </c>
    </row>
    <row r="8" spans="1:11">
      <c r="A8" s="9" t="s">
        <v>83</v>
      </c>
      <c r="B8" s="2" t="s">
        <v>75</v>
      </c>
      <c r="C8" s="2" t="s">
        <v>1</v>
      </c>
      <c r="D8" s="2" t="s">
        <v>2</v>
      </c>
      <c r="E8" s="1" t="s">
        <v>6</v>
      </c>
      <c r="F8" s="35" t="s">
        <v>74</v>
      </c>
      <c r="G8" s="35" t="s">
        <v>76</v>
      </c>
      <c r="H8" s="35"/>
    </row>
    <row r="9" spans="1:11">
      <c r="A9" s="9"/>
      <c r="B9" s="2">
        <v>1</v>
      </c>
      <c r="C9" s="2">
        <f>C4*B4</f>
        <v>8</v>
      </c>
      <c r="D9" s="11">
        <f>EXP(-B9*$E$4)</f>
        <v>0.90483741803595952</v>
      </c>
      <c r="E9" s="4">
        <f>C9*D9</f>
        <v>7.2386993442876761</v>
      </c>
      <c r="F9" s="36">
        <f>E9/E14</f>
        <v>7.7174174470507853E-2</v>
      </c>
      <c r="G9" s="36">
        <f>B9*F9</f>
        <v>7.7174174470507853E-2</v>
      </c>
      <c r="H9" s="36"/>
    </row>
    <row r="10" spans="1:11">
      <c r="A10" s="9"/>
      <c r="B10" s="2">
        <v>2</v>
      </c>
      <c r="C10" s="2">
        <v>8</v>
      </c>
      <c r="D10" s="11">
        <f>EXP(-B10*$E$4)</f>
        <v>0.81873075307798182</v>
      </c>
      <c r="E10" s="4">
        <f>C10*D10</f>
        <v>6.5498460246238546</v>
      </c>
      <c r="F10" s="36">
        <f>E10/E14</f>
        <v>6.9830080766950992E-2</v>
      </c>
      <c r="G10" s="36">
        <f>B10*F10</f>
        <v>0.13966016153390198</v>
      </c>
      <c r="H10" s="36"/>
    </row>
    <row r="11" spans="1:11">
      <c r="A11" s="9"/>
      <c r="B11" s="2">
        <v>3</v>
      </c>
      <c r="C11" s="2">
        <v>108</v>
      </c>
      <c r="D11" s="11">
        <f>EXP(-B11*$E$4)</f>
        <v>0.74081822068171788</v>
      </c>
      <c r="E11" s="4">
        <f>C11*D11</f>
        <v>80.008367833625528</v>
      </c>
      <c r="F11" s="36">
        <f>E11/E14</f>
        <v>0.85299574476254114</v>
      </c>
      <c r="G11" s="36">
        <f>B11*F11</f>
        <v>2.5589872342876232</v>
      </c>
    </row>
    <row r="12" spans="1:11">
      <c r="A12" s="9"/>
      <c r="B12" s="1"/>
      <c r="C12" s="1"/>
      <c r="D12" s="1"/>
    </row>
    <row r="13" spans="1:11">
      <c r="A13" s="9"/>
      <c r="B13" s="1"/>
      <c r="C13" s="1"/>
      <c r="D13" s="1"/>
      <c r="E13" s="1" t="s">
        <v>7</v>
      </c>
      <c r="G13" s="1" t="s">
        <v>54</v>
      </c>
    </row>
    <row r="14" spans="1:11">
      <c r="A14" s="9"/>
      <c r="E14" s="4">
        <f>SUM(E9:E11)</f>
        <v>93.796913202537056</v>
      </c>
      <c r="G14" s="4">
        <f>SUM(G9:G11)</f>
        <v>2.7758215702920328</v>
      </c>
      <c r="H14" s="9" t="s">
        <v>56</v>
      </c>
    </row>
    <row r="15" spans="1:11">
      <c r="A15" s="9"/>
      <c r="G15" s="1"/>
    </row>
    <row r="16" spans="1:11">
      <c r="A16" s="9"/>
      <c r="E16" t="s">
        <v>89</v>
      </c>
      <c r="G16" s="4" t="s">
        <v>57</v>
      </c>
      <c r="K16" s="37"/>
    </row>
    <row r="17" spans="1:12">
      <c r="A17" s="9"/>
      <c r="E17" s="13">
        <f>E14*F4</f>
        <v>187.59382640507411</v>
      </c>
      <c r="G17" s="4">
        <f>-G14</f>
        <v>-2.7758215702920328</v>
      </c>
      <c r="H17" s="9" t="s">
        <v>25</v>
      </c>
      <c r="K17" s="39" t="s">
        <v>87</v>
      </c>
    </row>
    <row r="18" spans="1:12">
      <c r="A18" s="9"/>
      <c r="G18" s="4"/>
      <c r="K18" s="38">
        <f>(E17*G14+E24*G24)/(E17+E24)</f>
        <v>2.5334859221617823</v>
      </c>
      <c r="L18" s="9" t="s">
        <v>56</v>
      </c>
    </row>
    <row r="19" spans="1:12">
      <c r="A19" s="9" t="s">
        <v>84</v>
      </c>
      <c r="B19" s="2" t="s">
        <v>75</v>
      </c>
      <c r="C19" s="2" t="s">
        <v>1</v>
      </c>
      <c r="D19" s="2" t="s">
        <v>2</v>
      </c>
      <c r="E19" s="1" t="s">
        <v>6</v>
      </c>
      <c r="F19" s="35" t="s">
        <v>74</v>
      </c>
      <c r="G19" s="35" t="s">
        <v>76</v>
      </c>
    </row>
    <row r="20" spans="1:12">
      <c r="B20" s="2">
        <v>1</v>
      </c>
      <c r="C20" s="2">
        <f>C15*B15</f>
        <v>0</v>
      </c>
      <c r="D20" s="11">
        <f>EXP(-B20*E5)</f>
        <v>0.92311634638663576</v>
      </c>
      <c r="E20" s="4">
        <f>C20*D20</f>
        <v>0</v>
      </c>
      <c r="F20" s="36">
        <f>E20/E24</f>
        <v>0</v>
      </c>
      <c r="G20" s="36">
        <f>B20*F20</f>
        <v>0</v>
      </c>
      <c r="K20" s="39" t="s">
        <v>88</v>
      </c>
    </row>
    <row r="21" spans="1:12">
      <c r="B21" s="2">
        <v>2</v>
      </c>
      <c r="C21" s="2">
        <f>B5</f>
        <v>100</v>
      </c>
      <c r="D21" s="11">
        <f>EXP(-B21*E5)</f>
        <v>0.85214378896621135</v>
      </c>
      <c r="E21" s="4">
        <f>C21*D21</f>
        <v>85.214378896621128</v>
      </c>
      <c r="F21" s="36">
        <f>E21/E24</f>
        <v>1</v>
      </c>
      <c r="G21" s="36">
        <f>B21*F21</f>
        <v>2</v>
      </c>
      <c r="K21" s="38">
        <f>(E17*G17+E24*G27)/(E17+E24)</f>
        <v>-2.5334859221617823</v>
      </c>
      <c r="L21" s="9" t="s">
        <v>25</v>
      </c>
    </row>
    <row r="23" spans="1:12">
      <c r="E23" s="1" t="s">
        <v>7</v>
      </c>
      <c r="G23" s="1" t="s">
        <v>54</v>
      </c>
      <c r="I23" s="17" t="s">
        <v>102</v>
      </c>
    </row>
    <row r="24" spans="1:12">
      <c r="E24" s="4">
        <f>SUM(E19:E21)</f>
        <v>85.214378896621128</v>
      </c>
      <c r="G24" s="4">
        <f>SUM(G19:G21)</f>
        <v>2</v>
      </c>
      <c r="H24" s="9" t="s">
        <v>56</v>
      </c>
    </row>
    <row r="25" spans="1:12">
      <c r="G25" s="1"/>
    </row>
    <row r="26" spans="1:12">
      <c r="E26" t="s">
        <v>89</v>
      </c>
      <c r="G26" s="4" t="s">
        <v>57</v>
      </c>
    </row>
    <row r="27" spans="1:12">
      <c r="E27" s="13">
        <f>E24*F5</f>
        <v>85.214378896621128</v>
      </c>
      <c r="G27" s="4">
        <f>-G24</f>
        <v>-2</v>
      </c>
      <c r="H27" s="9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G20"/>
  <sheetViews>
    <sheetView workbookViewId="0">
      <selection activeCell="G19" sqref="G19"/>
    </sheetView>
  </sheetViews>
  <sheetFormatPr defaultRowHeight="15"/>
  <sheetData>
    <row r="3" spans="1:7">
      <c r="B3" s="1" t="s">
        <v>8</v>
      </c>
      <c r="C3" s="1" t="s">
        <v>5</v>
      </c>
      <c r="D3" s="9" t="s">
        <v>0</v>
      </c>
      <c r="E3" s="1" t="s">
        <v>10</v>
      </c>
      <c r="F3" s="42" t="s">
        <v>86</v>
      </c>
    </row>
    <row r="4" spans="1:7">
      <c r="A4" s="9" t="s">
        <v>83</v>
      </c>
      <c r="B4" s="7">
        <v>100</v>
      </c>
      <c r="C4" s="8">
        <v>0.08</v>
      </c>
      <c r="D4" s="10">
        <v>3</v>
      </c>
      <c r="E4" s="8">
        <v>0.1</v>
      </c>
      <c r="F4" s="10">
        <v>2</v>
      </c>
    </row>
    <row r="5" spans="1:7">
      <c r="A5" s="9" t="s">
        <v>84</v>
      </c>
      <c r="B5" s="7">
        <v>100</v>
      </c>
      <c r="C5" s="10" t="s">
        <v>85</v>
      </c>
      <c r="D5" s="10">
        <v>2</v>
      </c>
      <c r="E5" s="5">
        <v>0.08</v>
      </c>
      <c r="F5" s="10">
        <v>1</v>
      </c>
    </row>
    <row r="6" spans="1:7">
      <c r="A6" s="9" t="s">
        <v>24</v>
      </c>
      <c r="B6" s="10">
        <f>B5</f>
        <v>100</v>
      </c>
      <c r="C6" s="10" t="s">
        <v>85</v>
      </c>
      <c r="D6" s="10">
        <v>1</v>
      </c>
      <c r="E6" s="5">
        <v>0.06</v>
      </c>
    </row>
    <row r="8" spans="1:7">
      <c r="B8" t="s">
        <v>89</v>
      </c>
      <c r="D8" t="s">
        <v>54</v>
      </c>
    </row>
    <row r="9" spans="1:7">
      <c r="A9" s="9" t="s">
        <v>103</v>
      </c>
      <c r="B9" s="13">
        <f>Problem5.6!E17+Problem5.6!E27</f>
        <v>272.80820530169524</v>
      </c>
      <c r="C9" s="9"/>
      <c r="D9" s="60">
        <f>Problem5.6!K18</f>
        <v>2.5334859221617823</v>
      </c>
    </row>
    <row r="10" spans="1:7">
      <c r="A10" s="9" t="s">
        <v>24</v>
      </c>
      <c r="B10" s="62" t="s">
        <v>106</v>
      </c>
      <c r="D10" s="9">
        <f>D6</f>
        <v>1</v>
      </c>
    </row>
    <row r="11" spans="1:7">
      <c r="A11" s="9" t="s">
        <v>104</v>
      </c>
      <c r="B11" s="62" t="s">
        <v>105</v>
      </c>
      <c r="D11" s="9">
        <v>0</v>
      </c>
    </row>
    <row r="13" spans="1:7">
      <c r="B13" t="s">
        <v>87</v>
      </c>
    </row>
    <row r="14" spans="1:7">
      <c r="B14" s="61" t="s">
        <v>107</v>
      </c>
    </row>
    <row r="15" spans="1:7">
      <c r="B15" s="61" t="s">
        <v>108</v>
      </c>
    </row>
    <row r="16" spans="1:7">
      <c r="G16" t="s">
        <v>109</v>
      </c>
    </row>
    <row r="17" spans="2:7">
      <c r="B17" t="s">
        <v>113</v>
      </c>
      <c r="G17" s="13">
        <f>B9*D9/D6</f>
        <v>691.15574758206617</v>
      </c>
    </row>
    <row r="19" spans="2:7">
      <c r="B19" t="s">
        <v>110</v>
      </c>
      <c r="G19" s="39" t="s">
        <v>111</v>
      </c>
    </row>
    <row r="20" spans="2:7">
      <c r="B20">
        <f>B6*EXP(-E6*D6)</f>
        <v>94.176453358424865</v>
      </c>
      <c r="G20" s="38">
        <f>G17/B20*B6</f>
        <v>733.89443213751747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G20"/>
  <sheetViews>
    <sheetView workbookViewId="0">
      <selection activeCell="G20" sqref="G20"/>
    </sheetView>
  </sheetViews>
  <sheetFormatPr defaultRowHeight="15"/>
  <sheetData>
    <row r="3" spans="1:7">
      <c r="B3" s="1" t="s">
        <v>8</v>
      </c>
      <c r="C3" s="1" t="s">
        <v>5</v>
      </c>
      <c r="D3" s="9" t="s">
        <v>0</v>
      </c>
      <c r="E3" s="1" t="s">
        <v>10</v>
      </c>
      <c r="F3" s="42" t="s">
        <v>86</v>
      </c>
    </row>
    <row r="4" spans="1:7">
      <c r="A4" s="9" t="s">
        <v>83</v>
      </c>
      <c r="B4" s="7">
        <v>100</v>
      </c>
      <c r="C4" s="8">
        <v>0.08</v>
      </c>
      <c r="D4" s="10">
        <v>3</v>
      </c>
      <c r="E4" s="8">
        <v>0.1</v>
      </c>
      <c r="F4" s="10">
        <v>2</v>
      </c>
    </row>
    <row r="5" spans="1:7">
      <c r="A5" s="9" t="s">
        <v>84</v>
      </c>
      <c r="B5" s="7">
        <v>100</v>
      </c>
      <c r="C5" s="10" t="s">
        <v>85</v>
      </c>
      <c r="D5" s="10">
        <v>2</v>
      </c>
      <c r="E5" s="5">
        <v>0.08</v>
      </c>
      <c r="F5" s="10">
        <v>1</v>
      </c>
    </row>
    <row r="6" spans="1:7">
      <c r="A6" s="9" t="s">
        <v>24</v>
      </c>
      <c r="B6" s="10">
        <f>B5</f>
        <v>100</v>
      </c>
      <c r="C6" s="10" t="s">
        <v>85</v>
      </c>
      <c r="D6" s="10">
        <v>3</v>
      </c>
      <c r="E6" s="5">
        <v>0.06</v>
      </c>
    </row>
    <row r="8" spans="1:7">
      <c r="B8" t="s">
        <v>89</v>
      </c>
      <c r="D8" t="s">
        <v>54</v>
      </c>
    </row>
    <row r="9" spans="1:7">
      <c r="A9" s="9" t="s">
        <v>103</v>
      </c>
      <c r="B9" s="13">
        <f>Problem5.6!E17+Problem5.6!E27</f>
        <v>272.80820530169524</v>
      </c>
      <c r="C9" s="9"/>
      <c r="D9" s="60">
        <f>Problem5.6!K18</f>
        <v>2.5334859221617823</v>
      </c>
    </row>
    <row r="10" spans="1:7">
      <c r="A10" s="9" t="s">
        <v>24</v>
      </c>
      <c r="B10" s="62" t="s">
        <v>106</v>
      </c>
      <c r="D10" s="9">
        <f>D6</f>
        <v>3</v>
      </c>
    </row>
    <row r="11" spans="1:7">
      <c r="A11" s="9" t="s">
        <v>104</v>
      </c>
      <c r="B11" s="62" t="s">
        <v>105</v>
      </c>
      <c r="D11" s="9">
        <v>0</v>
      </c>
    </row>
    <row r="13" spans="1:7">
      <c r="B13" t="s">
        <v>87</v>
      </c>
    </row>
    <row r="14" spans="1:7">
      <c r="B14" s="61" t="s">
        <v>107</v>
      </c>
    </row>
    <row r="15" spans="1:7">
      <c r="B15" s="61" t="s">
        <v>108</v>
      </c>
    </row>
    <row r="16" spans="1:7">
      <c r="G16" t="s">
        <v>109</v>
      </c>
    </row>
    <row r="17" spans="2:7">
      <c r="B17" s="61" t="s">
        <v>112</v>
      </c>
      <c r="G17" s="13">
        <f>B9*D9/D6</f>
        <v>230.38524919402207</v>
      </c>
    </row>
    <row r="19" spans="2:7">
      <c r="B19" t="s">
        <v>110</v>
      </c>
      <c r="G19" s="39" t="s">
        <v>111</v>
      </c>
    </row>
    <row r="20" spans="2:7">
      <c r="B20">
        <f>B6*EXP(-E6*D6)</f>
        <v>83.527021141127193</v>
      </c>
      <c r="G20" s="38">
        <f>G17/B20*B6</f>
        <v>275.82122054222828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2"/>
  <sheetViews>
    <sheetView topLeftCell="A4" workbookViewId="0">
      <selection activeCell="D14" sqref="D14:D26"/>
    </sheetView>
  </sheetViews>
  <sheetFormatPr defaultRowHeight="15"/>
  <cols>
    <col min="4" max="4" width="13.7109375" customWidth="1"/>
  </cols>
  <sheetData>
    <row r="1" spans="1:9" ht="15.75">
      <c r="C1" s="20"/>
    </row>
    <row r="3" spans="1:9">
      <c r="A3" s="1" t="s">
        <v>8</v>
      </c>
      <c r="B3" s="1" t="s">
        <v>5</v>
      </c>
      <c r="C3" s="9" t="s">
        <v>0</v>
      </c>
      <c r="D3" s="52" t="s">
        <v>116</v>
      </c>
      <c r="E3" s="52" t="s">
        <v>115</v>
      </c>
    </row>
    <row r="4" spans="1:9">
      <c r="A4" s="7">
        <v>100</v>
      </c>
      <c r="B4" s="8" t="s">
        <v>114</v>
      </c>
      <c r="C4" s="10">
        <v>2</v>
      </c>
      <c r="D4" s="65" t="s">
        <v>117</v>
      </c>
      <c r="E4" s="5">
        <v>0.04</v>
      </c>
    </row>
    <row r="6" spans="1:9">
      <c r="A6" s="2" t="s">
        <v>75</v>
      </c>
      <c r="B6" s="2" t="s">
        <v>1</v>
      </c>
      <c r="C6" s="2" t="s">
        <v>2</v>
      </c>
      <c r="D6" s="1"/>
      <c r="E6" s="35"/>
      <c r="F6" s="35"/>
    </row>
    <row r="7" spans="1:9">
      <c r="A7" s="2">
        <v>0.5</v>
      </c>
      <c r="B7" s="2">
        <f>A4*E4/2</f>
        <v>2</v>
      </c>
      <c r="C7" s="11">
        <f>1/(1+E4)^A7</f>
        <v>0.98058067569092011</v>
      </c>
      <c r="D7" s="4"/>
      <c r="E7" s="36"/>
      <c r="F7" s="36"/>
      <c r="H7" s="17"/>
    </row>
    <row r="8" spans="1:9" ht="18">
      <c r="A8" s="2">
        <v>1</v>
      </c>
      <c r="B8" s="2" t="s">
        <v>118</v>
      </c>
      <c r="C8" s="11" t="s">
        <v>121</v>
      </c>
      <c r="D8" s="4"/>
      <c r="E8" s="36"/>
      <c r="F8" s="36"/>
      <c r="I8" s="41"/>
    </row>
    <row r="9" spans="1:9" ht="18">
      <c r="A9" s="2">
        <v>1.5</v>
      </c>
      <c r="B9" s="2" t="s">
        <v>119</v>
      </c>
      <c r="C9" s="2" t="s">
        <v>121</v>
      </c>
      <c r="E9" s="1" t="s">
        <v>7</v>
      </c>
    </row>
    <row r="10" spans="1:9" ht="18">
      <c r="A10" s="2">
        <v>2</v>
      </c>
      <c r="B10" s="66" t="s">
        <v>120</v>
      </c>
      <c r="C10" s="2" t="s">
        <v>121</v>
      </c>
      <c r="D10" s="1"/>
      <c r="E10" s="67">
        <f>(B7+A4)*C7</f>
        <v>100.01922892047385</v>
      </c>
      <c r="F10" s="56"/>
      <c r="G10" s="46"/>
    </row>
    <row r="11" spans="1:9">
      <c r="A11" s="1"/>
      <c r="B11" s="1"/>
      <c r="C11" s="1"/>
      <c r="D11" s="4"/>
      <c r="F11" s="49"/>
      <c r="G11" s="51"/>
    </row>
    <row r="12" spans="1:9">
      <c r="F12" s="46"/>
      <c r="G12" s="46"/>
    </row>
    <row r="13" spans="1:9">
      <c r="B13" t="s">
        <v>122</v>
      </c>
      <c r="D13" t="s">
        <v>123</v>
      </c>
      <c r="F13" s="55"/>
      <c r="G13" s="46"/>
    </row>
    <row r="14" spans="1:9">
      <c r="B14" s="5">
        <v>0.05</v>
      </c>
      <c r="D14" s="21">
        <f>B14-E4</f>
        <v>1.0000000000000002E-2</v>
      </c>
      <c r="F14" s="49"/>
      <c r="G14" s="51"/>
    </row>
    <row r="15" spans="1:9" s="46" customFormat="1">
      <c r="D15" s="51"/>
    </row>
    <row r="16" spans="1:9" s="46" customFormat="1">
      <c r="B16" s="2" t="s">
        <v>2</v>
      </c>
      <c r="D16" s="2" t="s">
        <v>7</v>
      </c>
    </row>
    <row r="17" spans="1:8" s="46" customFormat="1">
      <c r="B17">
        <f>1/(1+B14)^A7</f>
        <v>0.97590007294853309</v>
      </c>
      <c r="D17" s="60">
        <f>(B7+A4)*B17</f>
        <v>99.541807440750375</v>
      </c>
    </row>
    <row r="18" spans="1:8" s="46" customFormat="1">
      <c r="A18" s="52"/>
      <c r="B18" s="52"/>
      <c r="C18" s="51"/>
      <c r="D18" s="35"/>
    </row>
    <row r="19" spans="1:8" s="46" customFormat="1">
      <c r="A19" s="35"/>
      <c r="B19" s="63"/>
      <c r="C19" s="51"/>
      <c r="D19" s="70" t="s">
        <v>77</v>
      </c>
    </row>
    <row r="20" spans="1:8" s="46" customFormat="1">
      <c r="D20" s="71">
        <f>D17/E10-1</f>
        <v>-4.7732969437614958E-3</v>
      </c>
    </row>
    <row r="21" spans="1:8" s="46" customFormat="1">
      <c r="A21" s="35"/>
      <c r="B21" s="35"/>
      <c r="C21" s="35"/>
      <c r="D21" s="35"/>
      <c r="E21" s="35"/>
      <c r="F21" s="35"/>
    </row>
    <row r="22" spans="1:8" s="46" customFormat="1">
      <c r="A22" s="35"/>
      <c r="B22" s="35"/>
      <c r="C22" s="58"/>
      <c r="D22" s="2" t="s">
        <v>57</v>
      </c>
      <c r="E22" s="59"/>
      <c r="F22" s="59"/>
      <c r="H22" s="64"/>
    </row>
    <row r="23" spans="1:8" s="46" customFormat="1">
      <c r="A23" s="35"/>
      <c r="B23" s="35"/>
      <c r="C23" s="58"/>
      <c r="D23" s="72">
        <f>ABS(D20/D14)</f>
        <v>0.47732969437614947</v>
      </c>
      <c r="E23" s="69" t="s">
        <v>25</v>
      </c>
      <c r="F23" s="59"/>
    </row>
    <row r="24" spans="1:8" s="46" customFormat="1">
      <c r="A24" s="52"/>
      <c r="B24" s="52"/>
      <c r="C24" s="52"/>
      <c r="D24" s="51"/>
    </row>
    <row r="25" spans="1:8" s="46" customFormat="1">
      <c r="A25" s="52"/>
      <c r="B25" s="52"/>
      <c r="C25" s="52"/>
      <c r="D25" s="37" t="s">
        <v>54</v>
      </c>
      <c r="F25" s="56"/>
    </row>
    <row r="26" spans="1:8" s="46" customFormat="1">
      <c r="A26" s="52"/>
      <c r="B26" s="52"/>
      <c r="C26" s="52"/>
      <c r="D26" s="68">
        <f>D23*(1+E4)</f>
        <v>0.49642288215119545</v>
      </c>
      <c r="F26" s="49"/>
      <c r="G26" s="51"/>
    </row>
    <row r="27" spans="1:8" s="46" customFormat="1"/>
    <row r="28" spans="1:8" s="46" customFormat="1">
      <c r="F28" s="55"/>
    </row>
    <row r="29" spans="1:8" s="46" customFormat="1">
      <c r="F29" s="49"/>
      <c r="G29" s="51"/>
    </row>
    <row r="30" spans="1:8" s="46" customFormat="1">
      <c r="F30" s="49"/>
      <c r="G30" s="51"/>
    </row>
    <row r="31" spans="1:8" s="46" customFormat="1">
      <c r="F31" s="49"/>
      <c r="G31" s="51"/>
    </row>
    <row r="32" spans="1:8" s="46" customFormat="1">
      <c r="F32" s="49"/>
      <c r="G32" s="51"/>
    </row>
    <row r="33" spans="1:14" s="46" customFormat="1"/>
    <row r="34" spans="1:14" s="46" customFormat="1">
      <c r="A34" s="14"/>
      <c r="B34" s="14"/>
      <c r="C34" s="35"/>
      <c r="D34" s="35"/>
      <c r="E34" s="35"/>
      <c r="F34" s="52"/>
    </row>
    <row r="35" spans="1:14" s="46" customFormat="1">
      <c r="B35" s="51"/>
      <c r="C35" s="35"/>
      <c r="D35" s="35"/>
      <c r="E35" s="53"/>
      <c r="F35" s="54"/>
      <c r="G35" s="52"/>
      <c r="I35" s="47"/>
      <c r="J35" s="47"/>
      <c r="K35" s="55"/>
      <c r="M35" s="56"/>
    </row>
    <row r="36" spans="1:14" s="46" customFormat="1">
      <c r="B36" s="51"/>
      <c r="C36" s="51"/>
      <c r="D36" s="35"/>
      <c r="E36" s="53"/>
      <c r="F36" s="57"/>
      <c r="G36" s="54"/>
      <c r="I36" s="44"/>
      <c r="K36" s="43"/>
      <c r="M36" s="43"/>
    </row>
    <row r="37" spans="1:14">
      <c r="A37" s="35"/>
      <c r="B37" s="51"/>
      <c r="C37" s="58"/>
      <c r="D37" s="54"/>
      <c r="E37" s="59"/>
      <c r="F37" s="59"/>
      <c r="G37" s="46"/>
      <c r="H37" s="46"/>
      <c r="I37" s="46"/>
      <c r="J37" s="46"/>
      <c r="K37" s="46"/>
      <c r="L37" s="46"/>
      <c r="M37" s="46"/>
      <c r="N37" s="46"/>
    </row>
    <row r="38" spans="1:14">
      <c r="A38" s="46"/>
      <c r="B38" s="51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spans="1:14">
      <c r="A39" s="14"/>
      <c r="B39" s="14"/>
      <c r="C39" s="35"/>
      <c r="D39" s="35"/>
      <c r="E39" s="35"/>
      <c r="F39" s="52"/>
      <c r="G39" s="46"/>
      <c r="H39" s="46"/>
      <c r="I39" s="46"/>
      <c r="J39" s="46"/>
      <c r="K39" s="46"/>
      <c r="L39" s="46"/>
      <c r="M39" s="46"/>
      <c r="N39" s="46"/>
    </row>
    <row r="40" spans="1:14">
      <c r="A40" s="46"/>
      <c r="B40" s="46"/>
      <c r="C40" s="35"/>
      <c r="D40" s="35"/>
      <c r="E40" s="53"/>
      <c r="F40" s="54"/>
      <c r="G40" s="52"/>
      <c r="H40" s="46"/>
      <c r="I40" s="47"/>
      <c r="J40" s="47"/>
      <c r="K40" s="55"/>
      <c r="L40" s="46"/>
      <c r="M40" s="56"/>
      <c r="N40" s="46"/>
    </row>
    <row r="41" spans="1:14">
      <c r="A41" s="46"/>
      <c r="B41" s="46"/>
      <c r="C41" s="51"/>
      <c r="D41" s="35"/>
      <c r="E41" s="53"/>
      <c r="F41" s="57"/>
      <c r="G41" s="54"/>
      <c r="H41" s="46"/>
      <c r="I41" s="44"/>
      <c r="J41" s="47"/>
      <c r="K41" s="43"/>
      <c r="L41" s="46"/>
      <c r="M41" s="43"/>
      <c r="N41" s="46"/>
    </row>
    <row r="42" spans="1:14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42"/>
  <sheetViews>
    <sheetView tabSelected="1" topLeftCell="A4" workbookViewId="0">
      <selection activeCell="J20" sqref="J20"/>
    </sheetView>
  </sheetViews>
  <sheetFormatPr defaultRowHeight="15"/>
  <cols>
    <col min="4" max="4" width="13.7109375" customWidth="1"/>
  </cols>
  <sheetData>
    <row r="1" spans="1:9">
      <c r="C1" s="20"/>
    </row>
    <row r="3" spans="1:9">
      <c r="A3" s="1" t="s">
        <v>8</v>
      </c>
      <c r="B3" s="1" t="s">
        <v>5</v>
      </c>
      <c r="C3" s="9" t="s">
        <v>0</v>
      </c>
      <c r="D3" s="52" t="s">
        <v>116</v>
      </c>
      <c r="E3" s="52" t="s">
        <v>115</v>
      </c>
      <c r="F3" s="52" t="s">
        <v>124</v>
      </c>
    </row>
    <row r="4" spans="1:9">
      <c r="A4" s="7">
        <v>100</v>
      </c>
      <c r="B4" s="8" t="s">
        <v>114</v>
      </c>
      <c r="C4" s="10">
        <v>2</v>
      </c>
      <c r="D4" s="65" t="s">
        <v>117</v>
      </c>
      <c r="E4" s="5">
        <v>0.04</v>
      </c>
      <c r="F4" s="5">
        <v>0.02</v>
      </c>
    </row>
    <row r="6" spans="1:9">
      <c r="A6" s="2" t="s">
        <v>75</v>
      </c>
      <c r="B6" s="2" t="s">
        <v>1</v>
      </c>
      <c r="C6" s="2" t="s">
        <v>2</v>
      </c>
      <c r="D6" s="1"/>
      <c r="E6" s="35"/>
      <c r="F6" s="35"/>
    </row>
    <row r="7" spans="1:9">
      <c r="A7" s="2">
        <v>0.25</v>
      </c>
      <c r="B7" s="2">
        <f>A4*E4/2</f>
        <v>2</v>
      </c>
      <c r="C7" s="11">
        <f>1/(1+F4)^A7</f>
        <v>0.99506157747984325</v>
      </c>
      <c r="D7" s="4"/>
      <c r="E7" s="36"/>
      <c r="F7" s="36"/>
      <c r="H7" s="17"/>
    </row>
    <row r="8" spans="1:9">
      <c r="A8" s="2">
        <v>0.75</v>
      </c>
      <c r="B8" s="2" t="s">
        <v>118</v>
      </c>
      <c r="C8" s="11" t="s">
        <v>121</v>
      </c>
      <c r="D8" s="4"/>
      <c r="E8" s="36"/>
      <c r="F8" s="36"/>
      <c r="I8" s="41"/>
    </row>
    <row r="9" spans="1:9">
      <c r="A9" s="2">
        <v>1.25</v>
      </c>
      <c r="B9" s="2" t="s">
        <v>119</v>
      </c>
      <c r="C9" s="2" t="s">
        <v>121</v>
      </c>
      <c r="E9" s="1" t="s">
        <v>7</v>
      </c>
    </row>
    <row r="10" spans="1:9">
      <c r="A10" s="2">
        <v>1.75</v>
      </c>
      <c r="B10" s="66" t="s">
        <v>120</v>
      </c>
      <c r="C10" s="2" t="s">
        <v>121</v>
      </c>
      <c r="D10" s="1"/>
      <c r="E10" s="67">
        <f>(B7+A4)*C7</f>
        <v>101.49628090294401</v>
      </c>
      <c r="F10" s="56"/>
      <c r="G10" s="46"/>
    </row>
    <row r="11" spans="1:9">
      <c r="A11" s="1"/>
      <c r="B11" s="1"/>
      <c r="C11" s="1"/>
      <c r="D11" s="4"/>
      <c r="F11" s="49"/>
      <c r="G11" s="51"/>
    </row>
    <row r="12" spans="1:9">
      <c r="F12" s="46"/>
      <c r="G12" s="46"/>
    </row>
    <row r="13" spans="1:9">
      <c r="B13" t="s">
        <v>122</v>
      </c>
      <c r="D13" t="s">
        <v>123</v>
      </c>
      <c r="F13" s="55"/>
      <c r="G13" s="46"/>
    </row>
    <row r="14" spans="1:9">
      <c r="B14" s="5">
        <v>0.01</v>
      </c>
      <c r="D14" s="21">
        <f>F4-B14</f>
        <v>0.01</v>
      </c>
      <c r="F14" s="49"/>
      <c r="G14" s="51"/>
    </row>
    <row r="15" spans="1:9" s="46" customFormat="1">
      <c r="D15" s="51"/>
    </row>
    <row r="16" spans="1:9" s="46" customFormat="1">
      <c r="B16" s="2" t="s">
        <v>2</v>
      </c>
      <c r="D16" s="2" t="s">
        <v>7</v>
      </c>
    </row>
    <row r="17" spans="1:8" s="46" customFormat="1">
      <c r="B17">
        <f>1/(1+B14)^A7</f>
        <v>0.99751550875662531</v>
      </c>
      <c r="D17" s="60">
        <f>(B7+A4)*B17</f>
        <v>101.74658189317579</v>
      </c>
    </row>
    <row r="18" spans="1:8" s="46" customFormat="1">
      <c r="A18" s="52"/>
      <c r="B18" s="52"/>
      <c r="C18" s="51"/>
      <c r="D18" s="35"/>
    </row>
    <row r="19" spans="1:8" s="46" customFormat="1">
      <c r="A19" s="35"/>
      <c r="B19" s="63"/>
      <c r="C19" s="51"/>
      <c r="D19" s="73" t="s">
        <v>77</v>
      </c>
    </row>
    <row r="20" spans="1:8" s="46" customFormat="1">
      <c r="D20" s="71">
        <f>D17/E10-1</f>
        <v>2.466109969794239E-3</v>
      </c>
    </row>
    <row r="21" spans="1:8" s="46" customFormat="1">
      <c r="A21" s="35"/>
      <c r="B21" s="35"/>
      <c r="C21" s="35"/>
      <c r="D21" s="35"/>
      <c r="E21" s="35"/>
      <c r="F21" s="35"/>
    </row>
    <row r="22" spans="1:8" s="46" customFormat="1">
      <c r="A22" s="35"/>
      <c r="B22" s="35"/>
      <c r="C22" s="58"/>
      <c r="D22" s="66" t="s">
        <v>57</v>
      </c>
      <c r="E22" s="59"/>
      <c r="F22" s="59"/>
      <c r="H22" s="64"/>
    </row>
    <row r="23" spans="1:8" s="46" customFormat="1">
      <c r="A23" s="35"/>
      <c r="B23" s="35"/>
      <c r="C23" s="58"/>
      <c r="D23" s="72">
        <f>ABS(D20/D14)</f>
        <v>0.2466109969794239</v>
      </c>
      <c r="E23" s="69" t="s">
        <v>25</v>
      </c>
      <c r="F23" s="59"/>
    </row>
    <row r="24" spans="1:8" s="46" customFormat="1">
      <c r="A24" s="52"/>
      <c r="B24" s="52"/>
      <c r="C24" s="52"/>
      <c r="D24" s="51"/>
    </row>
    <row r="25" spans="1:8" s="46" customFormat="1">
      <c r="A25" s="52"/>
      <c r="B25" s="52"/>
      <c r="C25" s="52"/>
      <c r="D25" s="37" t="s">
        <v>54</v>
      </c>
      <c r="F25" s="56"/>
    </row>
    <row r="26" spans="1:8" s="46" customFormat="1">
      <c r="A26" s="52"/>
      <c r="B26" s="52"/>
      <c r="C26" s="52"/>
      <c r="D26" s="68">
        <f>D23*(1+F4)</f>
        <v>0.25154321691901238</v>
      </c>
      <c r="F26" s="49"/>
      <c r="G26" s="51"/>
    </row>
    <row r="27" spans="1:8" s="46" customFormat="1"/>
    <row r="28" spans="1:8" s="46" customFormat="1">
      <c r="F28" s="55"/>
    </row>
    <row r="29" spans="1:8" s="46" customFormat="1">
      <c r="F29" s="49"/>
      <c r="G29" s="51"/>
    </row>
    <row r="30" spans="1:8" s="46" customFormat="1">
      <c r="F30" s="49"/>
      <c r="G30" s="51"/>
    </row>
    <row r="31" spans="1:8" s="46" customFormat="1">
      <c r="F31" s="49"/>
      <c r="G31" s="51"/>
    </row>
    <row r="32" spans="1:8" s="46" customFormat="1">
      <c r="F32" s="49"/>
      <c r="G32" s="51"/>
    </row>
    <row r="33" spans="1:14" s="46" customFormat="1"/>
    <row r="34" spans="1:14" s="46" customFormat="1">
      <c r="A34" s="14"/>
      <c r="B34" s="14"/>
      <c r="C34" s="35"/>
      <c r="D34" s="35"/>
      <c r="E34" s="35"/>
      <c r="F34" s="52"/>
    </row>
    <row r="35" spans="1:14" s="46" customFormat="1">
      <c r="B35" s="51"/>
      <c r="C35" s="35"/>
      <c r="D35" s="35"/>
      <c r="E35" s="53"/>
      <c r="F35" s="54"/>
      <c r="G35" s="52"/>
      <c r="I35" s="47"/>
      <c r="J35" s="47"/>
      <c r="K35" s="55"/>
      <c r="M35" s="56"/>
    </row>
    <row r="36" spans="1:14" s="46" customFormat="1">
      <c r="B36" s="51"/>
      <c r="C36" s="51"/>
      <c r="D36" s="35"/>
      <c r="E36" s="53"/>
      <c r="F36" s="57"/>
      <c r="G36" s="54"/>
      <c r="I36" s="44"/>
      <c r="K36" s="43"/>
      <c r="M36" s="43"/>
    </row>
    <row r="37" spans="1:14">
      <c r="A37" s="35"/>
      <c r="B37" s="51"/>
      <c r="C37" s="58"/>
      <c r="D37" s="54"/>
      <c r="E37" s="59"/>
      <c r="F37" s="59"/>
      <c r="G37" s="46"/>
      <c r="H37" s="46"/>
      <c r="I37" s="46"/>
      <c r="J37" s="46"/>
      <c r="K37" s="46"/>
      <c r="L37" s="46"/>
      <c r="M37" s="46"/>
      <c r="N37" s="46"/>
    </row>
    <row r="38" spans="1:14">
      <c r="A38" s="46"/>
      <c r="B38" s="51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spans="1:14">
      <c r="A39" s="14"/>
      <c r="B39" s="14"/>
      <c r="C39" s="35"/>
      <c r="D39" s="35"/>
      <c r="E39" s="35"/>
      <c r="F39" s="52"/>
      <c r="G39" s="46"/>
      <c r="H39" s="46"/>
      <c r="I39" s="46"/>
      <c r="J39" s="46"/>
      <c r="K39" s="46"/>
      <c r="L39" s="46"/>
      <c r="M39" s="46"/>
      <c r="N39" s="46"/>
    </row>
    <row r="40" spans="1:14">
      <c r="A40" s="46"/>
      <c r="B40" s="46"/>
      <c r="C40" s="35"/>
      <c r="D40" s="35"/>
      <c r="E40" s="53"/>
      <c r="F40" s="54"/>
      <c r="G40" s="52"/>
      <c r="H40" s="46"/>
      <c r="I40" s="47"/>
      <c r="J40" s="47"/>
      <c r="K40" s="55"/>
      <c r="L40" s="46"/>
      <c r="M40" s="56"/>
      <c r="N40" s="46"/>
    </row>
    <row r="41" spans="1:14">
      <c r="A41" s="46"/>
      <c r="B41" s="46"/>
      <c r="C41" s="51"/>
      <c r="D41" s="35"/>
      <c r="E41" s="53"/>
      <c r="F41" s="57"/>
      <c r="G41" s="54"/>
      <c r="H41" s="46"/>
      <c r="I41" s="44"/>
      <c r="J41" s="47"/>
      <c r="K41" s="43"/>
      <c r="L41" s="46"/>
      <c r="M41" s="43"/>
      <c r="N41" s="46"/>
    </row>
    <row r="42" spans="1:14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11</vt:i4>
      </vt:variant>
    </vt:vector>
  </HeadingPairs>
  <TitlesOfParts>
    <vt:vector size="11" baseType="lpstr">
      <vt:lpstr>Problem5.1</vt:lpstr>
      <vt:lpstr>Problem5.2</vt:lpstr>
      <vt:lpstr>Risk management</vt:lpstr>
      <vt:lpstr>Problem5.3</vt:lpstr>
      <vt:lpstr>Problem5.4</vt:lpstr>
      <vt:lpstr>Problem5.5</vt:lpstr>
      <vt:lpstr>Problem5.6</vt:lpstr>
      <vt:lpstr>Problem5.7</vt:lpstr>
      <vt:lpstr>Problem5.8</vt:lpstr>
      <vt:lpstr>Problem5.9</vt:lpstr>
      <vt:lpstr>Problem5.10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Milan</cp:lastModifiedBy>
  <dcterms:created xsi:type="dcterms:W3CDTF">2021-02-16T07:20:52Z</dcterms:created>
  <dcterms:modified xsi:type="dcterms:W3CDTF">2022-10-17T05:35:08Z</dcterms:modified>
</cp:coreProperties>
</file>