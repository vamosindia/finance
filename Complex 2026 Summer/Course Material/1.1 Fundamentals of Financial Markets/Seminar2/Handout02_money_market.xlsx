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60" windowWidth="19140" windowHeight="7090"/>
  </bookViews>
  <sheets>
    <sheet name="Munka1" sheetId="1" r:id="rId1"/>
    <sheet name="Munka2" sheetId="2" r:id="rId2"/>
    <sheet name="Munka3" sheetId="3" r:id="rId3"/>
  </sheets>
  <calcPr calcId="145621"/>
</workbook>
</file>

<file path=xl/calcChain.xml><?xml version="1.0" encoding="utf-8"?>
<calcChain xmlns="http://schemas.openxmlformats.org/spreadsheetml/2006/main">
  <c r="C29" i="1" l="1"/>
  <c r="C25" i="1"/>
  <c r="C17" i="1"/>
  <c r="C14" i="1"/>
  <c r="C245" i="1" l="1"/>
  <c r="C244" i="1"/>
  <c r="C246" i="1" s="1"/>
  <c r="C235" i="1" l="1"/>
  <c r="C230" i="1"/>
  <c r="C232" i="1" s="1"/>
  <c r="C248" i="1" s="1"/>
  <c r="C227" i="1"/>
  <c r="D228" i="1" s="1"/>
  <c r="C225" i="1"/>
  <c r="C202" i="1"/>
  <c r="C181" i="1"/>
  <c r="C186" i="1" s="1"/>
  <c r="C188" i="1" s="1"/>
  <c r="C169" i="1"/>
  <c r="C172" i="1" s="1"/>
  <c r="C174" i="1" s="1"/>
  <c r="C109" i="1"/>
  <c r="C117" i="1" s="1"/>
  <c r="C118" i="1" s="1"/>
  <c r="C120" i="1" s="1"/>
  <c r="C102" i="1"/>
  <c r="C83" i="1"/>
  <c r="C84" i="1" s="1"/>
  <c r="C73" i="1"/>
  <c r="C74" i="1" s="1"/>
  <c r="C255" i="1" l="1"/>
  <c r="C249" i="1"/>
  <c r="C190" i="1"/>
  <c r="C192" i="1" s="1"/>
  <c r="C228" i="1"/>
  <c r="C237" i="1" s="1"/>
  <c r="C170" i="1"/>
  <c r="C54" i="1"/>
  <c r="C46" i="1"/>
  <c r="C23" i="1"/>
  <c r="C15" i="1"/>
  <c r="C22" i="1"/>
  <c r="C238" i="1" l="1"/>
  <c r="C240" i="1"/>
  <c r="C251" i="1" s="1"/>
  <c r="C194" i="1"/>
  <c r="C205" i="1"/>
  <c r="C210" i="1" s="1"/>
  <c r="C209" i="1"/>
  <c r="C213" i="1" s="1"/>
  <c r="C55" i="1"/>
  <c r="C56" i="1" s="1"/>
  <c r="C57" i="1" s="1"/>
  <c r="C36" i="1"/>
  <c r="C39" i="1" s="1"/>
  <c r="C252" i="1" l="1"/>
  <c r="C254" i="1" s="1"/>
  <c r="C256" i="1" s="1"/>
</calcChain>
</file>

<file path=xl/sharedStrings.xml><?xml version="1.0" encoding="utf-8"?>
<sst xmlns="http://schemas.openxmlformats.org/spreadsheetml/2006/main" count="258" uniqueCount="186">
  <si>
    <t>Fundamentals of Financial Markets</t>
  </si>
  <si>
    <t>Week #4: The Money Market</t>
  </si>
  <si>
    <t>4.1</t>
  </si>
  <si>
    <t>T-bill days to maturity =</t>
  </si>
  <si>
    <t>days</t>
  </si>
  <si>
    <t>convention (ACT / …) =</t>
  </si>
  <si>
    <t>bid yield =</t>
  </si>
  <si>
    <t>ask yield =</t>
  </si>
  <si>
    <t>4.1.a.</t>
  </si>
  <si>
    <t>The market taker (end-user) sells the bond to the market maker (dealer) at a price implied by the BID yield</t>
  </si>
  <si>
    <t xml:space="preserve">notional = </t>
  </si>
  <si>
    <t>USD</t>
  </si>
  <si>
    <t>linear discount method =</t>
  </si>
  <si>
    <t>bank discount method =</t>
  </si>
  <si>
    <t>(this is a conventional method, easier to calculate)</t>
  </si>
  <si>
    <t>(note that this leads to almost the same result)</t>
  </si>
  <si>
    <t>Answer to the question:</t>
  </si>
  <si>
    <t>4.1.b.</t>
  </si>
  <si>
    <t>The market taker (end-user) buys the bond from the market maker (dealer) at a price implied by the ASK yield</t>
  </si>
  <si>
    <t>EXTRA INSIGHT: How much money would a market maker dealer earn if 1 million dollar notional is sold to her and then immediately taken from her?</t>
  </si>
  <si>
    <t>market maker profit =</t>
  </si>
  <si>
    <t>(bank discount method)</t>
  </si>
  <si>
    <t>4.1.c.</t>
  </si>
  <si>
    <t>Bank discount method is easier to calculate but it is less usefull when we compare the yield of investments</t>
  </si>
  <si>
    <t>Effective yield is a much better indicator.</t>
  </si>
  <si>
    <t>If someone purchases the bond today and waits for maturity there will be 2 cash flow events:</t>
  </si>
  <si>
    <t>today =</t>
  </si>
  <si>
    <t>85-days later=</t>
  </si>
  <si>
    <t>effective yield =</t>
  </si>
  <si>
    <t>4.1.d.</t>
  </si>
  <si>
    <t>Now we have a price and need to calculate the yield.</t>
  </si>
  <si>
    <t>bank discount method price =</t>
  </si>
  <si>
    <t>bid rate =</t>
  </si>
  <si>
    <t>4.1.e.</t>
  </si>
  <si>
    <t>As time passes T-Bills are getting closer and closer to their notional value ceteris paribus.</t>
  </si>
  <si>
    <t>If rates are increasing, T-Bills are loosing value.</t>
  </si>
  <si>
    <t>So where is the break even?</t>
  </si>
  <si>
    <t xml:space="preserve">30-days later the T-Bills will have </t>
  </si>
  <si>
    <t>days left</t>
  </si>
  <si>
    <t>initial purchase price =</t>
  </si>
  <si>
    <t>INSIGHT: as time passes the market risk of T-Bills decreases significantly</t>
  </si>
  <si>
    <t>USD deposit O/N (overnight)</t>
  </si>
  <si>
    <t xml:space="preserve">USD deposit 1W (one week) </t>
  </si>
  <si>
    <t>3-Months T-Bill</t>
  </si>
  <si>
    <t>4.2.e.) If investors can make more money by selling their T-Bills and lending the proceeds at the money markets, why anyone still holds T-Bills?</t>
  </si>
  <si>
    <t xml:space="preserve">4.2.f.) What would happen to the TED-spread if more and more investors would sell the T-Bills and lend their money on the deposit markets? </t>
  </si>
  <si>
    <t>4.2</t>
  </si>
  <si>
    <t>4.2.a.)</t>
  </si>
  <si>
    <t>Friday is a tricky day to trade overnight deals, because overnight means 'to-the-next-trading-day', which is Monday.</t>
  </si>
  <si>
    <t>tenor of the deposit =</t>
  </si>
  <si>
    <t>notional=</t>
  </si>
  <si>
    <t>interest =</t>
  </si>
  <si>
    <t>(the offer is used, because the borrowwer has to "buy" the deposit!)</t>
  </si>
  <si>
    <t>CASH FLOW</t>
  </si>
  <si>
    <t>Friday</t>
  </si>
  <si>
    <t>Monday (3-days-later)</t>
  </si>
  <si>
    <t>INSIGHT: so the actual "renting fee" for the 10 million USD for the weekend is 2600 USD.</t>
  </si>
  <si>
    <t>(the bid is used, because the lender has to "sell" the deposit!)</t>
  </si>
  <si>
    <t>today</t>
  </si>
  <si>
    <t>7-days later</t>
  </si>
  <si>
    <t>INSIGHT: so we collect 6222,22 dollars for lending the 10 million USD for 1 week</t>
  </si>
  <si>
    <t>Linear interests are linear in 3-ways!</t>
  </si>
  <si>
    <t>Double the tenor and you will get 2 x 6222,22 interest amount (ceteris paribus)</t>
  </si>
  <si>
    <t>Double the rate and you will get 2 x 6222,22 interest amount (ceteris paribus)</t>
  </si>
  <si>
    <t>Double the notional and you will get 2 x 6222,22 interest amount (ceteris paribus)</t>
  </si>
  <si>
    <t>we dont know the 3M Libor, but it can be assumed that it is very close to the 3M deposit offer</t>
  </si>
  <si>
    <t>which side of te T-Bill quote should we use? Normally it is a very liquid market, so bid-ask spread is tight.</t>
  </si>
  <si>
    <t>I will use here the bid, because in a sense of getting liquidity selling the T-Bill will be analog to the buying the deposit.</t>
  </si>
  <si>
    <t>4.2.c.) How much is the TED-spread now? (estimation)</t>
  </si>
  <si>
    <t>TED-spread = 3M LIBOR- 3M T-Bill</t>
  </si>
  <si>
    <t>estimations:</t>
  </si>
  <si>
    <t>3M LIBOR</t>
  </si>
  <si>
    <t>USD deposit 3M (three months)</t>
  </si>
  <si>
    <t>3M T-Bill</t>
  </si>
  <si>
    <t>TED-spread=</t>
  </si>
  <si>
    <t>basis points</t>
  </si>
  <si>
    <t>4.2.d.) How much is the TED-spread now? (estimation)</t>
  </si>
  <si>
    <t>3-Month T-Bill notional</t>
  </si>
  <si>
    <t>3-Month tenor (assume)</t>
  </si>
  <si>
    <t>3-Month T-Bill market value today</t>
  </si>
  <si>
    <t>3-Month T-Bill bid rate</t>
  </si>
  <si>
    <t>today=</t>
  </si>
  <si>
    <t>90 -days later =</t>
  </si>
  <si>
    <t>90-days deposit bid rate</t>
  </si>
  <si>
    <t>3-Month T-Bill market value 90-days later</t>
  </si>
  <si>
    <t>(This would be the USD amount we would receive if we would stay in the T-Bill)</t>
  </si>
  <si>
    <t>Instead of holding the T-Bill, we can sell it and lend te money as a sort deposit.</t>
  </si>
  <si>
    <t>Lending the money as a short deposit will have te following cash flow.</t>
  </si>
  <si>
    <t>Making the proposed transaction, would give us an extra =</t>
  </si>
  <si>
    <t>T-Bills are tradeable, deposits are not</t>
  </si>
  <si>
    <t>Some investors are obliged legally to hold T-Bills and their deposit positions are limited.</t>
  </si>
  <si>
    <t>T-Bills has no counterparty risk: it is a promise of the US Government, while deposits are the promise of a commercial banks</t>
  </si>
  <si>
    <t>As a result TED-spread will become lower.</t>
  </si>
  <si>
    <t>By selling the deposits, they will push the deposit rates lower, thus the 3M Libor will go lower</t>
  </si>
  <si>
    <t>By selling the T-Bills, they will push the T-Bill rate higher.</t>
  </si>
  <si>
    <t xml:space="preserve">4.2.g.) What happened to the TED-spread historically during crises times? </t>
  </si>
  <si>
    <t>INSIGHT: this scenario would happen when markets are calming down, tension and volatility is getting lower.</t>
  </si>
  <si>
    <t>It goes high.</t>
  </si>
  <si>
    <t>Source: Bodie-Kane_Marcus: Investments, Chapter, 33. page</t>
  </si>
  <si>
    <t>However some features are not similar.</t>
  </si>
  <si>
    <t>INSIGHT: This is the classical long bond or short deposit dilemma. They both have similar cash flows: spending money in the beginning and receiving it back later.</t>
  </si>
  <si>
    <t>4.5.a.)</t>
  </si>
  <si>
    <t>(we use the bid price here, because the fund manager wants to sell the bond)</t>
  </si>
  <si>
    <t>net price =</t>
  </si>
  <si>
    <t>Notional =</t>
  </si>
  <si>
    <t>accrued interests =</t>
  </si>
  <si>
    <t>gross price =</t>
  </si>
  <si>
    <t>Total proceeds by selling =</t>
  </si>
  <si>
    <t>required amount =</t>
  </si>
  <si>
    <t>total notional to be sold =</t>
  </si>
  <si>
    <t>INSIGHT: she should probably sell 1.070.000,- notional, because of the rounded denomination of real existing T-Notes.</t>
  </si>
  <si>
    <t>4.5.c.)</t>
  </si>
  <si>
    <t>Taking the loan from the bank is like buying deposit</t>
  </si>
  <si>
    <t>1-month later</t>
  </si>
  <si>
    <t>LIBOR 1M</t>
  </si>
  <si>
    <t>LIBOR 1M + 150 bp</t>
  </si>
  <si>
    <t>tenor</t>
  </si>
  <si>
    <t>interest amount  =</t>
  </si>
  <si>
    <t>4.5.d.)</t>
  </si>
  <si>
    <t>haircut =</t>
  </si>
  <si>
    <t>rounded total notional to be sold =</t>
  </si>
  <si>
    <t>REPO is selling and re-purchasing the bonds</t>
  </si>
  <si>
    <t>selling happens at the spot price of the repo deal</t>
  </si>
  <si>
    <t>repurcasing (buying back) happens at the forward price</t>
  </si>
  <si>
    <t>LIBOR 1M + 25 bp</t>
  </si>
  <si>
    <t>= THIS IS THE FORWARD PRICE FOR THE REPO DEAL</t>
  </si>
  <si>
    <t>= THIS IS THE SPOT PRICE FOR THE REPO DEAL</t>
  </si>
  <si>
    <t>30-days later</t>
  </si>
  <si>
    <t>INSIGHT: in this case it was convenient that the T-Note is not paying any coupon during the repo-s lifetime.</t>
  </si>
  <si>
    <t>Forward T-Note price =</t>
  </si>
  <si>
    <t>gross T-Note price for the repo deal =</t>
  </si>
  <si>
    <t>INSIGHT: what was the "cost" of borrowing? The difference between the cash she got at te beginning and the one she pays back 1-month latr</t>
  </si>
  <si>
    <t>"interest"-like expenses =</t>
  </si>
  <si>
    <t>4.5.e.)</t>
  </si>
  <si>
    <t>active repo position = the one who receives the funding at the beginning</t>
  </si>
  <si>
    <t>passive (reverse) repo position = the one wo gives the funding at the beginning</t>
  </si>
  <si>
    <t>Fund manager is active repo position</t>
  </si>
  <si>
    <t>The Bank is in passive (reverse) repo position</t>
  </si>
  <si>
    <t>4.5.f.)</t>
  </si>
  <si>
    <t>Imagine tha the fund manager is unable to buy back the T-Notes because she is eiter not willing or not able to pay 1.003.139,89 USD 1 month later</t>
  </si>
  <si>
    <t>In this case the bank (who is the legal owner of the T-Notes at this point) can sell the T-Notes at the actual market price.</t>
  </si>
  <si>
    <t>The actual present value of a T-Note could fluctuate, and the 10% haicut means some cushion to the bank.</t>
  </si>
  <si>
    <t>Also this structure highly motivates the fund manager to buy the T-notes back, because both the spot and the forward price are shifted down.</t>
  </si>
  <si>
    <t>4.6.a.)</t>
  </si>
  <si>
    <t>nominal coupon (annual)</t>
  </si>
  <si>
    <t>coupon paid semi-annually</t>
  </si>
  <si>
    <t>T-Bond net price</t>
  </si>
  <si>
    <t>days passed since last coupon</t>
  </si>
  <si>
    <t>nominal interest accrued</t>
  </si>
  <si>
    <t>T-Bond gross price</t>
  </si>
  <si>
    <t>4.6.b.)</t>
  </si>
  <si>
    <t>notional</t>
  </si>
  <si>
    <t>interest amount =</t>
  </si>
  <si>
    <t>On the 15th February 2023 a normal semi-annual coupon will be paid =</t>
  </si>
  <si>
    <t>LIBOR 6M + 50 bp =</t>
  </si>
  <si>
    <t>LIBOR 6M =</t>
  </si>
  <si>
    <t>4.6.c.)</t>
  </si>
  <si>
    <t>total T-Bond notional used for the repo</t>
  </si>
  <si>
    <t>T-Bond gross price (bid)</t>
  </si>
  <si>
    <t>haircut</t>
  </si>
  <si>
    <t>spot bond price for the repo =</t>
  </si>
  <si>
    <t>coupon on the 15th February 2023</t>
  </si>
  <si>
    <t>date for the repo far leg =</t>
  </si>
  <si>
    <t>days until the February coupon =</t>
  </si>
  <si>
    <t>February coupon date =</t>
  </si>
  <si>
    <t>pricing date =</t>
  </si>
  <si>
    <t>present value of this coupon using the repo rate =</t>
  </si>
  <si>
    <t>forward bond price for the repo (total USD)</t>
  </si>
  <si>
    <t>spot bond price for the repo (total USD)</t>
  </si>
  <si>
    <t>days until the end of te repo deal =</t>
  </si>
  <si>
    <t>Total market value of te T-Bonds</t>
  </si>
  <si>
    <t xml:space="preserve">INSIGHT: the investor had 1 million USD notional of T-Bonds with a market value of 763.272,62 USD </t>
  </si>
  <si>
    <t>The investor used the T-Bonds to get relatively cheap funding: she received 536.272,62 USD today and will ave to pay back 1377,21 USD more 180 days later.</t>
  </si>
  <si>
    <t>the future value of the missing coupon =</t>
  </si>
  <si>
    <t>the difference between the initial and the forward amount =</t>
  </si>
  <si>
    <t>The investor will not get the 11250 USD coupon in February. This missing amount has a 11312,11 USD future value at te end of the repo.</t>
  </si>
  <si>
    <t>the total "cost" of the liquidity =</t>
  </si>
  <si>
    <t>Meanwhile she was nod holding the T-Bond on a coupon day, so she also misses this coupon.</t>
  </si>
  <si>
    <t>4.6.d)</t>
  </si>
  <si>
    <t>If the investor sells the bond at the market, later she as to buy it back from the market (assuming she still wants that bond back), and meanwhile market price of the bond could significantly change.</t>
  </si>
  <si>
    <t>So there would be market risk.</t>
  </si>
  <si>
    <t>Also many times it is way more expensive to sell the bond and buy it back, thus suffering the full bid-ask spread.</t>
  </si>
  <si>
    <t>If one uses a non-Treasury bond (like a corporate bond, or a bond of a foreign government) the liquidity could be very thin.</t>
  </si>
  <si>
    <t>INSIGT #2: imagine how convenient it is for the bank to give funding in this way. In case the bank needs liquidity during the lifetime of the repo, it can use the very same bonds to enter into another repo deal with another bank or the Fed.</t>
  </si>
  <si>
    <t>INSIGHT: buying a bond at the quoted 2,950% yield results in a slightly higher effective yield of 3,0469%. This is because the yield is not quoted in effective yield method, but in bank discount method.</t>
  </si>
  <si>
    <t>INSIGHT: you can see the risk of a T-Bill now. Imagine that if you buy it at 2,950% and the yields going up to 4,235% you would loose approx 2787 USD market value. (Of course if you keep holding the T-bill until maturity you will still get the 1 million. This -2787 USD is just a loss in the current present value, you may not even realize 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</si>
</sst>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0%"/>
  </numFmts>
  <fonts count="3" x14ac:knownFonts="1">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0" borderId="0" xfId="0" applyFont="1"/>
    <xf numFmtId="0" fontId="2" fillId="0" borderId="0" xfId="0" applyFont="1" applyAlignment="1">
      <alignment vertical="center"/>
    </xf>
    <xf numFmtId="16" fontId="0" fillId="0" borderId="0" xfId="0" quotePrefix="1" applyNumberFormat="1"/>
    <xf numFmtId="0" fontId="0" fillId="0" borderId="0" xfId="0" applyAlignment="1">
      <alignment horizontal="right"/>
    </xf>
    <xf numFmtId="164" fontId="0" fillId="0" borderId="0" xfId="0" applyNumberFormat="1"/>
    <xf numFmtId="0" fontId="0" fillId="0" borderId="0" xfId="0" applyAlignment="1">
      <alignment horizontal="left"/>
    </xf>
    <xf numFmtId="3" fontId="0" fillId="0" borderId="0" xfId="0" applyNumberFormat="1"/>
    <xf numFmtId="165" fontId="0" fillId="0" borderId="0" xfId="0" applyNumberFormat="1"/>
    <xf numFmtId="4" fontId="0" fillId="0" borderId="0" xfId="0" applyNumberFormat="1"/>
    <xf numFmtId="164" fontId="0" fillId="0" borderId="0" xfId="1" applyNumberFormat="1" applyFont="1"/>
    <xf numFmtId="165" fontId="0" fillId="0" borderId="0" xfId="1" applyNumberFormat="1" applyFont="1"/>
    <xf numFmtId="0" fontId="0" fillId="0" borderId="0" xfId="0" applyAlignment="1">
      <alignment vertical="center"/>
    </xf>
    <xf numFmtId="0" fontId="0" fillId="0" borderId="0" xfId="0" applyAlignment="1">
      <alignment horizontal="left" vertical="center" indent="4"/>
    </xf>
    <xf numFmtId="0" fontId="0" fillId="0" borderId="0" xfId="0" applyAlignment="1">
      <alignment horizontal="justify" vertical="center"/>
    </xf>
    <xf numFmtId="10" fontId="0" fillId="0" borderId="0" xfId="0" applyNumberFormat="1"/>
    <xf numFmtId="14" fontId="0" fillId="0" borderId="0" xfId="0" applyNumberFormat="1"/>
    <xf numFmtId="9" fontId="0" fillId="0" borderId="0" xfId="0" applyNumberFormat="1"/>
    <xf numFmtId="0" fontId="0" fillId="0" borderId="0" xfId="0" quotePrefix="1"/>
    <xf numFmtId="2" fontId="0" fillId="0" borderId="0" xfId="0" applyNumberFormat="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492125</xdr:colOff>
      <xdr:row>145</xdr:row>
      <xdr:rowOff>12700</xdr:rowOff>
    </xdr:from>
    <xdr:to>
      <xdr:col>6</xdr:col>
      <xdr:colOff>460375</xdr:colOff>
      <xdr:row>163</xdr:row>
      <xdr:rowOff>47625</xdr:rowOff>
    </xdr:to>
    <xdr:pic>
      <xdr:nvPicPr>
        <xdr:cNvPr id="2" name="Kép 1"/>
        <xdr:cNvPicPr>
          <a:picLocks noChangeAspect="1"/>
        </xdr:cNvPicPr>
      </xdr:nvPicPr>
      <xdr:blipFill rotWithShape="1">
        <a:blip xmlns:r="http://schemas.openxmlformats.org/officeDocument/2006/relationships" r:embed="rId1"/>
        <a:srcRect l="21504" t="35554" r="20932" b="15623"/>
        <a:stretch/>
      </xdr:blipFill>
      <xdr:spPr>
        <a:xfrm>
          <a:off x="492125" y="26682700"/>
          <a:ext cx="6969125" cy="3463925"/>
        </a:xfrm>
        <a:prstGeom prst="rect">
          <a:avLst/>
        </a:prstGeom>
      </xdr:spPr>
    </xdr:pic>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69"/>
  <sheetViews>
    <sheetView tabSelected="1" topLeftCell="A33" zoomScaleNormal="100" workbookViewId="0">
      <selection activeCell="B49" sqref="B49"/>
    </sheetView>
  </sheetViews>
  <sheetFormatPr defaultRowHeight="14.5" x14ac:dyDescent="0.35"/>
  <cols>
    <col min="2" max="2" width="51" customWidth="1"/>
    <col min="3" max="3" width="14.81640625" bestFit="1" customWidth="1"/>
    <col min="8" max="8" width="9.90625" bestFit="1" customWidth="1"/>
  </cols>
  <sheetData>
    <row r="1" spans="1:5" x14ac:dyDescent="0.35">
      <c r="A1" s="1" t="s">
        <v>0</v>
      </c>
    </row>
    <row r="2" spans="1:5" x14ac:dyDescent="0.35">
      <c r="A2" s="2" t="s">
        <v>1</v>
      </c>
    </row>
    <row r="5" spans="1:5" x14ac:dyDescent="0.35">
      <c r="A5" s="3" t="s">
        <v>2</v>
      </c>
      <c r="B5" t="s">
        <v>3</v>
      </c>
      <c r="C5">
        <v>85</v>
      </c>
      <c r="D5" t="s">
        <v>4</v>
      </c>
    </row>
    <row r="6" spans="1:5" x14ac:dyDescent="0.35">
      <c r="B6" t="s">
        <v>5</v>
      </c>
      <c r="C6">
        <v>360</v>
      </c>
      <c r="D6" t="s">
        <v>4</v>
      </c>
    </row>
    <row r="8" spans="1:5" x14ac:dyDescent="0.35">
      <c r="B8" s="4" t="s">
        <v>6</v>
      </c>
      <c r="C8" s="5">
        <v>3.0550000000000001E-2</v>
      </c>
      <c r="D8" t="s">
        <v>21</v>
      </c>
    </row>
    <row r="9" spans="1:5" x14ac:dyDescent="0.35">
      <c r="B9" s="4" t="s">
        <v>7</v>
      </c>
      <c r="C9" s="5">
        <v>2.9499999999999998E-2</v>
      </c>
      <c r="D9" t="s">
        <v>21</v>
      </c>
    </row>
    <row r="10" spans="1:5" x14ac:dyDescent="0.35">
      <c r="B10" s="4"/>
      <c r="C10" s="5"/>
    </row>
    <row r="11" spans="1:5" x14ac:dyDescent="0.35">
      <c r="A11" t="s">
        <v>8</v>
      </c>
      <c r="B11" s="6" t="s">
        <v>9</v>
      </c>
      <c r="C11" s="5"/>
    </row>
    <row r="12" spans="1:5" x14ac:dyDescent="0.35">
      <c r="B12" s="4"/>
      <c r="C12" s="5"/>
    </row>
    <row r="13" spans="1:5" x14ac:dyDescent="0.35">
      <c r="B13" s="4" t="s">
        <v>10</v>
      </c>
      <c r="C13" s="7">
        <v>1000000</v>
      </c>
      <c r="D13" t="s">
        <v>11</v>
      </c>
    </row>
    <row r="14" spans="1:5" x14ac:dyDescent="0.35">
      <c r="B14" s="4" t="s">
        <v>13</v>
      </c>
      <c r="C14" s="8">
        <f>1-$C$5/$C$6*C8</f>
        <v>0.99278680555555554</v>
      </c>
      <c r="E14" t="s">
        <v>14</v>
      </c>
    </row>
    <row r="15" spans="1:5" x14ac:dyDescent="0.35">
      <c r="B15" s="4" t="s">
        <v>12</v>
      </c>
      <c r="C15" s="8">
        <f>1/(1+C8*$C$5/$C$6)</f>
        <v>0.99283846311363788</v>
      </c>
      <c r="E15" t="s">
        <v>15</v>
      </c>
    </row>
    <row r="16" spans="1:5" x14ac:dyDescent="0.35">
      <c r="B16" s="4"/>
      <c r="C16" s="5"/>
    </row>
    <row r="17" spans="1:5" x14ac:dyDescent="0.35">
      <c r="B17" s="4" t="s">
        <v>16</v>
      </c>
      <c r="C17" s="9">
        <f>C14*C13</f>
        <v>992786.8055555555</v>
      </c>
      <c r="D17" t="s">
        <v>11</v>
      </c>
    </row>
    <row r="18" spans="1:5" x14ac:dyDescent="0.35">
      <c r="B18" s="4"/>
      <c r="C18" s="9"/>
    </row>
    <row r="19" spans="1:5" x14ac:dyDescent="0.35">
      <c r="A19" t="s">
        <v>17</v>
      </c>
      <c r="B19" s="6" t="s">
        <v>18</v>
      </c>
    </row>
    <row r="21" spans="1:5" x14ac:dyDescent="0.35">
      <c r="B21" s="4" t="s">
        <v>10</v>
      </c>
      <c r="C21" s="7">
        <v>1000000</v>
      </c>
      <c r="D21" t="s">
        <v>11</v>
      </c>
    </row>
    <row r="22" spans="1:5" x14ac:dyDescent="0.35">
      <c r="B22" s="4" t="s">
        <v>13</v>
      </c>
      <c r="C22" s="8">
        <f>1-C5/C6*C9</f>
        <v>0.99303472222222222</v>
      </c>
      <c r="E22" t="s">
        <v>14</v>
      </c>
    </row>
    <row r="23" spans="1:5" x14ac:dyDescent="0.35">
      <c r="B23" s="4" t="s">
        <v>12</v>
      </c>
      <c r="C23" s="8">
        <f>1/(1+C9*$C$5/$C$6)</f>
        <v>0.99308290173306757</v>
      </c>
      <c r="E23" t="s">
        <v>15</v>
      </c>
    </row>
    <row r="25" spans="1:5" x14ac:dyDescent="0.35">
      <c r="B25" s="4" t="s">
        <v>16</v>
      </c>
      <c r="C25" s="9">
        <f>C22*C21</f>
        <v>993034.72222222225</v>
      </c>
      <c r="D25" t="s">
        <v>11</v>
      </c>
    </row>
    <row r="27" spans="1:5" x14ac:dyDescent="0.35">
      <c r="B27" s="6" t="s">
        <v>19</v>
      </c>
    </row>
    <row r="29" spans="1:5" x14ac:dyDescent="0.35">
      <c r="B29" t="s">
        <v>20</v>
      </c>
      <c r="C29" s="9">
        <f>C25-C17</f>
        <v>247.91666666674428</v>
      </c>
      <c r="D29" t="s">
        <v>11</v>
      </c>
    </row>
    <row r="31" spans="1:5" x14ac:dyDescent="0.35">
      <c r="A31" t="s">
        <v>22</v>
      </c>
      <c r="B31" t="s">
        <v>23</v>
      </c>
    </row>
    <row r="32" spans="1:5" x14ac:dyDescent="0.35">
      <c r="B32" t="s">
        <v>24</v>
      </c>
    </row>
    <row r="34" spans="1:3" x14ac:dyDescent="0.35">
      <c r="B34" t="s">
        <v>25</v>
      </c>
    </row>
    <row r="36" spans="1:3" x14ac:dyDescent="0.35">
      <c r="B36" t="s">
        <v>26</v>
      </c>
      <c r="C36" s="9">
        <f>-C25</f>
        <v>-993034.72222222225</v>
      </c>
    </row>
    <row r="37" spans="1:3" x14ac:dyDescent="0.35">
      <c r="B37" t="s">
        <v>27</v>
      </c>
      <c r="C37" s="9">
        <v>1000000</v>
      </c>
    </row>
    <row r="39" spans="1:3" x14ac:dyDescent="0.35">
      <c r="B39" t="s">
        <v>28</v>
      </c>
      <c r="C39" s="11">
        <f>(C37/(-C36))^(365/85)-1</f>
        <v>3.0469345005483817E-2</v>
      </c>
    </row>
    <row r="41" spans="1:3" x14ac:dyDescent="0.35">
      <c r="B41" t="s">
        <v>184</v>
      </c>
    </row>
    <row r="43" spans="1:3" x14ac:dyDescent="0.35">
      <c r="A43" t="s">
        <v>29</v>
      </c>
      <c r="B43" t="s">
        <v>30</v>
      </c>
    </row>
    <row r="45" spans="1:3" x14ac:dyDescent="0.35">
      <c r="B45" t="s">
        <v>31</v>
      </c>
      <c r="C45" s="8">
        <v>0.99</v>
      </c>
    </row>
    <row r="46" spans="1:3" x14ac:dyDescent="0.35">
      <c r="B46" t="s">
        <v>32</v>
      </c>
      <c r="C46" s="10">
        <f>(1-C45)*C6/C5</f>
        <v>4.2352941176470628E-2</v>
      </c>
    </row>
    <row r="48" spans="1:3" x14ac:dyDescent="0.35">
      <c r="B48" t="s">
        <v>185</v>
      </c>
    </row>
    <row r="50" spans="1:4" x14ac:dyDescent="0.35">
      <c r="A50" t="s">
        <v>33</v>
      </c>
      <c r="B50" t="s">
        <v>34</v>
      </c>
    </row>
    <row r="51" spans="1:4" x14ac:dyDescent="0.35">
      <c r="B51" t="s">
        <v>35</v>
      </c>
    </row>
    <row r="52" spans="1:4" x14ac:dyDescent="0.35">
      <c r="B52" t="s">
        <v>36</v>
      </c>
    </row>
    <row r="54" spans="1:4" x14ac:dyDescent="0.35">
      <c r="B54" t="s">
        <v>37</v>
      </c>
      <c r="C54">
        <f>C5-30</f>
        <v>55</v>
      </c>
      <c r="D54" t="s">
        <v>38</v>
      </c>
    </row>
    <row r="55" spans="1:4" x14ac:dyDescent="0.35">
      <c r="B55" t="s">
        <v>39</v>
      </c>
      <c r="C55" s="9">
        <f>C25</f>
        <v>993034.72222222225</v>
      </c>
      <c r="D55" t="s">
        <v>11</v>
      </c>
    </row>
    <row r="56" spans="1:4" x14ac:dyDescent="0.35">
      <c r="B56" t="s">
        <v>31</v>
      </c>
      <c r="C56" s="8">
        <f>C55/1000000</f>
        <v>0.99303472222222222</v>
      </c>
    </row>
    <row r="57" spans="1:4" x14ac:dyDescent="0.35">
      <c r="B57" t="s">
        <v>32</v>
      </c>
      <c r="C57" s="10">
        <f>(1-C56)*C6/C54</f>
        <v>4.5590909090909099E-2</v>
      </c>
    </row>
    <row r="59" spans="1:4" x14ac:dyDescent="0.35">
      <c r="B59" t="s">
        <v>40</v>
      </c>
    </row>
    <row r="62" spans="1:4" x14ac:dyDescent="0.35">
      <c r="A62" s="3" t="s">
        <v>46</v>
      </c>
      <c r="B62" s="13" t="s">
        <v>41</v>
      </c>
      <c r="C62">
        <v>3.05</v>
      </c>
      <c r="D62">
        <v>3.12</v>
      </c>
    </row>
    <row r="63" spans="1:4" x14ac:dyDescent="0.35">
      <c r="B63" s="13" t="s">
        <v>42</v>
      </c>
      <c r="C63">
        <v>3.2</v>
      </c>
      <c r="D63">
        <v>3.25</v>
      </c>
    </row>
    <row r="64" spans="1:4" x14ac:dyDescent="0.35">
      <c r="B64" s="13" t="s">
        <v>72</v>
      </c>
      <c r="C64">
        <v>3.7</v>
      </c>
      <c r="D64">
        <v>3.75</v>
      </c>
    </row>
    <row r="65" spans="1:4" x14ac:dyDescent="0.35">
      <c r="B65" s="13" t="s">
        <v>43</v>
      </c>
      <c r="C65">
        <v>3.25</v>
      </c>
      <c r="D65">
        <v>3.2</v>
      </c>
    </row>
    <row r="67" spans="1:4" x14ac:dyDescent="0.35">
      <c r="A67" t="s">
        <v>47</v>
      </c>
      <c r="B67" s="13" t="s">
        <v>48</v>
      </c>
    </row>
    <row r="68" spans="1:4" x14ac:dyDescent="0.35">
      <c r="B68" s="13" t="s">
        <v>49</v>
      </c>
      <c r="C68">
        <v>3</v>
      </c>
      <c r="D68" t="s">
        <v>4</v>
      </c>
    </row>
    <row r="69" spans="1:4" x14ac:dyDescent="0.35">
      <c r="B69" s="13" t="s">
        <v>50</v>
      </c>
      <c r="C69">
        <v>10000000</v>
      </c>
      <c r="D69" t="s">
        <v>11</v>
      </c>
    </row>
    <row r="70" spans="1:4" x14ac:dyDescent="0.35">
      <c r="B70" s="13" t="s">
        <v>51</v>
      </c>
      <c r="C70" s="15">
        <v>3.1199999999999999E-2</v>
      </c>
      <c r="D70" t="s">
        <v>52</v>
      </c>
    </row>
    <row r="72" spans="1:4" x14ac:dyDescent="0.35">
      <c r="A72" s="12"/>
      <c r="B72" s="13"/>
      <c r="C72" t="s">
        <v>53</v>
      </c>
    </row>
    <row r="73" spans="1:4" x14ac:dyDescent="0.35">
      <c r="B73" s="13" t="s">
        <v>54</v>
      </c>
      <c r="C73" s="9">
        <f>+C69</f>
        <v>10000000</v>
      </c>
      <c r="D73" t="s">
        <v>11</v>
      </c>
    </row>
    <row r="74" spans="1:4" x14ac:dyDescent="0.35">
      <c r="B74" s="13" t="s">
        <v>55</v>
      </c>
      <c r="C74" s="9">
        <f>-C73*(1+C68/360*C70)</f>
        <v>-10002600</v>
      </c>
      <c r="D74" t="s">
        <v>11</v>
      </c>
    </row>
    <row r="76" spans="1:4" x14ac:dyDescent="0.35">
      <c r="B76" t="s">
        <v>56</v>
      </c>
    </row>
    <row r="78" spans="1:4" x14ac:dyDescent="0.35">
      <c r="A78" t="s">
        <v>47</v>
      </c>
      <c r="B78" s="13" t="s">
        <v>49</v>
      </c>
      <c r="C78">
        <v>7</v>
      </c>
      <c r="D78" t="s">
        <v>4</v>
      </c>
    </row>
    <row r="79" spans="1:4" x14ac:dyDescent="0.35">
      <c r="B79" s="13" t="s">
        <v>50</v>
      </c>
      <c r="C79" s="9">
        <v>10000000</v>
      </c>
      <c r="D79" t="s">
        <v>11</v>
      </c>
    </row>
    <row r="80" spans="1:4" x14ac:dyDescent="0.35">
      <c r="B80" s="13" t="s">
        <v>51</v>
      </c>
      <c r="C80" s="15">
        <v>3.2000000000000001E-2</v>
      </c>
      <c r="D80" t="s">
        <v>57</v>
      </c>
    </row>
    <row r="82" spans="1:4" x14ac:dyDescent="0.35">
      <c r="B82" s="13"/>
      <c r="C82" t="s">
        <v>53</v>
      </c>
    </row>
    <row r="83" spans="1:4" x14ac:dyDescent="0.35">
      <c r="B83" s="13" t="s">
        <v>58</v>
      </c>
      <c r="C83" s="9">
        <f>-C79</f>
        <v>-10000000</v>
      </c>
      <c r="D83" t="s">
        <v>11</v>
      </c>
    </row>
    <row r="84" spans="1:4" x14ac:dyDescent="0.35">
      <c r="B84" s="13" t="s">
        <v>59</v>
      </c>
      <c r="C84" s="9">
        <f>-C83*(1+C78/360*C80)</f>
        <v>10006222.222222224</v>
      </c>
      <c r="D84" t="s">
        <v>11</v>
      </c>
    </row>
    <row r="86" spans="1:4" x14ac:dyDescent="0.35">
      <c r="B86" t="s">
        <v>60</v>
      </c>
    </row>
    <row r="87" spans="1:4" x14ac:dyDescent="0.35">
      <c r="B87" s="13" t="s">
        <v>61</v>
      </c>
    </row>
    <row r="88" spans="1:4" x14ac:dyDescent="0.35">
      <c r="B88" s="13" t="s">
        <v>62</v>
      </c>
    </row>
    <row r="89" spans="1:4" x14ac:dyDescent="0.35">
      <c r="B89" s="13" t="s">
        <v>64</v>
      </c>
    </row>
    <row r="90" spans="1:4" x14ac:dyDescent="0.35">
      <c r="B90" s="13" t="s">
        <v>63</v>
      </c>
    </row>
    <row r="91" spans="1:4" x14ac:dyDescent="0.35">
      <c r="D91" s="13"/>
    </row>
    <row r="92" spans="1:4" x14ac:dyDescent="0.35">
      <c r="A92" s="12" t="s">
        <v>68</v>
      </c>
    </row>
    <row r="94" spans="1:4" x14ac:dyDescent="0.35">
      <c r="B94" t="s">
        <v>69</v>
      </c>
    </row>
    <row r="95" spans="1:4" x14ac:dyDescent="0.35">
      <c r="B95" t="s">
        <v>65</v>
      </c>
    </row>
    <row r="96" spans="1:4" x14ac:dyDescent="0.35">
      <c r="B96" t="s">
        <v>66</v>
      </c>
    </row>
    <row r="97" spans="1:5" x14ac:dyDescent="0.35">
      <c r="B97" t="s">
        <v>67</v>
      </c>
    </row>
    <row r="99" spans="1:5" x14ac:dyDescent="0.35">
      <c r="B99" t="s">
        <v>70</v>
      </c>
    </row>
    <row r="100" spans="1:5" x14ac:dyDescent="0.35">
      <c r="B100" t="s">
        <v>71</v>
      </c>
      <c r="C100">
        <v>3.75</v>
      </c>
    </row>
    <row r="101" spans="1:5" x14ac:dyDescent="0.35">
      <c r="B101" t="s">
        <v>73</v>
      </c>
      <c r="C101">
        <v>3.25</v>
      </c>
    </row>
    <row r="102" spans="1:5" x14ac:dyDescent="0.35">
      <c r="B102" t="s">
        <v>74</v>
      </c>
      <c r="C102">
        <f>(C100-C101)*100</f>
        <v>50</v>
      </c>
      <c r="D102" t="s">
        <v>75</v>
      </c>
    </row>
    <row r="104" spans="1:5" x14ac:dyDescent="0.35">
      <c r="A104" s="12" t="s">
        <v>76</v>
      </c>
    </row>
    <row r="106" spans="1:5" x14ac:dyDescent="0.35">
      <c r="B106" t="s">
        <v>78</v>
      </c>
      <c r="C106">
        <v>90</v>
      </c>
      <c r="D106" t="s">
        <v>4</v>
      </c>
    </row>
    <row r="107" spans="1:5" x14ac:dyDescent="0.35">
      <c r="B107" t="s">
        <v>77</v>
      </c>
      <c r="C107" s="9">
        <v>10000000</v>
      </c>
      <c r="D107" t="s">
        <v>11</v>
      </c>
    </row>
    <row r="108" spans="1:5" x14ac:dyDescent="0.35">
      <c r="B108" t="s">
        <v>80</v>
      </c>
      <c r="C108" s="15">
        <v>3.2500000000000001E-2</v>
      </c>
    </row>
    <row r="109" spans="1:5" x14ac:dyDescent="0.35">
      <c r="B109" t="s">
        <v>79</v>
      </c>
      <c r="C109" s="9">
        <f>C107*(1-C106/360*C108)</f>
        <v>9918750</v>
      </c>
      <c r="D109" t="s">
        <v>11</v>
      </c>
    </row>
    <row r="110" spans="1:5" x14ac:dyDescent="0.35">
      <c r="B110" t="s">
        <v>84</v>
      </c>
      <c r="C110" s="9">
        <v>10000000</v>
      </c>
      <c r="D110" t="s">
        <v>11</v>
      </c>
      <c r="E110" t="s">
        <v>85</v>
      </c>
    </row>
    <row r="113" spans="1:8" x14ac:dyDescent="0.35">
      <c r="B113" t="s">
        <v>86</v>
      </c>
      <c r="C113" s="15"/>
    </row>
    <row r="114" spans="1:8" x14ac:dyDescent="0.35">
      <c r="B114" t="s">
        <v>87</v>
      </c>
    </row>
    <row r="116" spans="1:8" x14ac:dyDescent="0.35">
      <c r="B116" t="s">
        <v>83</v>
      </c>
      <c r="C116" s="15">
        <v>3.6999999999999998E-2</v>
      </c>
    </row>
    <row r="117" spans="1:8" x14ac:dyDescent="0.35">
      <c r="B117" t="s">
        <v>81</v>
      </c>
      <c r="C117" s="9">
        <f>-C109</f>
        <v>-9918750</v>
      </c>
      <c r="D117" t="s">
        <v>11</v>
      </c>
      <c r="H117" s="16"/>
    </row>
    <row r="118" spans="1:8" x14ac:dyDescent="0.35">
      <c r="B118" t="s">
        <v>82</v>
      </c>
      <c r="C118" s="9">
        <f>-C117*(1+C116*90/360)</f>
        <v>10010498.4375</v>
      </c>
      <c r="D118" t="s">
        <v>11</v>
      </c>
      <c r="H118" s="16"/>
    </row>
    <row r="120" spans="1:8" x14ac:dyDescent="0.35">
      <c r="B120" t="s">
        <v>88</v>
      </c>
      <c r="C120" s="9">
        <f>C118-C110</f>
        <v>10498.4375</v>
      </c>
      <c r="D120" t="s">
        <v>11</v>
      </c>
    </row>
    <row r="121" spans="1:8" x14ac:dyDescent="0.35">
      <c r="C121" s="9"/>
    </row>
    <row r="122" spans="1:8" x14ac:dyDescent="0.35">
      <c r="B122" t="s">
        <v>100</v>
      </c>
      <c r="C122" s="9"/>
    </row>
    <row r="123" spans="1:8" x14ac:dyDescent="0.35">
      <c r="B123" t="s">
        <v>99</v>
      </c>
      <c r="C123" s="9"/>
    </row>
    <row r="124" spans="1:8" x14ac:dyDescent="0.35">
      <c r="C124" s="9"/>
    </row>
    <row r="125" spans="1:8" x14ac:dyDescent="0.35">
      <c r="C125" s="9"/>
    </row>
    <row r="126" spans="1:8" x14ac:dyDescent="0.35">
      <c r="A126" s="14"/>
    </row>
    <row r="127" spans="1:8" x14ac:dyDescent="0.35">
      <c r="A127" s="12" t="s">
        <v>44</v>
      </c>
    </row>
    <row r="128" spans="1:8" x14ac:dyDescent="0.35">
      <c r="A128" s="12"/>
    </row>
    <row r="129" spans="1:2" x14ac:dyDescent="0.35">
      <c r="A129" s="12"/>
      <c r="B129" t="s">
        <v>89</v>
      </c>
    </row>
    <row r="130" spans="1:2" x14ac:dyDescent="0.35">
      <c r="A130" s="12"/>
      <c r="B130" t="s">
        <v>91</v>
      </c>
    </row>
    <row r="131" spans="1:2" x14ac:dyDescent="0.35">
      <c r="A131" s="12"/>
      <c r="B131" t="s">
        <v>90</v>
      </c>
    </row>
    <row r="132" spans="1:2" x14ac:dyDescent="0.35">
      <c r="A132" s="12"/>
    </row>
    <row r="133" spans="1:2" x14ac:dyDescent="0.35">
      <c r="A133" s="12" t="s">
        <v>45</v>
      </c>
    </row>
    <row r="135" spans="1:2" x14ac:dyDescent="0.35">
      <c r="B135" t="s">
        <v>94</v>
      </c>
    </row>
    <row r="136" spans="1:2" x14ac:dyDescent="0.35">
      <c r="B136" t="s">
        <v>93</v>
      </c>
    </row>
    <row r="137" spans="1:2" x14ac:dyDescent="0.35">
      <c r="B137" t="s">
        <v>92</v>
      </c>
    </row>
    <row r="139" spans="1:2" x14ac:dyDescent="0.35">
      <c r="B139" t="s">
        <v>96</v>
      </c>
    </row>
    <row r="142" spans="1:2" x14ac:dyDescent="0.35">
      <c r="A142" s="12" t="s">
        <v>95</v>
      </c>
    </row>
    <row r="144" spans="1:2" x14ac:dyDescent="0.35">
      <c r="B144" t="s">
        <v>97</v>
      </c>
    </row>
    <row r="145" spans="2:2" x14ac:dyDescent="0.35">
      <c r="B145" s="12" t="s">
        <v>98</v>
      </c>
    </row>
    <row r="166" spans="1:4" x14ac:dyDescent="0.35">
      <c r="A166" s="12" t="s">
        <v>101</v>
      </c>
      <c r="B166" t="s">
        <v>104</v>
      </c>
      <c r="C166" s="9">
        <v>2000000</v>
      </c>
      <c r="D166" t="s">
        <v>11</v>
      </c>
    </row>
    <row r="167" spans="1:4" x14ac:dyDescent="0.35">
      <c r="B167" t="s">
        <v>103</v>
      </c>
      <c r="C167" s="15">
        <v>0.93869999999999998</v>
      </c>
      <c r="D167" t="s">
        <v>102</v>
      </c>
    </row>
    <row r="168" spans="1:4" x14ac:dyDescent="0.35">
      <c r="B168" t="s">
        <v>105</v>
      </c>
      <c r="C168" s="15">
        <v>1.9E-3</v>
      </c>
    </row>
    <row r="169" spans="1:4" x14ac:dyDescent="0.35">
      <c r="B169" t="s">
        <v>106</v>
      </c>
      <c r="C169" s="15">
        <f>C167+C168</f>
        <v>0.94059999999999999</v>
      </c>
    </row>
    <row r="170" spans="1:4" x14ac:dyDescent="0.35">
      <c r="B170" t="s">
        <v>107</v>
      </c>
      <c r="C170" s="9">
        <f>C169*C166</f>
        <v>1881200</v>
      </c>
      <c r="D170" t="s">
        <v>11</v>
      </c>
    </row>
    <row r="172" spans="1:4" x14ac:dyDescent="0.35">
      <c r="A172" s="12" t="s">
        <v>101</v>
      </c>
      <c r="B172" t="s">
        <v>106</v>
      </c>
      <c r="C172" s="15">
        <f>C169</f>
        <v>0.94059999999999999</v>
      </c>
    </row>
    <row r="173" spans="1:4" x14ac:dyDescent="0.35">
      <c r="B173" t="s">
        <v>108</v>
      </c>
      <c r="C173" s="9">
        <v>1000000</v>
      </c>
      <c r="D173" t="s">
        <v>11</v>
      </c>
    </row>
    <row r="174" spans="1:4" x14ac:dyDescent="0.35">
      <c r="B174" t="s">
        <v>109</v>
      </c>
      <c r="C174" s="9">
        <f>C173/C172</f>
        <v>1063151.18009781</v>
      </c>
      <c r="D174" t="s">
        <v>11</v>
      </c>
    </row>
    <row r="175" spans="1:4" x14ac:dyDescent="0.35">
      <c r="C175" s="15"/>
    </row>
    <row r="176" spans="1:4" x14ac:dyDescent="0.35">
      <c r="B176" t="s">
        <v>110</v>
      </c>
      <c r="C176" s="9"/>
    </row>
    <row r="178" spans="1:5" x14ac:dyDescent="0.35">
      <c r="A178" s="12" t="s">
        <v>111</v>
      </c>
      <c r="B178" t="s">
        <v>112</v>
      </c>
    </row>
    <row r="180" spans="1:5" x14ac:dyDescent="0.35">
      <c r="B180" t="s">
        <v>114</v>
      </c>
      <c r="C180" s="15">
        <v>3.1399999999999997E-2</v>
      </c>
    </row>
    <row r="181" spans="1:5" x14ac:dyDescent="0.35">
      <c r="B181" t="s">
        <v>115</v>
      </c>
      <c r="C181" s="15">
        <f>C180+150/10000</f>
        <v>4.6399999999999997E-2</v>
      </c>
    </row>
    <row r="182" spans="1:5" x14ac:dyDescent="0.35">
      <c r="B182" t="s">
        <v>116</v>
      </c>
      <c r="C182">
        <v>30</v>
      </c>
      <c r="D182" t="s">
        <v>4</v>
      </c>
    </row>
    <row r="184" spans="1:5" x14ac:dyDescent="0.35">
      <c r="C184" t="s">
        <v>53</v>
      </c>
    </row>
    <row r="185" spans="1:5" x14ac:dyDescent="0.35">
      <c r="B185" t="s">
        <v>58</v>
      </c>
      <c r="C185" s="9">
        <v>1000000</v>
      </c>
      <c r="D185" t="s">
        <v>11</v>
      </c>
    </row>
    <row r="186" spans="1:5" x14ac:dyDescent="0.35">
      <c r="B186" t="s">
        <v>113</v>
      </c>
      <c r="C186" s="9">
        <f>-C185*(1+C182/360*C181)</f>
        <v>-1003866.6666666666</v>
      </c>
      <c r="D186" t="s">
        <v>11</v>
      </c>
    </row>
    <row r="187" spans="1:5" x14ac:dyDescent="0.35">
      <c r="C187" s="9"/>
    </row>
    <row r="188" spans="1:5" x14ac:dyDescent="0.35">
      <c r="B188" t="s">
        <v>117</v>
      </c>
      <c r="C188" s="9">
        <f>C186+C185</f>
        <v>-3866.6666666666279</v>
      </c>
      <c r="D188" t="s">
        <v>11</v>
      </c>
    </row>
    <row r="190" spans="1:5" x14ac:dyDescent="0.35">
      <c r="A190" s="12" t="s">
        <v>118</v>
      </c>
      <c r="B190" t="s">
        <v>106</v>
      </c>
      <c r="C190" s="15">
        <f>C169</f>
        <v>0.94059999999999999</v>
      </c>
    </row>
    <row r="191" spans="1:5" x14ac:dyDescent="0.35">
      <c r="B191" t="s">
        <v>119</v>
      </c>
      <c r="C191" s="17">
        <v>0.1</v>
      </c>
    </row>
    <row r="192" spans="1:5" x14ac:dyDescent="0.35">
      <c r="B192" t="s">
        <v>130</v>
      </c>
      <c r="C192" s="15">
        <f>C190-C191</f>
        <v>0.84060000000000001</v>
      </c>
      <c r="E192" s="18" t="s">
        <v>126</v>
      </c>
    </row>
    <row r="193" spans="2:5" x14ac:dyDescent="0.35">
      <c r="B193" t="s">
        <v>108</v>
      </c>
      <c r="C193" s="9">
        <v>1000000</v>
      </c>
      <c r="D193" t="s">
        <v>11</v>
      </c>
    </row>
    <row r="194" spans="2:5" x14ac:dyDescent="0.35">
      <c r="B194" t="s">
        <v>109</v>
      </c>
      <c r="C194" s="9">
        <f>C193/C192</f>
        <v>1189626.4572924101</v>
      </c>
      <c r="D194" t="s">
        <v>11</v>
      </c>
    </row>
    <row r="195" spans="2:5" x14ac:dyDescent="0.35">
      <c r="B195" t="s">
        <v>120</v>
      </c>
      <c r="C195" s="9">
        <v>1190000</v>
      </c>
      <c r="D195" t="s">
        <v>11</v>
      </c>
    </row>
    <row r="197" spans="2:5" x14ac:dyDescent="0.35">
      <c r="B197" t="s">
        <v>121</v>
      </c>
    </row>
    <row r="198" spans="2:5" x14ac:dyDescent="0.35">
      <c r="B198" t="s">
        <v>122</v>
      </c>
    </row>
    <row r="199" spans="2:5" x14ac:dyDescent="0.35">
      <c r="B199" t="s">
        <v>123</v>
      </c>
    </row>
    <row r="201" spans="2:5" x14ac:dyDescent="0.35">
      <c r="B201" t="s">
        <v>114</v>
      </c>
      <c r="C201" s="15">
        <v>3.1399999999999997E-2</v>
      </c>
    </row>
    <row r="202" spans="2:5" x14ac:dyDescent="0.35">
      <c r="B202" t="s">
        <v>124</v>
      </c>
      <c r="C202" s="15">
        <f>C201+25/10000</f>
        <v>3.39E-2</v>
      </c>
    </row>
    <row r="203" spans="2:5" x14ac:dyDescent="0.35">
      <c r="B203" t="s">
        <v>116</v>
      </c>
      <c r="C203">
        <v>30</v>
      </c>
      <c r="D203" t="s">
        <v>4</v>
      </c>
    </row>
    <row r="205" spans="2:5" x14ac:dyDescent="0.35">
      <c r="B205" t="s">
        <v>129</v>
      </c>
      <c r="C205" s="15">
        <f>C192*(1+C202*C203/360)</f>
        <v>0.84297469500000011</v>
      </c>
      <c r="E205" s="18" t="s">
        <v>125</v>
      </c>
    </row>
    <row r="206" spans="2:5" x14ac:dyDescent="0.35">
      <c r="B206" t="s">
        <v>128</v>
      </c>
    </row>
    <row r="208" spans="2:5" x14ac:dyDescent="0.35">
      <c r="C208" t="s">
        <v>53</v>
      </c>
    </row>
    <row r="209" spans="1:4" x14ac:dyDescent="0.35">
      <c r="B209" t="s">
        <v>58</v>
      </c>
      <c r="C209" s="9">
        <f>C195*C192</f>
        <v>1000314</v>
      </c>
    </row>
    <row r="210" spans="1:4" x14ac:dyDescent="0.35">
      <c r="B210" t="s">
        <v>127</v>
      </c>
      <c r="C210" s="9">
        <f>-C205*C195</f>
        <v>-1003139.8870500001</v>
      </c>
    </row>
    <row r="212" spans="1:4" x14ac:dyDescent="0.35">
      <c r="B212" t="s">
        <v>131</v>
      </c>
    </row>
    <row r="213" spans="1:4" x14ac:dyDescent="0.35">
      <c r="B213" t="s">
        <v>132</v>
      </c>
      <c r="C213" s="9">
        <f>C209+C210</f>
        <v>-2825.8870500001358</v>
      </c>
    </row>
    <row r="215" spans="1:4" x14ac:dyDescent="0.35">
      <c r="A215" s="12" t="s">
        <v>133</v>
      </c>
      <c r="B215" t="s">
        <v>134</v>
      </c>
      <c r="D215" t="s">
        <v>136</v>
      </c>
    </row>
    <row r="216" spans="1:4" x14ac:dyDescent="0.35">
      <c r="B216" t="s">
        <v>135</v>
      </c>
      <c r="D216" t="s">
        <v>137</v>
      </c>
    </row>
    <row r="218" spans="1:4" x14ac:dyDescent="0.35">
      <c r="A218" s="12" t="s">
        <v>138</v>
      </c>
      <c r="B218" t="s">
        <v>139</v>
      </c>
    </row>
    <row r="219" spans="1:4" x14ac:dyDescent="0.35">
      <c r="B219" t="s">
        <v>140</v>
      </c>
    </row>
    <row r="220" spans="1:4" x14ac:dyDescent="0.35">
      <c r="B220" t="s">
        <v>141</v>
      </c>
    </row>
    <row r="221" spans="1:4" x14ac:dyDescent="0.35">
      <c r="B221" t="s">
        <v>142</v>
      </c>
    </row>
    <row r="223" spans="1:4" x14ac:dyDescent="0.35">
      <c r="A223" t="s">
        <v>143</v>
      </c>
      <c r="B223" t="s">
        <v>146</v>
      </c>
      <c r="C223" s="8">
        <v>0.73343700000000001</v>
      </c>
      <c r="D223" s="8">
        <v>0.73375000000000001</v>
      </c>
    </row>
    <row r="224" spans="1:4" x14ac:dyDescent="0.35">
      <c r="B224" t="s">
        <v>144</v>
      </c>
      <c r="C224" s="15">
        <v>2.2499999999999999E-2</v>
      </c>
    </row>
    <row r="225" spans="1:4" x14ac:dyDescent="0.35">
      <c r="B225" t="s">
        <v>145</v>
      </c>
      <c r="C225" s="15">
        <f>C224/2</f>
        <v>1.125E-2</v>
      </c>
    </row>
    <row r="226" spans="1:4" x14ac:dyDescent="0.35">
      <c r="B226" t="s">
        <v>147</v>
      </c>
      <c r="C226">
        <v>46</v>
      </c>
      <c r="D226" t="s">
        <v>4</v>
      </c>
    </row>
    <row r="227" spans="1:4" x14ac:dyDescent="0.35">
      <c r="B227" t="s">
        <v>148</v>
      </c>
      <c r="C227" s="15">
        <f>C224*C226/365</f>
        <v>2.8356164383561643E-3</v>
      </c>
    </row>
    <row r="228" spans="1:4" x14ac:dyDescent="0.35">
      <c r="B228" t="s">
        <v>149</v>
      </c>
      <c r="C228" s="8">
        <f>C223+$C$227</f>
        <v>0.73627261643835618</v>
      </c>
      <c r="D228" s="8">
        <f>D223+$C$227</f>
        <v>0.73658561643835618</v>
      </c>
    </row>
    <row r="230" spans="1:4" x14ac:dyDescent="0.35">
      <c r="A230" t="s">
        <v>150</v>
      </c>
      <c r="B230" t="s">
        <v>153</v>
      </c>
      <c r="C230" s="15">
        <f>C225</f>
        <v>1.125E-2</v>
      </c>
    </row>
    <row r="231" spans="1:4" x14ac:dyDescent="0.35">
      <c r="B231" t="s">
        <v>151</v>
      </c>
      <c r="C231" s="9">
        <v>1000000</v>
      </c>
      <c r="D231" t="s">
        <v>11</v>
      </c>
    </row>
    <row r="232" spans="1:4" x14ac:dyDescent="0.35">
      <c r="B232" t="s">
        <v>152</v>
      </c>
      <c r="C232" s="9">
        <f>C231*C230</f>
        <v>11250</v>
      </c>
      <c r="D232" t="s">
        <v>11</v>
      </c>
    </row>
    <row r="234" spans="1:4" x14ac:dyDescent="0.35">
      <c r="A234" t="s">
        <v>156</v>
      </c>
      <c r="B234" t="s">
        <v>155</v>
      </c>
      <c r="C234" s="15">
        <v>4.2320000000000003E-2</v>
      </c>
    </row>
    <row r="235" spans="1:4" x14ac:dyDescent="0.35">
      <c r="B235" t="s">
        <v>154</v>
      </c>
      <c r="C235" s="15">
        <f>C234+50/10000</f>
        <v>4.7320000000000001E-2</v>
      </c>
    </row>
    <row r="236" spans="1:4" x14ac:dyDescent="0.35">
      <c r="B236" t="s">
        <v>157</v>
      </c>
      <c r="C236" s="9">
        <v>1000000</v>
      </c>
      <c r="D236" t="s">
        <v>11</v>
      </c>
    </row>
    <row r="237" spans="1:4" x14ac:dyDescent="0.35">
      <c r="B237" t="s">
        <v>158</v>
      </c>
      <c r="C237" s="8">
        <f>C228</f>
        <v>0.73627261643835618</v>
      </c>
    </row>
    <row r="238" spans="1:4" x14ac:dyDescent="0.35">
      <c r="B238" t="s">
        <v>170</v>
      </c>
      <c r="C238" s="9">
        <f>C236*C237</f>
        <v>736272.61643835623</v>
      </c>
      <c r="D238" t="s">
        <v>11</v>
      </c>
    </row>
    <row r="239" spans="1:4" x14ac:dyDescent="0.35">
      <c r="B239" t="s">
        <v>159</v>
      </c>
      <c r="C239" s="17">
        <v>0.2</v>
      </c>
    </row>
    <row r="240" spans="1:4" x14ac:dyDescent="0.35">
      <c r="B240" t="s">
        <v>160</v>
      </c>
      <c r="C240" s="8">
        <f>C237-C239</f>
        <v>0.53627261643835622</v>
      </c>
    </row>
    <row r="242" spans="2:5" x14ac:dyDescent="0.35">
      <c r="B242" t="s">
        <v>165</v>
      </c>
      <c r="C242" s="16">
        <v>44834</v>
      </c>
    </row>
    <row r="243" spans="2:5" x14ac:dyDescent="0.35">
      <c r="B243" t="s">
        <v>164</v>
      </c>
      <c r="C243" s="16">
        <v>44972</v>
      </c>
    </row>
    <row r="244" spans="2:5" x14ac:dyDescent="0.35">
      <c r="B244" t="s">
        <v>162</v>
      </c>
      <c r="C244" s="16">
        <f>C242+180</f>
        <v>45014</v>
      </c>
    </row>
    <row r="245" spans="2:5" x14ac:dyDescent="0.35">
      <c r="B245" t="s">
        <v>163</v>
      </c>
      <c r="C245">
        <f>C243-C242</f>
        <v>138</v>
      </c>
      <c r="D245" t="s">
        <v>4</v>
      </c>
    </row>
    <row r="246" spans="2:5" x14ac:dyDescent="0.35">
      <c r="B246" t="s">
        <v>169</v>
      </c>
      <c r="C246">
        <f>C244-C242</f>
        <v>180</v>
      </c>
      <c r="D246" t="s">
        <v>4</v>
      </c>
    </row>
    <row r="248" spans="2:5" x14ac:dyDescent="0.35">
      <c r="B248" t="s">
        <v>161</v>
      </c>
      <c r="C248" s="9">
        <f>C232</f>
        <v>11250</v>
      </c>
      <c r="D248" t="s">
        <v>11</v>
      </c>
    </row>
    <row r="249" spans="2:5" x14ac:dyDescent="0.35">
      <c r="B249" t="s">
        <v>166</v>
      </c>
      <c r="C249">
        <f>C248/(1+C235*C245/360)</f>
        <v>11049.568199244504</v>
      </c>
      <c r="D249" t="s">
        <v>11</v>
      </c>
    </row>
    <row r="251" spans="2:5" x14ac:dyDescent="0.35">
      <c r="B251" t="s">
        <v>168</v>
      </c>
      <c r="C251" s="19">
        <f>C236*C240</f>
        <v>536272.61643835623</v>
      </c>
      <c r="D251" t="s">
        <v>11</v>
      </c>
    </row>
    <row r="252" spans="2:5" x14ac:dyDescent="0.35">
      <c r="B252" t="s">
        <v>167</v>
      </c>
      <c r="C252" s="19">
        <f>-(C251-C249)*(1+C235*180/360)</f>
        <v>-537649.82556044904</v>
      </c>
      <c r="D252" t="s">
        <v>11</v>
      </c>
    </row>
    <row r="254" spans="2:5" x14ac:dyDescent="0.35">
      <c r="B254" t="s">
        <v>174</v>
      </c>
      <c r="C254" s="19">
        <f>C251+C252</f>
        <v>-1377.2091220928123</v>
      </c>
      <c r="D254" t="s">
        <v>11</v>
      </c>
    </row>
    <row r="255" spans="2:5" x14ac:dyDescent="0.35">
      <c r="B255" t="s">
        <v>173</v>
      </c>
      <c r="C255" s="19">
        <f>-C248*(1+C235*(C246-C245)/360)</f>
        <v>-11312.1075</v>
      </c>
      <c r="D255" t="s">
        <v>11</v>
      </c>
      <c r="E255" t="s">
        <v>175</v>
      </c>
    </row>
    <row r="256" spans="2:5" x14ac:dyDescent="0.35">
      <c r="B256" t="s">
        <v>176</v>
      </c>
      <c r="C256" s="19">
        <f>C254+C255</f>
        <v>-12689.316622092812</v>
      </c>
      <c r="D256" t="s">
        <v>11</v>
      </c>
    </row>
    <row r="257" spans="1:3" x14ac:dyDescent="0.35">
      <c r="C257" s="19"/>
    </row>
    <row r="259" spans="1:3" x14ac:dyDescent="0.35">
      <c r="B259" t="s">
        <v>171</v>
      </c>
    </row>
    <row r="260" spans="1:3" x14ac:dyDescent="0.35">
      <c r="B260" t="s">
        <v>172</v>
      </c>
    </row>
    <row r="261" spans="1:3" x14ac:dyDescent="0.35">
      <c r="B261" t="s">
        <v>177</v>
      </c>
    </row>
    <row r="263" spans="1:3" x14ac:dyDescent="0.35">
      <c r="B263" t="s">
        <v>183</v>
      </c>
    </row>
    <row r="266" spans="1:3" x14ac:dyDescent="0.35">
      <c r="A266" t="s">
        <v>178</v>
      </c>
      <c r="B266" t="s">
        <v>179</v>
      </c>
    </row>
    <row r="267" spans="1:3" x14ac:dyDescent="0.35">
      <c r="B267" t="s">
        <v>180</v>
      </c>
    </row>
    <row r="268" spans="1:3" x14ac:dyDescent="0.35">
      <c r="B268" t="s">
        <v>181</v>
      </c>
    </row>
    <row r="269" spans="1:3" x14ac:dyDescent="0.35">
      <c r="B269" t="s">
        <v>182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Munka1</vt:lpstr>
      <vt:lpstr>Munka2</vt:lpstr>
      <vt:lpstr>Munka3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2022-10-01T08:49:49Z</dcterms:created>
  <dcterms:modified xsi:type="dcterms:W3CDTF">2023-09-16T12:45:10Z</dcterms:modified>
</cp:coreProperties>
</file>