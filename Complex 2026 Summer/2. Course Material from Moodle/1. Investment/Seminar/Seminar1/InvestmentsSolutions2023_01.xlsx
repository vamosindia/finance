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rle\Desktop\Investments\First week\Saját verzió\"/>
    </mc:Choice>
  </mc:AlternateContent>
  <xr:revisionPtr revIDLastSave="0" documentId="13_ncr:1_{22EBC7AF-62C3-47BA-86EA-ADCD09CA6B7D}" xr6:coauthVersionLast="47" xr6:coauthVersionMax="47" xr10:uidLastSave="{00000000-0000-0000-0000-000000000000}"/>
  <bookViews>
    <workbookView xWindow="-110" yWindow="-110" windowWidth="19420" windowHeight="10300" activeTab="7" xr2:uid="{00000000-000D-0000-FFFF-FFFF00000000}"/>
  </bookViews>
  <sheets>
    <sheet name="1." sheetId="27" r:id="rId1"/>
    <sheet name="2." sheetId="20" r:id="rId2"/>
    <sheet name="3." sheetId="19" r:id="rId3"/>
    <sheet name="4." sheetId="29" r:id="rId4"/>
    <sheet name="5." sheetId="18" r:id="rId5"/>
    <sheet name="6." sheetId="21" r:id="rId6"/>
    <sheet name="7." sheetId="15" r:id="rId7"/>
    <sheet name="8." sheetId="28" r:id="rId8"/>
    <sheet name="9." sheetId="2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9" l="1"/>
  <c r="B6" i="28"/>
  <c r="B10" i="28" s="1"/>
  <c r="F15" i="28" s="1"/>
  <c r="D29" i="20"/>
  <c r="D26" i="20"/>
  <c r="B8" i="27"/>
  <c r="B10" i="18"/>
  <c r="B9" i="19"/>
  <c r="C11" i="20"/>
  <c r="C12" i="20"/>
  <c r="C10" i="20"/>
  <c r="B10" i="20"/>
  <c r="B11" i="20" s="1"/>
  <c r="B6" i="22"/>
  <c r="B20" i="22" s="1"/>
  <c r="B5" i="21"/>
  <c r="B9" i="21" s="1"/>
  <c r="B6" i="18"/>
  <c r="B6" i="19"/>
  <c r="J33" i="15"/>
  <c r="J34" i="15" s="1"/>
  <c r="J14" i="15"/>
  <c r="J15" i="15" s="1"/>
  <c r="J21" i="15" s="1"/>
  <c r="J39" i="15"/>
  <c r="B29" i="15"/>
  <c r="J43" i="15" s="1"/>
  <c r="J20" i="15"/>
  <c r="B10" i="15"/>
  <c r="J24" i="15" s="1"/>
  <c r="J22" i="15" l="1"/>
  <c r="J23" i="15" s="1"/>
  <c r="J35" i="15"/>
  <c r="J40" i="15"/>
  <c r="J41" i="15" s="1"/>
  <c r="J42" i="15" s="1"/>
  <c r="D11" i="20"/>
  <c r="B12" i="20"/>
  <c r="D12" i="20" s="1"/>
  <c r="B10" i="22"/>
  <c r="D10" i="20"/>
  <c r="J16" i="15"/>
  <c r="D15" i="20" l="1"/>
  <c r="D21" i="20" s="1"/>
</calcChain>
</file>

<file path=xl/sharedStrings.xml><?xml version="1.0" encoding="utf-8"?>
<sst xmlns="http://schemas.openxmlformats.org/spreadsheetml/2006/main" count="239" uniqueCount="130">
  <si>
    <t>T</t>
  </si>
  <si>
    <t>Face value</t>
  </si>
  <si>
    <t>Arbitrage-free forward price</t>
  </si>
  <si>
    <t>Arbitrage  strategy</t>
  </si>
  <si>
    <t>$</t>
  </si>
  <si>
    <t xml:space="preserve">6-month contract with $32 delivery price </t>
  </si>
  <si>
    <t>long postion in the underlying asset (LU)</t>
  </si>
  <si>
    <t>interest rate is 5% with continous compounding</t>
  </si>
  <si>
    <t>sum</t>
  </si>
  <si>
    <t>paying off the loan</t>
  </si>
  <si>
    <t xml:space="preserve">close the forward position </t>
  </si>
  <si>
    <t>Arbitrage profit</t>
  </si>
  <si>
    <t>If the market forward price is different from the arbitrage-free price you can earn a risk-free arbitrage profit</t>
  </si>
  <si>
    <t>The arbitrage profit will be equal with the market and arbitrage-free price difference</t>
  </si>
  <si>
    <t>Price difference</t>
  </si>
  <si>
    <t>short postion in the underlying asset (SU)</t>
  </si>
  <si>
    <t xml:space="preserve">6-month contract with $28 delivery price </t>
  </si>
  <si>
    <t>buy the undelying asset on the delivery price</t>
  </si>
  <si>
    <t>get back the lent money</t>
  </si>
  <si>
    <t>Portfolio</t>
  </si>
  <si>
    <t>LF(0,5) = LU + SB(0,5)</t>
  </si>
  <si>
    <t xml:space="preserve">Payoff </t>
  </si>
  <si>
    <t>Long forward contract replication</t>
  </si>
  <si>
    <t>Face value of the short bond</t>
  </si>
  <si>
    <t>Short forward contract replication</t>
  </si>
  <si>
    <t>SF(0,5) = SU + LB(0,5)</t>
  </si>
  <si>
    <t>risk-free $2,76</t>
  </si>
  <si>
    <t>Face value of the long bond</t>
  </si>
  <si>
    <t>SF(6 months, K=$28) +   LF(6 months, K=$30,76)</t>
  </si>
  <si>
    <t xml:space="preserve"> $30*exp(0,5*5%)</t>
  </si>
  <si>
    <t xml:space="preserve">  $30*exp(0,5*5%)</t>
  </si>
  <si>
    <t>LF(6 months, K=$28) +  SF(6 months, K=$30,76)</t>
  </si>
  <si>
    <t>S(0)</t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</si>
  <si>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0,5</t>
    </r>
    <r>
      <rPr>
        <sz val="11"/>
        <color theme="1"/>
        <rFont val="Calibri"/>
        <family val="2"/>
        <charset val="238"/>
        <scheme val="minor"/>
      </rPr>
      <t>(0)</t>
    </r>
  </si>
  <si>
    <r>
      <t>F</t>
    </r>
    <r>
      <rPr>
        <vertAlign val="superscript"/>
        <sz val="11"/>
        <color theme="1"/>
        <rFont val="Calibri"/>
        <family val="2"/>
        <charset val="238"/>
        <scheme val="minor"/>
      </rPr>
      <t>m</t>
    </r>
    <r>
      <rPr>
        <vertAlign val="subscript"/>
        <sz val="11"/>
        <color theme="1"/>
        <rFont val="Calibri"/>
        <family val="2"/>
        <charset val="238"/>
        <scheme val="minor"/>
      </rPr>
      <t>0,5</t>
    </r>
    <r>
      <rPr>
        <sz val="11"/>
        <color theme="1"/>
        <rFont val="Calibri"/>
        <family val="2"/>
        <charset val="238"/>
        <scheme val="minor"/>
      </rPr>
      <t>(0)</t>
    </r>
  </si>
  <si>
    <t>CF(0)</t>
  </si>
  <si>
    <t>CF(0,5)</t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</si>
  <si>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0,33</t>
    </r>
    <r>
      <rPr>
        <sz val="11"/>
        <color theme="1"/>
        <rFont val="Calibri"/>
        <family val="2"/>
        <charset val="238"/>
        <scheme val="minor"/>
      </rPr>
      <t>(0)</t>
    </r>
  </si>
  <si>
    <t>(in years)</t>
  </si>
  <si>
    <t>continous compounding</t>
  </si>
  <si>
    <t>dividend yield with continous compounding</t>
  </si>
  <si>
    <t>Implied interest rate</t>
  </si>
  <si>
    <t>If the implied interest rate is different from the risk-free interest rate you can earn a risk-free arbitrage profit</t>
  </si>
  <si>
    <t>borrow money for 6 months (SB(0,5))</t>
  </si>
  <si>
    <t>lend money for 6 months (LB(0,5))</t>
  </si>
  <si>
    <t>borrow money for 4 months (SB(0,33))</t>
  </si>
  <si>
    <r>
      <rPr>
        <b/>
        <sz val="11"/>
        <color rgb="FFFF0000"/>
        <rFont val="Calibri"/>
        <family val="2"/>
        <charset val="238"/>
        <scheme val="minor"/>
      </rPr>
      <t>short foward (SF(0,33))</t>
    </r>
    <r>
      <rPr>
        <sz val="11"/>
        <color theme="1"/>
        <rFont val="Calibri"/>
        <family val="2"/>
        <charset val="238"/>
        <scheme val="minor"/>
      </rPr>
      <t xml:space="preserve"> </t>
    </r>
  </si>
  <si>
    <t>lend money for four months at 7,73% - replicate a long bond position with the underlying asset and the forward contract</t>
  </si>
  <si>
    <t>lend money and earn the implied interest rate</t>
  </si>
  <si>
    <t>risk free interest rate</t>
  </si>
  <si>
    <t xml:space="preserve">short foward (SF(0,33)) </t>
  </si>
  <si>
    <t>stock price will increase</t>
  </si>
  <si>
    <t>forward price will decrease</t>
  </si>
  <si>
    <t xml:space="preserve">bond price will decrease </t>
  </si>
  <si>
    <t>r will increase</t>
  </si>
  <si>
    <t>i will increase</t>
  </si>
  <si>
    <t>consequence of the arbitrage strategy: the difference will eliminated by the arbitrage traders</t>
  </si>
  <si>
    <t>dollar per euro</t>
  </si>
  <si>
    <t>Implied EUR interest rate</t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</si>
  <si>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0,17</t>
    </r>
    <r>
      <rPr>
        <sz val="11"/>
        <color theme="1"/>
        <rFont val="Calibri"/>
        <family val="2"/>
        <charset val="238"/>
        <scheme val="minor"/>
      </rPr>
      <t>(0)</t>
    </r>
  </si>
  <si>
    <t xml:space="preserve">lend USD </t>
  </si>
  <si>
    <t xml:space="preserve">EUR </t>
  </si>
  <si>
    <t>base currency</t>
  </si>
  <si>
    <t>USD</t>
  </si>
  <si>
    <t>quote currency</t>
  </si>
  <si>
    <t>CHF</t>
  </si>
  <si>
    <t xml:space="preserve">long foward (LF(0,17)) </t>
  </si>
  <si>
    <t>borrow CHF</t>
  </si>
  <si>
    <t>borrow money for 4 months at 6%</t>
  </si>
  <si>
    <t>sell CHF today (buy USD)</t>
  </si>
  <si>
    <t>buy CHF (sell USD) at delivary date</t>
  </si>
  <si>
    <t xml:space="preserve">borrow money - in the underlying asset - for 2 months (SB(0,17)) </t>
  </si>
  <si>
    <t>lend money -in quote currency - for 2 months (SB(0,17))</t>
  </si>
  <si>
    <t>If the implied interest rate for the underlying asset (base currency) is different from the risk-free interest rate you can earn a risk-free arbitrage profit</t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</si>
  <si>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</t>
    </r>
  </si>
  <si>
    <t>borrow CHF at 1% and lend this money with a replication - sell today+lend USD+buy back later - at 2%</t>
  </si>
  <si>
    <t>T - t</t>
  </si>
  <si>
    <t>r(0)</t>
  </si>
  <si>
    <t>q(0)</t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</si>
  <si>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USD</t>
    </r>
    <r>
      <rPr>
        <sz val="11"/>
        <color theme="1"/>
        <rFont val="Calibri"/>
        <family val="2"/>
        <charset val="238"/>
        <scheme val="minor"/>
      </rPr>
      <t>(0)</t>
    </r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</si>
  <si>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CHF</t>
    </r>
    <r>
      <rPr>
        <sz val="11"/>
        <color theme="1"/>
        <rFont val="Calibri"/>
        <family val="2"/>
        <charset val="238"/>
        <scheme val="minor"/>
      </rPr>
      <t>(0)</t>
    </r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</si>
  <si>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</t>
    </r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</si>
  <si>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CHFUSD</t>
    </r>
    <r>
      <rPr>
        <sz val="11"/>
        <color theme="1"/>
        <rFont val="Calibri"/>
        <family val="2"/>
        <scheme val="minor"/>
      </rPr>
      <t>(0)</t>
    </r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</si>
  <si>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EURUSD</t>
    </r>
    <r>
      <rPr>
        <sz val="11"/>
        <color theme="1"/>
        <rFont val="Calibri"/>
        <family val="2"/>
        <scheme val="minor"/>
      </rPr>
      <t>(0)</t>
    </r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</si>
  <si>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3</t>
    </r>
    <r>
      <rPr>
        <sz val="11"/>
        <color theme="1"/>
        <rFont val="Calibri"/>
        <family val="2"/>
        <charset val="238"/>
        <scheme val="minor"/>
      </rPr>
      <t>(0)</t>
    </r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</si>
  <si>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(0)</t>
    </r>
  </si>
  <si>
    <t>k</t>
  </si>
  <si>
    <t>CF</t>
  </si>
  <si>
    <t>DF</t>
  </si>
  <si>
    <t>Present value of the income during life of forward contract</t>
  </si>
  <si>
    <t>i(0)</t>
  </si>
  <si>
    <r>
      <t>i</t>
    </r>
    <r>
      <rPr>
        <vertAlign val="subscript"/>
        <sz val="11"/>
        <color theme="1"/>
        <rFont val="Calibri"/>
        <family val="2"/>
        <charset val="238"/>
        <scheme val="minor"/>
      </rPr>
      <t>EUR</t>
    </r>
    <r>
      <rPr>
        <sz val="11"/>
        <color theme="1"/>
        <rFont val="Calibri"/>
        <family val="2"/>
        <charset val="238"/>
        <scheme val="minor"/>
      </rPr>
      <t>(0)</t>
    </r>
  </si>
  <si>
    <r>
      <t>i</t>
    </r>
    <r>
      <rPr>
        <vertAlign val="subscript"/>
        <sz val="11"/>
        <color rgb="FF7030A0"/>
        <rFont val="Calibri"/>
        <family val="2"/>
        <charset val="238"/>
        <scheme val="minor"/>
      </rPr>
      <t>CHF</t>
    </r>
    <r>
      <rPr>
        <sz val="11"/>
        <color rgb="FF7030A0"/>
        <rFont val="Calibri"/>
        <family val="2"/>
        <charset val="238"/>
        <scheme val="minor"/>
      </rPr>
      <t>(0)</t>
    </r>
  </si>
  <si>
    <r>
      <t>F</t>
    </r>
    <r>
      <rPr>
        <vertAlign val="superscript"/>
        <sz val="11"/>
        <color theme="1"/>
        <rFont val="Calibri"/>
        <family val="2"/>
        <charset val="238"/>
        <scheme val="minor"/>
      </rPr>
      <t>m</t>
    </r>
    <r>
      <rPr>
        <vertAlign val="subscript"/>
        <sz val="11"/>
        <color theme="1"/>
        <rFont val="Calibri"/>
        <family val="2"/>
        <charset val="238"/>
        <scheme val="minor"/>
      </rPr>
      <t>0,17</t>
    </r>
    <r>
      <rPr>
        <sz val="11"/>
        <color theme="1"/>
        <rFont val="Calibri"/>
        <family val="2"/>
        <charset val="238"/>
        <scheme val="minor"/>
      </rPr>
      <t>(0)</t>
    </r>
  </si>
  <si>
    <t>If the arbitrage free forward price is different from the market price then there is arbitrage</t>
  </si>
  <si>
    <t>domestic currency</t>
  </si>
  <si>
    <t>foreign currency</t>
  </si>
  <si>
    <r>
      <t>short forward (SF(0,5))</t>
    </r>
    <r>
      <rPr>
        <sz val="11"/>
        <color theme="1"/>
        <rFont val="Calibri"/>
        <family val="2"/>
        <charset val="238"/>
        <scheme val="minor"/>
      </rPr>
      <t xml:space="preserve"> </t>
    </r>
  </si>
  <si>
    <t>sell the underlying asset on the delivery price</t>
  </si>
  <si>
    <r>
      <t>long forward (LF(0,5))</t>
    </r>
    <r>
      <rPr>
        <sz val="11"/>
        <color theme="1"/>
        <rFont val="Calibri"/>
        <family val="2"/>
        <charset val="238"/>
        <scheme val="minor"/>
      </rPr>
      <t xml:space="preserve"> </t>
    </r>
  </si>
  <si>
    <t>PV(arb profit)</t>
  </si>
  <si>
    <t>PV(CF)</t>
  </si>
  <si>
    <t>underlying asset - foreign currency - CHF</t>
  </si>
  <si>
    <t>the CF of money lending is equal with the CF of a short bond position</t>
  </si>
  <si>
    <t>the CF of money borrowing is equal with the CF of a short bond position</t>
  </si>
  <si>
    <t>a) if delivery is right before the first year coupon payment?</t>
  </si>
  <si>
    <t>b) if delivery is right after the first year coupon payment?</t>
  </si>
  <si>
    <t>Second solution:</t>
  </si>
  <si>
    <t>same concept as Problem 5!</t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</si>
  <si>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AUDUSD</t>
    </r>
    <r>
      <rPr>
        <sz val="11"/>
        <color theme="1"/>
        <rFont val="Calibri"/>
        <family val="2"/>
        <scheme val="minor"/>
      </rPr>
      <t>(0)</t>
    </r>
  </si>
  <si>
    <t>AUD</t>
  </si>
  <si>
    <t>US dollar per AUD dollar</t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</si>
  <si>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AUD</t>
    </r>
    <r>
      <rPr>
        <sz val="11"/>
        <color theme="1"/>
        <rFont val="Calibri"/>
        <family val="2"/>
        <charset val="238"/>
        <scheme val="minor"/>
      </rPr>
      <t>(0)</t>
    </r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</si>
  <si>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(0)</t>
    </r>
  </si>
  <si>
    <t>the price of one stand from the base currency if the other currency</t>
  </si>
  <si>
    <t>secondary currency</t>
  </si>
  <si>
    <t>if the secondary currencies yield is higher, the forward price will be higher than the spot price</t>
  </si>
  <si>
    <t>inverz quoting at this case!</t>
  </si>
  <si>
    <t>+CF</t>
  </si>
  <si>
    <t>-CF*exp(r*T)</t>
  </si>
  <si>
    <t>it's the face value of the bond</t>
  </si>
  <si>
    <t>-CF</t>
  </si>
  <si>
    <t>+CF*exp(r*T)</t>
  </si>
  <si>
    <t>replicate a long forward with other assets</t>
  </si>
  <si>
    <t>LF(T) = LU + SB(T)</t>
  </si>
  <si>
    <t>SF(T) = SU + LB(T)</t>
  </si>
  <si>
    <t>SB(T) = LU + LF(T)</t>
  </si>
  <si>
    <t>replicate a short bond with other assets</t>
  </si>
  <si>
    <t>replicate a long bond with other assets</t>
  </si>
  <si>
    <t>LB(T) = SU + SF(T)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</si>
</sst>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%"/>
  </numFmts>
  <fonts count="1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rgb="FF7030A0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b/>
      <sz val="12"/>
      <color rgb="FF00B05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sz val="12"/>
      <color theme="1"/>
      <name val="Times New Roman"/>
      <family val="1"/>
      <charset val="238"/>
    </font>
    <font>
      <sz val="11"/>
      <color rgb="FF7030A0"/>
      <name val="Calibri"/>
      <family val="2"/>
      <scheme val="minor"/>
    </font>
    <font>
      <sz val="11"/>
      <name val="Calibri"/>
      <family val="2"/>
      <charset val="238"/>
      <scheme val="minor"/>
    </font>
    <font>
      <vertAlign val="subscript"/>
      <sz val="11"/>
      <color rgb="FF7030A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9" fontId="0" fillId="2" borderId="0" xfId="0" applyNumberFormat="1" applyFill="1" applyAlignment="1">
      <alignment horizontal="center"/>
    </xf>
    <xf numFmtId="0" fontId="1" fillId="2" borderId="0" xfId="1" applyFill="1" applyAlignment="1">
      <alignment horizontal="center"/>
    </xf>
    <xf numFmtId="9" fontId="1" fillId="2" borderId="0" xfId="1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0" fontId="2" fillId="3" borderId="0" xfId="2" applyNumberFormat="1" applyFont="1" applyFill="1" applyAlignment="1">
      <alignment horizontal="center"/>
    </xf>
    <xf numFmtId="164" fontId="0" fillId="0" borderId="0" xfId="0" applyNumberFormat="1"/>
    <xf numFmtId="0" fontId="3" fillId="0" borderId="0" xfId="0" applyFont="1"/>
    <xf numFmtId="0" fontId="2" fillId="0" borderId="0" xfId="0" applyFont="1"/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1" applyFont="1" applyAlignment="1">
      <alignment horizontal="center"/>
    </xf>
    <xf numFmtId="9" fontId="1" fillId="0" borderId="0" xfId="1" applyNumberForma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2" fontId="2" fillId="3" borderId="0" xfId="2" applyNumberFormat="1" applyFont="1" applyFill="1" applyAlignment="1">
      <alignment horizontal="center"/>
    </xf>
    <xf numFmtId="0" fontId="2" fillId="0" borderId="0" xfId="0" applyFont="1" applyAlignment="1">
      <alignment horizontal="left"/>
    </xf>
    <xf numFmtId="0" fontId="9" fillId="0" borderId="0" xfId="0" applyFont="1"/>
    <xf numFmtId="0" fontId="0" fillId="0" borderId="0" xfId="0" quotePrefix="1" applyAlignment="1">
      <alignment horizontal="center"/>
    </xf>
    <xf numFmtId="0" fontId="0" fillId="0" borderId="1" xfId="0" applyBorder="1" applyAlignment="1">
      <alignment horizontal="center"/>
    </xf>
    <xf numFmtId="2" fontId="2" fillId="3" borderId="1" xfId="2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10" fontId="0" fillId="0" borderId="0" xfId="0" applyNumberFormat="1"/>
    <xf numFmtId="1" fontId="1" fillId="2" borderId="0" xfId="1" applyNumberFormat="1" applyFill="1" applyAlignment="1">
      <alignment horizontal="center"/>
    </xf>
    <xf numFmtId="0" fontId="10" fillId="0" borderId="0" xfId="1" applyFont="1" applyAlignment="1">
      <alignment horizontal="left"/>
    </xf>
    <xf numFmtId="9" fontId="0" fillId="0" borderId="0" xfId="0" applyNumberFormat="1"/>
    <xf numFmtId="2" fontId="1" fillId="2" borderId="0" xfId="1" applyNumberFormat="1" applyFill="1" applyAlignment="1">
      <alignment horizontal="center"/>
    </xf>
    <xf numFmtId="165" fontId="1" fillId="2" borderId="0" xfId="1" applyNumberFormat="1" applyFill="1" applyAlignment="1">
      <alignment horizontal="center"/>
    </xf>
    <xf numFmtId="2" fontId="2" fillId="3" borderId="0" xfId="2" applyNumberFormat="1" applyFont="1" applyFill="1" applyAlignment="1">
      <alignment horizontal="left"/>
    </xf>
    <xf numFmtId="2" fontId="2" fillId="0" borderId="0" xfId="2" applyNumberFormat="1" applyFont="1" applyFill="1" applyAlignment="1">
      <alignment horizontal="left"/>
    </xf>
    <xf numFmtId="166" fontId="2" fillId="3" borderId="0" xfId="2" applyNumberFormat="1" applyFont="1" applyFill="1" applyAlignment="1">
      <alignment horizontal="left"/>
    </xf>
    <xf numFmtId="0" fontId="11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66" fontId="3" fillId="0" borderId="0" xfId="2" applyNumberFormat="1" applyFont="1" applyFill="1" applyAlignment="1">
      <alignment horizontal="center"/>
    </xf>
    <xf numFmtId="0" fontId="3" fillId="0" borderId="0" xfId="0" applyFont="1" applyAlignment="1">
      <alignment horizontal="left"/>
    </xf>
    <xf numFmtId="2" fontId="2" fillId="3" borderId="0" xfId="0" applyNumberFormat="1" applyFont="1" applyFill="1" applyAlignment="1">
      <alignment horizontal="center" vertical="center"/>
    </xf>
    <xf numFmtId="2" fontId="2" fillId="0" borderId="1" xfId="2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2" fontId="2" fillId="0" borderId="0" xfId="2" applyNumberFormat="1" applyFont="1" applyFill="1" applyAlignment="1">
      <alignment horizontal="center"/>
    </xf>
    <xf numFmtId="9" fontId="0" fillId="2" borderId="0" xfId="0" applyNumberFormat="1" applyFill="1" applyAlignment="1">
      <alignment horizontal="left"/>
    </xf>
    <xf numFmtId="0" fontId="0" fillId="2" borderId="0" xfId="0" applyFill="1"/>
    <xf numFmtId="0" fontId="11" fillId="0" borderId="0" xfId="0" applyFont="1"/>
    <xf numFmtId="2" fontId="11" fillId="0" borderId="0" xfId="2" applyNumberFormat="1" applyFont="1" applyFill="1" applyAlignment="1">
      <alignment horizontal="center"/>
    </xf>
    <xf numFmtId="166" fontId="2" fillId="0" borderId="0" xfId="2" applyNumberFormat="1" applyFont="1" applyFill="1" applyAlignment="1">
      <alignment horizontal="left"/>
    </xf>
    <xf numFmtId="166" fontId="3" fillId="0" borderId="0" xfId="2" applyNumberFormat="1" applyFont="1" applyFill="1" applyAlignment="1">
      <alignment horizontal="left"/>
    </xf>
    <xf numFmtId="10" fontId="11" fillId="0" borderId="0" xfId="2" applyNumberFormat="1" applyFont="1" applyFill="1" applyAlignment="1">
      <alignment horizontal="center"/>
    </xf>
    <xf numFmtId="165" fontId="2" fillId="3" borderId="0" xfId="2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quotePrefix="1" applyFont="1" applyAlignment="1">
      <alignment horizontal="center"/>
    </xf>
  </cellXfs>
  <cellStyles count="3">
    <cellStyle name="Normál" xfId="0" builtinId="0"/>
    <cellStyle name="Normál 2" xfId="1" xr:uid="{00000000-0005-0000-0000-000001000000}"/>
    <cellStyle name="Százalék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65FD0-852C-43DB-86CB-1D29079A877E}">
  <dimension ref="A1:O43"/>
  <sheetViews>
    <sheetView workbookViewId="0">
      <selection activeCell="H9" sqref="H9"/>
    </sheetView>
  </sheetViews>
  <sheetFormatPr defaultRowHeight="14.5" x14ac:dyDescent="0.35"/>
  <cols>
    <col min="1" max="1" width="9.81640625" customWidth="1"/>
    <col min="2" max="3" width="9.1796875" customWidth="1"/>
    <col min="4" max="4" width="10" customWidth="1"/>
    <col min="9" max="9" width="14.453125" customWidth="1"/>
  </cols>
  <sheetData>
    <row r="1" spans="1:15" ht="15.5" x14ac:dyDescent="0.35">
      <c r="C1" s="18"/>
      <c r="E1" s="17"/>
    </row>
    <row r="2" spans="1:15" x14ac:dyDescent="0.35">
      <c r="A2" s="6"/>
    </row>
    <row r="3" spans="1:15" ht="15.5" x14ac:dyDescent="0.35">
      <c r="A3" s="2" t="s">
        <v>32</v>
      </c>
      <c r="B3" s="4">
        <v>30</v>
      </c>
      <c r="C3" s="22" t="s">
        <v>4</v>
      </c>
    </row>
    <row r="4" spans="1:15" x14ac:dyDescent="0.35">
      <c r="A4" s="2" t="s">
        <v>77</v>
      </c>
      <c r="B4" s="5">
        <v>0.05</v>
      </c>
      <c r="C4" t="s">
        <v>39</v>
      </c>
    </row>
    <row r="5" spans="1:15" x14ac:dyDescent="0.35">
      <c r="A5" s="6" t="s">
        <v>76</v>
      </c>
      <c r="B5" s="7">
        <v>0.5</v>
      </c>
      <c r="C5" s="6" t="s">
        <v>38</v>
      </c>
    </row>
    <row r="6" spans="1:15" x14ac:dyDescent="0.35">
      <c r="A6" s="6"/>
      <c r="B6" s="6"/>
      <c r="C6" s="6"/>
    </row>
    <row r="7" spans="1:15" x14ac:dyDescent="0.35">
      <c r="B7" s="11" t="s">
        <v>2</v>
      </c>
      <c r="C7" s="19"/>
      <c r="D7" s="19"/>
      <c r="F7" s="19"/>
    </row>
    <row r="8" spans="1:15" ht="16.5" x14ac:dyDescent="0.45">
      <c r="A8" t="s">
        <v>33</v>
      </c>
      <c r="B8" s="20">
        <f>B3*EXP(B5*B4)</f>
        <v>30.759453615732866</v>
      </c>
      <c r="C8" s="22" t="s">
        <v>4</v>
      </c>
    </row>
    <row r="10" spans="1:15" ht="15.5" x14ac:dyDescent="0.35">
      <c r="B10" s="2"/>
      <c r="C10" s="22"/>
      <c r="E10" s="2"/>
      <c r="F10" s="2"/>
      <c r="G10" s="2"/>
      <c r="H10" s="1"/>
      <c r="J10" s="10"/>
    </row>
    <row r="11" spans="1:15" x14ac:dyDescent="0.35">
      <c r="B11" s="6"/>
      <c r="C11" s="6"/>
      <c r="E11" s="2"/>
      <c r="F11" s="6"/>
      <c r="G11" s="12"/>
      <c r="H11" s="13"/>
    </row>
    <row r="12" spans="1:15" x14ac:dyDescent="0.35">
      <c r="B12" s="34"/>
      <c r="C12" s="34"/>
      <c r="D12" s="34"/>
      <c r="E12" s="34"/>
      <c r="J12" s="6"/>
    </row>
    <row r="13" spans="1:15" x14ac:dyDescent="0.35">
      <c r="B13" s="34"/>
      <c r="C13" s="34"/>
      <c r="D13" s="34"/>
      <c r="E13" s="34"/>
      <c r="H13" s="15"/>
      <c r="J13" s="6"/>
      <c r="L13" s="10"/>
      <c r="O13" s="10"/>
    </row>
    <row r="14" spans="1:15" x14ac:dyDescent="0.35">
      <c r="B14" s="34"/>
      <c r="C14" s="34"/>
      <c r="D14" s="34"/>
      <c r="E14" s="34"/>
      <c r="H14" s="14"/>
      <c r="J14" s="23"/>
      <c r="L14" s="10"/>
      <c r="O14" s="10"/>
    </row>
    <row r="15" spans="1:15" x14ac:dyDescent="0.35">
      <c r="B15" s="34"/>
      <c r="C15" s="34"/>
      <c r="D15" s="34"/>
      <c r="E15" s="34"/>
      <c r="J15" s="6"/>
      <c r="L15" s="10"/>
      <c r="O15" s="10"/>
    </row>
    <row r="16" spans="1:15" x14ac:dyDescent="0.35">
      <c r="B16" s="6"/>
      <c r="J16" s="24"/>
      <c r="L16" s="10"/>
      <c r="O16" s="10"/>
    </row>
    <row r="17" spans="2:15" x14ac:dyDescent="0.35">
      <c r="B17" s="6"/>
      <c r="C17" s="9"/>
    </row>
    <row r="18" spans="2:15" x14ac:dyDescent="0.35">
      <c r="B18" s="10"/>
    </row>
    <row r="19" spans="2:15" x14ac:dyDescent="0.35">
      <c r="B19" s="6"/>
      <c r="C19" s="9"/>
      <c r="J19" s="6"/>
    </row>
    <row r="20" spans="2:15" x14ac:dyDescent="0.35">
      <c r="B20" s="6"/>
      <c r="C20" s="9"/>
      <c r="J20" s="6"/>
    </row>
    <row r="21" spans="2:15" x14ac:dyDescent="0.35">
      <c r="J21" s="6"/>
    </row>
    <row r="22" spans="2:15" x14ac:dyDescent="0.35">
      <c r="I22" s="11"/>
      <c r="J22" s="42"/>
    </row>
    <row r="23" spans="2:15" x14ac:dyDescent="0.35">
      <c r="I23" s="11"/>
      <c r="J23" s="43"/>
      <c r="L23" s="10"/>
    </row>
    <row r="24" spans="2:15" x14ac:dyDescent="0.35">
      <c r="J24" s="13"/>
      <c r="L24" s="10"/>
    </row>
    <row r="26" spans="2:15" x14ac:dyDescent="0.35">
      <c r="B26" s="11"/>
      <c r="C26" s="19"/>
      <c r="D26" s="19"/>
      <c r="F26" s="19"/>
    </row>
    <row r="27" spans="2:15" ht="15.5" x14ac:dyDescent="0.35">
      <c r="B27" s="44"/>
      <c r="C27" s="22"/>
    </row>
    <row r="29" spans="2:15" ht="15.5" x14ac:dyDescent="0.35">
      <c r="B29" s="2"/>
      <c r="C29" s="22"/>
      <c r="E29" s="2"/>
      <c r="F29" s="2"/>
      <c r="G29" s="2"/>
      <c r="H29" s="1"/>
      <c r="J29" s="10"/>
    </row>
    <row r="30" spans="2:15" x14ac:dyDescent="0.35">
      <c r="B30" s="6"/>
      <c r="C30" s="6"/>
      <c r="E30" s="2"/>
      <c r="F30" s="6"/>
      <c r="G30" s="12"/>
      <c r="H30" s="13"/>
    </row>
    <row r="31" spans="2:15" x14ac:dyDescent="0.35">
      <c r="B31" s="34"/>
      <c r="C31" s="34"/>
      <c r="D31" s="34"/>
      <c r="E31" s="34"/>
      <c r="J31" s="6"/>
    </row>
    <row r="32" spans="2:15" x14ac:dyDescent="0.35">
      <c r="B32" s="34"/>
      <c r="C32" s="34"/>
      <c r="D32" s="34"/>
      <c r="E32" s="34"/>
      <c r="H32" s="15"/>
      <c r="J32" s="6"/>
      <c r="L32" s="10"/>
      <c r="O32" s="10"/>
    </row>
    <row r="33" spans="2:15" x14ac:dyDescent="0.35">
      <c r="B33" s="34"/>
      <c r="C33" s="34"/>
      <c r="D33" s="34"/>
      <c r="E33" s="34"/>
      <c r="H33" s="14"/>
      <c r="J33" s="23"/>
      <c r="L33" s="10"/>
      <c r="O33" s="10"/>
    </row>
    <row r="34" spans="2:15" x14ac:dyDescent="0.35">
      <c r="B34" s="34"/>
      <c r="C34" s="34"/>
      <c r="D34" s="34"/>
      <c r="E34" s="34"/>
      <c r="J34" s="6"/>
      <c r="L34" s="10"/>
      <c r="O34" s="10"/>
    </row>
    <row r="35" spans="2:15" x14ac:dyDescent="0.35">
      <c r="B35" s="6"/>
      <c r="J35" s="24"/>
      <c r="L35" s="10"/>
      <c r="O35" s="10"/>
    </row>
    <row r="36" spans="2:15" x14ac:dyDescent="0.35">
      <c r="B36" s="6"/>
      <c r="C36" s="9"/>
    </row>
    <row r="37" spans="2:15" x14ac:dyDescent="0.35">
      <c r="B37" s="10"/>
    </row>
    <row r="38" spans="2:15" x14ac:dyDescent="0.35">
      <c r="B38" s="6"/>
      <c r="C38" s="9"/>
      <c r="J38" s="6"/>
    </row>
    <row r="39" spans="2:15" x14ac:dyDescent="0.35">
      <c r="B39" s="6"/>
      <c r="C39" s="9"/>
      <c r="J39" s="6"/>
    </row>
    <row r="40" spans="2:15" x14ac:dyDescent="0.35">
      <c r="J40" s="6"/>
    </row>
    <row r="41" spans="2:15" x14ac:dyDescent="0.35">
      <c r="I41" s="11"/>
      <c r="J41" s="42"/>
    </row>
    <row r="42" spans="2:15" x14ac:dyDescent="0.35">
      <c r="I42" s="11"/>
      <c r="J42" s="43"/>
      <c r="L42" s="10"/>
    </row>
    <row r="43" spans="2:15" x14ac:dyDescent="0.35">
      <c r="J43" s="13"/>
      <c r="L43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workbookViewId="0">
      <selection activeCell="C1" sqref="C1"/>
    </sheetView>
  </sheetViews>
  <sheetFormatPr defaultRowHeight="14.5" x14ac:dyDescent="0.35"/>
  <sheetData>
    <row r="1" spans="1:6" ht="15.5" x14ac:dyDescent="0.35">
      <c r="C1" s="18"/>
    </row>
    <row r="3" spans="1:6" ht="16.5" x14ac:dyDescent="0.45">
      <c r="A3" s="6" t="s">
        <v>81</v>
      </c>
      <c r="B3" s="3">
        <v>0.8</v>
      </c>
      <c r="C3" s="6" t="s">
        <v>0</v>
      </c>
      <c r="D3" s="1" t="s">
        <v>1</v>
      </c>
      <c r="E3" s="6" t="s">
        <v>86</v>
      </c>
    </row>
    <row r="4" spans="1:6" ht="16.5" x14ac:dyDescent="0.45">
      <c r="A4" s="6" t="s">
        <v>85</v>
      </c>
      <c r="B4" s="3">
        <v>0.7</v>
      </c>
      <c r="C4" s="7">
        <v>3</v>
      </c>
      <c r="D4" s="4">
        <v>1000</v>
      </c>
      <c r="E4" s="3">
        <v>0.1</v>
      </c>
    </row>
    <row r="5" spans="1:6" ht="16.5" x14ac:dyDescent="0.45">
      <c r="A5" s="6" t="s">
        <v>84</v>
      </c>
      <c r="B5" s="3">
        <v>0.6</v>
      </c>
    </row>
    <row r="6" spans="1:6" ht="16.5" x14ac:dyDescent="0.45">
      <c r="A6" s="6"/>
      <c r="B6" s="37"/>
    </row>
    <row r="7" spans="1:6" x14ac:dyDescent="0.35">
      <c r="A7" s="45" t="s">
        <v>105</v>
      </c>
      <c r="B7" s="46"/>
      <c r="C7" s="46"/>
      <c r="D7" s="46"/>
      <c r="E7" s="46"/>
      <c r="F7" s="46"/>
    </row>
    <row r="9" spans="1:6" x14ac:dyDescent="0.35">
      <c r="B9" s="36" t="s">
        <v>87</v>
      </c>
      <c r="C9" s="6" t="s">
        <v>88</v>
      </c>
      <c r="D9" t="s">
        <v>101</v>
      </c>
    </row>
    <row r="10" spans="1:6" x14ac:dyDescent="0.35">
      <c r="A10" s="6">
        <v>1</v>
      </c>
      <c r="B10" s="6">
        <f>D4*E4</f>
        <v>100</v>
      </c>
      <c r="C10" s="37">
        <f>B3</f>
        <v>0.8</v>
      </c>
      <c r="D10" s="6">
        <f>B10*C10</f>
        <v>80</v>
      </c>
    </row>
    <row r="11" spans="1:6" x14ac:dyDescent="0.35">
      <c r="A11" s="6">
        <v>2</v>
      </c>
      <c r="B11" s="6">
        <f>B10</f>
        <v>100</v>
      </c>
      <c r="C11" s="37">
        <f>B4</f>
        <v>0.7</v>
      </c>
      <c r="D11" s="6">
        <f t="shared" ref="D11:D12" si="0">B11*C11</f>
        <v>70</v>
      </c>
    </row>
    <row r="12" spans="1:6" x14ac:dyDescent="0.35">
      <c r="A12" s="6">
        <v>3</v>
      </c>
      <c r="B12" s="6">
        <f>B11+D4</f>
        <v>1100</v>
      </c>
      <c r="C12" s="37">
        <f>B5</f>
        <v>0.6</v>
      </c>
      <c r="D12" s="6">
        <f t="shared" si="0"/>
        <v>660</v>
      </c>
    </row>
    <row r="13" spans="1:6" x14ac:dyDescent="0.35">
      <c r="B13" s="6"/>
      <c r="C13" s="6"/>
      <c r="D13" s="6"/>
    </row>
    <row r="14" spans="1:6" x14ac:dyDescent="0.35">
      <c r="B14" s="6"/>
      <c r="C14" s="6"/>
      <c r="D14" s="2" t="s">
        <v>32</v>
      </c>
    </row>
    <row r="15" spans="1:6" x14ac:dyDescent="0.35">
      <c r="B15" s="6"/>
      <c r="C15" s="6"/>
      <c r="D15" s="6">
        <f>SUM(D10:D12)</f>
        <v>810</v>
      </c>
    </row>
    <row r="17" spans="1:6" x14ac:dyDescent="0.35">
      <c r="D17" t="s">
        <v>89</v>
      </c>
    </row>
    <row r="18" spans="1:6" x14ac:dyDescent="0.35">
      <c r="D18" s="6">
        <v>0</v>
      </c>
    </row>
    <row r="20" spans="1:6" x14ac:dyDescent="0.35">
      <c r="D20" s="11" t="s">
        <v>2</v>
      </c>
    </row>
    <row r="21" spans="1:6" ht="16.5" x14ac:dyDescent="0.45">
      <c r="C21" t="s">
        <v>74</v>
      </c>
      <c r="D21" s="20">
        <f>(D15-D18)/B3</f>
        <v>1012.5</v>
      </c>
      <c r="E21" s="22" t="s">
        <v>4</v>
      </c>
    </row>
    <row r="23" spans="1:6" x14ac:dyDescent="0.35">
      <c r="A23" s="45" t="s">
        <v>106</v>
      </c>
      <c r="B23" s="46"/>
      <c r="C23" s="46"/>
      <c r="D23" s="46"/>
      <c r="E23" s="46"/>
      <c r="F23" s="46"/>
    </row>
    <row r="25" spans="1:6" x14ac:dyDescent="0.35">
      <c r="D25" t="s">
        <v>89</v>
      </c>
    </row>
    <row r="26" spans="1:6" x14ac:dyDescent="0.35">
      <c r="D26">
        <f>D10</f>
        <v>80</v>
      </c>
    </row>
    <row r="28" spans="1:6" x14ac:dyDescent="0.35">
      <c r="D28" s="11" t="s">
        <v>2</v>
      </c>
    </row>
    <row r="29" spans="1:6" ht="16.5" x14ac:dyDescent="0.45">
      <c r="C29" t="s">
        <v>74</v>
      </c>
      <c r="D29" s="20">
        <f>(D15-D26)/C10</f>
        <v>912.5</v>
      </c>
      <c r="E29" s="2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opLeftCell="A2" workbookViewId="0">
      <selection activeCell="B9" sqref="B9"/>
    </sheetView>
  </sheetViews>
  <sheetFormatPr defaultRowHeight="14.5" x14ac:dyDescent="0.35"/>
  <sheetData>
    <row r="1" spans="1:3" ht="15.5" x14ac:dyDescent="0.35">
      <c r="C1" s="18"/>
    </row>
    <row r="3" spans="1:3" ht="15.5" x14ac:dyDescent="0.35">
      <c r="A3" s="2" t="s">
        <v>32</v>
      </c>
      <c r="B3" s="4">
        <v>350</v>
      </c>
      <c r="C3" s="22" t="s">
        <v>4</v>
      </c>
    </row>
    <row r="4" spans="1:3" x14ac:dyDescent="0.35">
      <c r="A4" s="2" t="s">
        <v>77</v>
      </c>
      <c r="B4" s="5">
        <v>0.04</v>
      </c>
      <c r="C4" t="s">
        <v>39</v>
      </c>
    </row>
    <row r="5" spans="1:3" x14ac:dyDescent="0.35">
      <c r="A5" s="6" t="s">
        <v>78</v>
      </c>
      <c r="B5" s="5">
        <v>0.03</v>
      </c>
      <c r="C5" t="s">
        <v>40</v>
      </c>
    </row>
    <row r="6" spans="1:3" x14ac:dyDescent="0.35">
      <c r="A6" s="6" t="s">
        <v>76</v>
      </c>
      <c r="B6" s="26">
        <f>4/12</f>
        <v>0.33333333333333331</v>
      </c>
      <c r="C6" t="s">
        <v>38</v>
      </c>
    </row>
    <row r="8" spans="1:3" x14ac:dyDescent="0.35">
      <c r="B8" s="11" t="s">
        <v>2</v>
      </c>
    </row>
    <row r="9" spans="1:3" ht="16.5" x14ac:dyDescent="0.45">
      <c r="A9" t="s">
        <v>37</v>
      </c>
      <c r="B9" s="20">
        <f>B3*EXP((B4-B5)*B6)</f>
        <v>351.16861327340655</v>
      </c>
      <c r="C9" s="22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5820C-B92B-4108-87F1-E322957EFAF1}">
  <dimension ref="A3:K9"/>
  <sheetViews>
    <sheetView workbookViewId="0">
      <selection activeCell="G6" sqref="G6"/>
    </sheetView>
  </sheetViews>
  <sheetFormatPr defaultRowHeight="14.5" x14ac:dyDescent="0.35"/>
  <sheetData>
    <row r="3" spans="1:11" ht="16.5" x14ac:dyDescent="0.45">
      <c r="A3" s="2" t="s">
        <v>109</v>
      </c>
      <c r="B3" s="32">
        <v>0.75</v>
      </c>
      <c r="C3" t="s">
        <v>111</v>
      </c>
      <c r="E3" s="10" t="s">
        <v>114</v>
      </c>
      <c r="G3" t="s">
        <v>110</v>
      </c>
      <c r="H3" t="s">
        <v>96</v>
      </c>
      <c r="J3" s="10" t="s">
        <v>62</v>
      </c>
    </row>
    <row r="4" spans="1:11" ht="16.5" x14ac:dyDescent="0.45">
      <c r="A4" s="2" t="s">
        <v>79</v>
      </c>
      <c r="B4" s="5">
        <v>0.03</v>
      </c>
      <c r="C4" t="s">
        <v>39</v>
      </c>
      <c r="G4" t="s">
        <v>63</v>
      </c>
      <c r="H4" t="s">
        <v>95</v>
      </c>
      <c r="J4" s="10" t="s">
        <v>64</v>
      </c>
      <c r="K4" s="10" t="s">
        <v>115</v>
      </c>
    </row>
    <row r="5" spans="1:11" ht="16.5" x14ac:dyDescent="0.45">
      <c r="A5" t="s">
        <v>112</v>
      </c>
      <c r="B5" s="3">
        <v>0.01</v>
      </c>
      <c r="C5" t="s">
        <v>39</v>
      </c>
    </row>
    <row r="6" spans="1:11" x14ac:dyDescent="0.35">
      <c r="A6" s="6" t="s">
        <v>76</v>
      </c>
      <c r="B6" s="26">
        <v>2</v>
      </c>
      <c r="C6" t="s">
        <v>38</v>
      </c>
    </row>
    <row r="8" spans="1:11" x14ac:dyDescent="0.35">
      <c r="B8" s="11" t="s">
        <v>2</v>
      </c>
    </row>
    <row r="9" spans="1:11" ht="16.5" x14ac:dyDescent="0.45">
      <c r="A9" s="6" t="s">
        <v>113</v>
      </c>
      <c r="B9" s="52">
        <f>B3*EXP((B4-B5)*B6)</f>
        <v>0.78060808064429121</v>
      </c>
      <c r="E9" s="10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workbookViewId="0">
      <selection activeCell="E15" sqref="E15"/>
    </sheetView>
  </sheetViews>
  <sheetFormatPr defaultRowHeight="14.5" x14ac:dyDescent="0.35"/>
  <sheetData>
    <row r="1" spans="1:10" ht="15.5" x14ac:dyDescent="0.35">
      <c r="C1" s="18"/>
      <c r="E1" s="17"/>
    </row>
    <row r="3" spans="1:10" ht="15.5" x14ac:dyDescent="0.35">
      <c r="A3" s="2" t="s">
        <v>32</v>
      </c>
      <c r="B3" s="4">
        <v>400</v>
      </c>
      <c r="C3" s="22" t="s">
        <v>4</v>
      </c>
      <c r="D3" s="1"/>
      <c r="E3" s="1"/>
      <c r="F3" s="6"/>
    </row>
    <row r="4" spans="1:10" x14ac:dyDescent="0.35">
      <c r="A4" s="2" t="s">
        <v>77</v>
      </c>
      <c r="B4" s="5">
        <v>0.06</v>
      </c>
      <c r="C4" t="s">
        <v>39</v>
      </c>
      <c r="D4" s="2"/>
      <c r="E4" s="16"/>
      <c r="F4" s="6"/>
    </row>
    <row r="5" spans="1:10" x14ac:dyDescent="0.35">
      <c r="A5" s="6" t="s">
        <v>78</v>
      </c>
      <c r="B5" s="5">
        <v>0.04</v>
      </c>
      <c r="C5" t="s">
        <v>40</v>
      </c>
    </row>
    <row r="6" spans="1:10" x14ac:dyDescent="0.35">
      <c r="A6" s="6" t="s">
        <v>76</v>
      </c>
      <c r="B6" s="26">
        <f>4/12</f>
        <v>0.33333333333333331</v>
      </c>
      <c r="C6" t="s">
        <v>38</v>
      </c>
    </row>
    <row r="7" spans="1:10" ht="16.5" x14ac:dyDescent="0.45">
      <c r="A7" s="6" t="s">
        <v>37</v>
      </c>
      <c r="B7" s="28">
        <v>405</v>
      </c>
      <c r="C7" s="22" t="s">
        <v>4</v>
      </c>
    </row>
    <row r="9" spans="1:10" x14ac:dyDescent="0.35">
      <c r="B9" s="11" t="s">
        <v>41</v>
      </c>
    </row>
    <row r="10" spans="1:10" x14ac:dyDescent="0.35">
      <c r="A10" s="6" t="s">
        <v>90</v>
      </c>
      <c r="B10" s="8">
        <f>LN(B7/B3)/B6 +B5</f>
        <v>7.7267559995671337E-2</v>
      </c>
      <c r="C10" t="s">
        <v>39</v>
      </c>
      <c r="E10" s="2"/>
      <c r="F10" s="29"/>
      <c r="G10" s="2"/>
      <c r="H10" s="1"/>
      <c r="J10" s="10"/>
    </row>
    <row r="11" spans="1:10" x14ac:dyDescent="0.35">
      <c r="E11" s="2"/>
      <c r="F11" s="6"/>
      <c r="G11" s="12"/>
      <c r="H11" s="13"/>
    </row>
    <row r="12" spans="1:10" x14ac:dyDescent="0.35">
      <c r="B12" s="21"/>
      <c r="C12" s="27"/>
    </row>
    <row r="13" spans="1:10" x14ac:dyDescent="0.35">
      <c r="B13" s="11"/>
      <c r="F13" s="30"/>
      <c r="H13" s="15"/>
      <c r="I13" s="10"/>
    </row>
    <row r="14" spans="1:10" x14ac:dyDescent="0.35">
      <c r="B14" s="21"/>
      <c r="H14" s="14"/>
    </row>
    <row r="15" spans="1:10" x14ac:dyDescent="0.35">
      <c r="F15" s="27"/>
      <c r="I15" s="10"/>
    </row>
    <row r="16" spans="1:10" x14ac:dyDescent="0.35">
      <c r="B16" s="6"/>
    </row>
    <row r="18" spans="3:10" x14ac:dyDescent="0.35">
      <c r="C18" s="27"/>
    </row>
    <row r="23" spans="3:10" x14ac:dyDescent="0.35">
      <c r="J23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"/>
  <sheetViews>
    <sheetView workbookViewId="0">
      <selection activeCell="A6" sqref="A6"/>
    </sheetView>
  </sheetViews>
  <sheetFormatPr defaultRowHeight="14.5" x14ac:dyDescent="0.35"/>
  <sheetData>
    <row r="1" spans="1:9" ht="15.5" x14ac:dyDescent="0.35">
      <c r="C1" s="18"/>
    </row>
    <row r="3" spans="1:9" ht="16.5" x14ac:dyDescent="0.45">
      <c r="A3" s="2" t="s">
        <v>83</v>
      </c>
      <c r="B3" s="32">
        <v>1.2</v>
      </c>
      <c r="C3" t="s">
        <v>57</v>
      </c>
      <c r="F3" t="s">
        <v>61</v>
      </c>
      <c r="G3" t="s">
        <v>96</v>
      </c>
      <c r="I3" s="10" t="s">
        <v>62</v>
      </c>
    </row>
    <row r="4" spans="1:9" ht="16.5" x14ac:dyDescent="0.45">
      <c r="A4" s="2" t="s">
        <v>79</v>
      </c>
      <c r="B4" s="5">
        <v>0.01</v>
      </c>
      <c r="C4" t="s">
        <v>39</v>
      </c>
      <c r="F4" t="s">
        <v>63</v>
      </c>
      <c r="G4" t="s">
        <v>95</v>
      </c>
      <c r="I4" s="10" t="s">
        <v>64</v>
      </c>
    </row>
    <row r="5" spans="1:9" x14ac:dyDescent="0.35">
      <c r="A5" s="6" t="s">
        <v>76</v>
      </c>
      <c r="B5" s="26">
        <f>6/12</f>
        <v>0.5</v>
      </c>
      <c r="C5" t="s">
        <v>38</v>
      </c>
    </row>
    <row r="6" spans="1:9" ht="16.5" x14ac:dyDescent="0.45">
      <c r="A6" s="6" t="s">
        <v>33</v>
      </c>
      <c r="B6" s="32">
        <v>1.1950000000000001</v>
      </c>
      <c r="C6" t="s">
        <v>57</v>
      </c>
    </row>
    <row r="8" spans="1:9" x14ac:dyDescent="0.35">
      <c r="B8" s="11" t="s">
        <v>58</v>
      </c>
    </row>
    <row r="9" spans="1:9" ht="16.5" x14ac:dyDescent="0.45">
      <c r="A9" s="6" t="s">
        <v>91</v>
      </c>
      <c r="B9" s="8">
        <f>-LN(B6/B3)/B5+B4</f>
        <v>1.8350742820961021E-2</v>
      </c>
      <c r="C9" t="s">
        <v>39</v>
      </c>
      <c r="E9" s="2"/>
      <c r="F9" s="10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opLeftCell="A3" workbookViewId="0">
      <selection activeCell="O10" sqref="O10:O11"/>
    </sheetView>
  </sheetViews>
  <sheetFormatPr defaultRowHeight="14.5" x14ac:dyDescent="0.35"/>
  <cols>
    <col min="1" max="1" width="9.81640625" customWidth="1"/>
    <col min="2" max="3" width="9.1796875" customWidth="1"/>
    <col min="4" max="4" width="10" customWidth="1"/>
    <col min="9" max="9" width="14.453125" customWidth="1"/>
  </cols>
  <sheetData>
    <row r="1" spans="1:15" ht="15.5" x14ac:dyDescent="0.35">
      <c r="C1" s="18"/>
      <c r="E1" s="17"/>
    </row>
    <row r="2" spans="1:15" x14ac:dyDescent="0.35">
      <c r="A2" s="6"/>
    </row>
    <row r="3" spans="1:15" ht="15.5" x14ac:dyDescent="0.35">
      <c r="A3" s="2" t="s">
        <v>32</v>
      </c>
      <c r="B3" s="4">
        <v>30</v>
      </c>
      <c r="C3" s="22" t="s">
        <v>4</v>
      </c>
    </row>
    <row r="4" spans="1:15" x14ac:dyDescent="0.35">
      <c r="A4" s="2" t="s">
        <v>77</v>
      </c>
      <c r="B4" s="5">
        <v>0.05</v>
      </c>
      <c r="C4" t="s">
        <v>39</v>
      </c>
    </row>
    <row r="5" spans="1:15" x14ac:dyDescent="0.35">
      <c r="A5" s="6" t="s">
        <v>76</v>
      </c>
      <c r="B5" s="7">
        <v>0.5</v>
      </c>
      <c r="C5" s="6" t="s">
        <v>38</v>
      </c>
    </row>
    <row r="6" spans="1:15" x14ac:dyDescent="0.35">
      <c r="A6" s="6"/>
      <c r="B6" s="6"/>
      <c r="C6" s="6"/>
    </row>
    <row r="7" spans="1:15" ht="17.5" x14ac:dyDescent="0.45">
      <c r="A7" t="s">
        <v>34</v>
      </c>
      <c r="B7" s="4">
        <v>32</v>
      </c>
      <c r="C7" s="22" t="s">
        <v>4</v>
      </c>
      <c r="D7" s="19"/>
    </row>
    <row r="9" spans="1:15" x14ac:dyDescent="0.35">
      <c r="B9" s="47" t="s">
        <v>2</v>
      </c>
      <c r="C9" s="19"/>
    </row>
    <row r="10" spans="1:15" ht="16.5" x14ac:dyDescent="0.45">
      <c r="A10" t="s">
        <v>33</v>
      </c>
      <c r="B10" s="48">
        <f>B3*EXP(B5*B4)</f>
        <v>30.759453615732866</v>
      </c>
      <c r="C10" s="22" t="s">
        <v>4</v>
      </c>
      <c r="E10" s="2"/>
      <c r="F10" s="2"/>
      <c r="G10" s="2"/>
      <c r="H10" s="1"/>
      <c r="J10" s="10"/>
      <c r="O10" s="10" t="s">
        <v>123</v>
      </c>
    </row>
    <row r="11" spans="1:15" x14ac:dyDescent="0.35">
      <c r="B11" s="6"/>
      <c r="C11" s="6"/>
      <c r="E11" s="2"/>
      <c r="F11" s="6"/>
      <c r="G11" s="12"/>
      <c r="H11" s="13"/>
      <c r="O11" s="10" t="s">
        <v>124</v>
      </c>
    </row>
    <row r="12" spans="1:15" x14ac:dyDescent="0.35">
      <c r="B12" s="34" t="s">
        <v>3</v>
      </c>
      <c r="C12" s="34"/>
      <c r="D12" s="34"/>
      <c r="E12" s="34"/>
      <c r="J12" s="6" t="s">
        <v>35</v>
      </c>
    </row>
    <row r="13" spans="1:15" x14ac:dyDescent="0.35">
      <c r="B13" s="33" t="s">
        <v>97</v>
      </c>
      <c r="C13" s="33"/>
      <c r="D13" s="33"/>
      <c r="E13" s="33"/>
      <c r="F13" t="s">
        <v>5</v>
      </c>
      <c r="H13" s="15"/>
      <c r="J13" s="6">
        <v>0</v>
      </c>
      <c r="L13" s="10" t="s">
        <v>22</v>
      </c>
      <c r="O13" s="10" t="s">
        <v>20</v>
      </c>
    </row>
    <row r="14" spans="1:15" x14ac:dyDescent="0.35">
      <c r="B14" s="33" t="s">
        <v>6</v>
      </c>
      <c r="C14" s="33"/>
      <c r="D14" s="33"/>
      <c r="E14" s="33"/>
      <c r="H14" s="14"/>
      <c r="J14" s="23">
        <f>-B3</f>
        <v>-30</v>
      </c>
      <c r="L14" s="10" t="s">
        <v>23</v>
      </c>
      <c r="O14" s="10" t="s">
        <v>29</v>
      </c>
    </row>
    <row r="15" spans="1:15" x14ac:dyDescent="0.35">
      <c r="B15" s="33" t="s">
        <v>43</v>
      </c>
      <c r="C15" s="33"/>
      <c r="D15" s="33"/>
      <c r="E15" s="33"/>
      <c r="F15" t="s">
        <v>7</v>
      </c>
      <c r="J15" s="6">
        <f>-J14</f>
        <v>30</v>
      </c>
      <c r="L15" s="10" t="s">
        <v>19</v>
      </c>
      <c r="O15" s="10" t="s">
        <v>28</v>
      </c>
    </row>
    <row r="16" spans="1:15" x14ac:dyDescent="0.35">
      <c r="B16" s="6"/>
      <c r="I16" t="s">
        <v>8</v>
      </c>
      <c r="J16" s="24">
        <f>SUM(J13:J15)</f>
        <v>0</v>
      </c>
      <c r="L16" s="10" t="s">
        <v>21</v>
      </c>
      <c r="O16" s="10" t="s">
        <v>26</v>
      </c>
    </row>
    <row r="17" spans="1:15" x14ac:dyDescent="0.35">
      <c r="B17" s="40" t="s">
        <v>104</v>
      </c>
      <c r="C17" s="9"/>
    </row>
    <row r="18" spans="1:15" x14ac:dyDescent="0.35">
      <c r="B18" s="10"/>
      <c r="J18" t="s">
        <v>36</v>
      </c>
    </row>
    <row r="19" spans="1:15" x14ac:dyDescent="0.35">
      <c r="B19" s="38">
        <v>0</v>
      </c>
      <c r="C19" s="53"/>
      <c r="D19" s="38" t="s">
        <v>0</v>
      </c>
      <c r="F19" t="s">
        <v>10</v>
      </c>
      <c r="J19" s="6">
        <v>0</v>
      </c>
    </row>
    <row r="20" spans="1:15" x14ac:dyDescent="0.35">
      <c r="B20" s="54" t="s">
        <v>118</v>
      </c>
      <c r="C20" s="38"/>
      <c r="D20" s="54" t="s">
        <v>119</v>
      </c>
      <c r="F20" t="s">
        <v>98</v>
      </c>
      <c r="J20" s="6">
        <f>B7</f>
        <v>32</v>
      </c>
    </row>
    <row r="21" spans="1:15" x14ac:dyDescent="0.35">
      <c r="D21" s="10" t="s">
        <v>120</v>
      </c>
      <c r="F21" t="s">
        <v>9</v>
      </c>
      <c r="J21" s="6">
        <f>-J15*EXP(B5*B4)</f>
        <v>-30.759453615732866</v>
      </c>
    </row>
    <row r="22" spans="1:15" x14ac:dyDescent="0.35">
      <c r="I22" s="11" t="s">
        <v>11</v>
      </c>
      <c r="J22" s="25">
        <f>SUM(J19:J21)</f>
        <v>1.2405463842671338</v>
      </c>
    </row>
    <row r="23" spans="1:15" x14ac:dyDescent="0.35">
      <c r="I23" s="11" t="s">
        <v>100</v>
      </c>
      <c r="J23" s="41">
        <f>J22*EXP(-$B$4*$B$5)</f>
        <v>1.2099171849066443</v>
      </c>
      <c r="L23" s="10" t="s">
        <v>12</v>
      </c>
    </row>
    <row r="24" spans="1:15" x14ac:dyDescent="0.35">
      <c r="I24" t="s">
        <v>14</v>
      </c>
      <c r="J24" s="13">
        <f>B7-B10</f>
        <v>1.2405463842671338</v>
      </c>
      <c r="L24" s="10" t="s">
        <v>13</v>
      </c>
    </row>
    <row r="26" spans="1:15" ht="17.5" x14ac:dyDescent="0.45">
      <c r="A26" t="s">
        <v>34</v>
      </c>
      <c r="B26" s="4">
        <v>28</v>
      </c>
      <c r="C26" s="22" t="s">
        <v>4</v>
      </c>
      <c r="D26" s="19"/>
      <c r="F26" s="19"/>
    </row>
    <row r="28" spans="1:15" x14ac:dyDescent="0.35">
      <c r="B28" s="47" t="s">
        <v>2</v>
      </c>
      <c r="C28" s="19"/>
    </row>
    <row r="29" spans="1:15" ht="16.5" x14ac:dyDescent="0.45">
      <c r="A29" t="s">
        <v>33</v>
      </c>
      <c r="B29" s="48">
        <f>B3*EXP(B5*B4)</f>
        <v>30.759453615732866</v>
      </c>
      <c r="C29" s="22" t="s">
        <v>4</v>
      </c>
      <c r="E29" s="2"/>
      <c r="F29" s="2"/>
      <c r="G29" s="2"/>
      <c r="H29" s="1"/>
      <c r="J29" s="10"/>
      <c r="O29" s="10" t="s">
        <v>123</v>
      </c>
    </row>
    <row r="30" spans="1:15" x14ac:dyDescent="0.35">
      <c r="B30" s="6"/>
      <c r="C30" s="6"/>
      <c r="E30" s="2"/>
      <c r="F30" s="6"/>
      <c r="G30" s="12"/>
      <c r="H30" s="13"/>
      <c r="O30" s="10" t="s">
        <v>125</v>
      </c>
    </row>
    <row r="31" spans="1:15" x14ac:dyDescent="0.35">
      <c r="B31" s="34" t="s">
        <v>3</v>
      </c>
      <c r="C31" s="34"/>
      <c r="D31" s="34"/>
      <c r="E31" s="34"/>
      <c r="J31" s="6" t="s">
        <v>35</v>
      </c>
    </row>
    <row r="32" spans="1:15" x14ac:dyDescent="0.35">
      <c r="B32" s="33" t="s">
        <v>99</v>
      </c>
      <c r="C32" s="33"/>
      <c r="D32" s="33"/>
      <c r="E32" s="33"/>
      <c r="F32" t="s">
        <v>16</v>
      </c>
      <c r="H32" s="15"/>
      <c r="J32" s="6">
        <v>0</v>
      </c>
      <c r="L32" s="10" t="s">
        <v>24</v>
      </c>
      <c r="O32" s="10" t="s">
        <v>25</v>
      </c>
    </row>
    <row r="33" spans="2:15" x14ac:dyDescent="0.35">
      <c r="B33" s="33" t="s">
        <v>15</v>
      </c>
      <c r="C33" s="33"/>
      <c r="D33" s="33"/>
      <c r="E33" s="33"/>
      <c r="H33" s="14"/>
      <c r="J33" s="23">
        <f>B3</f>
        <v>30</v>
      </c>
      <c r="L33" s="10" t="s">
        <v>27</v>
      </c>
      <c r="O33" s="10" t="s">
        <v>30</v>
      </c>
    </row>
    <row r="34" spans="2:15" x14ac:dyDescent="0.35">
      <c r="B34" s="33" t="s">
        <v>44</v>
      </c>
      <c r="C34" s="33"/>
      <c r="D34" s="33"/>
      <c r="E34" s="33"/>
      <c r="F34" t="s">
        <v>7</v>
      </c>
      <c r="J34" s="6">
        <f>-J33</f>
        <v>-30</v>
      </c>
      <c r="L34" s="10" t="s">
        <v>19</v>
      </c>
      <c r="O34" s="10" t="s">
        <v>31</v>
      </c>
    </row>
    <row r="35" spans="2:15" x14ac:dyDescent="0.35">
      <c r="B35" s="6"/>
      <c r="I35" t="s">
        <v>8</v>
      </c>
      <c r="J35" s="24">
        <f>SUM(J32:J34)</f>
        <v>0</v>
      </c>
      <c r="L35" s="10" t="s">
        <v>21</v>
      </c>
      <c r="O35" s="10" t="s">
        <v>26</v>
      </c>
    </row>
    <row r="36" spans="2:15" x14ac:dyDescent="0.35">
      <c r="B36" s="40" t="s">
        <v>103</v>
      </c>
      <c r="C36" s="9"/>
    </row>
    <row r="37" spans="2:15" x14ac:dyDescent="0.35">
      <c r="B37" s="10"/>
      <c r="J37" t="s">
        <v>36</v>
      </c>
    </row>
    <row r="38" spans="2:15" x14ac:dyDescent="0.35">
      <c r="B38" s="38">
        <v>0</v>
      </c>
      <c r="C38" s="53"/>
      <c r="D38" s="38" t="s">
        <v>0</v>
      </c>
      <c r="F38" t="s">
        <v>10</v>
      </c>
      <c r="J38" s="6">
        <v>0</v>
      </c>
    </row>
    <row r="39" spans="2:15" x14ac:dyDescent="0.35">
      <c r="B39" s="54" t="s">
        <v>121</v>
      </c>
      <c r="C39" s="38"/>
      <c r="D39" s="54" t="s">
        <v>122</v>
      </c>
      <c r="F39" t="s">
        <v>17</v>
      </c>
      <c r="J39" s="6">
        <f>-B26</f>
        <v>-28</v>
      </c>
    </row>
    <row r="40" spans="2:15" x14ac:dyDescent="0.35">
      <c r="D40" s="10" t="s">
        <v>120</v>
      </c>
      <c r="F40" t="s">
        <v>18</v>
      </c>
      <c r="J40" s="6">
        <f>-J34*EXP(B4*B5)</f>
        <v>30.759453615732866</v>
      </c>
    </row>
    <row r="41" spans="2:15" x14ac:dyDescent="0.35">
      <c r="I41" s="11" t="s">
        <v>11</v>
      </c>
      <c r="J41" s="25">
        <f>SUM(J38:J40)</f>
        <v>2.7594536157328662</v>
      </c>
    </row>
    <row r="42" spans="2:15" x14ac:dyDescent="0.35">
      <c r="I42" s="11" t="s">
        <v>100</v>
      </c>
      <c r="J42" s="41">
        <f>J41*EXP(-$B$4*$B$5)</f>
        <v>2.6913224632066859</v>
      </c>
      <c r="L42" s="10" t="s">
        <v>12</v>
      </c>
    </row>
    <row r="43" spans="2:15" x14ac:dyDescent="0.35">
      <c r="I43" t="s">
        <v>14</v>
      </c>
      <c r="J43" s="13">
        <f>B26-B29</f>
        <v>-2.7594536157328662</v>
      </c>
      <c r="L43" s="10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FF310-39C4-48E4-B9A2-3E7593A2F1AF}">
  <dimension ref="A1:Q23"/>
  <sheetViews>
    <sheetView tabSelected="1" topLeftCell="A6" workbookViewId="0">
      <selection activeCell="Q8" sqref="Q8"/>
    </sheetView>
  </sheetViews>
  <sheetFormatPr defaultRowHeight="14.5" x14ac:dyDescent="0.35"/>
  <sheetData>
    <row r="1" spans="1:17" ht="15.5" x14ac:dyDescent="0.35">
      <c r="C1" s="18"/>
      <c r="E1" s="17"/>
    </row>
    <row r="3" spans="1:17" ht="15.5" x14ac:dyDescent="0.35">
      <c r="A3" s="2" t="s">
        <v>32</v>
      </c>
      <c r="B3" s="4">
        <v>400</v>
      </c>
      <c r="C3" s="22" t="s">
        <v>4</v>
      </c>
      <c r="D3" s="1"/>
      <c r="E3" s="1"/>
      <c r="F3" s="6"/>
    </row>
    <row r="4" spans="1:17" x14ac:dyDescent="0.35">
      <c r="A4" s="2" t="s">
        <v>77</v>
      </c>
      <c r="B4" s="5">
        <v>0.06</v>
      </c>
      <c r="C4" t="s">
        <v>39</v>
      </c>
      <c r="D4" s="2"/>
      <c r="E4" s="16"/>
      <c r="F4" s="6"/>
    </row>
    <row r="5" spans="1:17" x14ac:dyDescent="0.35">
      <c r="A5" s="6" t="s">
        <v>78</v>
      </c>
      <c r="B5" s="5">
        <v>0.04</v>
      </c>
      <c r="C5" t="s">
        <v>40</v>
      </c>
    </row>
    <row r="6" spans="1:17" x14ac:dyDescent="0.35">
      <c r="A6" s="6" t="s">
        <v>76</v>
      </c>
      <c r="B6" s="26">
        <f>4/12</f>
        <v>0.33333333333333331</v>
      </c>
      <c r="C6" t="s">
        <v>38</v>
      </c>
    </row>
    <row r="7" spans="1:17" ht="16.5" x14ac:dyDescent="0.45">
      <c r="A7" s="6" t="s">
        <v>37</v>
      </c>
      <c r="B7" s="28">
        <v>405</v>
      </c>
      <c r="C7" s="22" t="s">
        <v>4</v>
      </c>
    </row>
    <row r="9" spans="1:17" x14ac:dyDescent="0.35">
      <c r="B9" s="47" t="s">
        <v>41</v>
      </c>
    </row>
    <row r="10" spans="1:17" x14ac:dyDescent="0.35">
      <c r="A10" s="6" t="s">
        <v>90</v>
      </c>
      <c r="B10" s="51">
        <f>LN(B7/B3)/B6 +B5</f>
        <v>7.7267559995671337E-2</v>
      </c>
      <c r="C10" t="s">
        <v>39</v>
      </c>
      <c r="E10" s="2"/>
      <c r="F10" s="29" t="s">
        <v>42</v>
      </c>
      <c r="G10" s="2"/>
      <c r="H10" s="1"/>
      <c r="J10" s="10"/>
      <c r="N10" s="10" t="s">
        <v>127</v>
      </c>
      <c r="Q10" s="10" t="s">
        <v>128</v>
      </c>
    </row>
    <row r="11" spans="1:17" x14ac:dyDescent="0.35">
      <c r="E11" s="2"/>
      <c r="F11" s="6"/>
      <c r="G11" s="12"/>
      <c r="H11" s="13"/>
      <c r="N11" s="10" t="s">
        <v>126</v>
      </c>
      <c r="Q11" s="10" t="s">
        <v>129</v>
      </c>
    </row>
    <row r="12" spans="1:17" x14ac:dyDescent="0.35">
      <c r="B12" s="49" t="s">
        <v>3</v>
      </c>
      <c r="C12" s="49"/>
      <c r="D12" s="49"/>
      <c r="E12" s="49"/>
    </row>
    <row r="13" spans="1:17" x14ac:dyDescent="0.35">
      <c r="B13" s="35" t="s">
        <v>45</v>
      </c>
      <c r="C13" s="35"/>
      <c r="D13" s="35"/>
      <c r="E13" s="35"/>
      <c r="F13" s="30">
        <v>0.06</v>
      </c>
      <c r="G13" t="s">
        <v>49</v>
      </c>
      <c r="H13" s="15"/>
      <c r="I13" s="10" t="s">
        <v>68</v>
      </c>
    </row>
    <row r="14" spans="1:17" x14ac:dyDescent="0.35">
      <c r="B14" s="35" t="s">
        <v>6</v>
      </c>
      <c r="C14" s="35"/>
      <c r="D14" s="35"/>
      <c r="E14" s="35"/>
      <c r="H14" s="14"/>
    </row>
    <row r="15" spans="1:17" x14ac:dyDescent="0.35">
      <c r="B15" s="35" t="s">
        <v>46</v>
      </c>
      <c r="C15" s="35"/>
      <c r="D15" s="35"/>
      <c r="E15" s="35"/>
      <c r="F15" s="27">
        <f>B10</f>
        <v>7.7267559995671337E-2</v>
      </c>
      <c r="G15" t="s">
        <v>48</v>
      </c>
      <c r="I15" s="10" t="s">
        <v>47</v>
      </c>
    </row>
    <row r="16" spans="1:17" x14ac:dyDescent="0.35">
      <c r="B16" s="6"/>
    </row>
    <row r="18" spans="2:10" x14ac:dyDescent="0.35">
      <c r="C18" s="27"/>
    </row>
    <row r="19" spans="2:10" x14ac:dyDescent="0.35">
      <c r="B19" t="s">
        <v>45</v>
      </c>
      <c r="F19" t="s">
        <v>53</v>
      </c>
      <c r="J19" t="s">
        <v>54</v>
      </c>
    </row>
    <row r="20" spans="2:10" x14ac:dyDescent="0.35">
      <c r="B20" t="s">
        <v>6</v>
      </c>
      <c r="F20" t="s">
        <v>51</v>
      </c>
    </row>
    <row r="21" spans="2:10" x14ac:dyDescent="0.35">
      <c r="B21" t="s">
        <v>50</v>
      </c>
      <c r="F21" t="s">
        <v>52</v>
      </c>
      <c r="J21" t="s">
        <v>55</v>
      </c>
    </row>
    <row r="23" spans="2:10" x14ac:dyDescent="0.35">
      <c r="J23" s="10" t="s">
        <v>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5"/>
  <sheetViews>
    <sheetView workbookViewId="0">
      <selection activeCell="E7" sqref="E7"/>
    </sheetView>
  </sheetViews>
  <sheetFormatPr defaultRowHeight="14.5" x14ac:dyDescent="0.35"/>
  <sheetData>
    <row r="1" spans="1:11" ht="15.5" x14ac:dyDescent="0.35">
      <c r="C1" s="18"/>
      <c r="E1" s="17"/>
    </row>
    <row r="3" spans="1:11" ht="16.5" x14ac:dyDescent="0.45">
      <c r="A3" s="2" t="s">
        <v>82</v>
      </c>
      <c r="B3" s="31">
        <v>1.05</v>
      </c>
      <c r="D3" s="1"/>
      <c r="E3" s="1"/>
      <c r="F3" s="10" t="s">
        <v>117</v>
      </c>
      <c r="H3" t="s">
        <v>65</v>
      </c>
      <c r="I3" t="s">
        <v>96</v>
      </c>
      <c r="K3" s="10" t="s">
        <v>62</v>
      </c>
    </row>
    <row r="4" spans="1:11" ht="16.5" x14ac:dyDescent="0.45">
      <c r="A4" s="6" t="s">
        <v>79</v>
      </c>
      <c r="B4" s="5">
        <v>0.02</v>
      </c>
      <c r="C4" t="s">
        <v>39</v>
      </c>
      <c r="D4" s="2"/>
      <c r="E4" s="16"/>
      <c r="H4" t="s">
        <v>63</v>
      </c>
      <c r="I4" t="s">
        <v>95</v>
      </c>
      <c r="K4" s="10" t="s">
        <v>64</v>
      </c>
    </row>
    <row r="5" spans="1:11" ht="16.5" x14ac:dyDescent="0.45">
      <c r="A5" s="2" t="s">
        <v>80</v>
      </c>
      <c r="B5" s="5">
        <v>0.01</v>
      </c>
      <c r="C5" t="s">
        <v>39</v>
      </c>
    </row>
    <row r="6" spans="1:11" x14ac:dyDescent="0.35">
      <c r="A6" s="6" t="s">
        <v>76</v>
      </c>
      <c r="B6" s="26">
        <f>2/12</f>
        <v>0.16666666666666666</v>
      </c>
      <c r="C6" t="s">
        <v>38</v>
      </c>
      <c r="H6" t="s">
        <v>102</v>
      </c>
    </row>
    <row r="7" spans="1:11" ht="17.5" x14ac:dyDescent="0.45">
      <c r="A7" s="6" t="s">
        <v>93</v>
      </c>
      <c r="B7" s="31">
        <v>1.05</v>
      </c>
    </row>
    <row r="9" spans="1:11" x14ac:dyDescent="0.35">
      <c r="B9" t="s">
        <v>2</v>
      </c>
    </row>
    <row r="10" spans="1:11" ht="16.5" x14ac:dyDescent="0.45">
      <c r="A10" t="s">
        <v>59</v>
      </c>
      <c r="B10" s="12">
        <f>B3*EXP((B4-B5)*B6)</f>
        <v>1.0517514591438561</v>
      </c>
      <c r="E10" s="10" t="s">
        <v>94</v>
      </c>
    </row>
    <row r="12" spans="1:11" x14ac:dyDescent="0.35">
      <c r="B12" s="21" t="s">
        <v>3</v>
      </c>
    </row>
    <row r="13" spans="1:11" x14ac:dyDescent="0.35">
      <c r="B13" s="35" t="s">
        <v>66</v>
      </c>
      <c r="C13" s="35"/>
      <c r="D13" s="35"/>
      <c r="E13" s="35"/>
      <c r="G13" t="s">
        <v>70</v>
      </c>
    </row>
    <row r="14" spans="1:11" x14ac:dyDescent="0.35">
      <c r="B14" s="35" t="s">
        <v>15</v>
      </c>
      <c r="C14" s="35"/>
      <c r="D14" s="35"/>
      <c r="E14" s="35"/>
      <c r="G14" t="s">
        <v>69</v>
      </c>
    </row>
    <row r="15" spans="1:11" x14ac:dyDescent="0.35">
      <c r="B15" s="35" t="s">
        <v>71</v>
      </c>
      <c r="C15" s="35"/>
      <c r="D15" s="35"/>
      <c r="E15" s="35"/>
      <c r="G15" t="s">
        <v>67</v>
      </c>
    </row>
    <row r="16" spans="1:11" x14ac:dyDescent="0.35">
      <c r="B16" s="35" t="s">
        <v>72</v>
      </c>
      <c r="C16" s="35"/>
      <c r="D16" s="35"/>
      <c r="E16" s="35"/>
      <c r="G16" t="s">
        <v>60</v>
      </c>
    </row>
    <row r="18" spans="1:10" x14ac:dyDescent="0.35">
      <c r="B18" s="50" t="s">
        <v>107</v>
      </c>
      <c r="C18" s="27"/>
    </row>
    <row r="19" spans="1:10" x14ac:dyDescent="0.35">
      <c r="A19" s="10"/>
      <c r="B19" s="10" t="s">
        <v>41</v>
      </c>
      <c r="C19" s="10"/>
      <c r="D19" s="10"/>
    </row>
    <row r="20" spans="1:10" ht="16.5" x14ac:dyDescent="0.45">
      <c r="A20" s="38" t="s">
        <v>92</v>
      </c>
      <c r="B20" s="39">
        <f>LN(B7/B3)/B6 +B4</f>
        <v>0.02</v>
      </c>
      <c r="C20" s="10" t="s">
        <v>39</v>
      </c>
      <c r="D20" s="10"/>
      <c r="E20" s="2"/>
      <c r="F20" s="29" t="s">
        <v>73</v>
      </c>
      <c r="G20" s="2"/>
      <c r="H20" s="1"/>
      <c r="J20" s="10"/>
    </row>
    <row r="21" spans="1:10" x14ac:dyDescent="0.35">
      <c r="A21" s="10"/>
      <c r="B21" s="10"/>
      <c r="C21" s="10"/>
      <c r="D21" s="10"/>
      <c r="E21" s="2"/>
      <c r="F21" s="6"/>
      <c r="G21" s="12"/>
      <c r="H21" s="13"/>
    </row>
    <row r="22" spans="1:10" x14ac:dyDescent="0.35">
      <c r="A22" s="10"/>
      <c r="B22" s="10"/>
      <c r="C22" s="40" t="s">
        <v>75</v>
      </c>
      <c r="D22" s="10"/>
    </row>
    <row r="23" spans="1:10" x14ac:dyDescent="0.35">
      <c r="B23" s="11"/>
      <c r="F23" s="30"/>
      <c r="H23" s="15"/>
      <c r="I23" s="10"/>
    </row>
    <row r="24" spans="1:10" x14ac:dyDescent="0.35">
      <c r="B24" s="21"/>
      <c r="H24" s="14"/>
    </row>
    <row r="25" spans="1:10" x14ac:dyDescent="0.35">
      <c r="F25" s="27"/>
      <c r="I2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9</vt:i4>
      </vt:variant>
    </vt:vector>
  </HeadingPairs>
  <TitlesOfParts>
    <vt:vector size="9" baseType="lpstr">
      <vt:lpstr>1.</vt:lpstr>
      <vt:lpstr>2.</vt:lpstr>
      <vt:lpstr>3.</vt:lpstr>
      <vt:lpstr>4.</vt:lpstr>
      <vt:lpstr>5.</vt:lpstr>
      <vt:lpstr>6.</vt:lpstr>
      <vt:lpstr>7.</vt:lpstr>
      <vt:lpstr>8.</vt:lpstr>
      <vt:lpstr>9.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</dc:creator>
  <cp:lastModifiedBy>Badics Milán Csaba</cp:lastModifiedBy>
  <dcterms:created xsi:type="dcterms:W3CDTF">2021-02-16T07:20:52Z</dcterms:created>
  <dcterms:modified xsi:type="dcterms:W3CDTF">2023-11-13T11:02:51Z</dcterms:modified>
</cp:coreProperties>
</file>