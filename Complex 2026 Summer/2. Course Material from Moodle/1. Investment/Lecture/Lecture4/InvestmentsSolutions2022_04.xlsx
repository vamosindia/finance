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nvestments\"/>
    </mc:Choice>
  </mc:AlternateContent>
  <xr:revisionPtr revIDLastSave="0" documentId="13_ncr:1_{0EEBF4A8-93D6-40A0-A09E-5CB4122F39EB}" xr6:coauthVersionLast="47" xr6:coauthVersionMax="47" xr10:uidLastSave="{00000000-0000-0000-0000-000000000000}"/>
  <bookViews>
    <workbookView xWindow="7965" yWindow="180" windowWidth="20820" windowHeight="15315" firstSheet="5" activeTab="10" xr2:uid="{00000000-000D-0000-FFFF-FFFF00000000}"/>
  </bookViews>
  <sheets>
    <sheet name="Problem4.1." sheetId="8" r:id="rId1"/>
    <sheet name="Problem4.2." sheetId="10" r:id="rId2"/>
    <sheet name="Problem4.3." sheetId="11" r:id="rId3"/>
    <sheet name="Problem4.4." sheetId="12" r:id="rId4"/>
    <sheet name="Problem4.5." sheetId="13" r:id="rId5"/>
    <sheet name="Problem4.6." sheetId="14" r:id="rId6"/>
    <sheet name="Problem4.7." sheetId="15" r:id="rId7"/>
    <sheet name="Problem4.8." sheetId="18" r:id="rId8"/>
    <sheet name="Problem4.9." sheetId="19" r:id="rId9"/>
    <sheet name="Problem4.10." sheetId="16" r:id="rId10"/>
    <sheet name="Problem4.11.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3" l="1"/>
  <c r="M35" i="13"/>
  <c r="L32" i="13"/>
  <c r="L33" i="13"/>
  <c r="M33" i="13" s="1"/>
  <c r="L31" i="13"/>
  <c r="M31" i="13" s="1"/>
  <c r="M32" i="13"/>
  <c r="K32" i="13"/>
  <c r="K33" i="13"/>
  <c r="K31" i="13"/>
  <c r="J32" i="13"/>
  <c r="J33" i="13"/>
  <c r="J31" i="13"/>
  <c r="B18" i="13"/>
  <c r="I75" i="13" s="1"/>
  <c r="J29" i="12"/>
  <c r="L29" i="12" s="1"/>
  <c r="J30" i="12"/>
  <c r="L30" i="12" s="1"/>
  <c r="L28" i="12"/>
  <c r="K29" i="12"/>
  <c r="K30" i="12"/>
  <c r="K28" i="12"/>
  <c r="J28" i="12"/>
  <c r="L30" i="11"/>
  <c r="L28" i="11"/>
  <c r="K29" i="11"/>
  <c r="K30" i="11"/>
  <c r="K28" i="11"/>
  <c r="J29" i="11"/>
  <c r="L29" i="11" s="1"/>
  <c r="J30" i="11"/>
  <c r="J28" i="11"/>
  <c r="B15" i="11"/>
  <c r="I68" i="11" s="1"/>
  <c r="L30" i="10"/>
  <c r="J29" i="10"/>
  <c r="L29" i="10" s="1"/>
  <c r="K29" i="10"/>
  <c r="K31" i="10"/>
  <c r="J31" i="10"/>
  <c r="L31" i="10" s="1"/>
  <c r="K30" i="10"/>
  <c r="J30" i="10"/>
  <c r="L30" i="8"/>
  <c r="K30" i="8"/>
  <c r="K31" i="8"/>
  <c r="K29" i="8"/>
  <c r="J30" i="8"/>
  <c r="J31" i="8"/>
  <c r="L31" i="8" s="1"/>
  <c r="J29" i="8"/>
  <c r="L29" i="8" s="1"/>
  <c r="B15" i="8"/>
  <c r="Q2" i="15"/>
  <c r="Q6" i="15" s="1"/>
  <c r="P2" i="15"/>
  <c r="P8" i="15" s="1"/>
  <c r="O6" i="15"/>
  <c r="O7" i="15"/>
  <c r="O8" i="15"/>
  <c r="O5" i="15"/>
  <c r="N6" i="15"/>
  <c r="N7" i="15"/>
  <c r="N8" i="15"/>
  <c r="N5" i="15"/>
  <c r="M6" i="15"/>
  <c r="M7" i="15"/>
  <c r="M8" i="15"/>
  <c r="M5" i="15"/>
  <c r="L6" i="15"/>
  <c r="L7" i="15"/>
  <c r="L8" i="15"/>
  <c r="L5" i="15"/>
  <c r="L5" i="17"/>
  <c r="L6" i="17"/>
  <c r="L7" i="17"/>
  <c r="L8" i="17"/>
  <c r="L4" i="17"/>
  <c r="I10" i="17"/>
  <c r="K5" i="17"/>
  <c r="K6" i="17"/>
  <c r="K7" i="17"/>
  <c r="K8" i="17"/>
  <c r="K4" i="17"/>
  <c r="J5" i="17"/>
  <c r="J6" i="17"/>
  <c r="J7" i="17"/>
  <c r="J8" i="17"/>
  <c r="J4" i="17"/>
  <c r="I5" i="17"/>
  <c r="I6" i="17"/>
  <c r="I7" i="17"/>
  <c r="I8" i="17"/>
  <c r="I4" i="17"/>
  <c r="H5" i="17"/>
  <c r="H6" i="17"/>
  <c r="H7" i="17"/>
  <c r="H8" i="17"/>
  <c r="H4" i="17"/>
  <c r="L5" i="16"/>
  <c r="L6" i="16"/>
  <c r="L7" i="16"/>
  <c r="L8" i="16"/>
  <c r="L4" i="16"/>
  <c r="K5" i="16"/>
  <c r="K6" i="16"/>
  <c r="K7" i="16"/>
  <c r="K8" i="16"/>
  <c r="K4" i="16"/>
  <c r="J5" i="16"/>
  <c r="J6" i="16"/>
  <c r="J7" i="16"/>
  <c r="J8" i="16"/>
  <c r="J4" i="16"/>
  <c r="I5" i="16"/>
  <c r="I6" i="16"/>
  <c r="I7" i="16"/>
  <c r="I8" i="16"/>
  <c r="I4" i="16"/>
  <c r="I98" i="19"/>
  <c r="I96" i="19"/>
  <c r="I86" i="19"/>
  <c r="I83" i="19"/>
  <c r="I85" i="19"/>
  <c r="I84" i="19"/>
  <c r="I72" i="19"/>
  <c r="I70" i="19"/>
  <c r="I71" i="19"/>
  <c r="G51" i="19"/>
  <c r="G50" i="19"/>
  <c r="G49" i="19"/>
  <c r="G48" i="19"/>
  <c r="G52" i="19" s="1"/>
  <c r="I57" i="19" s="1"/>
  <c r="I26" i="19"/>
  <c r="I103" i="19" s="1"/>
  <c r="I24" i="19"/>
  <c r="E17" i="19"/>
  <c r="C17" i="19"/>
  <c r="F52" i="17"/>
  <c r="F51" i="17"/>
  <c r="C51" i="17"/>
  <c r="C46" i="17"/>
  <c r="C44" i="17"/>
  <c r="C49" i="17" s="1"/>
  <c r="C52" i="17" s="1"/>
  <c r="F33" i="17"/>
  <c r="E33" i="17"/>
  <c r="D33" i="17"/>
  <c r="C33" i="17"/>
  <c r="D27" i="17"/>
  <c r="E27" i="17"/>
  <c r="F27" i="17"/>
  <c r="C27" i="17"/>
  <c r="C36" i="16"/>
  <c r="D24" i="16"/>
  <c r="C24" i="16"/>
  <c r="H42" i="15"/>
  <c r="H45" i="15" s="1"/>
  <c r="C42" i="15"/>
  <c r="J45" i="15"/>
  <c r="J24" i="15"/>
  <c r="I24" i="15"/>
  <c r="H24" i="15"/>
  <c r="J30" i="15"/>
  <c r="I30" i="15"/>
  <c r="H30" i="15"/>
  <c r="E30" i="15"/>
  <c r="D30" i="15"/>
  <c r="C30" i="15"/>
  <c r="E24" i="15"/>
  <c r="D24" i="15"/>
  <c r="C24" i="15"/>
  <c r="I69" i="14"/>
  <c r="I67" i="14"/>
  <c r="I58" i="14"/>
  <c r="I57" i="14"/>
  <c r="G41" i="14"/>
  <c r="G40" i="14"/>
  <c r="G42" i="14" s="1"/>
  <c r="I47" i="14" s="1"/>
  <c r="I70" i="14" s="1"/>
  <c r="B18" i="14"/>
  <c r="I74" i="14" s="1"/>
  <c r="I70" i="13"/>
  <c r="I57" i="13"/>
  <c r="E22" i="13"/>
  <c r="L26" i="13" s="1"/>
  <c r="G44" i="13"/>
  <c r="G43" i="13"/>
  <c r="G41" i="13"/>
  <c r="L27" i="13"/>
  <c r="I71" i="8"/>
  <c r="I71" i="10"/>
  <c r="I64" i="12"/>
  <c r="G35" i="12"/>
  <c r="G36" i="12" s="1"/>
  <c r="B15" i="12"/>
  <c r="I61" i="11"/>
  <c r="G37" i="11"/>
  <c r="G38" i="11"/>
  <c r="G38" i="10"/>
  <c r="G37" i="10"/>
  <c r="I52" i="10"/>
  <c r="B15" i="10"/>
  <c r="G38" i="8"/>
  <c r="I52" i="8"/>
  <c r="G37" i="8"/>
  <c r="L32" i="12" l="1"/>
  <c r="L33" i="12" s="1"/>
  <c r="L32" i="11"/>
  <c r="L33" i="11" s="1"/>
  <c r="L33" i="8"/>
  <c r="L34" i="8" s="1"/>
  <c r="L33" i="10"/>
  <c r="L34" i="10" s="1"/>
  <c r="Q8" i="15"/>
  <c r="Q7" i="15"/>
  <c r="P6" i="15"/>
  <c r="P7" i="15"/>
  <c r="Q5" i="15"/>
  <c r="P5" i="15"/>
  <c r="I75" i="19"/>
  <c r="I74" i="19"/>
  <c r="I87" i="19"/>
  <c r="I99" i="19"/>
  <c r="I88" i="19"/>
  <c r="G39" i="8"/>
  <c r="I44" i="8" s="1"/>
  <c r="I54" i="8" s="1"/>
  <c r="I62" i="8" s="1"/>
  <c r="I66" i="8" s="1"/>
  <c r="G42" i="13"/>
  <c r="I100" i="19"/>
  <c r="I102" i="19" s="1"/>
  <c r="E45" i="15"/>
  <c r="C45" i="15"/>
  <c r="I60" i="14"/>
  <c r="I61" i="14" s="1"/>
  <c r="I71" i="14"/>
  <c r="G43" i="14"/>
  <c r="I41" i="12"/>
  <c r="I60" i="12" s="1"/>
  <c r="G39" i="11"/>
  <c r="I44" i="11" s="1"/>
  <c r="G39" i="10"/>
  <c r="I44" i="10" s="1"/>
  <c r="I54" i="10" s="1"/>
  <c r="G45" i="13" l="1"/>
  <c r="I55" i="8"/>
  <c r="I65" i="8"/>
  <c r="I58" i="13"/>
  <c r="I61" i="13" s="1"/>
  <c r="I73" i="13" s="1"/>
  <c r="I74" i="13" s="1"/>
  <c r="I68" i="13"/>
  <c r="I71" i="13" s="1"/>
  <c r="G53" i="19"/>
  <c r="I73" i="14"/>
  <c r="I50" i="12"/>
  <c r="I51" i="12" s="1"/>
  <c r="I54" i="11"/>
  <c r="I57" i="11" s="1"/>
  <c r="I62" i="10"/>
  <c r="I65" i="10" s="1"/>
  <c r="I69" i="8"/>
  <c r="I70" i="8" s="1"/>
  <c r="I59" i="12" l="1"/>
  <c r="I62" i="12"/>
  <c r="I63" i="12" s="1"/>
  <c r="I56" i="12"/>
  <c r="I63" i="11"/>
  <c r="I64" i="11" s="1"/>
  <c r="I66" i="11" s="1"/>
  <c r="I67" i="11" s="1"/>
  <c r="I66" i="10"/>
  <c r="I55" i="10"/>
  <c r="I69" i="10" l="1"/>
  <c r="I70" i="10" s="1"/>
</calcChain>
</file>

<file path=xl/sharedStrings.xml><?xml version="1.0" encoding="utf-8"?>
<sst xmlns="http://schemas.openxmlformats.org/spreadsheetml/2006/main" count="1069" uniqueCount="425">
  <si>
    <t>Position</t>
  </si>
  <si>
    <t>DF</t>
  </si>
  <si>
    <t>T-t</t>
  </si>
  <si>
    <t>S</t>
  </si>
  <si>
    <t>$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</si>
  <si>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</si>
  <si>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t xml:space="preserve">a) What is a lower bound for the price of a 1-year European call option on the stock with a strike price of $110? </t>
  </si>
  <si>
    <t>K</t>
  </si>
  <si>
    <t>lower bound of a call option</t>
  </si>
  <si>
    <t>b) What should you do if the call price is $20?</t>
  </si>
  <si>
    <r>
      <t>c</t>
    </r>
    <r>
      <rPr>
        <vertAlign val="superscript"/>
        <sz val="11"/>
        <color theme="1"/>
        <rFont val="Calibri"/>
        <family val="2"/>
        <charset val="238"/>
        <scheme val="minor"/>
      </rPr>
      <t>m</t>
    </r>
  </si>
  <si>
    <t>LC(1)</t>
  </si>
  <si>
    <t>SC(1)</t>
  </si>
  <si>
    <t>SU</t>
  </si>
  <si>
    <t>LB(1)</t>
  </si>
  <si>
    <t>Arbitrage  strategy</t>
  </si>
  <si>
    <t>long postion in the underlying asset (LU)</t>
  </si>
  <si>
    <r>
      <t>long call (LC(1))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</si>
  <si>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short postion in the underlying asset (SU)</t>
  </si>
  <si>
    <t>CF(0)</t>
  </si>
  <si>
    <t>short position in the underlying asset</t>
  </si>
  <si>
    <t>long position in a 1-year zero-coupon bond</t>
  </si>
  <si>
    <t>CF(1)</t>
  </si>
  <si>
    <t>The portfolio market value at the option expiration date will be based on the undelying asset spot price!</t>
  </si>
  <si>
    <t xml:space="preserve">We have two cases: </t>
  </si>
  <si>
    <t xml:space="preserve">S(T) &gt; K the call option will be exercised </t>
  </si>
  <si>
    <t>if S(1) &lt; 110</t>
  </si>
  <si>
    <t>if S(1) &gt; 110</t>
  </si>
  <si>
    <t>we exercise the long call option</t>
  </si>
  <si>
    <t>First case:</t>
  </si>
  <si>
    <t>buy the underlying asset on the strike price</t>
  </si>
  <si>
    <t>buy the underlying asset on the strike</t>
  </si>
  <si>
    <t>get the face value of the zero-coupon bond</t>
  </si>
  <si>
    <t>sum</t>
  </si>
  <si>
    <t>the long call option expire without exercised</t>
  </si>
  <si>
    <t>S(T) &lt; K the call option expire without exercised</t>
  </si>
  <si>
    <t>Second case:</t>
  </si>
  <si>
    <t>-</t>
  </si>
  <si>
    <t>close the short underlying position - buy the underlying asset on the spot price</t>
  </si>
  <si>
    <t xml:space="preserve"> -S(1)</t>
  </si>
  <si>
    <t>143 - S(1)</t>
  </si>
  <si>
    <t>min</t>
  </si>
  <si>
    <t>max</t>
  </si>
  <si>
    <t>if S(1) = 0</t>
  </si>
  <si>
    <t>if S(1) = 110</t>
  </si>
  <si>
    <t>The minimum of the arbitrage profit</t>
  </si>
  <si>
    <t>PV(arb profit)</t>
  </si>
  <si>
    <t>PV(min arb profit)</t>
  </si>
  <si>
    <t>Price difference at t=0</t>
  </si>
  <si>
    <r>
      <t>max(0; S-PV(K)) = max(0, S-K*DF</t>
    </r>
    <r>
      <rPr>
        <vertAlign val="subscript"/>
        <sz val="11"/>
        <color rgb="FFFF0000"/>
        <rFont val="Calibri"/>
        <family val="2"/>
        <charset val="238"/>
        <scheme val="minor"/>
      </rPr>
      <t>T-t</t>
    </r>
    <r>
      <rPr>
        <sz val="11"/>
        <color rgb="FFFF0000"/>
        <rFont val="Calibri"/>
        <family val="2"/>
        <charset val="238"/>
        <scheme val="minor"/>
      </rPr>
      <t>)</t>
    </r>
  </si>
  <si>
    <r>
      <t xml:space="preserve">General rule for a call </t>
    </r>
    <r>
      <rPr>
        <sz val="11"/>
        <color rgb="FFFF0000"/>
        <rFont val="Calibri"/>
        <family val="2"/>
        <charset val="238"/>
        <scheme val="minor"/>
      </rPr>
      <t>lower bound</t>
    </r>
  </si>
  <si>
    <r>
      <t xml:space="preserve">General rule for a call </t>
    </r>
    <r>
      <rPr>
        <sz val="11"/>
        <color rgb="FFFF0000"/>
        <rFont val="Calibri"/>
        <family val="2"/>
        <charset val="238"/>
        <scheme val="minor"/>
      </rPr>
      <t>upper bound</t>
    </r>
  </si>
  <si>
    <t>the market value couldn't be negative because it is a right not an obligation</t>
  </si>
  <si>
    <t>LU</t>
  </si>
  <si>
    <t>SB(1)</t>
  </si>
  <si>
    <t>b) What should you do if the call price is $160?</t>
  </si>
  <si>
    <r>
      <t>short call (SC(1))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</si>
  <si>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long position in the underlying asset</t>
  </si>
  <si>
    <t>short position in a 1-year zero-coupon bond</t>
  </si>
  <si>
    <t>sell the underlying asset on the strike</t>
  </si>
  <si>
    <t>pay the face value of the zero-coupon bond</t>
  </si>
  <si>
    <t>the owner of the call option exercise the option</t>
  </si>
  <si>
    <t>the call option expire without exercised</t>
  </si>
  <si>
    <t>close the long underlying position - sell the underlying asset on the spot price</t>
  </si>
  <si>
    <t xml:space="preserve"> +S(1)</t>
  </si>
  <si>
    <t>B(1)</t>
  </si>
  <si>
    <t>take a position in a 1-year zero-coupon bond B(1)</t>
  </si>
  <si>
    <t xml:space="preserve">Market price of the B(1) position is the opposit of the sum of the SU+ LC(1) market price </t>
  </si>
  <si>
    <t xml:space="preserve">Market price of the B(1) position is the opposit of the sum of the LU+ SC(1) market price </t>
  </si>
  <si>
    <t>If its negative - long bond position</t>
  </si>
  <si>
    <t>If its positive - short bond position</t>
  </si>
  <si>
    <t xml:space="preserve"> S(1) + 11</t>
  </si>
  <si>
    <t>b) What should you do if the put price is $4?</t>
  </si>
  <si>
    <r>
      <t xml:space="preserve">General rule for a put </t>
    </r>
    <r>
      <rPr>
        <sz val="11"/>
        <color rgb="FFFF0000"/>
        <rFont val="Calibri"/>
        <family val="2"/>
        <charset val="238"/>
        <scheme val="minor"/>
      </rPr>
      <t>lower bound</t>
    </r>
  </si>
  <si>
    <r>
      <t>max(0; PV(K)-S) = max(0, K*DF</t>
    </r>
    <r>
      <rPr>
        <vertAlign val="subscript"/>
        <sz val="11"/>
        <color rgb="FFFF0000"/>
        <rFont val="Calibri"/>
        <family val="2"/>
        <charset val="238"/>
        <scheme val="minor"/>
      </rPr>
      <t>T-t</t>
    </r>
    <r>
      <rPr>
        <sz val="11"/>
        <color rgb="FFFF0000"/>
        <rFont val="Calibri"/>
        <family val="2"/>
        <charset val="238"/>
        <scheme val="minor"/>
      </rPr>
      <t xml:space="preserve"> -S)</t>
    </r>
  </si>
  <si>
    <t>the market value should be higher then a short forward market value because it a right to buy the underlying asset</t>
  </si>
  <si>
    <t>LP(1)</t>
  </si>
  <si>
    <t>SP(1)</t>
  </si>
  <si>
    <r>
      <t>long put (LP(1))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</si>
  <si>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 xml:space="preserve">Market price of the B(1) position is the opposit of the sum of the LU+ LP(1) market price </t>
  </si>
  <si>
    <t>The face value of the zero-coupon bond 10$/0,9091</t>
  </si>
  <si>
    <t>The face value of the zero-coupon bond 130$/0,9091</t>
  </si>
  <si>
    <t>S(T) &gt; K the put option expire without exercised</t>
  </si>
  <si>
    <t>S(T) &lt; K the put option will be exercised</t>
  </si>
  <si>
    <t>the put option expire without exercised</t>
  </si>
  <si>
    <t>we exercise the long put option</t>
  </si>
  <si>
    <t>S(T)</t>
  </si>
  <si>
    <r>
      <t>close the long underlying position -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sz val="11"/>
        <color theme="1"/>
        <rFont val="Calibri"/>
        <family val="2"/>
        <charset val="238"/>
        <scheme val="minor"/>
      </rPr>
      <t>sell the underlying asset on the spot price</t>
    </r>
  </si>
  <si>
    <t>long underlying position is closed out by the option</t>
  </si>
  <si>
    <t>short underlying position is closed out by the option</t>
  </si>
  <si>
    <t>If the put option market price is different from the lower bound price you can earn an arbitrage profit</t>
  </si>
  <si>
    <t>If the call option market price is different from the upper bound price you can earn an arbitrage profit</t>
  </si>
  <si>
    <t>If the call option market price is different from the lower bound price you can earn an arbitrage profit</t>
  </si>
  <si>
    <t>The face value of the zero-coupon bond 154$/0,9091</t>
  </si>
  <si>
    <t>if S(1) &gt; 170,5</t>
  </si>
  <si>
    <t xml:space="preserve"> S(T) - 169,40</t>
  </si>
  <si>
    <t>if S(1) = 170,5</t>
  </si>
  <si>
    <t>if S(1) &lt; 170,5</t>
  </si>
  <si>
    <t xml:space="preserve">a) What is a lower bound for the price of a 1-year European put option on the stock with a strike price of $170,5? </t>
  </si>
  <si>
    <r>
      <t xml:space="preserve">General rule for a put </t>
    </r>
    <r>
      <rPr>
        <sz val="11"/>
        <color rgb="FFFF0000"/>
        <rFont val="Calibri"/>
        <family val="2"/>
        <charset val="238"/>
        <scheme val="minor"/>
      </rPr>
      <t>upper bound</t>
    </r>
  </si>
  <si>
    <t xml:space="preserve">a) What is an upper bound for the price of a 1-year European put option on the stock with a strike price of $170,5? </t>
  </si>
  <si>
    <t>in the optimal case at the expiration the underlying market price is 0, then the put value is equal with the K, and the present value of this is PV(K)</t>
  </si>
  <si>
    <r>
      <t>PV(K) = K*DF</t>
    </r>
    <r>
      <rPr>
        <vertAlign val="subscript"/>
        <sz val="11"/>
        <color rgb="FFFF0000"/>
        <rFont val="Calibri"/>
        <family val="2"/>
        <charset val="238"/>
        <scheme val="minor"/>
      </rPr>
      <t>T-t</t>
    </r>
  </si>
  <si>
    <t>b) What should you do if the put price is $160?</t>
  </si>
  <si>
    <r>
      <t>short put (SP(1))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</si>
  <si>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p</t>
    </r>
    <r>
      <rPr>
        <vertAlign val="superscript"/>
        <sz val="11"/>
        <color theme="1"/>
        <rFont val="Calibri"/>
        <family val="2"/>
        <charset val="238"/>
        <scheme val="minor"/>
      </rPr>
      <t>m</t>
    </r>
  </si>
  <si>
    <t>The face value of the zero-coupon bond 160$/0,9091</t>
  </si>
  <si>
    <t>the owner of the put option exercise the option</t>
  </si>
  <si>
    <t>buy the underlying asset on the strike and sell the underlying asset on the sport price</t>
  </si>
  <si>
    <t>S(1)-170,5</t>
  </si>
  <si>
    <t>S(1)+5,5</t>
  </si>
  <si>
    <t>If the put option market price is different from the upper bound price you can earn an arbitrage profit</t>
  </si>
  <si>
    <t xml:space="preserve">The minimum of the arbitrage profit PV will be equal with the difference between the market price and upper bound price </t>
  </si>
  <si>
    <t xml:space="preserve">The minimum of the arbitrage profit PV will be equal with the difference between the market price and lower bound price 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</si>
  <si>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0,25</t>
    </r>
  </si>
  <si>
    <t>per annum</t>
  </si>
  <si>
    <t xml:space="preserve">a) What should be the arbitrage free price of a 3-month European put option with a strike price of $20? </t>
  </si>
  <si>
    <t>c + PV(K) = p + S</t>
  </si>
  <si>
    <r>
      <t>c + K*DF</t>
    </r>
    <r>
      <rPr>
        <vertAlign val="subscript"/>
        <sz val="11"/>
        <color rgb="FFFF0000"/>
        <rFont val="Calibri"/>
        <family val="2"/>
        <charset val="238"/>
        <scheme val="minor"/>
      </rPr>
      <t>T-t</t>
    </r>
    <r>
      <rPr>
        <sz val="11"/>
        <color rgb="FFFF0000"/>
        <rFont val="Calibri"/>
        <family val="2"/>
        <charset val="238"/>
        <scheme val="minor"/>
      </rPr>
      <t xml:space="preserve"> = p + S</t>
    </r>
  </si>
  <si>
    <t>Arbitrage free put option price</t>
  </si>
  <si>
    <t>Portfolio A</t>
  </si>
  <si>
    <t>Portfolio B</t>
  </si>
  <si>
    <t>call option with strike price $20</t>
  </si>
  <si>
    <t>zero-coupon bond with face value $20</t>
  </si>
  <si>
    <t>put option with strike price $20</t>
  </si>
  <si>
    <t>underlying asset</t>
  </si>
  <si>
    <t>Portfolio price</t>
  </si>
  <si>
    <t xml:space="preserve">Market price of the B(1) position is the opposit of the SP(1) market price 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</si>
  <si>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0,25</t>
    </r>
  </si>
  <si>
    <t>The face value of the zero-coupon bond 21$/0,99</t>
  </si>
  <si>
    <t>The portfolio market value at the options expiration date will be based on the undelying asset spot price!</t>
  </si>
  <si>
    <t>Arbitrage  strategy - Portfolio C</t>
  </si>
  <si>
    <t xml:space="preserve">S(T) &gt; K </t>
  </si>
  <si>
    <t xml:space="preserve">S(T) &lt; K </t>
  </si>
  <si>
    <t>the put option will be exercised</t>
  </si>
  <si>
    <t>if S(0,25) &gt; 20</t>
  </si>
  <si>
    <t>Portfolio B is overpriced relative to Portfolio A</t>
  </si>
  <si>
    <t>short Portfolio B and long Portfolio A</t>
  </si>
  <si>
    <t>long call LC(0,25)</t>
  </si>
  <si>
    <t>short put SP(0,25)</t>
  </si>
  <si>
    <t>long position in a 3 months zero-coupon bond</t>
  </si>
  <si>
    <t xml:space="preserve">Market price of the LB(0,25) position is the opposit of the sum of the SC(0,25)+LU+LP(0,25) market price </t>
  </si>
  <si>
    <t>LC(0,25)</t>
  </si>
  <si>
    <t>SP(0,25)</t>
  </si>
  <si>
    <t>LB(0,25)</t>
  </si>
  <si>
    <t>The arbitrage profit</t>
  </si>
  <si>
    <t>If the put-call parity doesn't hold you can earn an arbitrage profit</t>
  </si>
  <si>
    <t>The arbitrage profit PV will be equal with the difference between the option arbitrage free price and the market price</t>
  </si>
  <si>
    <t>call K</t>
  </si>
  <si>
    <t>call T-t</t>
  </si>
  <si>
    <t>put T-t</t>
  </si>
  <si>
    <t>put K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</si>
  <si>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</si>
  <si>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t xml:space="preserve">a) What should be the arbitrage free one-year forward price? </t>
  </si>
  <si>
    <r>
      <t>(c - p)/DF</t>
    </r>
    <r>
      <rPr>
        <vertAlign val="subscript"/>
        <sz val="11"/>
        <color rgb="FFFF0000"/>
        <rFont val="Calibri"/>
        <family val="2"/>
        <charset val="238"/>
        <scheme val="minor"/>
      </rPr>
      <t>T-t</t>
    </r>
    <r>
      <rPr>
        <sz val="11"/>
        <color rgb="FFFF0000"/>
        <rFont val="Calibri"/>
        <family val="2"/>
        <charset val="238"/>
        <scheme val="minor"/>
      </rPr>
      <t xml:space="preserve"> = F - K</t>
    </r>
  </si>
  <si>
    <t>Arbitrage free forward price</t>
  </si>
  <si>
    <t xml:space="preserve">b) Identify the arbitrage opportunity open to a trader. </t>
  </si>
  <si>
    <t>LF(1)</t>
  </si>
  <si>
    <t>long position in a 1 year zero-coupon bond</t>
  </si>
  <si>
    <t xml:space="preserve">short call position </t>
  </si>
  <si>
    <t xml:space="preserve">long put position </t>
  </si>
  <si>
    <t xml:space="preserve">long call position </t>
  </si>
  <si>
    <t xml:space="preserve">short put position </t>
  </si>
  <si>
    <t>long forward position</t>
  </si>
  <si>
    <t xml:space="preserve">we take a position in a zero-coupon bond because the put and call prices are different </t>
  </si>
  <si>
    <t xml:space="preserve">Market price of the LB(1) position is the opposit of the sum of the LF(1) + SC(1) + LP(1) market price </t>
  </si>
  <si>
    <t xml:space="preserve">the call option will be exercised </t>
  </si>
  <si>
    <t>if S(1) &gt; 190</t>
  </si>
  <si>
    <t>buy the underlying asset on the delivery price</t>
  </si>
  <si>
    <t>If the put-call "future value" parity doesn't hold you can earn an arbitrage profit</t>
  </si>
  <si>
    <t>General rule for a put-call parity in "future value"</t>
  </si>
  <si>
    <t>General rule for bull spread</t>
  </si>
  <si>
    <t>K1 &lt; K2</t>
  </si>
  <si>
    <t>With option algebra</t>
  </si>
  <si>
    <t>S(T) &lt; K1</t>
  </si>
  <si>
    <t>K2&lt;S(T)</t>
  </si>
  <si>
    <t>bull spread</t>
  </si>
  <si>
    <t>bear spread</t>
  </si>
  <si>
    <t>b) Construct a table that shows the profit and payoff for both spreads.</t>
  </si>
  <si>
    <t>K1 &lt; S(T) &lt; K2</t>
  </si>
  <si>
    <t>K2 &lt; S(T)</t>
  </si>
  <si>
    <t>Payoff</t>
  </si>
  <si>
    <r>
      <t>LP</t>
    </r>
    <r>
      <rPr>
        <vertAlign val="subscript"/>
        <sz val="11"/>
        <color rgb="FFFF0000"/>
        <rFont val="Calibri"/>
        <family val="2"/>
        <charset val="238"/>
        <scheme val="minor"/>
      </rPr>
      <t>K1</t>
    </r>
    <r>
      <rPr>
        <sz val="11"/>
        <color rgb="FFFF0000"/>
        <rFont val="Calibri"/>
        <family val="2"/>
        <charset val="238"/>
        <scheme val="minor"/>
      </rPr>
      <t xml:space="preserve"> + SP</t>
    </r>
    <r>
      <rPr>
        <vertAlign val="subscript"/>
        <sz val="11"/>
        <color rgb="FFFF0000"/>
        <rFont val="Calibri"/>
        <family val="2"/>
        <charset val="238"/>
        <scheme val="minor"/>
      </rPr>
      <t>K2</t>
    </r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</si>
  <si>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K1</t>
    </r>
    <r>
      <rPr>
        <sz val="11"/>
        <color theme="1"/>
        <rFont val="Calibri"/>
        <family val="2"/>
        <charset val="238"/>
        <scheme val="minor"/>
      </rPr>
      <t xml:space="preserve"> + SC</t>
    </r>
    <r>
      <rPr>
        <vertAlign val="subscript"/>
        <sz val="11"/>
        <color theme="1"/>
        <rFont val="Calibri"/>
        <family val="2"/>
        <charset val="238"/>
        <scheme val="minor"/>
      </rPr>
      <t>K2</t>
    </r>
  </si>
  <si>
    <r>
      <t>SC</t>
    </r>
    <r>
      <rPr>
        <vertAlign val="subscript"/>
        <sz val="11"/>
        <color theme="1"/>
        <rFont val="Calibri"/>
        <family val="2"/>
        <charset val="238"/>
        <scheme val="minor"/>
      </rPr>
      <t>K1</t>
    </r>
    <r>
      <rPr>
        <sz val="11"/>
        <color theme="1"/>
        <rFont val="Calibri"/>
        <family val="2"/>
        <charset val="238"/>
        <scheme val="minor"/>
      </rPr>
      <t xml:space="preserve"> + LC</t>
    </r>
    <r>
      <rPr>
        <vertAlign val="subscript"/>
        <sz val="11"/>
        <color theme="1"/>
        <rFont val="Calibri"/>
        <family val="2"/>
        <charset val="238"/>
        <scheme val="minor"/>
      </rPr>
      <t>K2</t>
    </r>
  </si>
  <si>
    <r>
      <t>SP</t>
    </r>
    <r>
      <rPr>
        <vertAlign val="subscript"/>
        <sz val="11"/>
        <color rgb="FFFF0000"/>
        <rFont val="Calibri"/>
        <family val="2"/>
        <charset val="238"/>
        <scheme val="minor"/>
      </rPr>
      <t>K1</t>
    </r>
    <r>
      <rPr>
        <sz val="11"/>
        <color rgb="FFFF0000"/>
        <rFont val="Calibri"/>
        <family val="2"/>
        <charset val="238"/>
        <scheme val="minor"/>
      </rPr>
      <t xml:space="preserve"> + LP</t>
    </r>
    <r>
      <rPr>
        <vertAlign val="subscript"/>
        <sz val="11"/>
        <color rgb="FFFF0000"/>
        <rFont val="Calibri"/>
        <family val="2"/>
        <charset val="238"/>
        <scheme val="minor"/>
      </rPr>
      <t>K2</t>
    </r>
  </si>
  <si>
    <r>
      <t>LP</t>
    </r>
    <r>
      <rPr>
        <vertAlign val="subscript"/>
        <sz val="11"/>
        <color theme="1"/>
        <rFont val="Calibri"/>
        <family val="2"/>
        <charset val="238"/>
        <scheme val="minor"/>
      </rPr>
      <t>K1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</si>
  <si>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SP</t>
    </r>
    <r>
      <rPr>
        <vertAlign val="subscript"/>
        <sz val="11"/>
        <color theme="1"/>
        <rFont val="Calibri"/>
        <family val="2"/>
        <charset val="238"/>
        <scheme val="minor"/>
      </rPr>
      <t>K2</t>
    </r>
  </si>
  <si>
    <r>
      <t>SP</t>
    </r>
    <r>
      <rPr>
        <vertAlign val="subscript"/>
        <sz val="11"/>
        <color theme="1"/>
        <rFont val="Calibri"/>
        <family val="2"/>
        <charset val="238"/>
        <scheme val="minor"/>
      </rPr>
      <t>K1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</si>
  <si>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LP</t>
    </r>
    <r>
      <rPr>
        <vertAlign val="subscript"/>
        <sz val="11"/>
        <color theme="1"/>
        <rFont val="Calibri"/>
        <family val="2"/>
        <charset val="238"/>
        <scheme val="minor"/>
      </rPr>
      <t>K2</t>
    </r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</si>
  <si>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K1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</si>
  <si>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SC</t>
    </r>
    <r>
      <rPr>
        <vertAlign val="subscript"/>
        <sz val="11"/>
        <color theme="1"/>
        <rFont val="Calibri"/>
        <family val="2"/>
        <charset val="238"/>
        <scheme val="minor"/>
      </rPr>
      <t>K2</t>
    </r>
  </si>
  <si>
    <r>
      <t>SC</t>
    </r>
    <r>
      <rPr>
        <vertAlign val="subscript"/>
        <sz val="11"/>
        <color theme="1"/>
        <rFont val="Calibri"/>
        <family val="2"/>
        <charset val="238"/>
        <scheme val="minor"/>
      </rPr>
      <t>K1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</si>
  <si>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K2</t>
    </r>
  </si>
  <si>
    <r>
      <t>LP</t>
    </r>
    <r>
      <rPr>
        <vertAlign val="subscript"/>
        <sz val="11"/>
        <color theme="1"/>
        <rFont val="Calibri"/>
        <family val="2"/>
        <charset val="238"/>
        <scheme val="minor"/>
      </rPr>
      <t>30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</si>
  <si>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SP</t>
    </r>
    <r>
      <rPr>
        <vertAlign val="subscript"/>
        <sz val="11"/>
        <color theme="1"/>
        <rFont val="Calibri"/>
        <family val="2"/>
        <charset val="238"/>
        <scheme val="minor"/>
      </rPr>
      <t>35</t>
    </r>
  </si>
  <si>
    <t>Profit</t>
  </si>
  <si>
    <t>put K1</t>
  </si>
  <si>
    <t>put K2</t>
  </si>
  <si>
    <r>
      <t>p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  <r>
      <rPr>
        <sz val="11"/>
        <color theme="1"/>
        <rFont val="Calibri"/>
        <family val="2"/>
        <charset val="238"/>
        <scheme val="minor"/>
      </rPr>
      <t>K1</t>
    </r>
  </si>
  <si>
    <r>
      <t>p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  <r>
      <rPr>
        <sz val="11"/>
        <color theme="1"/>
        <rFont val="Calibri"/>
        <family val="2"/>
        <charset val="238"/>
        <scheme val="minor"/>
      </rPr>
      <t>K2</t>
    </r>
  </si>
  <si>
    <t>p T-t</t>
  </si>
  <si>
    <t>a) How can the options be used to create a bull spread and a bear spread?</t>
  </si>
  <si>
    <r>
      <t>SP</t>
    </r>
    <r>
      <rPr>
        <vertAlign val="subscript"/>
        <sz val="11"/>
        <color theme="1"/>
        <rFont val="Calibri"/>
        <family val="2"/>
        <charset val="238"/>
        <scheme val="minor"/>
      </rPr>
      <t>30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</si>
  <si>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LP</t>
    </r>
    <r>
      <rPr>
        <vertAlign val="subscript"/>
        <sz val="11"/>
        <color theme="1"/>
        <rFont val="Calibri"/>
        <family val="2"/>
        <charset val="238"/>
        <scheme val="minor"/>
      </rPr>
      <t>35</t>
    </r>
  </si>
  <si>
    <r>
      <t>c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</si>
  <si>
    <t>c T-t</t>
  </si>
  <si>
    <r>
      <t>p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</si>
  <si>
    <t>General rule for long straddle</t>
  </si>
  <si>
    <t>Long straddle</t>
  </si>
  <si>
    <t xml:space="preserve">K1 &lt; S(T) </t>
  </si>
  <si>
    <r>
      <t>LC</t>
    </r>
    <r>
      <rPr>
        <vertAlign val="subscript"/>
        <sz val="11"/>
        <color rgb="FFFF0000"/>
        <rFont val="Calibri"/>
        <family val="2"/>
        <charset val="238"/>
        <scheme val="minor"/>
      </rPr>
      <t xml:space="preserve">K </t>
    </r>
    <r>
      <rPr>
        <sz val="11"/>
        <color rgb="FFFF0000"/>
        <rFont val="Calibri"/>
        <family val="2"/>
        <charset val="238"/>
        <scheme val="minor"/>
      </rPr>
      <t>+ LP</t>
    </r>
    <r>
      <rPr>
        <vertAlign val="subscript"/>
        <sz val="11"/>
        <color rgb="FFFF0000"/>
        <rFont val="Calibri"/>
        <family val="2"/>
        <charset val="238"/>
        <scheme val="minor"/>
      </rPr>
      <t>K</t>
    </r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</si>
  <si>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K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</si>
  <si>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LP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</si>
  <si>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LP</t>
    </r>
    <r>
      <rPr>
        <b/>
        <vertAlign val="subscript"/>
        <sz val="11"/>
        <color rgb="FFFF0000"/>
        <rFont val="Calibri"/>
        <family val="2"/>
        <charset val="238"/>
        <scheme val="minor"/>
      </rPr>
      <t>30</t>
    </r>
    <r>
      <rPr>
        <b/>
        <sz val="11"/>
        <color rgb="FFFF0000"/>
        <rFont val="Calibri"/>
        <family val="2"/>
        <charset val="238"/>
        <scheme val="minor"/>
      </rPr>
      <t xml:space="preserve">  + SP</t>
    </r>
    <r>
      <rPr>
        <b/>
        <vertAlign val="subscript"/>
        <sz val="11"/>
        <color rgb="FFFF0000"/>
        <rFont val="Calibri"/>
        <family val="2"/>
        <charset val="238"/>
        <scheme val="minor"/>
      </rPr>
      <t>35</t>
    </r>
  </si>
  <si>
    <r>
      <t>SP</t>
    </r>
    <r>
      <rPr>
        <b/>
        <vertAlign val="subscript"/>
        <sz val="11"/>
        <color rgb="FFFF0000"/>
        <rFont val="Calibri"/>
        <family val="2"/>
        <charset val="238"/>
        <scheme val="minor"/>
      </rPr>
      <t>30</t>
    </r>
    <r>
      <rPr>
        <b/>
        <sz val="11"/>
        <color rgb="FFFF0000"/>
        <rFont val="Calibri"/>
        <family val="2"/>
        <charset val="238"/>
        <scheme val="minor"/>
      </rPr>
      <t xml:space="preserve">  + LP</t>
    </r>
    <r>
      <rPr>
        <b/>
        <vertAlign val="subscript"/>
        <sz val="11"/>
        <color rgb="FFFF0000"/>
        <rFont val="Calibri"/>
        <family val="2"/>
        <charset val="238"/>
        <scheme val="minor"/>
      </rPr>
      <t>35</t>
    </r>
  </si>
  <si>
    <t xml:space="preserve">a) How can the options be used to create a long straddle? </t>
  </si>
  <si>
    <t>long straddle</t>
  </si>
  <si>
    <r>
      <t>LP</t>
    </r>
    <r>
      <rPr>
        <b/>
        <vertAlign val="subscript"/>
        <sz val="11"/>
        <color rgb="FFFF0000"/>
        <rFont val="Calibri"/>
        <family val="2"/>
        <charset val="238"/>
        <scheme val="minor"/>
      </rPr>
      <t>60</t>
    </r>
    <r>
      <rPr>
        <b/>
        <sz val="11"/>
        <color rgb="FFFF0000"/>
        <rFont val="Calibri"/>
        <family val="2"/>
        <charset val="238"/>
        <scheme val="minor"/>
      </rPr>
      <t xml:space="preserve">  + SP</t>
    </r>
    <r>
      <rPr>
        <b/>
        <vertAlign val="subscript"/>
        <sz val="11"/>
        <color rgb="FFFF0000"/>
        <rFont val="Calibri"/>
        <family val="2"/>
        <charset val="238"/>
        <scheme val="minor"/>
      </rPr>
      <t>60</t>
    </r>
  </si>
  <si>
    <t>b) Construct a table that shows the profit from a straddle.</t>
  </si>
  <si>
    <t>S(1) &lt; 30</t>
  </si>
  <si>
    <t>30 &lt; S(1) &lt;  35</t>
  </si>
  <si>
    <t>35 &lt; S(1)</t>
  </si>
  <si>
    <t xml:space="preserve"> S(1) - 35</t>
  </si>
  <si>
    <t xml:space="preserve"> S(1) - 32</t>
  </si>
  <si>
    <t>S(1) - 35</t>
  </si>
  <si>
    <t>30 - S(1)</t>
  </si>
  <si>
    <t>S(1) - 30</t>
  </si>
  <si>
    <t>35 - S(1)</t>
  </si>
  <si>
    <t>32 - S(1)</t>
  </si>
  <si>
    <t>S(1) &lt; 60</t>
  </si>
  <si>
    <t xml:space="preserve">60 &lt; S(1) </t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</si>
  <si>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60</t>
    </r>
  </si>
  <si>
    <r>
      <t>LP</t>
    </r>
    <r>
      <rPr>
        <vertAlign val="subscript"/>
        <sz val="11"/>
        <color theme="1"/>
        <rFont val="Calibri"/>
        <family val="2"/>
        <charset val="238"/>
        <scheme val="minor"/>
      </rPr>
      <t>60</t>
    </r>
  </si>
  <si>
    <t>S(1) - 60</t>
  </si>
  <si>
    <t>60 - S(1)</t>
  </si>
  <si>
    <t>50 - S(1)</t>
  </si>
  <si>
    <t>S(1) - 70</t>
  </si>
  <si>
    <t>call K1</t>
  </si>
  <si>
    <t>call K2</t>
  </si>
  <si>
    <t>call K3</t>
  </si>
  <si>
    <r>
      <t>c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  <r>
      <rPr>
        <sz val="11"/>
        <color theme="1"/>
        <rFont val="Calibri"/>
        <family val="2"/>
        <charset val="238"/>
        <scheme val="minor"/>
      </rPr>
      <t>K1</t>
    </r>
  </si>
  <si>
    <r>
      <t>c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  <r>
      <rPr>
        <sz val="11"/>
        <color theme="1"/>
        <rFont val="Calibri"/>
        <family val="2"/>
        <charset val="238"/>
        <scheme val="minor"/>
      </rPr>
      <t>K2</t>
    </r>
  </si>
  <si>
    <r>
      <t>c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  <r>
      <rPr>
        <sz val="11"/>
        <color theme="1"/>
        <rFont val="Calibri"/>
        <family val="2"/>
        <charset val="238"/>
        <scheme val="minor"/>
      </rPr>
      <t>K3</t>
    </r>
  </si>
  <si>
    <t xml:space="preserve">a) Explain how a long butterfly spread can be created. </t>
  </si>
  <si>
    <t>General rule for long butterfly</t>
  </si>
  <si>
    <t>K1 &lt; K2 &lt; K3</t>
  </si>
  <si>
    <r>
      <t>LC</t>
    </r>
    <r>
      <rPr>
        <vertAlign val="subscript"/>
        <sz val="11"/>
        <color rgb="FFFF0000"/>
        <rFont val="Calibri"/>
        <family val="2"/>
        <charset val="238"/>
        <scheme val="minor"/>
      </rPr>
      <t>K1</t>
    </r>
    <r>
      <rPr>
        <sz val="11"/>
        <color rgb="FFFF0000"/>
        <rFont val="Calibri"/>
        <family val="2"/>
        <charset val="238"/>
        <scheme val="minor"/>
      </rPr>
      <t xml:space="preserve"> + 2SC</t>
    </r>
    <r>
      <rPr>
        <vertAlign val="subscript"/>
        <sz val="11"/>
        <color rgb="FFFF0000"/>
        <rFont val="Calibri"/>
        <family val="2"/>
        <charset val="238"/>
        <scheme val="minor"/>
      </rPr>
      <t xml:space="preserve">K2 </t>
    </r>
    <r>
      <rPr>
        <sz val="11"/>
        <color rgb="FFFF0000"/>
        <rFont val="Calibri"/>
        <family val="2"/>
        <charset val="238"/>
        <scheme val="minor"/>
      </rPr>
      <t>+ LC</t>
    </r>
    <r>
      <rPr>
        <vertAlign val="subscript"/>
        <sz val="11"/>
        <color rgb="FFFF0000"/>
        <rFont val="Calibri"/>
        <family val="2"/>
        <charset val="238"/>
        <scheme val="minor"/>
      </rPr>
      <t>K3</t>
    </r>
  </si>
  <si>
    <r>
      <t>LP</t>
    </r>
    <r>
      <rPr>
        <vertAlign val="subscript"/>
        <sz val="11"/>
        <rFont val="Calibri"/>
        <family val="2"/>
        <charset val="238"/>
        <scheme val="minor"/>
      </rPr>
      <t>K1</t>
    </r>
    <r>
      <rPr>
        <sz val="11"/>
        <rFont val="Calibri"/>
        <family val="2"/>
        <charset val="238"/>
        <scheme val="minor"/>
      </rPr>
      <t xml:space="preserve"> + 2SP</t>
    </r>
    <r>
      <rPr>
        <vertAlign val="subscript"/>
        <sz val="11"/>
        <rFont val="Calibri"/>
        <family val="2"/>
        <charset val="238"/>
        <scheme val="minor"/>
      </rPr>
      <t xml:space="preserve">K2 </t>
    </r>
    <r>
      <rPr>
        <sz val="11"/>
        <rFont val="Calibri"/>
        <family val="2"/>
        <charset val="238"/>
        <scheme val="minor"/>
      </rPr>
      <t>+ LP</t>
    </r>
    <r>
      <rPr>
        <vertAlign val="subscript"/>
        <sz val="11"/>
        <rFont val="Calibri"/>
        <family val="2"/>
        <charset val="238"/>
        <scheme val="minor"/>
      </rPr>
      <t>K3</t>
    </r>
  </si>
  <si>
    <t>K3&lt;S(T)</t>
  </si>
  <si>
    <t>K2 &lt; S(T) &lt; K3</t>
  </si>
  <si>
    <r>
      <t>2SC</t>
    </r>
    <r>
      <rPr>
        <vertAlign val="subscript"/>
        <sz val="11"/>
        <color theme="1"/>
        <rFont val="Calibri"/>
        <family val="2"/>
        <charset val="238"/>
        <scheme val="minor"/>
      </rPr>
      <t>K2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</si>
  <si>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K3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</si>
  <si>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2SP</t>
    </r>
    <r>
      <rPr>
        <vertAlign val="subscript"/>
        <sz val="11"/>
        <color theme="1"/>
        <rFont val="Calibri"/>
        <family val="2"/>
        <charset val="238"/>
        <scheme val="minor"/>
      </rPr>
      <t>K2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</si>
  <si>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LP</t>
    </r>
    <r>
      <rPr>
        <vertAlign val="subscript"/>
        <sz val="11"/>
        <color theme="1"/>
        <rFont val="Calibri"/>
        <family val="2"/>
        <charset val="238"/>
        <scheme val="minor"/>
      </rPr>
      <t>K3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</si>
  <si>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long butterfly</t>
  </si>
  <si>
    <r>
      <t>LC</t>
    </r>
    <r>
      <rPr>
        <b/>
        <vertAlign val="subscript"/>
        <sz val="11"/>
        <color rgb="FFFF0000"/>
        <rFont val="Calibri"/>
        <family val="2"/>
        <charset val="238"/>
        <scheme val="minor"/>
      </rPr>
      <t>80</t>
    </r>
    <r>
      <rPr>
        <b/>
        <sz val="11"/>
        <color rgb="FFFF0000"/>
        <rFont val="Calibri"/>
        <family val="2"/>
        <charset val="238"/>
        <scheme val="minor"/>
      </rPr>
      <t xml:space="preserve"> + 2SC</t>
    </r>
    <r>
      <rPr>
        <b/>
        <vertAlign val="subscript"/>
        <sz val="11"/>
        <color rgb="FFFF0000"/>
        <rFont val="Calibri"/>
        <family val="2"/>
        <charset val="238"/>
        <scheme val="minor"/>
      </rPr>
      <t xml:space="preserve">90 </t>
    </r>
    <r>
      <rPr>
        <b/>
        <sz val="11"/>
        <color rgb="FFFF0000"/>
        <rFont val="Calibri"/>
        <family val="2"/>
        <charset val="238"/>
        <scheme val="minor"/>
      </rPr>
      <t>+ LC</t>
    </r>
    <r>
      <rPr>
        <b/>
        <vertAlign val="subscript"/>
        <sz val="11"/>
        <color rgb="FFFF0000"/>
        <rFont val="Calibri"/>
        <family val="2"/>
        <charset val="238"/>
        <scheme val="minor"/>
      </rPr>
      <t>100</t>
    </r>
  </si>
  <si>
    <t xml:space="preserve">b) Construct a table showing the profit from the strategy. </t>
  </si>
  <si>
    <t>S(1) &lt; 80</t>
  </si>
  <si>
    <t>80 &lt; S(1) &lt;  90</t>
  </si>
  <si>
    <t>90 &lt; S(1) &lt;  100</t>
  </si>
  <si>
    <t>100 &lt; S(1)</t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</si>
  <si>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80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</si>
  <si>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2SC</t>
    </r>
    <r>
      <rPr>
        <vertAlign val="subscript"/>
        <sz val="11"/>
        <color theme="1"/>
        <rFont val="Calibri"/>
        <family val="2"/>
        <charset val="238"/>
        <scheme val="minor"/>
      </rPr>
      <t>90</t>
    </r>
    <r>
      <rPr>
        <sz val="11"/>
        <color theme="1"/>
        <rFont val="Calibri"/>
        <family val="2"/>
        <charset val="238"/>
        <scheme val="minor"/>
      </rPr>
      <t xml:space="preserve"> </t>
    </r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</si>
  <si>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100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</si>
  <si>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S(1) - 80</t>
  </si>
  <si>
    <t>180 - 2*S(1)</t>
  </si>
  <si>
    <t>S(1) - 100</t>
  </si>
  <si>
    <t>100 - S(1)</t>
  </si>
  <si>
    <t>Min</t>
  </si>
  <si>
    <t>Max</t>
  </si>
  <si>
    <t>Because the portfolio value is always zero or positive at the expiration date it is an arbitrage opportunity</t>
  </si>
  <si>
    <t>The call prices should be a convex function of the strikes!</t>
  </si>
  <si>
    <t>General rule for box spread</t>
  </si>
  <si>
    <t>=</t>
  </si>
  <si>
    <t>all options and forwards have a same expirity</t>
  </si>
  <si>
    <t>both forwards can be replicated by calls and puts - based on the put call parity</t>
  </si>
  <si>
    <r>
      <t>LF</t>
    </r>
    <r>
      <rPr>
        <vertAlign val="subscript"/>
        <sz val="11"/>
        <color rgb="FFFF0000"/>
        <rFont val="Calibri"/>
        <family val="2"/>
        <charset val="238"/>
        <scheme val="minor"/>
      </rPr>
      <t>K1</t>
    </r>
    <r>
      <rPr>
        <sz val="11"/>
        <color rgb="FFFF0000"/>
        <rFont val="Calibri"/>
        <family val="2"/>
        <charset val="238"/>
        <scheme val="minor"/>
      </rPr>
      <t xml:space="preserve"> </t>
    </r>
  </si>
  <si>
    <r>
      <t>LF</t>
    </r>
    <r>
      <rPr>
        <vertAlign val="subscript"/>
        <sz val="11"/>
        <rFont val="Calibri"/>
        <family val="2"/>
        <charset val="238"/>
        <scheme val="minor"/>
      </rPr>
      <t>K1</t>
    </r>
    <r>
      <rPr>
        <sz val="11"/>
        <rFont val="Calibri"/>
        <family val="2"/>
        <charset val="238"/>
        <scheme val="minor"/>
      </rPr>
      <t xml:space="preserve"> </t>
    </r>
  </si>
  <si>
    <r>
      <t>LC</t>
    </r>
    <r>
      <rPr>
        <vertAlign val="subscript"/>
        <sz val="11"/>
        <rFont val="Calibri"/>
        <family val="2"/>
        <charset val="238"/>
        <scheme val="minor"/>
      </rPr>
      <t>K1</t>
    </r>
    <r>
      <rPr>
        <sz val="11"/>
        <rFont val="Calibri"/>
        <family val="2"/>
        <charset val="238"/>
        <scheme val="minor"/>
      </rPr>
      <t xml:space="preserve"> + SP</t>
    </r>
    <r>
      <rPr>
        <vertAlign val="subscript"/>
        <sz val="11"/>
        <rFont val="Calibri"/>
        <family val="2"/>
        <charset val="238"/>
        <scheme val="minor"/>
      </rPr>
      <t>K1</t>
    </r>
    <r>
      <rPr>
        <sz val="11"/>
        <rFont val="Calibri"/>
        <family val="2"/>
        <charset val="238"/>
        <scheme val="minor"/>
      </rPr>
      <t xml:space="preserve"> </t>
    </r>
  </si>
  <si>
    <r>
      <t>SC</t>
    </r>
    <r>
      <rPr>
        <vertAlign val="subscript"/>
        <sz val="11"/>
        <rFont val="Calibri"/>
        <family val="2"/>
        <charset val="238"/>
        <scheme val="minor"/>
      </rPr>
      <t>K2</t>
    </r>
    <r>
      <rPr>
        <sz val="11"/>
        <rFont val="Calibri"/>
        <family val="2"/>
        <charset val="238"/>
        <scheme val="minor"/>
      </rPr>
      <t xml:space="preserve"> + LP</t>
    </r>
    <r>
      <rPr>
        <vertAlign val="subscript"/>
        <sz val="11"/>
        <rFont val="Calibri"/>
        <family val="2"/>
        <charset val="238"/>
        <scheme val="minor"/>
      </rPr>
      <t>K2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</si>
  <si>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 xml:space="preserve">K1 </t>
    </r>
    <r>
      <rPr>
        <sz val="11"/>
        <color theme="1"/>
        <rFont val="Calibri"/>
        <family val="2"/>
        <charset val="238"/>
        <scheme val="minor"/>
      </rPr>
      <t>- p</t>
    </r>
    <r>
      <rPr>
        <vertAlign val="subscript"/>
        <sz val="11"/>
        <color theme="1"/>
        <rFont val="Calibri"/>
        <family val="2"/>
        <charset val="238"/>
        <scheme val="minor"/>
      </rPr>
      <t>K1</t>
    </r>
  </si>
  <si>
    <r>
      <t xml:space="preserve"> -c</t>
    </r>
    <r>
      <rPr>
        <vertAlign val="subscript"/>
        <sz val="11"/>
        <color theme="1"/>
        <rFont val="Calibri"/>
        <family val="2"/>
        <charset val="238"/>
        <scheme val="minor"/>
      </rPr>
      <t xml:space="preserve">K2 </t>
    </r>
    <r>
      <rPr>
        <sz val="11"/>
        <color theme="1"/>
        <rFont val="Calibri"/>
        <family val="2"/>
        <charset val="238"/>
        <scheme val="minor"/>
      </rPr>
      <t>+ p</t>
    </r>
    <r>
      <rPr>
        <vertAlign val="subscript"/>
        <sz val="11"/>
        <color theme="1"/>
        <rFont val="Calibri"/>
        <family val="2"/>
        <charset val="238"/>
        <scheme val="minor"/>
      </rPr>
      <t>K2</t>
    </r>
  </si>
  <si>
    <r>
      <t>S - K1*DF</t>
    </r>
    <r>
      <rPr>
        <vertAlign val="subscript"/>
        <sz val="11"/>
        <color theme="1"/>
        <rFont val="Calibri"/>
        <family val="2"/>
        <charset val="238"/>
        <scheme val="minor"/>
      </rPr>
      <t>T-t</t>
    </r>
  </si>
  <si>
    <r>
      <t>K2*DF</t>
    </r>
    <r>
      <rPr>
        <vertAlign val="subscript"/>
        <sz val="11"/>
        <color theme="1"/>
        <rFont val="Calibri"/>
        <family val="2"/>
        <charset val="238"/>
        <scheme val="minor"/>
      </rPr>
      <t xml:space="preserve">T-t </t>
    </r>
    <r>
      <rPr>
        <sz val="11"/>
        <color theme="1"/>
        <rFont val="Calibri"/>
        <family val="2"/>
        <charset val="238"/>
        <scheme val="minor"/>
      </rPr>
      <t>- S</t>
    </r>
  </si>
  <si>
    <r>
      <t>SF</t>
    </r>
    <r>
      <rPr>
        <vertAlign val="subscript"/>
        <sz val="11"/>
        <color theme="1"/>
        <rFont val="Calibri"/>
        <family val="2"/>
        <charset val="238"/>
        <scheme val="minor"/>
      </rPr>
      <t>K2</t>
    </r>
  </si>
  <si>
    <r>
      <t>LC</t>
    </r>
    <r>
      <rPr>
        <vertAlign val="subscript"/>
        <sz val="11"/>
        <color rgb="FFFF0000"/>
        <rFont val="Calibri"/>
        <family val="2"/>
        <charset val="238"/>
        <scheme val="minor"/>
      </rPr>
      <t>K1</t>
    </r>
    <r>
      <rPr>
        <sz val="11"/>
        <color rgb="FFFF0000"/>
        <rFont val="Calibri"/>
        <family val="2"/>
        <charset val="238"/>
        <scheme val="minor"/>
      </rPr>
      <t xml:space="preserve"> + SP</t>
    </r>
    <r>
      <rPr>
        <vertAlign val="subscript"/>
        <sz val="11"/>
        <color rgb="FFFF0000"/>
        <rFont val="Calibri"/>
        <family val="2"/>
        <charset val="238"/>
        <scheme val="minor"/>
      </rPr>
      <t>K1</t>
    </r>
    <r>
      <rPr>
        <sz val="11"/>
        <color rgb="FFFF0000"/>
        <rFont val="Calibri"/>
        <family val="2"/>
        <charset val="238"/>
        <scheme val="minor"/>
      </rPr>
      <t/>
    </r>
  </si>
  <si>
    <r>
      <t xml:space="preserve"> + SF</t>
    </r>
    <r>
      <rPr>
        <vertAlign val="subscript"/>
        <sz val="11"/>
        <color rgb="FFFF0000"/>
        <rFont val="Calibri"/>
        <family val="2"/>
        <charset val="238"/>
        <scheme val="minor"/>
      </rPr>
      <t>K2</t>
    </r>
  </si>
  <si>
    <r>
      <t xml:space="preserve"> +SC</t>
    </r>
    <r>
      <rPr>
        <vertAlign val="subscript"/>
        <sz val="11"/>
        <color rgb="FFFF0000"/>
        <rFont val="Calibri"/>
        <family val="2"/>
        <charset val="238"/>
        <scheme val="minor"/>
      </rPr>
      <t>K2</t>
    </r>
    <r>
      <rPr>
        <sz val="11"/>
        <color rgb="FFFF0000"/>
        <rFont val="Calibri"/>
        <family val="2"/>
        <charset val="238"/>
        <scheme val="minor"/>
      </rPr>
      <t xml:space="preserve"> + LP</t>
    </r>
    <r>
      <rPr>
        <vertAlign val="subscript"/>
        <sz val="11"/>
        <color rgb="FFFF0000"/>
        <rFont val="Calibri"/>
        <family val="2"/>
        <charset val="238"/>
        <scheme val="minor"/>
      </rPr>
      <t>K2</t>
    </r>
  </si>
  <si>
    <r>
      <t>K2*DF</t>
    </r>
    <r>
      <rPr>
        <vertAlign val="subscript"/>
        <sz val="11"/>
        <color rgb="FFFF0000"/>
        <rFont val="Calibri"/>
        <family val="2"/>
        <charset val="238"/>
        <scheme val="minor"/>
      </rPr>
      <t xml:space="preserve">T-t </t>
    </r>
  </si>
  <si>
    <r>
      <t xml:space="preserve"> - K1*DF</t>
    </r>
    <r>
      <rPr>
        <vertAlign val="subscript"/>
        <sz val="11"/>
        <color rgb="FFFF0000"/>
        <rFont val="Calibri"/>
        <family val="2"/>
        <charset val="238"/>
        <scheme val="minor"/>
      </rPr>
      <t>T-t</t>
    </r>
  </si>
  <si>
    <r>
      <t>c</t>
    </r>
    <r>
      <rPr>
        <vertAlign val="subscript"/>
        <sz val="11"/>
        <color rgb="FFFF0000"/>
        <rFont val="Calibri"/>
        <family val="2"/>
        <charset val="238"/>
        <scheme val="minor"/>
      </rPr>
      <t xml:space="preserve">K1 </t>
    </r>
    <r>
      <rPr>
        <sz val="11"/>
        <color rgb="FFFF0000"/>
        <rFont val="Calibri"/>
        <family val="2"/>
        <charset val="238"/>
        <scheme val="minor"/>
      </rPr>
      <t>- p</t>
    </r>
    <r>
      <rPr>
        <vertAlign val="subscript"/>
        <sz val="11"/>
        <color rgb="FFFF0000"/>
        <rFont val="Calibri"/>
        <family val="2"/>
        <charset val="238"/>
        <scheme val="minor"/>
      </rPr>
      <t>K1</t>
    </r>
  </si>
  <si>
    <r>
      <t xml:space="preserve"> -c</t>
    </r>
    <r>
      <rPr>
        <vertAlign val="subscript"/>
        <sz val="11"/>
        <color rgb="FFFF0000"/>
        <rFont val="Calibri"/>
        <family val="2"/>
        <charset val="238"/>
        <scheme val="minor"/>
      </rPr>
      <t xml:space="preserve">K2 </t>
    </r>
    <r>
      <rPr>
        <sz val="11"/>
        <color rgb="FFFF0000"/>
        <rFont val="Calibri"/>
        <family val="2"/>
        <charset val="238"/>
        <scheme val="minor"/>
      </rPr>
      <t>+ p</t>
    </r>
    <r>
      <rPr>
        <vertAlign val="subscript"/>
        <sz val="11"/>
        <color rgb="FFFF0000"/>
        <rFont val="Calibri"/>
        <family val="2"/>
        <charset val="238"/>
        <scheme val="minor"/>
      </rPr>
      <t>K2</t>
    </r>
  </si>
  <si>
    <t>c) How much is the minimum arbitrage profit PV in this case?</t>
  </si>
  <si>
    <t>c) How much is the arbitrage profit PV in this case?</t>
  </si>
  <si>
    <t>c) How much is the arbitrage profit FV in this case?</t>
  </si>
  <si>
    <t xml:space="preserve">a) Identify the arbitrage opportunity open to a trader. </t>
  </si>
  <si>
    <t>The equation doesn't hold based on the option prices: it's an arbitrage opportunity</t>
  </si>
  <si>
    <r>
      <t>K + (c - p)/DF</t>
    </r>
    <r>
      <rPr>
        <vertAlign val="subscript"/>
        <sz val="11"/>
        <color rgb="FFFF0000"/>
        <rFont val="Calibri"/>
        <family val="2"/>
        <charset val="238"/>
        <scheme val="minor"/>
      </rPr>
      <t>T-t</t>
    </r>
    <r>
      <rPr>
        <sz val="11"/>
        <color rgb="FFFF0000"/>
        <rFont val="Calibri"/>
        <family val="2"/>
        <charset val="238"/>
        <scheme val="minor"/>
      </rPr>
      <t xml:space="preserve"> = F </t>
    </r>
  </si>
  <si>
    <t xml:space="preserve">put-call parity </t>
  </si>
  <si>
    <t>K = 70</t>
  </si>
  <si>
    <r>
      <t>80*DF</t>
    </r>
    <r>
      <rPr>
        <vertAlign val="subscript"/>
        <sz val="11"/>
        <rFont val="Calibri"/>
        <family val="2"/>
        <charset val="238"/>
        <scheme val="minor"/>
      </rPr>
      <t>1</t>
    </r>
  </si>
  <si>
    <r>
      <t xml:space="preserve"> - 70*DF</t>
    </r>
    <r>
      <rPr>
        <vertAlign val="subscript"/>
        <sz val="11"/>
        <rFont val="Calibri"/>
        <family val="2"/>
        <charset val="238"/>
        <scheme val="minor"/>
      </rPr>
      <t>1</t>
    </r>
  </si>
  <si>
    <r>
      <t>c</t>
    </r>
    <r>
      <rPr>
        <vertAlign val="subscript"/>
        <sz val="11"/>
        <rFont val="Calibri"/>
        <family val="2"/>
        <charset val="238"/>
        <scheme val="minor"/>
      </rPr>
      <t xml:space="preserve">70 </t>
    </r>
    <r>
      <rPr>
        <sz val="11"/>
        <rFont val="Calibri"/>
        <family val="2"/>
        <charset val="238"/>
        <scheme val="minor"/>
      </rPr>
      <t>- p</t>
    </r>
    <r>
      <rPr>
        <vertAlign val="subscript"/>
        <sz val="11"/>
        <rFont val="Calibri"/>
        <family val="2"/>
        <charset val="238"/>
        <scheme val="minor"/>
      </rPr>
      <t>70</t>
    </r>
  </si>
  <si>
    <r>
      <t xml:space="preserve"> -c</t>
    </r>
    <r>
      <rPr>
        <vertAlign val="subscript"/>
        <sz val="11"/>
        <rFont val="Calibri"/>
        <family val="2"/>
        <charset val="238"/>
        <scheme val="minor"/>
      </rPr>
      <t xml:space="preserve">80 </t>
    </r>
    <r>
      <rPr>
        <sz val="11"/>
        <rFont val="Calibri"/>
        <family val="2"/>
        <charset val="238"/>
        <scheme val="minor"/>
      </rPr>
      <t>+ p</t>
    </r>
    <r>
      <rPr>
        <vertAlign val="subscript"/>
        <sz val="11"/>
        <rFont val="Calibri"/>
        <family val="2"/>
        <charset val="238"/>
        <scheme val="minor"/>
      </rPr>
      <t>80</t>
    </r>
  </si>
  <si>
    <t>K = 80</t>
  </si>
  <si>
    <r>
      <t>F = 70 + (c</t>
    </r>
    <r>
      <rPr>
        <vertAlign val="subscript"/>
        <sz val="11"/>
        <color theme="1"/>
        <rFont val="Calibri"/>
        <family val="2"/>
        <charset val="238"/>
        <scheme val="minor"/>
      </rPr>
      <t>70</t>
    </r>
    <r>
      <rPr>
        <sz val="11"/>
        <color theme="1"/>
        <rFont val="Calibri"/>
        <family val="2"/>
        <charset val="238"/>
        <scheme val="minor"/>
      </rPr>
      <t xml:space="preserve"> - p</t>
    </r>
    <r>
      <rPr>
        <vertAlign val="subscript"/>
        <sz val="11"/>
        <color theme="1"/>
        <rFont val="Calibri"/>
        <family val="2"/>
        <charset val="238"/>
        <scheme val="minor"/>
      </rPr>
      <t>70</t>
    </r>
    <r>
      <rPr>
        <sz val="11"/>
        <color theme="1"/>
        <rFont val="Calibri"/>
        <family val="2"/>
        <charset val="238"/>
        <scheme val="minor"/>
      </rPr>
      <t>)/DF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</si>
  <si>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r>
      <t>F = 80 + (c</t>
    </r>
    <r>
      <rPr>
        <vertAlign val="subscript"/>
        <sz val="11"/>
        <color theme="1"/>
        <rFont val="Calibri"/>
        <family val="2"/>
        <charset val="238"/>
        <scheme val="minor"/>
      </rPr>
      <t>80</t>
    </r>
    <r>
      <rPr>
        <sz val="11"/>
        <color theme="1"/>
        <rFont val="Calibri"/>
        <family val="2"/>
        <charset val="238"/>
        <scheme val="minor"/>
      </rPr>
      <t xml:space="preserve"> - p</t>
    </r>
    <r>
      <rPr>
        <vertAlign val="subscript"/>
        <sz val="11"/>
        <color theme="1"/>
        <rFont val="Calibri"/>
        <family val="2"/>
        <charset val="238"/>
        <scheme val="minor"/>
      </rPr>
      <t>80</t>
    </r>
    <r>
      <rPr>
        <sz val="11"/>
        <color theme="1"/>
        <rFont val="Calibri"/>
        <family val="2"/>
        <charset val="238"/>
        <scheme val="minor"/>
      </rPr>
      <t>)/DF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</si>
  <si>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t xml:space="preserve">F = </t>
  </si>
  <si>
    <t>The market price can't be equal with both arbitrage free prices at least one of the equation doesn't hold</t>
  </si>
  <si>
    <t>buy the forward with K = 70 - because it's cheaper then the other - and sell the forward with K = 80</t>
  </si>
  <si>
    <t>Both forwards are replicated with put and call options based on put-call parity</t>
  </si>
  <si>
    <t xml:space="preserve">b) How much is the arbitrage profit in this case? </t>
  </si>
  <si>
    <t>long call position K = 70</t>
  </si>
  <si>
    <t>short put position K = 70</t>
  </si>
  <si>
    <t>short call position K = 80</t>
  </si>
  <si>
    <t>long put position K = 80</t>
  </si>
  <si>
    <t>short position in a 1 year zero-coupon bond</t>
  </si>
  <si>
    <r>
      <t>LF</t>
    </r>
    <r>
      <rPr>
        <vertAlign val="subscript"/>
        <sz val="11"/>
        <color theme="1"/>
        <rFont val="Calibri"/>
        <family val="2"/>
        <charset val="238"/>
        <scheme val="minor"/>
      </rPr>
      <t>200</t>
    </r>
    <r>
      <rPr>
        <sz val="11"/>
        <color theme="1"/>
        <rFont val="Calibri"/>
        <family val="2"/>
        <charset val="238"/>
        <scheme val="minor"/>
      </rPr>
      <t xml:space="preserve">(1)  </t>
    </r>
  </si>
  <si>
    <r>
      <t>SF</t>
    </r>
    <r>
      <rPr>
        <vertAlign val="subscript"/>
        <sz val="11"/>
        <color theme="1"/>
        <rFont val="Calibri"/>
        <family val="2"/>
        <charset val="238"/>
        <scheme val="minor"/>
      </rPr>
      <t>190</t>
    </r>
    <r>
      <rPr>
        <sz val="11"/>
        <color theme="1"/>
        <rFont val="Calibri"/>
        <family val="2"/>
        <charset val="238"/>
        <scheme val="minor"/>
      </rPr>
      <t>(1)</t>
    </r>
  </si>
  <si>
    <r>
      <t>SC</t>
    </r>
    <r>
      <rPr>
        <vertAlign val="subscript"/>
        <sz val="11"/>
        <color theme="1"/>
        <rFont val="Calibri"/>
        <family val="2"/>
        <charset val="238"/>
        <scheme val="minor"/>
      </rPr>
      <t>190</t>
    </r>
    <r>
      <rPr>
        <sz val="11"/>
        <color theme="1"/>
        <rFont val="Calibri"/>
        <family val="2"/>
        <charset val="238"/>
        <scheme val="minor"/>
      </rPr>
      <t xml:space="preserve">(1) </t>
    </r>
  </si>
  <si>
    <r>
      <t>LP</t>
    </r>
    <r>
      <rPr>
        <vertAlign val="subscript"/>
        <sz val="11"/>
        <color theme="1"/>
        <rFont val="Calibri"/>
        <family val="2"/>
        <charset val="238"/>
        <scheme val="minor"/>
      </rPr>
      <t>190</t>
    </r>
    <r>
      <rPr>
        <sz val="11"/>
        <color theme="1"/>
        <rFont val="Calibri"/>
        <family val="2"/>
        <charset val="238"/>
        <scheme val="minor"/>
      </rPr>
      <t xml:space="preserve">(1) </t>
    </r>
  </si>
  <si>
    <r>
      <t>long forward LF</t>
    </r>
    <r>
      <rPr>
        <b/>
        <vertAlign val="subscript"/>
        <sz val="11"/>
        <color rgb="FFFF0000"/>
        <rFont val="Calibri"/>
        <family val="2"/>
        <charset val="238"/>
        <scheme val="minor"/>
      </rPr>
      <t>200</t>
    </r>
    <r>
      <rPr>
        <b/>
        <sz val="11"/>
        <color rgb="FFFF0000"/>
        <rFont val="Calibri"/>
        <family val="2"/>
        <charset val="238"/>
        <scheme val="minor"/>
      </rPr>
      <t xml:space="preserve">(1) </t>
    </r>
  </si>
  <si>
    <r>
      <t>short call SC</t>
    </r>
    <r>
      <rPr>
        <b/>
        <vertAlign val="subscript"/>
        <sz val="11"/>
        <color rgb="FFFF0000"/>
        <rFont val="Calibri"/>
        <family val="2"/>
        <charset val="238"/>
        <scheme val="minor"/>
      </rPr>
      <t>190</t>
    </r>
    <r>
      <rPr>
        <b/>
        <sz val="11"/>
        <color rgb="FFFF0000"/>
        <rFont val="Calibri"/>
        <family val="2"/>
        <charset val="238"/>
        <scheme val="minor"/>
      </rPr>
      <t xml:space="preserve">(1) </t>
    </r>
  </si>
  <si>
    <r>
      <t>long put LP</t>
    </r>
    <r>
      <rPr>
        <b/>
        <vertAlign val="subscript"/>
        <sz val="11"/>
        <color rgb="FFFF0000"/>
        <rFont val="Calibri"/>
        <family val="2"/>
        <charset val="238"/>
        <scheme val="minor"/>
      </rPr>
      <t>190</t>
    </r>
    <r>
      <rPr>
        <b/>
        <sz val="11"/>
        <color rgb="FFFF0000"/>
        <rFont val="Calibri"/>
        <family val="2"/>
        <charset val="238"/>
        <scheme val="minor"/>
      </rPr>
      <t xml:space="preserve">(1) </t>
    </r>
  </si>
  <si>
    <r>
      <t>LF</t>
    </r>
    <r>
      <rPr>
        <vertAlign val="subscript"/>
        <sz val="11"/>
        <color theme="1"/>
        <rFont val="Calibri"/>
        <family val="2"/>
        <charset val="238"/>
        <scheme val="minor"/>
      </rPr>
      <t>70</t>
    </r>
    <r>
      <rPr>
        <sz val="11"/>
        <color theme="1"/>
        <rFont val="Calibri"/>
        <family val="2"/>
        <charset val="238"/>
        <scheme val="minor"/>
      </rPr>
      <t xml:space="preserve">(1)  </t>
    </r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</si>
  <si>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70</t>
    </r>
    <r>
      <rPr>
        <sz val="11"/>
        <color theme="1"/>
        <rFont val="Calibri"/>
        <family val="2"/>
        <charset val="238"/>
        <scheme val="minor"/>
      </rPr>
      <t xml:space="preserve">(1) </t>
    </r>
  </si>
  <si>
    <r>
      <t>SP</t>
    </r>
    <r>
      <rPr>
        <vertAlign val="subscript"/>
        <sz val="11"/>
        <color theme="1"/>
        <rFont val="Calibri"/>
        <family val="2"/>
        <charset val="238"/>
        <scheme val="minor"/>
      </rPr>
      <t>70</t>
    </r>
    <r>
      <rPr>
        <sz val="11"/>
        <color theme="1"/>
        <rFont val="Calibri"/>
        <family val="2"/>
        <charset val="238"/>
        <scheme val="minor"/>
      </rPr>
      <t xml:space="preserve">(1) </t>
    </r>
  </si>
  <si>
    <r>
      <t>LP</t>
    </r>
    <r>
      <rPr>
        <vertAlign val="subscript"/>
        <sz val="11"/>
        <color theme="1"/>
        <rFont val="Calibri"/>
        <family val="2"/>
        <charset val="238"/>
        <scheme val="minor"/>
      </rPr>
      <t>80</t>
    </r>
    <r>
      <rPr>
        <sz val="11"/>
        <color theme="1"/>
        <rFont val="Calibri"/>
        <family val="2"/>
        <charset val="238"/>
        <scheme val="minor"/>
      </rPr>
      <t xml:space="preserve">(1) </t>
    </r>
  </si>
  <si>
    <r>
      <t>SF</t>
    </r>
    <r>
      <rPr>
        <vertAlign val="subscript"/>
        <sz val="11"/>
        <color theme="1"/>
        <rFont val="Calibri"/>
        <family val="2"/>
        <charset val="238"/>
        <scheme val="minor"/>
      </rPr>
      <t>80</t>
    </r>
    <r>
      <rPr>
        <sz val="11"/>
        <color theme="1"/>
        <rFont val="Calibri"/>
        <family val="2"/>
        <charset val="238"/>
        <scheme val="minor"/>
      </rPr>
      <t xml:space="preserve">(1) </t>
    </r>
  </si>
  <si>
    <r>
      <t>SC</t>
    </r>
    <r>
      <rPr>
        <vertAlign val="subscript"/>
        <sz val="11"/>
        <color theme="1"/>
        <rFont val="Calibri"/>
        <family val="2"/>
        <charset val="238"/>
        <scheme val="minor"/>
      </rPr>
      <t>80</t>
    </r>
    <r>
      <rPr>
        <sz val="11"/>
        <color theme="1"/>
        <rFont val="Calibri"/>
        <family val="2"/>
        <charset val="238"/>
        <scheme val="minor"/>
      </rPr>
      <t xml:space="preserve">(1) </t>
    </r>
  </si>
  <si>
    <r>
      <t>long call LC</t>
    </r>
    <r>
      <rPr>
        <b/>
        <vertAlign val="subscript"/>
        <sz val="11"/>
        <color rgb="FFFF0000"/>
        <rFont val="Calibri"/>
        <family val="2"/>
        <charset val="238"/>
        <scheme val="minor"/>
      </rPr>
      <t>70</t>
    </r>
    <r>
      <rPr>
        <b/>
        <sz val="11"/>
        <color rgb="FFFF0000"/>
        <rFont val="Calibri"/>
        <family val="2"/>
        <charset val="238"/>
        <scheme val="minor"/>
      </rPr>
      <t xml:space="preserve">(1) </t>
    </r>
  </si>
  <si>
    <r>
      <t>short put SP</t>
    </r>
    <r>
      <rPr>
        <b/>
        <vertAlign val="subscript"/>
        <sz val="11"/>
        <color rgb="FFFF0000"/>
        <rFont val="Calibri"/>
        <family val="2"/>
        <charset val="238"/>
        <scheme val="minor"/>
      </rPr>
      <t>70</t>
    </r>
    <r>
      <rPr>
        <b/>
        <sz val="11"/>
        <color rgb="FFFF0000"/>
        <rFont val="Calibri"/>
        <family val="2"/>
        <charset val="238"/>
        <scheme val="minor"/>
      </rPr>
      <t xml:space="preserve">(1) </t>
    </r>
  </si>
  <si>
    <r>
      <t>short call SC</t>
    </r>
    <r>
      <rPr>
        <b/>
        <vertAlign val="subscript"/>
        <sz val="11"/>
        <color rgb="FFFF0000"/>
        <rFont val="Calibri"/>
        <family val="2"/>
        <charset val="238"/>
        <scheme val="minor"/>
      </rPr>
      <t>80</t>
    </r>
    <r>
      <rPr>
        <b/>
        <sz val="11"/>
        <color rgb="FFFF0000"/>
        <rFont val="Calibri"/>
        <family val="2"/>
        <charset val="238"/>
        <scheme val="minor"/>
      </rPr>
      <t xml:space="preserve">(1) </t>
    </r>
  </si>
  <si>
    <r>
      <t>long put LP</t>
    </r>
    <r>
      <rPr>
        <b/>
        <vertAlign val="subscript"/>
        <sz val="11"/>
        <color rgb="FFFF0000"/>
        <rFont val="Calibri"/>
        <family val="2"/>
        <charset val="238"/>
        <scheme val="minor"/>
      </rPr>
      <t>80</t>
    </r>
    <r>
      <rPr>
        <b/>
        <sz val="11"/>
        <color rgb="FFFF0000"/>
        <rFont val="Calibri"/>
        <family val="2"/>
        <charset val="238"/>
        <scheme val="minor"/>
      </rPr>
      <t xml:space="preserve">(1) </t>
    </r>
  </si>
  <si>
    <r>
      <t>SP</t>
    </r>
    <r>
      <rPr>
        <vertAlign val="subscript"/>
        <sz val="11"/>
        <color theme="1"/>
        <rFont val="Calibri"/>
        <family val="2"/>
        <charset val="238"/>
        <scheme val="minor"/>
      </rPr>
      <t>70</t>
    </r>
    <r>
      <rPr>
        <sz val="11"/>
        <color theme="1"/>
        <rFont val="Calibri"/>
        <family val="2"/>
        <charset val="238"/>
        <scheme val="minor"/>
      </rPr>
      <t>(1)</t>
    </r>
  </si>
  <si>
    <r>
      <t>Market price of the LB(1) position is the opposit of the sum of the LC</t>
    </r>
    <r>
      <rPr>
        <vertAlign val="subscript"/>
        <sz val="11"/>
        <color theme="1"/>
        <rFont val="Calibri"/>
        <family val="2"/>
        <charset val="238"/>
        <scheme val="minor"/>
      </rPr>
      <t>70</t>
    </r>
    <r>
      <rPr>
        <sz val="11"/>
        <color theme="1"/>
        <rFont val="Calibri"/>
        <family val="2"/>
        <charset val="238"/>
        <scheme val="minor"/>
      </rPr>
      <t>(1) + SP</t>
    </r>
    <r>
      <rPr>
        <vertAlign val="subscript"/>
        <sz val="11"/>
        <color theme="1"/>
        <rFont val="Calibri"/>
        <family val="2"/>
        <charset val="238"/>
        <scheme val="minor"/>
      </rPr>
      <t>70</t>
    </r>
    <r>
      <rPr>
        <sz val="11"/>
        <color theme="1"/>
        <rFont val="Calibri"/>
        <family val="2"/>
        <charset val="238"/>
        <scheme val="minor"/>
      </rPr>
      <t>(1) + SC</t>
    </r>
    <r>
      <rPr>
        <vertAlign val="subscript"/>
        <sz val="11"/>
        <color theme="1"/>
        <rFont val="Calibri"/>
        <family val="2"/>
        <charset val="238"/>
        <scheme val="minor"/>
      </rPr>
      <t>80</t>
    </r>
    <r>
      <rPr>
        <sz val="11"/>
        <color theme="1"/>
        <rFont val="Calibri"/>
        <family val="2"/>
        <charset val="238"/>
        <scheme val="minor"/>
      </rPr>
      <t>(1) + LP</t>
    </r>
    <r>
      <rPr>
        <vertAlign val="subscript"/>
        <sz val="11"/>
        <color theme="1"/>
        <rFont val="Calibri"/>
        <family val="2"/>
        <charset val="238"/>
        <scheme val="minor"/>
      </rPr>
      <t>80</t>
    </r>
    <r>
      <rPr>
        <sz val="11"/>
        <color theme="1"/>
        <rFont val="Calibri"/>
        <family val="2"/>
        <charset val="238"/>
        <scheme val="minor"/>
      </rPr>
      <t xml:space="preserve">(1) market price </t>
    </r>
  </si>
  <si>
    <t>The face value of the zero-coupon bond 8$/0,9</t>
  </si>
  <si>
    <t xml:space="preserve">We have three cases: </t>
  </si>
  <si>
    <t xml:space="preserve">the call K1 option will be exercised </t>
  </si>
  <si>
    <t xml:space="preserve">the call K2 option will be exercised </t>
  </si>
  <si>
    <t>the put K2 option will be exercised</t>
  </si>
  <si>
    <t>the put K1 option expire without exercised</t>
  </si>
  <si>
    <t>the call K2 option expire without exercised</t>
  </si>
  <si>
    <t>the put K2 option expire without exercised</t>
  </si>
  <si>
    <t>the call K1 option expire without exercised</t>
  </si>
  <si>
    <t>the put K1 option will be exercised</t>
  </si>
  <si>
    <t>we exercise the K1 call option</t>
  </si>
  <si>
    <t>the put options expire without exercised</t>
  </si>
  <si>
    <t>the owner of the call K2 option exercise the option</t>
  </si>
  <si>
    <t>sell the underlying asset on the strike price</t>
  </si>
  <si>
    <t>if 70 &lt; S(1) &lt; 80</t>
  </si>
  <si>
    <t>if S(1) &lt; 80</t>
  </si>
  <si>
    <t>the K2 call option expire without exercised</t>
  </si>
  <si>
    <t>we exercise the K2 put option</t>
  </si>
  <si>
    <t>the K1 put option expire without exercised</t>
  </si>
  <si>
    <t>Third case:</t>
  </si>
  <si>
    <t>the owner of the put K1 option exercise the option</t>
  </si>
  <si>
    <t>the call options expire without exercised</t>
  </si>
  <si>
    <t>If the boksz-spread parity doesn't hold you can earn an arbitrage profit</t>
  </si>
  <si>
    <t>the market price is lower than the call lower bound: it is an arbitrage opportunity</t>
  </si>
  <si>
    <t>b) Identify the arbitrage opportunity if the market put price is $3.</t>
  </si>
  <si>
    <t>the market put price is different from the put arbitrage free price: it is an arbitrage opportunity</t>
  </si>
  <si>
    <t>long position in a 3 months zero-coupon bond (LB(0,25))</t>
  </si>
  <si>
    <t>take short position in the underlying asset SU</t>
  </si>
  <si>
    <t>ST</t>
  </si>
  <si>
    <t>payouts</t>
  </si>
  <si>
    <t>LC</t>
  </si>
  <si>
    <t>LP</t>
  </si>
  <si>
    <t>straddle</t>
  </si>
  <si>
    <t>profit</t>
  </si>
  <si>
    <t>C(80)</t>
  </si>
  <si>
    <t>C(90)</t>
  </si>
  <si>
    <t>payout</t>
  </si>
  <si>
    <t>C(100)</t>
  </si>
  <si>
    <t>Butt=C(80)-2*C(90)+C(100)</t>
  </si>
  <si>
    <t>Butt</t>
  </si>
  <si>
    <t>cost = c1-2*c2+c3</t>
  </si>
  <si>
    <t>put(30)</t>
  </si>
  <si>
    <t>put(35)</t>
  </si>
  <si>
    <t>bull</t>
  </si>
  <si>
    <t>bear</t>
  </si>
  <si>
    <t>cost</t>
  </si>
  <si>
    <t>bull spread = LP(30) + SP(35)</t>
  </si>
  <si>
    <t>bear spread = SP(30) + LP(35)</t>
  </si>
  <si>
    <t>LC(110)</t>
  </si>
  <si>
    <t>LB</t>
  </si>
  <si>
    <t>arb. Portf</t>
  </si>
  <si>
    <t>minFV</t>
  </si>
  <si>
    <t>minPV</t>
  </si>
  <si>
    <t>Boxspread = Bull + Bear</t>
  </si>
  <si>
    <t xml:space="preserve">a) What is the upper bound for the price of a 1-year European call option on the stock with a strike price of $110? </t>
  </si>
  <si>
    <t>the market value should be lower then the underlying asset market price</t>
  </si>
  <si>
    <t>the market value should be higher than a long forward market value because it is a right to buy the underlying asset</t>
  </si>
  <si>
    <t>buy the call option on the market - because it's cheaper than the lower bound</t>
  </si>
  <si>
    <t>the market price is higher than the call upper bound: it is an arbitrage opportunity</t>
  </si>
  <si>
    <t xml:space="preserve">sell the call option on the market - because it's more expensive then the upper bound </t>
  </si>
  <si>
    <t>lower bound of the call option</t>
  </si>
  <si>
    <t>the market price is lower than the put lower bound: it is an arbitrage opportunity</t>
  </si>
  <si>
    <t>buy the put option on the market - because it's cheaper then the lower bound</t>
  </si>
  <si>
    <t>LP(170,5)</t>
  </si>
  <si>
    <t>the market price is higher than the put upper bound: it is an arbitrage opportunity</t>
  </si>
  <si>
    <t>sell the put option on the market - because it's more expensive than the upper bound</t>
  </si>
  <si>
    <t>General rule for put-call parity</t>
  </si>
  <si>
    <t>we can replicate the short forward with two options one short call and one long put option with the same strike price</t>
  </si>
  <si>
    <t>PV</t>
  </si>
  <si>
    <t>the market forward price is different than the arbitrage free forward price: it is an arbitrage opportunity</t>
  </si>
  <si>
    <t>buy the forward on the market - because it's cheaper than the arbitrage free price - and sell a replicated forward</t>
  </si>
  <si>
    <t>The arbitrage profit FV will be equal with the difference between the arbitrage free forward price and the market forward price</t>
  </si>
  <si>
    <t xml:space="preserve"> = LC(K1) + SC(K2) + LP(K2) + SP(K1)</t>
  </si>
  <si>
    <t xml:space="preserve"> = LC(K1) + SP(K1) + SC(K2) + LP(K2) </t>
  </si>
  <si>
    <t xml:space="preserve"> = LF(K1) + SF(K2)</t>
  </si>
  <si>
    <t>b) Short answer:</t>
  </si>
  <si>
    <t>The arbitrage profit FV will be equal with the difference between the 2 arbitrage free forward prices</t>
  </si>
  <si>
    <t>Short a bond (take out a loan) with face value 10, thereby obtain cash = 9</t>
  </si>
  <si>
    <t>Purchase the option portfolio (the box spread) on the RHS for 8</t>
  </si>
  <si>
    <t xml:space="preserve"> Keep 1, that is your arbitrage profit (PV).</t>
  </si>
  <si>
    <t>The future value of the box spread will be FV = K2-K1 = 10.</t>
  </si>
  <si>
    <t>At expiry, after you realise this payout, you pay back the loan.</t>
  </si>
  <si>
    <t>You made +1 at t=0, risk free!</t>
  </si>
  <si>
    <t>Positive profit below 50 and above 70</t>
  </si>
  <si>
    <t>Loss between 50 and 70</t>
  </si>
  <si>
    <t>Max loss = 10</t>
  </si>
  <si>
    <t>Max gain = infinity</t>
  </si>
  <si>
    <t>The profit function is zero or positive -&gt; We cannot lose, and sometimes we win -&gt; arbitrage!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</si>
</sst>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vertAlign val="subscript"/>
      <sz val="11"/>
      <color rgb="FFFF0000"/>
      <name val="Calibri"/>
      <family val="2"/>
      <charset val="238"/>
      <scheme val="minor"/>
    </font>
    <font>
      <vertAlign val="subscript"/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vertAlign val="subscript"/>
      <sz val="11"/>
      <color rgb="FFFF00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54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/>
    <xf numFmtId="0" fontId="0" fillId="3" borderId="0" xfId="0" applyFill="1"/>
    <xf numFmtId="0" fontId="4" fillId="3" borderId="0" xfId="0" applyFont="1" applyFill="1"/>
    <xf numFmtId="2" fontId="0" fillId="0" borderId="0" xfId="0" applyNumberFormat="1"/>
    <xf numFmtId="2" fontId="4" fillId="3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10" fontId="0" fillId="2" borderId="0" xfId="0" applyNumberFormat="1" applyFill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4" fillId="3" borderId="0" xfId="1" applyNumberFormat="1" applyFont="1" applyFill="1" applyAlignment="1">
      <alignment horizontal="center"/>
    </xf>
    <xf numFmtId="1" fontId="4" fillId="3" borderId="0" xfId="1" applyNumberFormat="1" applyFont="1" applyFill="1" applyAlignment="1">
      <alignment horizontal="center"/>
    </xf>
    <xf numFmtId="2" fontId="4" fillId="0" borderId="0" xfId="3" applyNumberFormat="1" applyFont="1" applyFill="1" applyAlignment="1">
      <alignment horizontal="left"/>
    </xf>
    <xf numFmtId="0" fontId="0" fillId="0" borderId="2" xfId="0" applyBorder="1" applyAlignment="1">
      <alignment horizontal="center"/>
    </xf>
    <xf numFmtId="2" fontId="4" fillId="3" borderId="0" xfId="3" applyNumberFormat="1" applyFont="1" applyFill="1" applyAlignment="1">
      <alignment horizontal="left"/>
    </xf>
    <xf numFmtId="1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9" fontId="0" fillId="2" borderId="0" xfId="0" applyNumberFormat="1" applyFill="1" applyAlignment="1">
      <alignment horizontal="center"/>
    </xf>
    <xf numFmtId="165" fontId="0" fillId="0" borderId="0" xfId="0" applyNumberFormat="1"/>
    <xf numFmtId="0" fontId="5" fillId="0" borderId="0" xfId="0" applyFont="1"/>
    <xf numFmtId="0" fontId="4" fillId="0" borderId="0" xfId="0" applyFont="1" applyAlignment="1">
      <alignment horizontal="left"/>
    </xf>
    <xf numFmtId="164" fontId="0" fillId="0" borderId="0" xfId="0" applyNumberFormat="1"/>
    <xf numFmtId="0" fontId="0" fillId="5" borderId="0" xfId="0" applyFill="1"/>
    <xf numFmtId="0" fontId="4" fillId="3" borderId="0" xfId="0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0" fontId="0" fillId="0" borderId="2" xfId="0" applyBorder="1"/>
    <xf numFmtId="0" fontId="12" fillId="0" borderId="0" xfId="0" applyFont="1"/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6" borderId="0" xfId="0" applyFill="1"/>
    <xf numFmtId="2" fontId="4" fillId="4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9" fillId="6" borderId="0" xfId="0" applyFont="1" applyFill="1"/>
    <xf numFmtId="0" fontId="6" fillId="5" borderId="0" xfId="0" applyFont="1" applyFill="1"/>
    <xf numFmtId="0" fontId="9" fillId="0" borderId="0" xfId="0" applyFont="1"/>
    <xf numFmtId="0" fontId="4" fillId="3" borderId="2" xfId="0" applyFont="1" applyFill="1" applyBorder="1" applyAlignment="1">
      <alignment horizontal="center"/>
    </xf>
    <xf numFmtId="0" fontId="9" fillId="5" borderId="0" xfId="0" applyFont="1" applyFill="1" applyAlignment="1">
      <alignment horizontal="right"/>
    </xf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right"/>
    </xf>
    <xf numFmtId="0" fontId="9" fillId="6" borderId="0" xfId="0" applyFont="1" applyFill="1" applyAlignment="1">
      <alignment horizontal="center"/>
    </xf>
    <xf numFmtId="0" fontId="0" fillId="0" borderId="0" xfId="0" applyFont="1"/>
  </cellXfs>
  <cellStyles count="4">
    <cellStyle name="Normal" xfId="0" builtinId="0"/>
    <cellStyle name="Normál 2" xfId="2" xr:uid="{00000000-0005-0000-0000-000001000000}"/>
    <cellStyle name="Percent" xfId="1" builtinId="5"/>
    <cellStyle name="Százalék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'Problem4.1.'!$L$28</c:f>
              <c:strCache>
                <c:ptCount val="1"/>
                <c:pt idx="0">
                  <c:v>arb. Portf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'Problem4.1.'!$I$29:$I$31</c:f>
              <c:numCache>
                <c:formatCode>General</c:formatCode>
                <c:ptCount val="3"/>
                <c:pt idx="0">
                  <c:v>0</c:v>
                </c:pt>
                <c:pt idx="1">
                  <c:v>110</c:v>
                </c:pt>
                <c:pt idx="2">
                  <c:v>220</c:v>
                </c:pt>
              </c:numCache>
            </c:numRef>
          </c:xVal>
          <c:yVal>
            <c:numRef>
              <c:f>'Problem4.1.'!$L$29:$L$31</c:f>
              <c:numCache>
                <c:formatCode>0.00</c:formatCode>
                <c:ptCount val="3"/>
                <c:pt idx="0">
                  <c:v>142.99857001429984</c:v>
                </c:pt>
                <c:pt idx="1">
                  <c:v>32.998570014299844</c:v>
                </c:pt>
                <c:pt idx="2">
                  <c:v>32.998570014299844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D0-4788-ADF7-8F20DF1BC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42288"/>
        <c:axId val="515245616"/>
      </c:scatterChart>
      <c:valAx>
        <c:axId val="51524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5245616"/>
        <c:crosses val="autoZero"/>
        <c:crossBetween val="midCat"/>
      </c:valAx>
      <c:valAx>
        <c:axId val="5152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524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'Problem4.2.'!$L$28</c:f>
              <c:strCache>
                <c:ptCount val="1"/>
                <c:pt idx="0">
                  <c:v>arb. Portf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'Problem4.2.'!$I$29:$I$31</c:f>
              <c:numCache>
                <c:formatCode>General</c:formatCode>
                <c:ptCount val="3"/>
                <c:pt idx="0">
                  <c:v>0</c:v>
                </c:pt>
                <c:pt idx="1">
                  <c:v>110</c:v>
                </c:pt>
                <c:pt idx="2">
                  <c:v>220</c:v>
                </c:pt>
              </c:numCache>
            </c:numRef>
          </c:xVal>
          <c:yVal>
            <c:numRef>
              <c:f>'Problem4.2.'!$L$29:$L$31</c:f>
              <c:numCache>
                <c:formatCode>0.00</c:formatCode>
                <c:ptCount val="3"/>
                <c:pt idx="0">
                  <c:v>10.999890001099988</c:v>
                </c:pt>
                <c:pt idx="1">
                  <c:v>120.99989000109998</c:v>
                </c:pt>
                <c:pt idx="2">
                  <c:v>120.99989000109998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34-49DD-847B-8E9526073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718016"/>
        <c:axId val="527720512"/>
      </c:scatterChart>
      <c:valAx>
        <c:axId val="52771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7720512"/>
        <c:crosses val="autoZero"/>
        <c:crossBetween val="midCat"/>
      </c:valAx>
      <c:valAx>
        <c:axId val="52772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771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'Problem4.3.'!$L$27</c:f>
              <c:strCache>
                <c:ptCount val="1"/>
                <c:pt idx="0">
                  <c:v>arb. Portf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'Problem4.3.'!$I$28:$I$30</c:f>
              <c:numCache>
                <c:formatCode>General</c:formatCode>
                <c:ptCount val="3"/>
                <c:pt idx="0">
                  <c:v>0</c:v>
                </c:pt>
                <c:pt idx="1">
                  <c:v>170.5</c:v>
                </c:pt>
                <c:pt idx="2">
                  <c:v>220</c:v>
                </c:pt>
              </c:numCache>
            </c:numRef>
          </c:xVal>
          <c:yVal>
            <c:numRef>
              <c:f>'Problem4.3.'!$L$28:$L$30</c:f>
              <c:numCache>
                <c:formatCode>0.00</c:formatCode>
                <c:ptCount val="3"/>
                <c:pt idx="0">
                  <c:v>1.1016939830601871</c:v>
                </c:pt>
                <c:pt idx="1">
                  <c:v>1.1016939830601871</c:v>
                </c:pt>
                <c:pt idx="2">
                  <c:v>50.601693983060187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91-44CA-95C7-212E5141D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48944"/>
        <c:axId val="515237712"/>
      </c:scatterChart>
      <c:valAx>
        <c:axId val="51524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5237712"/>
        <c:crosses val="autoZero"/>
        <c:crossBetween val="midCat"/>
      </c:valAx>
      <c:valAx>
        <c:axId val="51523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52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'Problem4.4.'!$L$27</c:f>
              <c:strCache>
                <c:ptCount val="1"/>
                <c:pt idx="0">
                  <c:v>arb. Portf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'Problem4.4.'!$I$28:$I$30</c:f>
              <c:numCache>
                <c:formatCode>General</c:formatCode>
                <c:ptCount val="3"/>
                <c:pt idx="0">
                  <c:v>0</c:v>
                </c:pt>
                <c:pt idx="1">
                  <c:v>170.5</c:v>
                </c:pt>
                <c:pt idx="2">
                  <c:v>220</c:v>
                </c:pt>
              </c:numCache>
            </c:numRef>
          </c:xVal>
          <c:yVal>
            <c:numRef>
              <c:f>'Problem4.4.'!$L$28:$L$30</c:f>
              <c:numCache>
                <c:formatCode>0.00</c:formatCode>
                <c:ptCount val="3"/>
                <c:pt idx="0">
                  <c:v>5.4982400175998123</c:v>
                </c:pt>
                <c:pt idx="1">
                  <c:v>175.99824001759981</c:v>
                </c:pt>
                <c:pt idx="2">
                  <c:v>175.99824001759981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9-4EC4-9462-5DDDA0075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314544"/>
        <c:axId val="620309968"/>
      </c:scatterChart>
      <c:valAx>
        <c:axId val="62031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0309968"/>
        <c:crosses val="autoZero"/>
        <c:crossBetween val="midCat"/>
      </c:valAx>
      <c:valAx>
        <c:axId val="62030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031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'Problem4.5.'!$M$30</c:f>
              <c:strCache>
                <c:ptCount val="1"/>
                <c:pt idx="0">
                  <c:v>arb. Portf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'Problem4.5.'!$I$31:$I$33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40</c:v>
                </c:pt>
              </c:numCache>
            </c:numRef>
          </c:xVal>
          <c:yVal>
            <c:numRef>
              <c:f>'Problem4.5.'!$M$31:$M$33</c:f>
              <c:numCache>
                <c:formatCode>0.00</c:formatCode>
                <c:ptCount val="3"/>
                <c:pt idx="0">
                  <c:v>1.2110535087675274</c:v>
                </c:pt>
                <c:pt idx="1">
                  <c:v>1.2110535087675274</c:v>
                </c:pt>
                <c:pt idx="2">
                  <c:v>1.2110535087675274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5-492F-A273-16B6C3C1D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238896"/>
        <c:axId val="516234736"/>
      </c:scatterChart>
      <c:valAx>
        <c:axId val="51623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6234736"/>
        <c:crosses val="autoZero"/>
        <c:crossBetween val="midCat"/>
      </c:valAx>
      <c:valAx>
        <c:axId val="51623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623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'Problem4.7.'!$P$4</c:f>
              <c:strCache>
                <c:ptCount val="1"/>
                <c:pt idx="0">
                  <c:v>bull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'Problem4.7.'!$K$5:$K$8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</c:numCache>
            </c:numRef>
          </c:xVal>
          <c:yVal>
            <c:numRef>
              <c:f>'Problem4.7.'!$P$5:$P$8</c:f>
              <c:numCache>
                <c:formatCode>General</c:formatCode>
                <c:ptCount val="4"/>
                <c:pt idx="0">
                  <c:v>-2</c:v>
                </c:pt>
                <c:pt idx="1">
                  <c:v>-2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B-42F1-A9E6-BD30E6F4A99D}"/>
            </c:ext>
          </c:extLst>
        </c:ser>
        <c:ser>
          <c:idx val="1"/>
          <c:order val="1"/>
          <c:tx>
            <c:strRef>
              <c:f>'Problem4.7.'!$Q$4</c:f>
              <c:strCache>
                <c:ptCount val="1"/>
                <c:pt idx="0">
                  <c:v>bear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'Problem4.7.'!$K$5:$K$8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</c:numCache>
            </c:numRef>
          </c:xVal>
          <c:yVal>
            <c:numRef>
              <c:f>'Problem4.7.'!$Q$5:$Q$8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-3</c:v>
                </c:pt>
                <c:pt idx="3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4B-42F1-A9E6-BD30E6F4A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920784"/>
        <c:axId val="612926608"/>
      </c:scatterChart>
      <c:valAx>
        <c:axId val="612920784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2926608"/>
        <c:crosses val="autoZero"/>
        <c:crossBetween val="midCat"/>
      </c:valAx>
      <c:valAx>
        <c:axId val="61292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292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'Problem4.10.'!$H$4:$H$8</c:f>
              <c:numCache>
                <c:formatCode>General</c:formatCode>
                <c:ptCount val="5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</c:numCache>
            </c:numRef>
          </c:xVal>
          <c:yVal>
            <c:numRef>
              <c:f>'Problem4.10.'!$L$4:$L$8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96-404B-923E-255180318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604784"/>
        <c:axId val="454605616"/>
      </c:scatterChart>
      <c:valAx>
        <c:axId val="454604784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54605616"/>
        <c:crosses val="autoZero"/>
        <c:crossBetween val="midCat"/>
      </c:valAx>
      <c:valAx>
        <c:axId val="45460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5460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'Problem4.11.'!$G$4:$G$8</c:f>
              <c:numCache>
                <c:formatCode>General</c:formatCode>
                <c:ptCount val="5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100</c:v>
                </c:pt>
                <c:pt idx="4">
                  <c:v>110</c:v>
                </c:pt>
              </c:numCache>
            </c:numRef>
          </c:xVal>
          <c:yVal>
            <c:numRef>
              <c:f>'Problem4.11.'!$L$4:$L$8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19-4771-8513-8A6A07D67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50192"/>
        <c:axId val="515237296"/>
      </c:scatterChart>
      <c:valAx>
        <c:axId val="515250192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5237296"/>
        <c:crosses val="autoZero"/>
        <c:crossBetween val="midCat"/>
      </c:valAx>
      <c:valAx>
        <c:axId val="51523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525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295274</xdr:colOff>
      <xdr:row>21</xdr:row>
      <xdr:rowOff>0</xdr:rowOff>
    </xdr:from>
    <xdr:to>
      <xdr:col>19</xdr:col>
      <xdr:colOff>323849</xdr:colOff>
      <xdr:row>35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42697-9C0C-A6CD-9566-BE1C9F737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333375</xdr:colOff>
      <xdr:row>22</xdr:row>
      <xdr:rowOff>133350</xdr:rowOff>
    </xdr:from>
    <xdr:to>
      <xdr:col>20</xdr:col>
      <xdr:colOff>28575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5A7F63-D7D6-4AF9-F06D-F1E441169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22</xdr:row>
      <xdr:rowOff>123824</xdr:rowOff>
    </xdr:from>
    <xdr:to>
      <xdr:col>19</xdr:col>
      <xdr:colOff>504825</xdr:colOff>
      <xdr:row>32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28BA6-055E-0318-9B2D-F7DB8D9F2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16</xdr:row>
      <xdr:rowOff>104775</xdr:rowOff>
    </xdr:from>
    <xdr:to>
      <xdr:col>20</xdr:col>
      <xdr:colOff>85725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35C56-8333-560B-94BC-535A61349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23</xdr:row>
      <xdr:rowOff>161925</xdr:rowOff>
    </xdr:from>
    <xdr:to>
      <xdr:col>20</xdr:col>
      <xdr:colOff>552450</xdr:colOff>
      <xdr:row>38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D376CC-BE9A-70EB-C811-BA8C737EF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371474</xdr:colOff>
      <xdr:row>12</xdr:row>
      <xdr:rowOff>114300</xdr:rowOff>
    </xdr:from>
    <xdr:to>
      <xdr:col>20</xdr:col>
      <xdr:colOff>171450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B76A6-5346-6826-1D48-0D16E893D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1</xdr:row>
      <xdr:rowOff>38100</xdr:rowOff>
    </xdr:from>
    <xdr:to>
      <xdr:col>19</xdr:col>
      <xdr:colOff>561975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F09CB4-3760-CF80-0CBA-B084EBF72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10</xdr:row>
      <xdr:rowOff>161924</xdr:rowOff>
    </xdr:from>
    <xdr:to>
      <xdr:col>13</xdr:col>
      <xdr:colOff>581025</xdr:colOff>
      <xdr:row>19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14B84-3BAE-9394-3988-D21A189B4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74"/>
  <sheetViews>
    <sheetView topLeftCell="A9" workbookViewId="0">
      <selection activeCell="L22" sqref="L22"/>
    </sheetView>
  </sheetViews>
  <sheetFormatPr defaultRowHeight="15" x14ac:dyDescent="0.25"/>
  <cols>
    <col min="12" max="12" width="9.5703125" bestFit="1" customWidth="1"/>
  </cols>
  <sheetData>
    <row r="3" spans="1:15" x14ac:dyDescent="0.25">
      <c r="A3" s="2" t="s">
        <v>3</v>
      </c>
      <c r="B3" s="12">
        <v>150</v>
      </c>
      <c r="C3" t="s">
        <v>4</v>
      </c>
    </row>
    <row r="4" spans="1:15" ht="18" x14ac:dyDescent="0.35">
      <c r="A4" s="2" t="s">
        <v>5</v>
      </c>
      <c r="B4" s="16">
        <v>0.90910000000000002</v>
      </c>
    </row>
    <row r="6" spans="1:15" x14ac:dyDescent="0.25">
      <c r="A6" s="14" t="s">
        <v>6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8" spans="1:15" x14ac:dyDescent="0.25">
      <c r="A8" s="2" t="s">
        <v>2</v>
      </c>
      <c r="B8" s="12">
        <v>1</v>
      </c>
    </row>
    <row r="9" spans="1:15" x14ac:dyDescent="0.25">
      <c r="A9" s="2" t="s">
        <v>7</v>
      </c>
      <c r="B9" s="12">
        <v>110</v>
      </c>
      <c r="C9" t="s">
        <v>4</v>
      </c>
    </row>
    <row r="11" spans="1:15" x14ac:dyDescent="0.25">
      <c r="A11" s="31"/>
      <c r="B11" s="31" t="s">
        <v>50</v>
      </c>
      <c r="C11" s="31"/>
      <c r="D11" s="31"/>
      <c r="E11" s="31"/>
      <c r="F11" s="31" t="s">
        <v>52</v>
      </c>
      <c r="G11" s="31"/>
      <c r="H11" s="31"/>
      <c r="I11" s="31"/>
      <c r="J11" s="31"/>
      <c r="K11" s="31"/>
      <c r="L11" s="31"/>
      <c r="M11" s="31"/>
      <c r="N11" s="31"/>
      <c r="O11" s="31"/>
    </row>
    <row r="12" spans="1:15" ht="18" x14ac:dyDescent="0.35">
      <c r="A12" s="31"/>
      <c r="B12" s="36" t="s">
        <v>49</v>
      </c>
      <c r="C12" s="31"/>
      <c r="D12" s="31"/>
      <c r="E12" s="31"/>
      <c r="F12" s="31" t="s">
        <v>393</v>
      </c>
      <c r="G12" s="31"/>
      <c r="H12" s="31"/>
      <c r="I12" s="31"/>
      <c r="J12" s="31"/>
      <c r="K12" s="31"/>
      <c r="L12" s="31"/>
      <c r="M12" s="31"/>
      <c r="N12" s="31"/>
      <c r="O12" s="31"/>
    </row>
    <row r="14" spans="1:15" x14ac:dyDescent="0.25">
      <c r="B14" s="1" t="s">
        <v>8</v>
      </c>
    </row>
    <row r="15" spans="1:15" x14ac:dyDescent="0.25">
      <c r="B15" s="20">
        <f>MAX(0,B3-B9*B4)</f>
        <v>49.998999999999995</v>
      </c>
      <c r="C15" s="9" t="s">
        <v>4</v>
      </c>
    </row>
    <row r="17" spans="1:12" x14ac:dyDescent="0.25">
      <c r="A17" s="14" t="s">
        <v>9</v>
      </c>
      <c r="B17" s="14"/>
      <c r="C17" s="14"/>
      <c r="D17" s="14"/>
      <c r="E17" s="14"/>
    </row>
    <row r="19" spans="1:12" ht="17.25" x14ac:dyDescent="0.25">
      <c r="A19" s="2" t="s">
        <v>10</v>
      </c>
      <c r="B19" s="12">
        <v>20</v>
      </c>
      <c r="C19" t="s">
        <v>4</v>
      </c>
    </row>
    <row r="21" spans="1:12" x14ac:dyDescent="0.25">
      <c r="B21" t="s">
        <v>360</v>
      </c>
    </row>
    <row r="23" spans="1:12" x14ac:dyDescent="0.25">
      <c r="B23" t="s">
        <v>394</v>
      </c>
    </row>
    <row r="26" spans="1:12" x14ac:dyDescent="0.25">
      <c r="B26" t="s">
        <v>11</v>
      </c>
      <c r="D26" t="s">
        <v>12</v>
      </c>
      <c r="E26" s="2" t="s">
        <v>13</v>
      </c>
    </row>
    <row r="27" spans="1:12" x14ac:dyDescent="0.25">
      <c r="E27" s="2" t="s">
        <v>65</v>
      </c>
    </row>
    <row r="28" spans="1:12" x14ac:dyDescent="0.25">
      <c r="I28" t="s">
        <v>365</v>
      </c>
      <c r="J28" t="s">
        <v>385</v>
      </c>
      <c r="K28" t="s">
        <v>386</v>
      </c>
      <c r="L28" t="s">
        <v>387</v>
      </c>
    </row>
    <row r="29" spans="1:12" x14ac:dyDescent="0.25">
      <c r="B29" s="21" t="s">
        <v>15</v>
      </c>
      <c r="I29">
        <v>0</v>
      </c>
      <c r="J29">
        <f>MAX(I29-110,0)</f>
        <v>0</v>
      </c>
      <c r="K29">
        <f>-$G$39/$B$4</f>
        <v>142.99857001429984</v>
      </c>
      <c r="L29" s="7">
        <f>J29-I29+K29</f>
        <v>142.99857001429984</v>
      </c>
    </row>
    <row r="30" spans="1:12" x14ac:dyDescent="0.25">
      <c r="B30" s="23" t="s">
        <v>17</v>
      </c>
      <c r="C30" s="5"/>
      <c r="D30" s="5"/>
      <c r="E30" s="5"/>
      <c r="F30" s="5"/>
      <c r="I30">
        <v>110</v>
      </c>
      <c r="J30">
        <f t="shared" ref="J30:J31" si="0">MAX(I30-110,0)</f>
        <v>0</v>
      </c>
      <c r="K30">
        <f t="shared" ref="K30:K31" si="1">-$G$39/$B$4</f>
        <v>142.99857001429984</v>
      </c>
      <c r="L30" s="7">
        <f t="shared" ref="L30:L31" si="2">J30-I30+K30</f>
        <v>32.998570014299844</v>
      </c>
    </row>
    <row r="31" spans="1:12" x14ac:dyDescent="0.25">
      <c r="B31" s="23" t="s">
        <v>18</v>
      </c>
      <c r="C31" s="5"/>
      <c r="D31" s="5"/>
      <c r="E31" s="5"/>
      <c r="F31" s="5"/>
      <c r="I31">
        <v>220</v>
      </c>
      <c r="J31">
        <f t="shared" si="0"/>
        <v>110</v>
      </c>
      <c r="K31">
        <f t="shared" si="1"/>
        <v>142.99857001429984</v>
      </c>
      <c r="L31" s="7">
        <f t="shared" si="2"/>
        <v>32.998570014299844</v>
      </c>
    </row>
    <row r="32" spans="1:12" x14ac:dyDescent="0.25">
      <c r="B32" s="23" t="s">
        <v>66</v>
      </c>
      <c r="C32" s="5"/>
      <c r="D32" s="5"/>
      <c r="E32" s="5"/>
      <c r="F32" s="5"/>
    </row>
    <row r="33" spans="1:12" x14ac:dyDescent="0.25">
      <c r="K33" t="s">
        <v>388</v>
      </c>
      <c r="L33" s="7">
        <f>MIN(L29:L31)</f>
        <v>32.998570014299844</v>
      </c>
    </row>
    <row r="34" spans="1:12" x14ac:dyDescent="0.25">
      <c r="A34" s="14" t="s">
        <v>293</v>
      </c>
      <c r="B34" s="14"/>
      <c r="C34" s="14"/>
      <c r="D34" s="14"/>
      <c r="E34" s="14"/>
      <c r="F34" s="14"/>
      <c r="K34" t="s">
        <v>389</v>
      </c>
      <c r="L34" s="7">
        <f>L33*$B$4</f>
        <v>29.998999999999988</v>
      </c>
    </row>
    <row r="36" spans="1:12" x14ac:dyDescent="0.25">
      <c r="F36" t="s">
        <v>0</v>
      </c>
      <c r="G36" s="2" t="s">
        <v>19</v>
      </c>
    </row>
    <row r="37" spans="1:12" x14ac:dyDescent="0.25">
      <c r="B37" t="s">
        <v>161</v>
      </c>
      <c r="F37" t="s">
        <v>11</v>
      </c>
      <c r="G37" s="2">
        <f>-B19</f>
        <v>-20</v>
      </c>
      <c r="H37" t="s">
        <v>4</v>
      </c>
    </row>
    <row r="38" spans="1:12" x14ac:dyDescent="0.25">
      <c r="B38" t="s">
        <v>20</v>
      </c>
      <c r="F38" t="s">
        <v>13</v>
      </c>
      <c r="G38" s="2">
        <f>B3</f>
        <v>150</v>
      </c>
      <c r="H38" t="s">
        <v>4</v>
      </c>
    </row>
    <row r="39" spans="1:12" x14ac:dyDescent="0.25">
      <c r="B39" t="s">
        <v>21</v>
      </c>
      <c r="F39" t="s">
        <v>14</v>
      </c>
      <c r="G39" s="2">
        <f>G40-(G38+G37)</f>
        <v>-130</v>
      </c>
      <c r="H39" t="s">
        <v>4</v>
      </c>
      <c r="I39" t="s">
        <v>67</v>
      </c>
    </row>
    <row r="40" spans="1:12" x14ac:dyDescent="0.25">
      <c r="F40" s="34" t="s">
        <v>33</v>
      </c>
      <c r="G40" s="22">
        <v>0</v>
      </c>
      <c r="I40" t="s">
        <v>69</v>
      </c>
    </row>
    <row r="41" spans="1:12" x14ac:dyDescent="0.25">
      <c r="G41" s="2"/>
      <c r="I41" t="s">
        <v>70</v>
      </c>
    </row>
    <row r="42" spans="1:12" x14ac:dyDescent="0.25">
      <c r="G42" s="2"/>
    </row>
    <row r="43" spans="1:12" x14ac:dyDescent="0.25">
      <c r="I43" t="s">
        <v>81</v>
      </c>
    </row>
    <row r="44" spans="1:12" x14ac:dyDescent="0.25">
      <c r="I44" s="17">
        <f>ABS(G39)/B4</f>
        <v>142.99857001429984</v>
      </c>
      <c r="J44" t="s">
        <v>4</v>
      </c>
    </row>
    <row r="46" spans="1:12" x14ac:dyDescent="0.25">
      <c r="B46" t="s">
        <v>23</v>
      </c>
    </row>
    <row r="47" spans="1:12" x14ac:dyDescent="0.25">
      <c r="B47" t="s">
        <v>24</v>
      </c>
      <c r="E47" t="s">
        <v>25</v>
      </c>
    </row>
    <row r="48" spans="1:12" x14ac:dyDescent="0.25">
      <c r="E48" t="s">
        <v>35</v>
      </c>
    </row>
    <row r="50" spans="2:10" x14ac:dyDescent="0.25">
      <c r="B50" s="35" t="s">
        <v>29</v>
      </c>
      <c r="I50" t="s">
        <v>27</v>
      </c>
    </row>
    <row r="51" spans="2:10" x14ac:dyDescent="0.25">
      <c r="B51" t="s">
        <v>28</v>
      </c>
      <c r="H51" t="s">
        <v>0</v>
      </c>
      <c r="I51" t="s">
        <v>22</v>
      </c>
    </row>
    <row r="52" spans="2:10" x14ac:dyDescent="0.25">
      <c r="B52" t="s">
        <v>31</v>
      </c>
      <c r="H52" t="s">
        <v>11</v>
      </c>
      <c r="I52" s="2">
        <f>-B9</f>
        <v>-110</v>
      </c>
      <c r="J52" t="s">
        <v>4</v>
      </c>
    </row>
    <row r="53" spans="2:10" x14ac:dyDescent="0.25">
      <c r="B53" t="s">
        <v>89</v>
      </c>
      <c r="H53" t="s">
        <v>13</v>
      </c>
      <c r="I53" s="2">
        <v>0</v>
      </c>
    </row>
    <row r="54" spans="2:10" x14ac:dyDescent="0.25">
      <c r="B54" t="s">
        <v>32</v>
      </c>
      <c r="H54" s="15" t="s">
        <v>14</v>
      </c>
      <c r="I54" s="18">
        <f>I44</f>
        <v>142.99857001429984</v>
      </c>
      <c r="J54" t="s">
        <v>4</v>
      </c>
    </row>
    <row r="55" spans="2:10" x14ac:dyDescent="0.25">
      <c r="H55" t="s">
        <v>33</v>
      </c>
      <c r="I55" s="25">
        <f>SUM(I52:I54)</f>
        <v>32.998570014299844</v>
      </c>
      <c r="J55" t="s">
        <v>4</v>
      </c>
    </row>
    <row r="58" spans="2:10" x14ac:dyDescent="0.25">
      <c r="B58" s="35" t="s">
        <v>36</v>
      </c>
      <c r="I58" t="s">
        <v>26</v>
      </c>
    </row>
    <row r="59" spans="2:10" x14ac:dyDescent="0.25">
      <c r="B59" t="s">
        <v>34</v>
      </c>
      <c r="H59" t="s">
        <v>0</v>
      </c>
      <c r="I59" t="s">
        <v>22</v>
      </c>
    </row>
    <row r="60" spans="2:10" x14ac:dyDescent="0.25">
      <c r="H60" t="s">
        <v>11</v>
      </c>
      <c r="I60" s="2" t="s">
        <v>37</v>
      </c>
    </row>
    <row r="61" spans="2:10" x14ac:dyDescent="0.25">
      <c r="B61" t="s">
        <v>38</v>
      </c>
      <c r="H61" t="s">
        <v>13</v>
      </c>
      <c r="I61" s="2" t="s">
        <v>39</v>
      </c>
      <c r="J61" t="s">
        <v>4</v>
      </c>
    </row>
    <row r="62" spans="2:10" x14ac:dyDescent="0.25">
      <c r="B62" t="s">
        <v>32</v>
      </c>
      <c r="H62" s="15" t="s">
        <v>14</v>
      </c>
      <c r="I62" s="24">
        <f>I54</f>
        <v>142.99857001429984</v>
      </c>
      <c r="J62" t="s">
        <v>4</v>
      </c>
    </row>
    <row r="63" spans="2:10" x14ac:dyDescent="0.25">
      <c r="H63" t="s">
        <v>33</v>
      </c>
      <c r="I63" t="s">
        <v>40</v>
      </c>
      <c r="J63" t="s">
        <v>4</v>
      </c>
    </row>
    <row r="65" spans="6:10" x14ac:dyDescent="0.25">
      <c r="F65" t="s">
        <v>43</v>
      </c>
      <c r="H65" t="s">
        <v>42</v>
      </c>
      <c r="I65" s="18">
        <f>I62-0</f>
        <v>142.99857001429984</v>
      </c>
      <c r="J65" t="s">
        <v>4</v>
      </c>
    </row>
    <row r="66" spans="6:10" x14ac:dyDescent="0.25">
      <c r="F66" t="s">
        <v>44</v>
      </c>
      <c r="H66" t="s">
        <v>41</v>
      </c>
      <c r="I66" s="18">
        <f>I62-B9</f>
        <v>32.998570014299844</v>
      </c>
      <c r="J66" t="s">
        <v>4</v>
      </c>
    </row>
    <row r="68" spans="6:10" x14ac:dyDescent="0.25">
      <c r="I68" s="2"/>
    </row>
    <row r="69" spans="6:10" x14ac:dyDescent="0.25">
      <c r="F69" s="29" t="s">
        <v>45</v>
      </c>
      <c r="I69" s="33">
        <f>MIN(I55,I66)</f>
        <v>32.998570014299844</v>
      </c>
      <c r="J69" t="s">
        <v>4</v>
      </c>
    </row>
    <row r="70" spans="6:10" x14ac:dyDescent="0.25">
      <c r="F70" s="3" t="s">
        <v>47</v>
      </c>
      <c r="I70" s="33">
        <f>I69*B4</f>
        <v>29.998999999999988</v>
      </c>
      <c r="J70" t="s">
        <v>4</v>
      </c>
    </row>
    <row r="71" spans="6:10" x14ac:dyDescent="0.25">
      <c r="F71" t="s">
        <v>48</v>
      </c>
      <c r="I71" s="18">
        <f>ABS(B15-B19)</f>
        <v>29.998999999999995</v>
      </c>
      <c r="J71" t="s">
        <v>4</v>
      </c>
    </row>
    <row r="73" spans="6:10" x14ac:dyDescent="0.25">
      <c r="F73" s="28" t="s">
        <v>92</v>
      </c>
    </row>
    <row r="74" spans="6:10" x14ac:dyDescent="0.25">
      <c r="F74" s="28" t="s">
        <v>113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74"/>
  <sheetViews>
    <sheetView topLeftCell="A9" workbookViewId="0">
      <selection activeCell="I28" sqref="I28:L34"/>
    </sheetView>
  </sheetViews>
  <sheetFormatPr defaultRowHeight="15" x14ac:dyDescent="0.25"/>
  <sheetData>
    <row r="3" spans="1:15" x14ac:dyDescent="0.25">
      <c r="A3" s="2" t="s">
        <v>3</v>
      </c>
      <c r="B3" s="12">
        <v>150</v>
      </c>
      <c r="C3" t="s">
        <v>4</v>
      </c>
    </row>
    <row r="4" spans="1:15" ht="18" x14ac:dyDescent="0.35">
      <c r="A4" s="2" t="s">
        <v>5</v>
      </c>
      <c r="B4" s="16">
        <v>0.90910000000000002</v>
      </c>
    </row>
    <row r="6" spans="1:15" x14ac:dyDescent="0.25">
      <c r="A6" s="14" t="s">
        <v>391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8" spans="1:15" x14ac:dyDescent="0.25">
      <c r="A8" s="2" t="s">
        <v>2</v>
      </c>
      <c r="B8" s="12">
        <v>1</v>
      </c>
    </row>
    <row r="9" spans="1:15" x14ac:dyDescent="0.25">
      <c r="A9" s="2" t="s">
        <v>7</v>
      </c>
      <c r="B9" s="12">
        <v>110</v>
      </c>
      <c r="C9" t="s">
        <v>4</v>
      </c>
    </row>
    <row r="11" spans="1:15" x14ac:dyDescent="0.25">
      <c r="A11" s="31"/>
      <c r="B11" s="31" t="s">
        <v>51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15" x14ac:dyDescent="0.25">
      <c r="A12" s="31"/>
      <c r="B12" s="37" t="s">
        <v>3</v>
      </c>
      <c r="C12" s="31"/>
      <c r="D12" s="31"/>
      <c r="E12" s="31"/>
      <c r="F12" s="31" t="s">
        <v>392</v>
      </c>
      <c r="G12" s="31"/>
      <c r="H12" s="31"/>
      <c r="I12" s="31"/>
      <c r="J12" s="31"/>
      <c r="K12" s="31"/>
      <c r="L12" s="31"/>
      <c r="M12" s="31"/>
      <c r="N12" s="31"/>
      <c r="O12" s="31"/>
    </row>
    <row r="14" spans="1:15" x14ac:dyDescent="0.25">
      <c r="B14" s="1" t="s">
        <v>8</v>
      </c>
    </row>
    <row r="15" spans="1:15" x14ac:dyDescent="0.25">
      <c r="B15" s="20">
        <f>MAX(0,B3)</f>
        <v>150</v>
      </c>
      <c r="C15" s="9" t="s">
        <v>4</v>
      </c>
    </row>
    <row r="17" spans="1:12" x14ac:dyDescent="0.25">
      <c r="A17" s="14" t="s">
        <v>55</v>
      </c>
      <c r="B17" s="14"/>
      <c r="C17" s="14"/>
      <c r="D17" s="14"/>
      <c r="E17" s="14"/>
    </row>
    <row r="19" spans="1:12" ht="17.25" x14ac:dyDescent="0.25">
      <c r="A19" s="2" t="s">
        <v>10</v>
      </c>
      <c r="B19" s="12">
        <v>160</v>
      </c>
      <c r="C19" t="s">
        <v>4</v>
      </c>
    </row>
    <row r="21" spans="1:12" x14ac:dyDescent="0.25">
      <c r="B21" t="s">
        <v>395</v>
      </c>
    </row>
    <row r="23" spans="1:12" x14ac:dyDescent="0.25">
      <c r="B23" t="s">
        <v>396</v>
      </c>
    </row>
    <row r="26" spans="1:12" x14ac:dyDescent="0.25">
      <c r="B26" t="s">
        <v>12</v>
      </c>
      <c r="D26" t="s">
        <v>11</v>
      </c>
      <c r="E26" s="2" t="s">
        <v>53</v>
      </c>
    </row>
    <row r="27" spans="1:12" x14ac:dyDescent="0.25">
      <c r="E27" s="2" t="s">
        <v>65</v>
      </c>
    </row>
    <row r="28" spans="1:12" x14ac:dyDescent="0.25">
      <c r="I28" t="s">
        <v>365</v>
      </c>
      <c r="J28" t="s">
        <v>385</v>
      </c>
      <c r="K28" t="s">
        <v>386</v>
      </c>
      <c r="L28" t="s">
        <v>387</v>
      </c>
    </row>
    <row r="29" spans="1:12" x14ac:dyDescent="0.25">
      <c r="B29" s="21" t="s">
        <v>15</v>
      </c>
      <c r="I29">
        <v>0</v>
      </c>
      <c r="J29">
        <f>MAX(I29-110,0)</f>
        <v>0</v>
      </c>
      <c r="K29">
        <f>-$G$39/$B$4</f>
        <v>10.999890001099988</v>
      </c>
      <c r="L29" s="7">
        <f>-J29+I29+K29</f>
        <v>10.999890001099988</v>
      </c>
    </row>
    <row r="30" spans="1:12" x14ac:dyDescent="0.25">
      <c r="B30" s="23" t="s">
        <v>56</v>
      </c>
      <c r="C30" s="5"/>
      <c r="D30" s="5"/>
      <c r="E30" s="5"/>
      <c r="F30" s="5"/>
      <c r="I30">
        <v>110</v>
      </c>
      <c r="J30">
        <f t="shared" ref="J30:J31" si="0">MAX(I30-110,0)</f>
        <v>0</v>
      </c>
      <c r="K30">
        <f t="shared" ref="K30:K31" si="1">-$G$39/$B$4</f>
        <v>10.999890001099988</v>
      </c>
      <c r="L30" s="7">
        <f t="shared" ref="L30:L31" si="2">-J30+I30+K30</f>
        <v>120.99989000109998</v>
      </c>
    </row>
    <row r="31" spans="1:12" x14ac:dyDescent="0.25">
      <c r="B31" s="23" t="s">
        <v>16</v>
      </c>
      <c r="C31" s="5"/>
      <c r="D31" s="5"/>
      <c r="E31" s="5"/>
      <c r="F31" s="5"/>
      <c r="I31">
        <v>220</v>
      </c>
      <c r="J31">
        <f t="shared" si="0"/>
        <v>110</v>
      </c>
      <c r="K31">
        <f t="shared" si="1"/>
        <v>10.999890001099988</v>
      </c>
      <c r="L31" s="7">
        <f t="shared" si="2"/>
        <v>120.99989000109998</v>
      </c>
    </row>
    <row r="32" spans="1:12" x14ac:dyDescent="0.25">
      <c r="B32" s="23" t="s">
        <v>66</v>
      </c>
      <c r="C32" s="5"/>
      <c r="D32" s="5"/>
      <c r="E32" s="5"/>
      <c r="F32" s="5"/>
    </row>
    <row r="33" spans="1:12" x14ac:dyDescent="0.25">
      <c r="K33" t="s">
        <v>388</v>
      </c>
      <c r="L33" s="7">
        <f>MIN(L29:L31)</f>
        <v>10.999890001099988</v>
      </c>
    </row>
    <row r="34" spans="1:12" x14ac:dyDescent="0.25">
      <c r="A34" s="14" t="s">
        <v>293</v>
      </c>
      <c r="B34" s="14"/>
      <c r="C34" s="14"/>
      <c r="D34" s="14"/>
      <c r="E34" s="14"/>
      <c r="F34" s="14"/>
      <c r="K34" t="s">
        <v>389</v>
      </c>
      <c r="L34" s="7">
        <f>L33*$B$4</f>
        <v>10</v>
      </c>
    </row>
    <row r="36" spans="1:12" x14ac:dyDescent="0.25">
      <c r="F36" t="s">
        <v>0</v>
      </c>
      <c r="G36" s="2" t="s">
        <v>19</v>
      </c>
    </row>
    <row r="37" spans="1:12" x14ac:dyDescent="0.25">
      <c r="B37" t="s">
        <v>159</v>
      </c>
      <c r="F37" t="s">
        <v>12</v>
      </c>
      <c r="G37" s="2">
        <f>B19</f>
        <v>160</v>
      </c>
      <c r="H37" t="s">
        <v>4</v>
      </c>
    </row>
    <row r="38" spans="1:12" x14ac:dyDescent="0.25">
      <c r="B38" t="s">
        <v>57</v>
      </c>
      <c r="F38" t="s">
        <v>53</v>
      </c>
      <c r="G38" s="2">
        <f>-B3</f>
        <v>-150</v>
      </c>
      <c r="H38" t="s">
        <v>4</v>
      </c>
    </row>
    <row r="39" spans="1:12" x14ac:dyDescent="0.25">
      <c r="B39" t="s">
        <v>21</v>
      </c>
      <c r="F39" t="s">
        <v>14</v>
      </c>
      <c r="G39" s="2">
        <f>G40-(G38+G37)</f>
        <v>-10</v>
      </c>
      <c r="H39" t="s">
        <v>4</v>
      </c>
      <c r="I39" t="s">
        <v>68</v>
      </c>
    </row>
    <row r="40" spans="1:12" x14ac:dyDescent="0.25">
      <c r="F40" s="34" t="s">
        <v>33</v>
      </c>
      <c r="G40" s="22">
        <v>0</v>
      </c>
      <c r="I40" t="s">
        <v>69</v>
      </c>
    </row>
    <row r="41" spans="1:12" x14ac:dyDescent="0.25">
      <c r="G41" s="2"/>
      <c r="I41" t="s">
        <v>70</v>
      </c>
    </row>
    <row r="42" spans="1:12" x14ac:dyDescent="0.25">
      <c r="G42" s="2"/>
    </row>
    <row r="43" spans="1:12" x14ac:dyDescent="0.25">
      <c r="I43" t="s">
        <v>80</v>
      </c>
    </row>
    <row r="44" spans="1:12" x14ac:dyDescent="0.25">
      <c r="I44" s="17">
        <f>ABS(G39)/B4</f>
        <v>10.999890001099988</v>
      </c>
      <c r="J44" t="s">
        <v>4</v>
      </c>
    </row>
    <row r="46" spans="1:12" x14ac:dyDescent="0.25">
      <c r="B46" t="s">
        <v>23</v>
      </c>
    </row>
    <row r="47" spans="1:12" x14ac:dyDescent="0.25">
      <c r="B47" t="s">
        <v>24</v>
      </c>
      <c r="E47" t="s">
        <v>25</v>
      </c>
    </row>
    <row r="48" spans="1:12" x14ac:dyDescent="0.25">
      <c r="E48" t="s">
        <v>35</v>
      </c>
    </row>
    <row r="50" spans="2:10" x14ac:dyDescent="0.25">
      <c r="B50" s="35" t="s">
        <v>29</v>
      </c>
      <c r="I50" t="s">
        <v>27</v>
      </c>
    </row>
    <row r="51" spans="2:10" x14ac:dyDescent="0.25">
      <c r="B51" t="s">
        <v>61</v>
      </c>
      <c r="H51" t="s">
        <v>0</v>
      </c>
      <c r="I51" t="s">
        <v>22</v>
      </c>
    </row>
    <row r="52" spans="2:10" x14ac:dyDescent="0.25">
      <c r="B52" t="s">
        <v>59</v>
      </c>
      <c r="H52" t="s">
        <v>12</v>
      </c>
      <c r="I52" s="2">
        <f>+B9</f>
        <v>110</v>
      </c>
      <c r="J52" t="s">
        <v>4</v>
      </c>
    </row>
    <row r="53" spans="2:10" x14ac:dyDescent="0.25">
      <c r="B53" t="s">
        <v>88</v>
      </c>
      <c r="H53" t="s">
        <v>53</v>
      </c>
      <c r="I53" s="2">
        <v>0</v>
      </c>
    </row>
    <row r="54" spans="2:10" x14ac:dyDescent="0.25">
      <c r="B54" t="s">
        <v>32</v>
      </c>
      <c r="H54" s="15" t="s">
        <v>14</v>
      </c>
      <c r="I54" s="18">
        <f>I44</f>
        <v>10.999890001099988</v>
      </c>
      <c r="J54" t="s">
        <v>4</v>
      </c>
    </row>
    <row r="55" spans="2:10" x14ac:dyDescent="0.25">
      <c r="H55" t="s">
        <v>33</v>
      </c>
      <c r="I55" s="25">
        <f>SUM(I52:I54)</f>
        <v>120.99989000109998</v>
      </c>
      <c r="J55" t="s">
        <v>4</v>
      </c>
    </row>
    <row r="58" spans="2:10" x14ac:dyDescent="0.25">
      <c r="B58" s="35" t="s">
        <v>36</v>
      </c>
      <c r="I58" t="s">
        <v>26</v>
      </c>
    </row>
    <row r="59" spans="2:10" x14ac:dyDescent="0.25">
      <c r="B59" t="s">
        <v>62</v>
      </c>
      <c r="H59" t="s">
        <v>0</v>
      </c>
      <c r="I59" t="s">
        <v>22</v>
      </c>
    </row>
    <row r="60" spans="2:10" x14ac:dyDescent="0.25">
      <c r="H60" t="s">
        <v>12</v>
      </c>
      <c r="I60" s="2" t="s">
        <v>37</v>
      </c>
    </row>
    <row r="61" spans="2:10" x14ac:dyDescent="0.25">
      <c r="B61" t="s">
        <v>63</v>
      </c>
      <c r="H61" t="s">
        <v>53</v>
      </c>
      <c r="I61" s="2" t="s">
        <v>64</v>
      </c>
      <c r="J61" t="s">
        <v>4</v>
      </c>
    </row>
    <row r="62" spans="2:10" x14ac:dyDescent="0.25">
      <c r="B62" t="s">
        <v>32</v>
      </c>
      <c r="H62" s="15" t="s">
        <v>14</v>
      </c>
      <c r="I62" s="24">
        <f>I54</f>
        <v>10.999890001099988</v>
      </c>
      <c r="J62" t="s">
        <v>4</v>
      </c>
    </row>
    <row r="63" spans="2:10" x14ac:dyDescent="0.25">
      <c r="H63" t="s">
        <v>33</v>
      </c>
      <c r="I63" t="s">
        <v>71</v>
      </c>
      <c r="J63" t="s">
        <v>4</v>
      </c>
    </row>
    <row r="65" spans="6:10" x14ac:dyDescent="0.25">
      <c r="F65" t="s">
        <v>44</v>
      </c>
      <c r="H65" t="s">
        <v>42</v>
      </c>
      <c r="I65" s="18">
        <f>I62+B9</f>
        <v>120.99989000109998</v>
      </c>
      <c r="J65" t="s">
        <v>4</v>
      </c>
    </row>
    <row r="66" spans="6:10" x14ac:dyDescent="0.25">
      <c r="F66" t="s">
        <v>43</v>
      </c>
      <c r="H66" t="s">
        <v>41</v>
      </c>
      <c r="I66" s="18">
        <f>I62-0</f>
        <v>10.999890001099988</v>
      </c>
      <c r="J66" t="s">
        <v>4</v>
      </c>
    </row>
    <row r="68" spans="6:10" x14ac:dyDescent="0.25">
      <c r="I68" s="2"/>
    </row>
    <row r="69" spans="6:10" x14ac:dyDescent="0.25">
      <c r="F69" s="29" t="s">
        <v>45</v>
      </c>
      <c r="I69" s="33">
        <f>MIN(I55,I66)</f>
        <v>10.999890001099988</v>
      </c>
      <c r="J69" t="s">
        <v>4</v>
      </c>
    </row>
    <row r="70" spans="6:10" x14ac:dyDescent="0.25">
      <c r="F70" s="3" t="s">
        <v>47</v>
      </c>
      <c r="I70" s="33">
        <f>I69*B4</f>
        <v>10</v>
      </c>
      <c r="J70" t="s">
        <v>4</v>
      </c>
    </row>
    <row r="71" spans="6:10" x14ac:dyDescent="0.25">
      <c r="F71" t="s">
        <v>48</v>
      </c>
      <c r="I71" s="18">
        <f>ABS(B15-B19)</f>
        <v>10</v>
      </c>
      <c r="J71" t="s">
        <v>4</v>
      </c>
    </row>
    <row r="73" spans="6:10" x14ac:dyDescent="0.25">
      <c r="F73" s="28" t="s">
        <v>91</v>
      </c>
    </row>
    <row r="74" spans="6:10" x14ac:dyDescent="0.25">
      <c r="F74" s="28" t="s">
        <v>112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71"/>
  <sheetViews>
    <sheetView topLeftCell="A9" workbookViewId="0">
      <selection activeCell="P20" sqref="P20"/>
    </sheetView>
  </sheetViews>
  <sheetFormatPr defaultRowHeight="15" x14ac:dyDescent="0.25"/>
  <cols>
    <col min="9" max="9" width="10.42578125" customWidth="1"/>
  </cols>
  <sheetData>
    <row r="3" spans="1:15" x14ac:dyDescent="0.25">
      <c r="A3" s="2" t="s">
        <v>3</v>
      </c>
      <c r="B3" s="12">
        <v>150</v>
      </c>
      <c r="C3" t="s">
        <v>4</v>
      </c>
    </row>
    <row r="4" spans="1:15" ht="18" x14ac:dyDescent="0.35">
      <c r="A4" s="2" t="s">
        <v>5</v>
      </c>
      <c r="B4" s="16">
        <v>0.90910000000000002</v>
      </c>
    </row>
    <row r="6" spans="1:15" x14ac:dyDescent="0.25">
      <c r="A6" s="14" t="s">
        <v>98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8" spans="1:15" x14ac:dyDescent="0.25">
      <c r="A8" s="2" t="s">
        <v>2</v>
      </c>
      <c r="B8" s="12">
        <v>1</v>
      </c>
    </row>
    <row r="9" spans="1:15" x14ac:dyDescent="0.25">
      <c r="A9" s="2" t="s">
        <v>7</v>
      </c>
      <c r="B9" s="12">
        <v>170.5</v>
      </c>
      <c r="C9" t="s">
        <v>4</v>
      </c>
    </row>
    <row r="11" spans="1:15" x14ac:dyDescent="0.25">
      <c r="A11" s="31"/>
      <c r="B11" s="31" t="s">
        <v>73</v>
      </c>
      <c r="C11" s="31"/>
      <c r="D11" s="31"/>
      <c r="E11" s="31"/>
      <c r="F11" s="31" t="s">
        <v>52</v>
      </c>
      <c r="G11" s="31"/>
      <c r="H11" s="31"/>
      <c r="I11" s="31"/>
      <c r="J11" s="31"/>
      <c r="K11" s="31"/>
      <c r="L11" s="31"/>
      <c r="M11" s="31"/>
      <c r="N11" s="31"/>
      <c r="O11" s="31"/>
    </row>
    <row r="12" spans="1:15" ht="18" x14ac:dyDescent="0.35">
      <c r="A12" s="31"/>
      <c r="B12" s="36" t="s">
        <v>74</v>
      </c>
      <c r="C12" s="31"/>
      <c r="D12" s="31"/>
      <c r="E12" s="31"/>
      <c r="F12" s="31" t="s">
        <v>75</v>
      </c>
      <c r="G12" s="31"/>
      <c r="H12" s="31"/>
      <c r="I12" s="31"/>
      <c r="J12" s="31"/>
      <c r="K12" s="31"/>
      <c r="L12" s="31"/>
      <c r="M12" s="31"/>
      <c r="N12" s="31"/>
      <c r="O12" s="31"/>
    </row>
    <row r="14" spans="1:15" x14ac:dyDescent="0.25">
      <c r="B14" s="1" t="s">
        <v>397</v>
      </c>
    </row>
    <row r="15" spans="1:15" x14ac:dyDescent="0.25">
      <c r="B15" s="19">
        <f>MAX(0,B9*B4-B3)</f>
        <v>5.0015500000000088</v>
      </c>
      <c r="C15" s="9" t="s">
        <v>4</v>
      </c>
    </row>
    <row r="17" spans="1:12" x14ac:dyDescent="0.25">
      <c r="A17" s="14" t="s">
        <v>72</v>
      </c>
      <c r="B17" s="14"/>
      <c r="C17" s="14"/>
      <c r="D17" s="14"/>
      <c r="E17" s="14"/>
    </row>
    <row r="19" spans="1:12" ht="17.25" x14ac:dyDescent="0.25">
      <c r="A19" s="2" t="s">
        <v>105</v>
      </c>
      <c r="B19" s="12">
        <v>4</v>
      </c>
      <c r="C19" t="s">
        <v>4</v>
      </c>
    </row>
    <row r="21" spans="1:12" x14ac:dyDescent="0.25">
      <c r="B21" t="s">
        <v>398</v>
      </c>
    </row>
    <row r="23" spans="1:12" x14ac:dyDescent="0.25">
      <c r="B23" t="s">
        <v>399</v>
      </c>
    </row>
    <row r="26" spans="1:12" x14ac:dyDescent="0.25">
      <c r="B26" t="s">
        <v>76</v>
      </c>
      <c r="D26" t="s">
        <v>77</v>
      </c>
      <c r="E26" s="2" t="s">
        <v>53</v>
      </c>
    </row>
    <row r="27" spans="1:12" x14ac:dyDescent="0.25">
      <c r="E27" s="2" t="s">
        <v>65</v>
      </c>
      <c r="I27" t="s">
        <v>365</v>
      </c>
      <c r="J27" t="s">
        <v>400</v>
      </c>
      <c r="K27" t="s">
        <v>386</v>
      </c>
      <c r="L27" t="s">
        <v>387</v>
      </c>
    </row>
    <row r="28" spans="1:12" x14ac:dyDescent="0.25">
      <c r="I28">
        <v>0</v>
      </c>
      <c r="J28">
        <f>MAX(170.5-I28,0)</f>
        <v>170.5</v>
      </c>
      <c r="K28">
        <f>$G$39/$B$4</f>
        <v>169.39830601693981</v>
      </c>
      <c r="L28" s="7">
        <f>J28+I28-K28</f>
        <v>1.1016939830601871</v>
      </c>
    </row>
    <row r="29" spans="1:12" x14ac:dyDescent="0.25">
      <c r="B29" s="21" t="s">
        <v>15</v>
      </c>
      <c r="I29">
        <v>170.5</v>
      </c>
      <c r="J29">
        <f t="shared" ref="J29:J30" si="0">MAX(170.5-I29,0)</f>
        <v>0</v>
      </c>
      <c r="K29">
        <f t="shared" ref="K29:K30" si="1">$G$39/$B$4</f>
        <v>169.39830601693981</v>
      </c>
      <c r="L29" s="7">
        <f t="shared" ref="L29:L30" si="2">J29+I29-K29</f>
        <v>1.1016939830601871</v>
      </c>
    </row>
    <row r="30" spans="1:12" x14ac:dyDescent="0.25">
      <c r="B30" s="23" t="s">
        <v>78</v>
      </c>
      <c r="C30" s="5"/>
      <c r="D30" s="5"/>
      <c r="E30" s="5"/>
      <c r="F30" s="5"/>
      <c r="I30">
        <v>220</v>
      </c>
      <c r="J30">
        <f t="shared" si="0"/>
        <v>0</v>
      </c>
      <c r="K30">
        <f t="shared" si="1"/>
        <v>169.39830601693981</v>
      </c>
      <c r="L30" s="7">
        <f t="shared" si="2"/>
        <v>50.601693983060187</v>
      </c>
    </row>
    <row r="31" spans="1:12" x14ac:dyDescent="0.25">
      <c r="B31" s="23" t="s">
        <v>16</v>
      </c>
      <c r="C31" s="5"/>
      <c r="D31" s="5"/>
      <c r="E31" s="5"/>
      <c r="F31" s="5"/>
    </row>
    <row r="32" spans="1:12" x14ac:dyDescent="0.25">
      <c r="B32" s="23" t="s">
        <v>66</v>
      </c>
      <c r="C32" s="5"/>
      <c r="D32" s="5"/>
      <c r="E32" s="5"/>
      <c r="F32" s="5"/>
      <c r="K32" t="s">
        <v>388</v>
      </c>
      <c r="L32" s="7">
        <f>MIN(L28:L30)</f>
        <v>1.1016939830601871</v>
      </c>
    </row>
    <row r="33" spans="1:12" x14ac:dyDescent="0.25">
      <c r="K33" t="s">
        <v>389</v>
      </c>
      <c r="L33" s="7">
        <f>L32*$B$4</f>
        <v>1.0015500000000161</v>
      </c>
    </row>
    <row r="34" spans="1:12" x14ac:dyDescent="0.25">
      <c r="A34" s="14" t="s">
        <v>293</v>
      </c>
      <c r="B34" s="14"/>
      <c r="C34" s="14"/>
      <c r="D34" s="14"/>
      <c r="E34" s="14"/>
      <c r="F34" s="14"/>
    </row>
    <row r="36" spans="1:12" x14ac:dyDescent="0.25">
      <c r="F36" t="s">
        <v>0</v>
      </c>
      <c r="G36" s="2" t="s">
        <v>19</v>
      </c>
    </row>
    <row r="37" spans="1:12" x14ac:dyDescent="0.25">
      <c r="B37" t="s">
        <v>160</v>
      </c>
      <c r="F37" t="s">
        <v>76</v>
      </c>
      <c r="G37" s="2">
        <f>-B19</f>
        <v>-4</v>
      </c>
      <c r="H37" t="s">
        <v>4</v>
      </c>
    </row>
    <row r="38" spans="1:12" x14ac:dyDescent="0.25">
      <c r="B38" t="s">
        <v>57</v>
      </c>
      <c r="F38" t="s">
        <v>53</v>
      </c>
      <c r="G38" s="2">
        <f>-B3</f>
        <v>-150</v>
      </c>
      <c r="H38" t="s">
        <v>4</v>
      </c>
    </row>
    <row r="39" spans="1:12" x14ac:dyDescent="0.25">
      <c r="B39" t="s">
        <v>58</v>
      </c>
      <c r="F39" t="s">
        <v>54</v>
      </c>
      <c r="G39" s="2">
        <f>G40-(G38+G37)</f>
        <v>154</v>
      </c>
      <c r="H39" t="s">
        <v>4</v>
      </c>
      <c r="I39" t="s">
        <v>79</v>
      </c>
    </row>
    <row r="40" spans="1:12" x14ac:dyDescent="0.25">
      <c r="F40" s="34" t="s">
        <v>33</v>
      </c>
      <c r="G40" s="22">
        <v>0</v>
      </c>
      <c r="I40" t="s">
        <v>69</v>
      </c>
    </row>
    <row r="41" spans="1:12" x14ac:dyDescent="0.25">
      <c r="G41" s="2"/>
      <c r="I41" t="s">
        <v>70</v>
      </c>
    </row>
    <row r="42" spans="1:12" x14ac:dyDescent="0.25">
      <c r="G42" s="2"/>
    </row>
    <row r="43" spans="1:12" x14ac:dyDescent="0.25">
      <c r="I43" t="s">
        <v>93</v>
      </c>
    </row>
    <row r="44" spans="1:12" x14ac:dyDescent="0.25">
      <c r="I44" s="7">
        <f>ABS(G39)/B4</f>
        <v>169.39830601693981</v>
      </c>
      <c r="J44" t="s">
        <v>4</v>
      </c>
    </row>
    <row r="46" spans="1:12" x14ac:dyDescent="0.25">
      <c r="B46" t="s">
        <v>23</v>
      </c>
    </row>
    <row r="47" spans="1:12" x14ac:dyDescent="0.25">
      <c r="B47" t="s">
        <v>24</v>
      </c>
      <c r="E47" t="s">
        <v>82</v>
      </c>
    </row>
    <row r="48" spans="1:12" x14ac:dyDescent="0.25">
      <c r="E48" t="s">
        <v>83</v>
      </c>
    </row>
    <row r="50" spans="2:10" x14ac:dyDescent="0.25">
      <c r="B50" s="35" t="s">
        <v>29</v>
      </c>
      <c r="I50" t="s">
        <v>94</v>
      </c>
    </row>
    <row r="51" spans="2:10" x14ac:dyDescent="0.25">
      <c r="B51" t="s">
        <v>84</v>
      </c>
      <c r="H51" t="s">
        <v>0</v>
      </c>
      <c r="I51" t="s">
        <v>22</v>
      </c>
    </row>
    <row r="52" spans="2:10" x14ac:dyDescent="0.25">
      <c r="H52" t="s">
        <v>76</v>
      </c>
      <c r="I52" s="2">
        <v>0</v>
      </c>
      <c r="J52" t="s">
        <v>4</v>
      </c>
    </row>
    <row r="53" spans="2:10" x14ac:dyDescent="0.25">
      <c r="B53" t="s">
        <v>87</v>
      </c>
      <c r="H53" t="s">
        <v>53</v>
      </c>
      <c r="I53" s="2" t="s">
        <v>86</v>
      </c>
    </row>
    <row r="54" spans="2:10" x14ac:dyDescent="0.25">
      <c r="B54" t="s">
        <v>60</v>
      </c>
      <c r="H54" s="15" t="s">
        <v>54</v>
      </c>
      <c r="I54" s="10">
        <f>-I44</f>
        <v>-169.39830601693981</v>
      </c>
      <c r="J54" t="s">
        <v>4</v>
      </c>
    </row>
    <row r="55" spans="2:10" x14ac:dyDescent="0.25">
      <c r="H55" t="s">
        <v>33</v>
      </c>
      <c r="I55" s="25" t="s">
        <v>95</v>
      </c>
      <c r="J55" t="s">
        <v>4</v>
      </c>
    </row>
    <row r="57" spans="2:10" x14ac:dyDescent="0.25">
      <c r="F57" t="s">
        <v>96</v>
      </c>
      <c r="H57" t="s">
        <v>41</v>
      </c>
      <c r="I57" s="10">
        <f>B9+I54</f>
        <v>1.1016939830601871</v>
      </c>
      <c r="J57" t="s">
        <v>4</v>
      </c>
    </row>
    <row r="59" spans="2:10" x14ac:dyDescent="0.25">
      <c r="B59" s="35" t="s">
        <v>36</v>
      </c>
      <c r="I59" t="s">
        <v>97</v>
      </c>
    </row>
    <row r="60" spans="2:10" x14ac:dyDescent="0.25">
      <c r="B60" t="s">
        <v>85</v>
      </c>
      <c r="H60" t="s">
        <v>0</v>
      </c>
      <c r="I60" t="s">
        <v>22</v>
      </c>
    </row>
    <row r="61" spans="2:10" x14ac:dyDescent="0.25">
      <c r="B61" t="s">
        <v>59</v>
      </c>
      <c r="H61" t="s">
        <v>76</v>
      </c>
      <c r="I61" s="2">
        <f>B9</f>
        <v>170.5</v>
      </c>
    </row>
    <row r="62" spans="2:10" x14ac:dyDescent="0.25">
      <c r="B62" t="s">
        <v>88</v>
      </c>
      <c r="H62" t="s">
        <v>53</v>
      </c>
      <c r="I62" s="2">
        <v>0</v>
      </c>
      <c r="J62" t="s">
        <v>4</v>
      </c>
    </row>
    <row r="63" spans="2:10" x14ac:dyDescent="0.25">
      <c r="B63" t="s">
        <v>60</v>
      </c>
      <c r="H63" s="15" t="s">
        <v>54</v>
      </c>
      <c r="I63" s="24">
        <f>I54</f>
        <v>-169.39830601693981</v>
      </c>
      <c r="J63" t="s">
        <v>4</v>
      </c>
    </row>
    <row r="64" spans="2:10" x14ac:dyDescent="0.25">
      <c r="H64" t="s">
        <v>33</v>
      </c>
      <c r="I64" s="10">
        <f>SUM(I61:I63)</f>
        <v>1.1016939830601871</v>
      </c>
      <c r="J64" t="s">
        <v>4</v>
      </c>
    </row>
    <row r="66" spans="6:10" x14ac:dyDescent="0.25">
      <c r="F66" s="29" t="s">
        <v>45</v>
      </c>
      <c r="I66" s="8">
        <f>MIN(I57,I64)</f>
        <v>1.1016939830601871</v>
      </c>
      <c r="J66" t="s">
        <v>4</v>
      </c>
    </row>
    <row r="67" spans="6:10" x14ac:dyDescent="0.25">
      <c r="F67" s="3" t="s">
        <v>47</v>
      </c>
      <c r="I67" s="8">
        <f>I66*B4</f>
        <v>1.0015500000000161</v>
      </c>
      <c r="J67" t="s">
        <v>4</v>
      </c>
    </row>
    <row r="68" spans="6:10" x14ac:dyDescent="0.25">
      <c r="F68" t="s">
        <v>48</v>
      </c>
      <c r="I68" s="10">
        <f>ABS(B15-B19)</f>
        <v>1.0015500000000088</v>
      </c>
      <c r="J68" t="s">
        <v>4</v>
      </c>
    </row>
    <row r="70" spans="6:10" x14ac:dyDescent="0.25">
      <c r="F70" s="28" t="s">
        <v>90</v>
      </c>
    </row>
    <row r="71" spans="6:10" x14ac:dyDescent="0.25">
      <c r="F71" s="28" t="s">
        <v>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O67"/>
  <sheetViews>
    <sheetView workbookViewId="0">
      <selection activeCell="I15" sqref="I15"/>
    </sheetView>
  </sheetViews>
  <sheetFormatPr defaultRowHeight="15" x14ac:dyDescent="0.25"/>
  <cols>
    <col min="9" max="9" width="10.42578125" customWidth="1"/>
  </cols>
  <sheetData>
    <row r="3" spans="1:15" x14ac:dyDescent="0.25">
      <c r="A3" s="2" t="s">
        <v>3</v>
      </c>
      <c r="B3" s="12">
        <v>150</v>
      </c>
      <c r="C3" t="s">
        <v>4</v>
      </c>
    </row>
    <row r="4" spans="1:15" ht="18" x14ac:dyDescent="0.35">
      <c r="A4" s="2" t="s">
        <v>5</v>
      </c>
      <c r="B4" s="16">
        <v>0.90910000000000002</v>
      </c>
    </row>
    <row r="6" spans="1:15" x14ac:dyDescent="0.25">
      <c r="A6" s="14" t="s">
        <v>100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8" spans="1:15" x14ac:dyDescent="0.25">
      <c r="A8" s="2" t="s">
        <v>2</v>
      </c>
      <c r="B8" s="12">
        <v>1</v>
      </c>
    </row>
    <row r="9" spans="1:15" x14ac:dyDescent="0.25">
      <c r="A9" s="2" t="s">
        <v>7</v>
      </c>
      <c r="B9" s="12">
        <v>170.5</v>
      </c>
      <c r="C9" t="s">
        <v>4</v>
      </c>
    </row>
    <row r="11" spans="1:15" x14ac:dyDescent="0.25">
      <c r="A11" s="31"/>
      <c r="B11" s="31" t="s">
        <v>99</v>
      </c>
      <c r="C11" s="31"/>
      <c r="D11" s="31"/>
      <c r="E11" s="31"/>
      <c r="F11" s="31" t="s">
        <v>52</v>
      </c>
      <c r="G11" s="31"/>
      <c r="H11" s="31"/>
      <c r="I11" s="31"/>
      <c r="J11" s="31"/>
      <c r="K11" s="31"/>
      <c r="L11" s="31"/>
      <c r="M11" s="31"/>
      <c r="N11" s="31"/>
      <c r="O11" s="31"/>
    </row>
    <row r="12" spans="1:15" ht="18" x14ac:dyDescent="0.35">
      <c r="A12" s="31"/>
      <c r="B12" s="36" t="s">
        <v>102</v>
      </c>
      <c r="C12" s="31"/>
      <c r="D12" s="31"/>
      <c r="E12" s="31"/>
      <c r="F12" s="31" t="s">
        <v>101</v>
      </c>
      <c r="G12" s="31"/>
      <c r="H12" s="31"/>
      <c r="I12" s="31"/>
      <c r="J12" s="31"/>
      <c r="K12" s="31"/>
      <c r="L12" s="31"/>
      <c r="M12" s="31"/>
      <c r="N12" s="31"/>
      <c r="O12" s="31"/>
    </row>
    <row r="14" spans="1:15" x14ac:dyDescent="0.25">
      <c r="B14" s="1" t="s">
        <v>8</v>
      </c>
    </row>
    <row r="15" spans="1:15" x14ac:dyDescent="0.25">
      <c r="B15" s="19">
        <f>B9*B4</f>
        <v>155.00155000000001</v>
      </c>
      <c r="C15" s="9" t="s">
        <v>4</v>
      </c>
    </row>
    <row r="17" spans="1:12" x14ac:dyDescent="0.25">
      <c r="A17" s="14" t="s">
        <v>103</v>
      </c>
      <c r="B17" s="14"/>
      <c r="C17" s="14"/>
      <c r="D17" s="14"/>
      <c r="E17" s="14"/>
    </row>
    <row r="19" spans="1:12" ht="17.25" x14ac:dyDescent="0.25">
      <c r="A19" s="2" t="s">
        <v>105</v>
      </c>
      <c r="B19" s="12">
        <v>160</v>
      </c>
      <c r="C19" t="s">
        <v>4</v>
      </c>
    </row>
    <row r="21" spans="1:12" x14ac:dyDescent="0.25">
      <c r="B21" t="s">
        <v>401</v>
      </c>
    </row>
    <row r="23" spans="1:12" x14ac:dyDescent="0.25">
      <c r="B23" t="s">
        <v>402</v>
      </c>
    </row>
    <row r="26" spans="1:12" x14ac:dyDescent="0.25">
      <c r="B26" t="s">
        <v>77</v>
      </c>
      <c r="D26" t="s">
        <v>76</v>
      </c>
      <c r="E26" s="2" t="s">
        <v>65</v>
      </c>
    </row>
    <row r="27" spans="1:12" x14ac:dyDescent="0.25">
      <c r="I27" t="s">
        <v>365</v>
      </c>
      <c r="J27" t="s">
        <v>400</v>
      </c>
      <c r="K27" t="s">
        <v>386</v>
      </c>
      <c r="L27" t="s">
        <v>387</v>
      </c>
    </row>
    <row r="28" spans="1:12" x14ac:dyDescent="0.25">
      <c r="B28" s="21" t="s">
        <v>15</v>
      </c>
      <c r="I28">
        <v>0</v>
      </c>
      <c r="J28">
        <f>MAX(170.5-I28,0)</f>
        <v>170.5</v>
      </c>
      <c r="K28">
        <f>$G$36/$B$4</f>
        <v>175.99824001759981</v>
      </c>
      <c r="L28" s="7">
        <f>K28-J28</f>
        <v>5.4982400175998123</v>
      </c>
    </row>
    <row r="29" spans="1:12" x14ac:dyDescent="0.25">
      <c r="B29" s="23" t="s">
        <v>104</v>
      </c>
      <c r="C29" s="5"/>
      <c r="D29" s="5"/>
      <c r="E29" s="5"/>
      <c r="F29" s="5"/>
      <c r="I29">
        <v>170.5</v>
      </c>
      <c r="J29">
        <f t="shared" ref="J29:J30" si="0">MAX(170.5-I29,0)</f>
        <v>0</v>
      </c>
      <c r="K29">
        <f t="shared" ref="K29:K30" si="1">$G$36/$B$4</f>
        <v>175.99824001759981</v>
      </c>
      <c r="L29" s="7">
        <f t="shared" ref="L29:L30" si="2">K29-J29</f>
        <v>175.99824001759981</v>
      </c>
    </row>
    <row r="30" spans="1:12" x14ac:dyDescent="0.25">
      <c r="B30" s="23" t="s">
        <v>66</v>
      </c>
      <c r="C30" s="5"/>
      <c r="D30" s="5"/>
      <c r="E30" s="5"/>
      <c r="F30" s="5"/>
      <c r="I30">
        <v>220</v>
      </c>
      <c r="J30">
        <f t="shared" si="0"/>
        <v>0</v>
      </c>
      <c r="K30">
        <f t="shared" si="1"/>
        <v>175.99824001759981</v>
      </c>
      <c r="L30" s="7">
        <f t="shared" si="2"/>
        <v>175.99824001759981</v>
      </c>
    </row>
    <row r="32" spans="1:12" x14ac:dyDescent="0.25">
      <c r="A32" s="14" t="s">
        <v>293</v>
      </c>
      <c r="B32" s="14"/>
      <c r="C32" s="14"/>
      <c r="D32" s="14"/>
      <c r="E32" s="14"/>
      <c r="F32" s="14"/>
      <c r="K32" t="s">
        <v>388</v>
      </c>
      <c r="L32" s="7">
        <f>MIN(L28:L30)</f>
        <v>5.4982400175998123</v>
      </c>
    </row>
    <row r="33" spans="2:12" x14ac:dyDescent="0.25">
      <c r="K33" t="s">
        <v>389</v>
      </c>
      <c r="L33" s="7">
        <f>L32*$B$4</f>
        <v>4.9984499999999894</v>
      </c>
    </row>
    <row r="34" spans="2:12" x14ac:dyDescent="0.25">
      <c r="F34" t="s">
        <v>0</v>
      </c>
      <c r="G34" s="2" t="s">
        <v>19</v>
      </c>
    </row>
    <row r="35" spans="2:12" x14ac:dyDescent="0.25">
      <c r="B35" t="s">
        <v>162</v>
      </c>
      <c r="F35" t="s">
        <v>77</v>
      </c>
      <c r="G35" s="2">
        <f>B19</f>
        <v>160</v>
      </c>
      <c r="H35" t="s">
        <v>4</v>
      </c>
    </row>
    <row r="36" spans="2:12" x14ac:dyDescent="0.25">
      <c r="B36" t="s">
        <v>21</v>
      </c>
      <c r="F36" t="s">
        <v>14</v>
      </c>
      <c r="G36" s="2">
        <f>G35</f>
        <v>160</v>
      </c>
      <c r="H36" t="s">
        <v>4</v>
      </c>
      <c r="I36" t="s">
        <v>127</v>
      </c>
    </row>
    <row r="37" spans="2:12" x14ac:dyDescent="0.25">
      <c r="F37" s="34" t="s">
        <v>33</v>
      </c>
      <c r="G37" s="22">
        <v>0</v>
      </c>
      <c r="I37" t="s">
        <v>69</v>
      </c>
    </row>
    <row r="38" spans="2:12" x14ac:dyDescent="0.25">
      <c r="G38" s="2"/>
      <c r="I38" t="s">
        <v>70</v>
      </c>
    </row>
    <row r="39" spans="2:12" x14ac:dyDescent="0.25">
      <c r="G39" s="2"/>
    </row>
    <row r="40" spans="2:12" x14ac:dyDescent="0.25">
      <c r="I40" t="s">
        <v>106</v>
      </c>
    </row>
    <row r="41" spans="2:12" x14ac:dyDescent="0.25">
      <c r="I41" s="7">
        <f>ABS(G36)/B4</f>
        <v>175.99824001759981</v>
      </c>
      <c r="J41" t="s">
        <v>4</v>
      </c>
    </row>
    <row r="43" spans="2:12" x14ac:dyDescent="0.25">
      <c r="B43" t="s">
        <v>23</v>
      </c>
    </row>
    <row r="44" spans="2:12" x14ac:dyDescent="0.25">
      <c r="B44" t="s">
        <v>24</v>
      </c>
      <c r="E44" t="s">
        <v>82</v>
      </c>
    </row>
    <row r="45" spans="2:12" x14ac:dyDescent="0.25">
      <c r="E45" t="s">
        <v>83</v>
      </c>
    </row>
    <row r="47" spans="2:12" x14ac:dyDescent="0.25">
      <c r="B47" s="35" t="s">
        <v>29</v>
      </c>
      <c r="I47" t="s">
        <v>94</v>
      </c>
    </row>
    <row r="48" spans="2:12" x14ac:dyDescent="0.25">
      <c r="B48" t="s">
        <v>84</v>
      </c>
      <c r="H48" t="s">
        <v>0</v>
      </c>
      <c r="I48" t="s">
        <v>22</v>
      </c>
    </row>
    <row r="49" spans="2:10" x14ac:dyDescent="0.25">
      <c r="H49" t="s">
        <v>77</v>
      </c>
      <c r="I49" s="2">
        <v>0</v>
      </c>
      <c r="J49" t="s">
        <v>4</v>
      </c>
    </row>
    <row r="50" spans="2:10" x14ac:dyDescent="0.25">
      <c r="B50" t="s">
        <v>32</v>
      </c>
      <c r="H50" s="15" t="s">
        <v>14</v>
      </c>
      <c r="I50" s="10">
        <f>I41</f>
        <v>175.99824001759981</v>
      </c>
      <c r="J50" t="s">
        <v>4</v>
      </c>
    </row>
    <row r="51" spans="2:10" x14ac:dyDescent="0.25">
      <c r="H51" t="s">
        <v>33</v>
      </c>
      <c r="I51" s="25">
        <f>SUM(I49:I50)</f>
        <v>175.99824001759981</v>
      </c>
      <c r="J51" t="s">
        <v>4</v>
      </c>
    </row>
    <row r="53" spans="2:10" x14ac:dyDescent="0.25">
      <c r="B53" s="35" t="s">
        <v>36</v>
      </c>
      <c r="I53" t="s">
        <v>97</v>
      </c>
    </row>
    <row r="54" spans="2:10" x14ac:dyDescent="0.25">
      <c r="B54" t="s">
        <v>107</v>
      </c>
      <c r="H54" t="s">
        <v>0</v>
      </c>
      <c r="I54" t="s">
        <v>22</v>
      </c>
    </row>
    <row r="55" spans="2:10" x14ac:dyDescent="0.25">
      <c r="B55" t="s">
        <v>108</v>
      </c>
      <c r="H55" t="s">
        <v>77</v>
      </c>
      <c r="I55" s="2" t="s">
        <v>109</v>
      </c>
    </row>
    <row r="56" spans="2:10" x14ac:dyDescent="0.25">
      <c r="B56" t="s">
        <v>60</v>
      </c>
      <c r="H56" s="15" t="s">
        <v>14</v>
      </c>
      <c r="I56" s="24">
        <f>I50</f>
        <v>175.99824001759981</v>
      </c>
      <c r="J56" t="s">
        <v>4</v>
      </c>
    </row>
    <row r="57" spans="2:10" x14ac:dyDescent="0.25">
      <c r="H57" t="s">
        <v>33</v>
      </c>
      <c r="I57" s="10" t="s">
        <v>110</v>
      </c>
      <c r="J57" t="s">
        <v>4</v>
      </c>
    </row>
    <row r="59" spans="2:10" x14ac:dyDescent="0.25">
      <c r="F59" t="s">
        <v>96</v>
      </c>
      <c r="H59" t="s">
        <v>42</v>
      </c>
      <c r="I59" s="10">
        <f>B9+I51-B9</f>
        <v>175.99824001759981</v>
      </c>
      <c r="J59" t="s">
        <v>4</v>
      </c>
    </row>
    <row r="60" spans="2:10" x14ac:dyDescent="0.25">
      <c r="F60" t="s">
        <v>43</v>
      </c>
      <c r="H60" t="s">
        <v>41</v>
      </c>
      <c r="I60" s="10">
        <f>I41-B9</f>
        <v>5.4982400175998123</v>
      </c>
      <c r="J60" t="s">
        <v>4</v>
      </c>
    </row>
    <row r="62" spans="2:10" x14ac:dyDescent="0.25">
      <c r="F62" s="29" t="s">
        <v>45</v>
      </c>
      <c r="I62" s="8">
        <f>MIN(I51,I60)</f>
        <v>5.4982400175998123</v>
      </c>
      <c r="J62" t="s">
        <v>4</v>
      </c>
    </row>
    <row r="63" spans="2:10" x14ac:dyDescent="0.25">
      <c r="F63" s="3" t="s">
        <v>47</v>
      </c>
      <c r="I63" s="8">
        <f>I62*B4</f>
        <v>4.9984499999999894</v>
      </c>
      <c r="J63" t="s">
        <v>4</v>
      </c>
    </row>
    <row r="64" spans="2:10" x14ac:dyDescent="0.25">
      <c r="F64" t="s">
        <v>48</v>
      </c>
      <c r="I64" s="10">
        <f>ABS(B15-B19)</f>
        <v>4.9984499999999912</v>
      </c>
      <c r="J64" t="s">
        <v>4</v>
      </c>
    </row>
    <row r="66" spans="6:6" x14ac:dyDescent="0.25">
      <c r="F66" s="28" t="s">
        <v>111</v>
      </c>
    </row>
    <row r="67" spans="6:6" x14ac:dyDescent="0.25">
      <c r="F67" s="28" t="s">
        <v>112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M78"/>
  <sheetViews>
    <sheetView topLeftCell="A15" workbookViewId="0">
      <selection activeCell="N22" sqref="N22"/>
    </sheetView>
  </sheetViews>
  <sheetFormatPr defaultRowHeight="15" x14ac:dyDescent="0.25"/>
  <sheetData>
    <row r="3" spans="1:10" x14ac:dyDescent="0.25">
      <c r="A3" s="2" t="s">
        <v>3</v>
      </c>
      <c r="B3" s="12">
        <v>19</v>
      </c>
      <c r="C3" t="s">
        <v>4</v>
      </c>
    </row>
    <row r="4" spans="1:10" x14ac:dyDescent="0.25">
      <c r="A4" s="2" t="s">
        <v>149</v>
      </c>
      <c r="B4" s="12">
        <v>0.25</v>
      </c>
    </row>
    <row r="5" spans="1:10" x14ac:dyDescent="0.25">
      <c r="A5" s="2" t="s">
        <v>148</v>
      </c>
      <c r="B5" s="12">
        <v>20</v>
      </c>
      <c r="C5" t="s">
        <v>4</v>
      </c>
    </row>
    <row r="6" spans="1:10" ht="17.25" x14ac:dyDescent="0.25">
      <c r="A6" s="2" t="s">
        <v>10</v>
      </c>
      <c r="B6" s="12">
        <v>1</v>
      </c>
      <c r="C6" t="s">
        <v>4</v>
      </c>
    </row>
    <row r="7" spans="1:10" ht="18" x14ac:dyDescent="0.35">
      <c r="A7" s="2" t="s">
        <v>114</v>
      </c>
      <c r="B7" s="26">
        <v>0.04</v>
      </c>
      <c r="C7" t="s">
        <v>115</v>
      </c>
    </row>
    <row r="9" spans="1:10" x14ac:dyDescent="0.25">
      <c r="A9" s="39" t="s">
        <v>116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25">
      <c r="A10" s="9"/>
    </row>
    <row r="11" spans="1:10" x14ac:dyDescent="0.25">
      <c r="A11" s="2" t="s">
        <v>150</v>
      </c>
      <c r="B11" s="12">
        <v>0.25</v>
      </c>
    </row>
    <row r="12" spans="1:10" x14ac:dyDescent="0.25">
      <c r="A12" s="2" t="s">
        <v>151</v>
      </c>
      <c r="B12" s="12">
        <v>20</v>
      </c>
      <c r="C12" t="s">
        <v>4</v>
      </c>
    </row>
    <row r="14" spans="1:10" x14ac:dyDescent="0.25">
      <c r="B14" s="31" t="s">
        <v>403</v>
      </c>
      <c r="C14" s="31"/>
      <c r="D14" s="31"/>
      <c r="E14" s="31"/>
    </row>
    <row r="15" spans="1:10" ht="18" x14ac:dyDescent="0.35">
      <c r="B15" s="36" t="s">
        <v>117</v>
      </c>
      <c r="C15" s="31"/>
      <c r="D15" s="36" t="s">
        <v>118</v>
      </c>
      <c r="E15" s="31"/>
    </row>
    <row r="17" spans="1:13" x14ac:dyDescent="0.25">
      <c r="B17" s="3" t="s">
        <v>119</v>
      </c>
    </row>
    <row r="18" spans="1:13" x14ac:dyDescent="0.25">
      <c r="A18" s="2"/>
      <c r="B18" s="41">
        <f>B6+B5*EXP(-B7*B4)-B3</f>
        <v>1.800996674983363</v>
      </c>
    </row>
    <row r="20" spans="1:13" x14ac:dyDescent="0.25">
      <c r="A20" s="14" t="s">
        <v>361</v>
      </c>
      <c r="B20" s="14"/>
      <c r="C20" s="14"/>
      <c r="D20" s="14"/>
      <c r="E20" s="14"/>
      <c r="F20" s="14"/>
      <c r="G20" s="14"/>
    </row>
    <row r="22" spans="1:13" ht="18.75" x14ac:dyDescent="0.35">
      <c r="A22" s="2" t="s">
        <v>105</v>
      </c>
      <c r="B22" s="12">
        <v>3</v>
      </c>
      <c r="C22" t="s">
        <v>4</v>
      </c>
      <c r="D22" t="s">
        <v>128</v>
      </c>
      <c r="E22" s="30">
        <f>EXP(-B4*B7)</f>
        <v>0.99004983374916811</v>
      </c>
    </row>
    <row r="24" spans="1:13" x14ac:dyDescent="0.25">
      <c r="B24" t="s">
        <v>362</v>
      </c>
    </row>
    <row r="25" spans="1:13" x14ac:dyDescent="0.25">
      <c r="L25" t="s">
        <v>126</v>
      </c>
    </row>
    <row r="26" spans="1:13" x14ac:dyDescent="0.25">
      <c r="B26" t="s">
        <v>120</v>
      </c>
      <c r="D26" t="s">
        <v>122</v>
      </c>
      <c r="H26" t="s">
        <v>123</v>
      </c>
      <c r="L26" s="7">
        <f>B6+B5*E22</f>
        <v>20.800996674983363</v>
      </c>
    </row>
    <row r="27" spans="1:13" x14ac:dyDescent="0.25">
      <c r="B27" t="s">
        <v>121</v>
      </c>
      <c r="D27" t="s">
        <v>124</v>
      </c>
      <c r="H27" t="s">
        <v>125</v>
      </c>
      <c r="L27">
        <f>B22+B3</f>
        <v>22</v>
      </c>
    </row>
    <row r="29" spans="1:13" x14ac:dyDescent="0.25">
      <c r="B29" t="s">
        <v>136</v>
      </c>
    </row>
    <row r="30" spans="1:13" x14ac:dyDescent="0.25">
      <c r="B30" t="s">
        <v>137</v>
      </c>
      <c r="I30" t="s">
        <v>365</v>
      </c>
      <c r="J30" t="s">
        <v>367</v>
      </c>
      <c r="K30" t="s">
        <v>368</v>
      </c>
      <c r="L30" t="s">
        <v>386</v>
      </c>
      <c r="M30" t="s">
        <v>387</v>
      </c>
    </row>
    <row r="31" spans="1:13" x14ac:dyDescent="0.25">
      <c r="I31">
        <v>0</v>
      </c>
      <c r="J31">
        <f>MAX(0,I31-20)</f>
        <v>0</v>
      </c>
      <c r="K31">
        <f>MAX(0,20-I31)</f>
        <v>20</v>
      </c>
      <c r="L31" s="7">
        <f>$I$47</f>
        <v>21.211053508767527</v>
      </c>
      <c r="M31" s="7">
        <f>J31-K31-I31+L31</f>
        <v>1.2110535087675274</v>
      </c>
    </row>
    <row r="32" spans="1:13" x14ac:dyDescent="0.25">
      <c r="B32" s="21" t="s">
        <v>131</v>
      </c>
      <c r="I32">
        <v>20</v>
      </c>
      <c r="J32">
        <f t="shared" ref="J32:J33" si="0">MAX(0,I32-20)</f>
        <v>0</v>
      </c>
      <c r="K32">
        <f t="shared" ref="K32:K33" si="1">MAX(0,20-I32)</f>
        <v>0</v>
      </c>
      <c r="L32" s="7">
        <f t="shared" ref="L32:L33" si="2">$I$47</f>
        <v>21.211053508767527</v>
      </c>
      <c r="M32" s="7">
        <f t="shared" ref="M32:M33" si="3">J32-K32-I32+L32</f>
        <v>1.2110535087675274</v>
      </c>
    </row>
    <row r="33" spans="1:13" x14ac:dyDescent="0.25">
      <c r="B33" s="6" t="s">
        <v>138</v>
      </c>
      <c r="C33" s="6"/>
      <c r="D33" s="6"/>
      <c r="E33" s="6"/>
      <c r="F33" s="6"/>
      <c r="G33" s="6"/>
      <c r="I33">
        <v>40</v>
      </c>
      <c r="J33">
        <f t="shared" si="0"/>
        <v>20</v>
      </c>
      <c r="K33">
        <f t="shared" si="1"/>
        <v>0</v>
      </c>
      <c r="L33" s="7">
        <f t="shared" si="2"/>
        <v>21.211053508767527</v>
      </c>
      <c r="M33" s="7">
        <f t="shared" si="3"/>
        <v>1.2110535087675274</v>
      </c>
    </row>
    <row r="34" spans="1:13" x14ac:dyDescent="0.25">
      <c r="B34" s="23" t="s">
        <v>363</v>
      </c>
      <c r="C34" s="6"/>
      <c r="D34" s="6"/>
      <c r="E34" s="6"/>
      <c r="F34" s="6"/>
      <c r="G34" s="6"/>
    </row>
    <row r="35" spans="1:13" x14ac:dyDescent="0.25">
      <c r="B35" s="23" t="s">
        <v>364</v>
      </c>
      <c r="C35" s="6"/>
      <c r="D35" s="6"/>
      <c r="E35" s="6"/>
      <c r="F35" s="6"/>
      <c r="G35" s="6"/>
      <c r="L35" t="s">
        <v>405</v>
      </c>
      <c r="M35" s="7">
        <f>M33*E22</f>
        <v>1.1990033250166372</v>
      </c>
    </row>
    <row r="36" spans="1:13" x14ac:dyDescent="0.25">
      <c r="B36" s="6" t="s">
        <v>139</v>
      </c>
      <c r="C36" s="6"/>
      <c r="D36" s="6"/>
      <c r="E36" s="6"/>
      <c r="F36" s="6"/>
      <c r="G36" s="6"/>
    </row>
    <row r="38" spans="1:13" x14ac:dyDescent="0.25">
      <c r="A38" s="14" t="s">
        <v>294</v>
      </c>
      <c r="B38" s="14"/>
      <c r="C38" s="14"/>
      <c r="D38" s="14"/>
      <c r="E38" s="14"/>
      <c r="F38" s="14"/>
    </row>
    <row r="40" spans="1:13" x14ac:dyDescent="0.25">
      <c r="F40" t="s">
        <v>0</v>
      </c>
      <c r="G40" s="2" t="s">
        <v>19</v>
      </c>
    </row>
    <row r="41" spans="1:13" x14ac:dyDescent="0.25">
      <c r="B41" t="s">
        <v>161</v>
      </c>
      <c r="F41" t="s">
        <v>142</v>
      </c>
      <c r="G41" s="18">
        <f>+B6</f>
        <v>1</v>
      </c>
      <c r="H41" t="s">
        <v>4</v>
      </c>
    </row>
    <row r="42" spans="1:13" x14ac:dyDescent="0.25">
      <c r="B42" t="s">
        <v>140</v>
      </c>
      <c r="F42" t="s">
        <v>14</v>
      </c>
      <c r="G42" s="18">
        <f>-(G41+G43+G44)</f>
        <v>21</v>
      </c>
      <c r="H42" t="s">
        <v>4</v>
      </c>
      <c r="I42" t="s">
        <v>141</v>
      </c>
    </row>
    <row r="43" spans="1:13" x14ac:dyDescent="0.25">
      <c r="B43" t="s">
        <v>20</v>
      </c>
      <c r="F43" t="s">
        <v>13</v>
      </c>
      <c r="G43" s="18">
        <f>-B3</f>
        <v>-19</v>
      </c>
      <c r="H43" t="s">
        <v>4</v>
      </c>
    </row>
    <row r="44" spans="1:13" x14ac:dyDescent="0.25">
      <c r="B44" t="s">
        <v>162</v>
      </c>
      <c r="F44" s="15" t="s">
        <v>143</v>
      </c>
      <c r="G44" s="24">
        <f>-B22</f>
        <v>-3</v>
      </c>
      <c r="H44" t="s">
        <v>4</v>
      </c>
    </row>
    <row r="45" spans="1:13" x14ac:dyDescent="0.25">
      <c r="F45" t="s">
        <v>33</v>
      </c>
      <c r="G45" s="18">
        <f>SUM(G41:G44)</f>
        <v>0</v>
      </c>
      <c r="H45" t="s">
        <v>4</v>
      </c>
    </row>
    <row r="46" spans="1:13" x14ac:dyDescent="0.25">
      <c r="I46" t="s">
        <v>129</v>
      </c>
    </row>
    <row r="47" spans="1:13" x14ac:dyDescent="0.25">
      <c r="I47" s="7">
        <f>G42/E22</f>
        <v>21.211053508767527</v>
      </c>
      <c r="J47" t="s">
        <v>4</v>
      </c>
    </row>
    <row r="49" spans="2:11" x14ac:dyDescent="0.25">
      <c r="B49" t="s">
        <v>130</v>
      </c>
    </row>
    <row r="50" spans="2:11" x14ac:dyDescent="0.25">
      <c r="B50" t="s">
        <v>24</v>
      </c>
      <c r="E50" t="s">
        <v>132</v>
      </c>
      <c r="G50" t="s">
        <v>166</v>
      </c>
      <c r="K50" t="s">
        <v>84</v>
      </c>
    </row>
    <row r="51" spans="2:11" x14ac:dyDescent="0.25">
      <c r="E51" t="s">
        <v>133</v>
      </c>
      <c r="G51" t="s">
        <v>62</v>
      </c>
      <c r="K51" t="s">
        <v>134</v>
      </c>
    </row>
    <row r="53" spans="2:11" x14ac:dyDescent="0.25">
      <c r="B53" s="35" t="s">
        <v>29</v>
      </c>
    </row>
    <row r="54" spans="2:11" x14ac:dyDescent="0.25">
      <c r="B54" t="s">
        <v>28</v>
      </c>
    </row>
    <row r="55" spans="2:11" x14ac:dyDescent="0.25">
      <c r="B55" t="s">
        <v>84</v>
      </c>
      <c r="I55" t="s">
        <v>135</v>
      </c>
    </row>
    <row r="56" spans="2:11" x14ac:dyDescent="0.25">
      <c r="H56" t="s">
        <v>0</v>
      </c>
      <c r="I56" t="s">
        <v>22</v>
      </c>
    </row>
    <row r="57" spans="2:11" x14ac:dyDescent="0.25">
      <c r="B57" t="s">
        <v>31</v>
      </c>
      <c r="H57" t="s">
        <v>142</v>
      </c>
      <c r="I57" s="10">
        <f>-B5</f>
        <v>-20</v>
      </c>
      <c r="J57" t="s">
        <v>4</v>
      </c>
    </row>
    <row r="58" spans="2:11" x14ac:dyDescent="0.25">
      <c r="B58" t="s">
        <v>32</v>
      </c>
      <c r="H58" t="s">
        <v>144</v>
      </c>
      <c r="I58" s="10">
        <f>I47</f>
        <v>21.211053508767527</v>
      </c>
      <c r="J58" t="s">
        <v>4</v>
      </c>
    </row>
    <row r="59" spans="2:11" x14ac:dyDescent="0.25">
      <c r="B59" t="s">
        <v>89</v>
      </c>
      <c r="H59" t="s">
        <v>13</v>
      </c>
      <c r="I59" s="10">
        <v>0</v>
      </c>
      <c r="J59" t="s">
        <v>4</v>
      </c>
    </row>
    <row r="60" spans="2:11" x14ac:dyDescent="0.25">
      <c r="B60" t="s">
        <v>84</v>
      </c>
      <c r="H60" s="15" t="s">
        <v>143</v>
      </c>
      <c r="I60" s="10">
        <v>0</v>
      </c>
      <c r="J60" t="s">
        <v>4</v>
      </c>
    </row>
    <row r="61" spans="2:11" x14ac:dyDescent="0.25">
      <c r="H61" t="s">
        <v>33</v>
      </c>
      <c r="I61" s="25">
        <f>SUM(I57:I60)</f>
        <v>1.2110535087675274</v>
      </c>
      <c r="J61" t="s">
        <v>4</v>
      </c>
    </row>
    <row r="63" spans="2:11" x14ac:dyDescent="0.25">
      <c r="B63" s="35" t="s">
        <v>36</v>
      </c>
    </row>
    <row r="64" spans="2:11" x14ac:dyDescent="0.25">
      <c r="B64" t="s">
        <v>62</v>
      </c>
    </row>
    <row r="65" spans="2:10" x14ac:dyDescent="0.25">
      <c r="B65" t="s">
        <v>107</v>
      </c>
      <c r="I65" t="s">
        <v>135</v>
      </c>
    </row>
    <row r="66" spans="2:10" x14ac:dyDescent="0.25">
      <c r="H66" t="s">
        <v>0</v>
      </c>
      <c r="I66" t="s">
        <v>22</v>
      </c>
    </row>
    <row r="67" spans="2:10" x14ac:dyDescent="0.25">
      <c r="B67" t="s">
        <v>62</v>
      </c>
      <c r="H67" t="s">
        <v>142</v>
      </c>
      <c r="I67" s="10">
        <v>0</v>
      </c>
      <c r="J67" t="s">
        <v>4</v>
      </c>
    </row>
    <row r="68" spans="2:10" x14ac:dyDescent="0.25">
      <c r="B68" t="s">
        <v>60</v>
      </c>
      <c r="H68" t="s">
        <v>144</v>
      </c>
      <c r="I68" s="10">
        <f>I47</f>
        <v>21.211053508767527</v>
      </c>
      <c r="J68" t="s">
        <v>4</v>
      </c>
    </row>
    <row r="69" spans="2:10" x14ac:dyDescent="0.25">
      <c r="B69" t="s">
        <v>89</v>
      </c>
      <c r="H69" t="s">
        <v>13</v>
      </c>
      <c r="I69" s="10">
        <v>0</v>
      </c>
      <c r="J69" t="s">
        <v>4</v>
      </c>
    </row>
    <row r="70" spans="2:10" x14ac:dyDescent="0.25">
      <c r="B70" t="s">
        <v>31</v>
      </c>
      <c r="H70" s="15" t="s">
        <v>143</v>
      </c>
      <c r="I70" s="10">
        <f>-B5</f>
        <v>-20</v>
      </c>
      <c r="J70" t="s">
        <v>4</v>
      </c>
    </row>
    <row r="71" spans="2:10" x14ac:dyDescent="0.25">
      <c r="H71" t="s">
        <v>33</v>
      </c>
      <c r="I71" s="25">
        <f>SUM(I67:I70)</f>
        <v>1.2110535087675274</v>
      </c>
      <c r="J71" t="s">
        <v>4</v>
      </c>
    </row>
    <row r="73" spans="2:10" x14ac:dyDescent="0.25">
      <c r="F73" s="29" t="s">
        <v>145</v>
      </c>
      <c r="I73" s="8">
        <f>MIN(I61,I71)</f>
        <v>1.2110535087675274</v>
      </c>
      <c r="J73" t="s">
        <v>4</v>
      </c>
    </row>
    <row r="74" spans="2:10" x14ac:dyDescent="0.25">
      <c r="F74" s="3" t="s">
        <v>46</v>
      </c>
      <c r="I74" s="8">
        <f>I73*E22</f>
        <v>1.1990033250166372</v>
      </c>
      <c r="J74" t="s">
        <v>4</v>
      </c>
    </row>
    <row r="75" spans="2:10" x14ac:dyDescent="0.25">
      <c r="F75" t="s">
        <v>48</v>
      </c>
      <c r="I75" s="10">
        <f>ABS(B22-B18)</f>
        <v>1.199003325016637</v>
      </c>
      <c r="J75" t="s">
        <v>4</v>
      </c>
    </row>
    <row r="77" spans="2:10" x14ac:dyDescent="0.25">
      <c r="F77" s="28" t="s">
        <v>146</v>
      </c>
    </row>
    <row r="78" spans="2:10" x14ac:dyDescent="0.25">
      <c r="F78" s="28" t="s">
        <v>147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K77"/>
  <sheetViews>
    <sheetView topLeftCell="A15" workbookViewId="0">
      <selection activeCell="J36" sqref="J36"/>
    </sheetView>
  </sheetViews>
  <sheetFormatPr defaultRowHeight="15" x14ac:dyDescent="0.25"/>
  <cols>
    <col min="1" max="1" width="11.140625" customWidth="1"/>
  </cols>
  <sheetData>
    <row r="3" spans="1:6" ht="18" x14ac:dyDescent="0.35">
      <c r="A3" s="2" t="s">
        <v>152</v>
      </c>
      <c r="B3" s="12">
        <v>200</v>
      </c>
      <c r="C3" t="s">
        <v>4</v>
      </c>
    </row>
    <row r="4" spans="1:6" x14ac:dyDescent="0.25">
      <c r="A4" s="2" t="s">
        <v>149</v>
      </c>
      <c r="B4" s="12">
        <v>1</v>
      </c>
    </row>
    <row r="5" spans="1:6" x14ac:dyDescent="0.25">
      <c r="A5" s="2" t="s">
        <v>148</v>
      </c>
      <c r="B5" s="12">
        <v>190</v>
      </c>
      <c r="C5" t="s">
        <v>4</v>
      </c>
    </row>
    <row r="6" spans="1:6" ht="17.25" x14ac:dyDescent="0.25">
      <c r="A6" s="2" t="s">
        <v>10</v>
      </c>
      <c r="B6" s="12">
        <v>22</v>
      </c>
      <c r="C6" t="s">
        <v>4</v>
      </c>
    </row>
    <row r="7" spans="1:6" x14ac:dyDescent="0.25">
      <c r="A7" s="2" t="s">
        <v>150</v>
      </c>
      <c r="B7" s="12">
        <v>1</v>
      </c>
    </row>
    <row r="8" spans="1:6" x14ac:dyDescent="0.25">
      <c r="A8" s="2" t="s">
        <v>151</v>
      </c>
      <c r="B8" s="12">
        <v>190</v>
      </c>
      <c r="C8" t="s">
        <v>4</v>
      </c>
    </row>
    <row r="9" spans="1:6" ht="17.25" x14ac:dyDescent="0.25">
      <c r="A9" s="2" t="s">
        <v>105</v>
      </c>
      <c r="B9" s="12">
        <v>12</v>
      </c>
      <c r="C9" t="s">
        <v>4</v>
      </c>
    </row>
    <row r="10" spans="1:6" ht="18" x14ac:dyDescent="0.35">
      <c r="A10" s="2" t="s">
        <v>5</v>
      </c>
      <c r="B10" s="16">
        <v>0.90910000000000002</v>
      </c>
    </row>
    <row r="12" spans="1:6" x14ac:dyDescent="0.25">
      <c r="A12" s="39" t="s">
        <v>153</v>
      </c>
      <c r="B12" s="14"/>
      <c r="C12" s="14"/>
      <c r="D12" s="14"/>
      <c r="E12" s="14"/>
      <c r="F12" s="14"/>
    </row>
    <row r="14" spans="1:6" x14ac:dyDescent="0.25">
      <c r="B14" s="31" t="s">
        <v>170</v>
      </c>
      <c r="C14" s="31"/>
      <c r="D14" s="31"/>
      <c r="E14" s="31"/>
    </row>
    <row r="15" spans="1:6" ht="18" x14ac:dyDescent="0.35">
      <c r="B15" s="36" t="s">
        <v>154</v>
      </c>
      <c r="C15" s="31"/>
      <c r="D15" s="36"/>
      <c r="E15" s="31"/>
    </row>
    <row r="17" spans="1:10" x14ac:dyDescent="0.25">
      <c r="B17" s="3" t="s">
        <v>155</v>
      </c>
    </row>
    <row r="18" spans="1:10" x14ac:dyDescent="0.25">
      <c r="B18" s="41">
        <f>(B6-B9)/B10+B5</f>
        <v>200.9998900011</v>
      </c>
    </row>
    <row r="20" spans="1:10" x14ac:dyDescent="0.25">
      <c r="A20" s="14" t="s">
        <v>156</v>
      </c>
      <c r="B20" s="14"/>
      <c r="C20" s="14"/>
      <c r="D20" s="14"/>
      <c r="E20" s="14"/>
      <c r="F20" s="14"/>
    </row>
    <row r="22" spans="1:10" x14ac:dyDescent="0.25">
      <c r="B22" t="s">
        <v>406</v>
      </c>
    </row>
    <row r="24" spans="1:10" x14ac:dyDescent="0.25">
      <c r="B24" t="s">
        <v>407</v>
      </c>
    </row>
    <row r="25" spans="1:10" x14ac:dyDescent="0.25">
      <c r="B25" t="s">
        <v>404</v>
      </c>
    </row>
    <row r="27" spans="1:10" ht="18" x14ac:dyDescent="0.35">
      <c r="B27" t="s">
        <v>318</v>
      </c>
      <c r="D27" t="s">
        <v>319</v>
      </c>
      <c r="E27" s="9" t="s">
        <v>320</v>
      </c>
    </row>
    <row r="28" spans="1:10" ht="18" x14ac:dyDescent="0.35">
      <c r="E28" s="9" t="s">
        <v>321</v>
      </c>
    </row>
    <row r="29" spans="1:10" x14ac:dyDescent="0.25">
      <c r="E29" s="9" t="s">
        <v>65</v>
      </c>
      <c r="G29" t="s">
        <v>164</v>
      </c>
    </row>
    <row r="30" spans="1:10" x14ac:dyDescent="0.25">
      <c r="B30" s="21" t="s">
        <v>15</v>
      </c>
    </row>
    <row r="31" spans="1:10" ht="18" x14ac:dyDescent="0.35">
      <c r="B31" s="6" t="s">
        <v>322</v>
      </c>
      <c r="C31" s="6"/>
      <c r="D31" s="5"/>
      <c r="E31" s="5"/>
      <c r="F31" s="5"/>
      <c r="G31" s="5"/>
    </row>
    <row r="32" spans="1:10" ht="18" x14ac:dyDescent="0.35">
      <c r="B32" s="6" t="s">
        <v>323</v>
      </c>
      <c r="C32" s="6"/>
      <c r="D32" s="5"/>
      <c r="E32" s="5"/>
      <c r="F32" s="5"/>
      <c r="G32" s="5"/>
      <c r="J32" s="28" t="s">
        <v>408</v>
      </c>
    </row>
    <row r="33" spans="1:10" ht="18" x14ac:dyDescent="0.35">
      <c r="B33" s="6" t="s">
        <v>324</v>
      </c>
      <c r="C33" s="6"/>
      <c r="D33" s="5"/>
      <c r="E33" s="5"/>
      <c r="F33" s="5"/>
      <c r="G33" s="5"/>
    </row>
    <row r="34" spans="1:10" x14ac:dyDescent="0.25">
      <c r="B34" s="6" t="s">
        <v>66</v>
      </c>
      <c r="C34" s="5"/>
      <c r="D34" s="5"/>
      <c r="E34" s="5"/>
      <c r="F34" s="5"/>
      <c r="G34" s="5"/>
    </row>
    <row r="35" spans="1:10" x14ac:dyDescent="0.25">
      <c r="B35" s="3"/>
    </row>
    <row r="36" spans="1:10" x14ac:dyDescent="0.25">
      <c r="A36" s="14" t="s">
        <v>295</v>
      </c>
      <c r="B36" s="14"/>
      <c r="C36" s="14"/>
      <c r="D36" s="14"/>
      <c r="E36" s="14"/>
      <c r="F36" s="14"/>
    </row>
    <row r="38" spans="1:10" x14ac:dyDescent="0.25">
      <c r="F38" t="s">
        <v>0</v>
      </c>
      <c r="G38" s="2" t="s">
        <v>19</v>
      </c>
    </row>
    <row r="39" spans="1:10" x14ac:dyDescent="0.25">
      <c r="B39" t="s">
        <v>163</v>
      </c>
      <c r="F39" t="s">
        <v>157</v>
      </c>
      <c r="G39" s="18">
        <v>0</v>
      </c>
      <c r="H39" t="s">
        <v>4</v>
      </c>
    </row>
    <row r="40" spans="1:10" x14ac:dyDescent="0.25">
      <c r="B40" t="s">
        <v>159</v>
      </c>
      <c r="F40" t="s">
        <v>12</v>
      </c>
      <c r="G40" s="18">
        <f>-B6</f>
        <v>-22</v>
      </c>
      <c r="H40" t="s">
        <v>4</v>
      </c>
    </row>
    <row r="41" spans="1:10" x14ac:dyDescent="0.25">
      <c r="B41" t="s">
        <v>160</v>
      </c>
      <c r="F41" t="s">
        <v>76</v>
      </c>
      <c r="G41" s="18">
        <f>B9</f>
        <v>12</v>
      </c>
      <c r="H41" t="s">
        <v>4</v>
      </c>
    </row>
    <row r="42" spans="1:10" x14ac:dyDescent="0.25">
      <c r="B42" t="s">
        <v>158</v>
      </c>
      <c r="F42" s="15" t="s">
        <v>14</v>
      </c>
      <c r="G42" s="24">
        <f>-(G39+G40+G41)</f>
        <v>10</v>
      </c>
      <c r="H42" t="s">
        <v>4</v>
      </c>
      <c r="I42" t="s">
        <v>165</v>
      </c>
    </row>
    <row r="43" spans="1:10" x14ac:dyDescent="0.25">
      <c r="F43" t="s">
        <v>33</v>
      </c>
      <c r="G43" s="18">
        <f>SUM(G39:G42)</f>
        <v>0</v>
      </c>
      <c r="H43" t="s">
        <v>4</v>
      </c>
      <c r="I43" t="s">
        <v>69</v>
      </c>
    </row>
    <row r="44" spans="1:10" x14ac:dyDescent="0.25">
      <c r="I44" t="s">
        <v>70</v>
      </c>
    </row>
    <row r="46" spans="1:10" x14ac:dyDescent="0.25">
      <c r="I46" t="s">
        <v>80</v>
      </c>
    </row>
    <row r="47" spans="1:10" x14ac:dyDescent="0.25">
      <c r="I47" s="7">
        <f>G42/B10</f>
        <v>10.999890001099988</v>
      </c>
      <c r="J47" t="s">
        <v>4</v>
      </c>
    </row>
    <row r="49" spans="2:11" x14ac:dyDescent="0.25">
      <c r="B49" t="s">
        <v>130</v>
      </c>
    </row>
    <row r="50" spans="2:11" x14ac:dyDescent="0.25">
      <c r="B50" t="s">
        <v>24</v>
      </c>
      <c r="E50" t="s">
        <v>132</v>
      </c>
      <c r="G50" t="s">
        <v>166</v>
      </c>
      <c r="K50" t="s">
        <v>84</v>
      </c>
    </row>
    <row r="51" spans="2:11" x14ac:dyDescent="0.25">
      <c r="E51" t="s">
        <v>133</v>
      </c>
      <c r="G51" t="s">
        <v>62</v>
      </c>
      <c r="K51" t="s">
        <v>134</v>
      </c>
    </row>
    <row r="53" spans="2:11" x14ac:dyDescent="0.25">
      <c r="B53" s="35" t="s">
        <v>29</v>
      </c>
    </row>
    <row r="54" spans="2:11" x14ac:dyDescent="0.25">
      <c r="B54" t="s">
        <v>61</v>
      </c>
    </row>
    <row r="55" spans="2:11" x14ac:dyDescent="0.25">
      <c r="B55" t="s">
        <v>84</v>
      </c>
      <c r="I55" t="s">
        <v>167</v>
      </c>
    </row>
    <row r="56" spans="2:11" x14ac:dyDescent="0.25">
      <c r="H56" t="s">
        <v>0</v>
      </c>
      <c r="I56" t="s">
        <v>22</v>
      </c>
    </row>
    <row r="57" spans="2:11" x14ac:dyDescent="0.25">
      <c r="B57" t="s">
        <v>168</v>
      </c>
      <c r="H57" t="s">
        <v>157</v>
      </c>
      <c r="I57" s="10">
        <f>-B3</f>
        <v>-200</v>
      </c>
      <c r="J57" t="s">
        <v>4</v>
      </c>
    </row>
    <row r="58" spans="2:11" x14ac:dyDescent="0.25">
      <c r="B58" t="s">
        <v>59</v>
      </c>
      <c r="H58" t="s">
        <v>12</v>
      </c>
      <c r="I58" s="10">
        <f>B5</f>
        <v>190</v>
      </c>
      <c r="J58" t="s">
        <v>4</v>
      </c>
    </row>
    <row r="59" spans="2:11" x14ac:dyDescent="0.25">
      <c r="B59" t="s">
        <v>84</v>
      </c>
      <c r="H59" t="s">
        <v>76</v>
      </c>
      <c r="I59" s="10">
        <v>0</v>
      </c>
      <c r="J59" t="s">
        <v>4</v>
      </c>
    </row>
    <row r="60" spans="2:11" x14ac:dyDescent="0.25">
      <c r="B60" t="s">
        <v>32</v>
      </c>
      <c r="H60" s="15" t="s">
        <v>14</v>
      </c>
      <c r="I60" s="10">
        <f>I47</f>
        <v>10.999890001099988</v>
      </c>
      <c r="J60" t="s">
        <v>4</v>
      </c>
    </row>
    <row r="61" spans="2:11" x14ac:dyDescent="0.25">
      <c r="H61" t="s">
        <v>33</v>
      </c>
      <c r="I61" s="25">
        <f>SUM(I57:I60)</f>
        <v>0.99989000109998827</v>
      </c>
      <c r="J61" t="s">
        <v>4</v>
      </c>
    </row>
    <row r="63" spans="2:11" x14ac:dyDescent="0.25">
      <c r="B63" s="35" t="s">
        <v>36</v>
      </c>
    </row>
    <row r="64" spans="2:11" x14ac:dyDescent="0.25">
      <c r="B64" t="s">
        <v>62</v>
      </c>
    </row>
    <row r="65" spans="2:10" x14ac:dyDescent="0.25">
      <c r="B65" t="s">
        <v>85</v>
      </c>
      <c r="I65" t="s">
        <v>135</v>
      </c>
    </row>
    <row r="66" spans="2:10" x14ac:dyDescent="0.25">
      <c r="H66" t="s">
        <v>0</v>
      </c>
      <c r="I66" t="s">
        <v>22</v>
      </c>
    </row>
    <row r="67" spans="2:10" x14ac:dyDescent="0.25">
      <c r="B67" t="s">
        <v>168</v>
      </c>
      <c r="H67" t="s">
        <v>157</v>
      </c>
      <c r="I67" s="10">
        <f>-B3</f>
        <v>-200</v>
      </c>
      <c r="J67" t="s">
        <v>4</v>
      </c>
    </row>
    <row r="68" spans="2:10" x14ac:dyDescent="0.25">
      <c r="B68" t="s">
        <v>62</v>
      </c>
      <c r="H68" t="s">
        <v>12</v>
      </c>
      <c r="I68" s="10">
        <v>0</v>
      </c>
      <c r="J68" t="s">
        <v>4</v>
      </c>
    </row>
    <row r="69" spans="2:10" x14ac:dyDescent="0.25">
      <c r="B69" t="s">
        <v>59</v>
      </c>
      <c r="H69" t="s">
        <v>76</v>
      </c>
      <c r="I69" s="10">
        <f>B8</f>
        <v>190</v>
      </c>
      <c r="J69" t="s">
        <v>4</v>
      </c>
    </row>
    <row r="70" spans="2:10" x14ac:dyDescent="0.25">
      <c r="B70" t="s">
        <v>32</v>
      </c>
      <c r="H70" s="15" t="s">
        <v>14</v>
      </c>
      <c r="I70" s="10">
        <f>I47</f>
        <v>10.999890001099988</v>
      </c>
      <c r="J70" t="s">
        <v>4</v>
      </c>
    </row>
    <row r="71" spans="2:10" x14ac:dyDescent="0.25">
      <c r="H71" t="s">
        <v>33</v>
      </c>
      <c r="I71" s="25">
        <f>SUM(I67:I70)</f>
        <v>0.99989000109998827</v>
      </c>
      <c r="J71" t="s">
        <v>4</v>
      </c>
    </row>
    <row r="73" spans="2:10" x14ac:dyDescent="0.25">
      <c r="F73" s="29" t="s">
        <v>145</v>
      </c>
      <c r="I73" s="8">
        <f>MIN(I61,I71)</f>
        <v>0.99989000109998827</v>
      </c>
      <c r="J73" t="s">
        <v>4</v>
      </c>
    </row>
    <row r="74" spans="2:10" x14ac:dyDescent="0.25">
      <c r="F74" t="s">
        <v>48</v>
      </c>
      <c r="I74" s="10">
        <f>ABS(B18-B3)</f>
        <v>0.99989000109999893</v>
      </c>
      <c r="J74" t="s">
        <v>4</v>
      </c>
    </row>
    <row r="76" spans="2:10" x14ac:dyDescent="0.25">
      <c r="F76" s="28" t="s">
        <v>169</v>
      </c>
    </row>
    <row r="77" spans="2:10" x14ac:dyDescent="0.25">
      <c r="F77" s="28" t="s">
        <v>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45"/>
  <sheetViews>
    <sheetView workbookViewId="0">
      <selection activeCell="E12" sqref="E12"/>
    </sheetView>
  </sheetViews>
  <sheetFormatPr defaultRowHeight="15" x14ac:dyDescent="0.25"/>
  <cols>
    <col min="3" max="3" width="12.7109375" customWidth="1"/>
    <col min="4" max="4" width="12.140625" customWidth="1"/>
    <col min="5" max="5" width="12.42578125" customWidth="1"/>
    <col min="8" max="8" width="12.7109375" customWidth="1"/>
    <col min="9" max="9" width="13" customWidth="1"/>
  </cols>
  <sheetData>
    <row r="2" spans="1:17" x14ac:dyDescent="0.25">
      <c r="O2" t="s">
        <v>382</v>
      </c>
      <c r="P2">
        <f>B4-B7</f>
        <v>-3</v>
      </c>
      <c r="Q2">
        <f>B7-B4</f>
        <v>3</v>
      </c>
    </row>
    <row r="3" spans="1:17" x14ac:dyDescent="0.25">
      <c r="A3" s="2" t="s">
        <v>197</v>
      </c>
      <c r="B3" s="12">
        <v>30</v>
      </c>
      <c r="C3" t="s">
        <v>4</v>
      </c>
      <c r="L3" t="s">
        <v>373</v>
      </c>
      <c r="P3" t="s">
        <v>370</v>
      </c>
    </row>
    <row r="4" spans="1:17" ht="17.25" x14ac:dyDescent="0.25">
      <c r="A4" s="2" t="s">
        <v>199</v>
      </c>
      <c r="B4" s="12">
        <v>4</v>
      </c>
      <c r="C4" t="s">
        <v>4</v>
      </c>
      <c r="K4" t="s">
        <v>365</v>
      </c>
      <c r="L4" t="s">
        <v>378</v>
      </c>
      <c r="M4" t="s">
        <v>379</v>
      </c>
      <c r="N4" t="s">
        <v>380</v>
      </c>
      <c r="O4" t="s">
        <v>381</v>
      </c>
      <c r="P4" t="s">
        <v>380</v>
      </c>
      <c r="Q4" t="s">
        <v>381</v>
      </c>
    </row>
    <row r="5" spans="1:17" x14ac:dyDescent="0.25">
      <c r="A5" s="2" t="s">
        <v>201</v>
      </c>
      <c r="B5" s="12">
        <v>1</v>
      </c>
      <c r="K5">
        <v>25</v>
      </c>
      <c r="L5">
        <f>MAX(0,$B$3-$K5)</f>
        <v>5</v>
      </c>
      <c r="M5">
        <f>MAX(0,$B$6-$K5)</f>
        <v>10</v>
      </c>
      <c r="N5">
        <f>L5-M5</f>
        <v>-5</v>
      </c>
      <c r="O5">
        <f>M5-L5</f>
        <v>5</v>
      </c>
      <c r="P5">
        <f>N5-P$2</f>
        <v>-2</v>
      </c>
      <c r="Q5">
        <f>O5-Q$2</f>
        <v>2</v>
      </c>
    </row>
    <row r="6" spans="1:17" x14ac:dyDescent="0.25">
      <c r="A6" s="2" t="s">
        <v>198</v>
      </c>
      <c r="B6" s="12">
        <v>35</v>
      </c>
      <c r="C6" t="s">
        <v>4</v>
      </c>
      <c r="K6">
        <v>30</v>
      </c>
      <c r="L6">
        <f t="shared" ref="L6:L8" si="0">MAX(0,$B$3-$K6)</f>
        <v>0</v>
      </c>
      <c r="M6">
        <f t="shared" ref="M6:M8" si="1">MAX(0,$B$6-$K6)</f>
        <v>5</v>
      </c>
      <c r="N6">
        <f t="shared" ref="N6:N8" si="2">L6-M6</f>
        <v>-5</v>
      </c>
      <c r="O6">
        <f t="shared" ref="O6:O8" si="3">M6-L6</f>
        <v>5</v>
      </c>
      <c r="P6">
        <f t="shared" ref="P6:P8" si="4">N6-P$2</f>
        <v>-2</v>
      </c>
      <c r="Q6">
        <f t="shared" ref="Q6:Q8" si="5">O6-Q$2</f>
        <v>2</v>
      </c>
    </row>
    <row r="7" spans="1:17" ht="17.25" x14ac:dyDescent="0.25">
      <c r="A7" s="2" t="s">
        <v>200</v>
      </c>
      <c r="B7" s="12">
        <v>7</v>
      </c>
      <c r="C7" t="s">
        <v>4</v>
      </c>
      <c r="K7">
        <v>35</v>
      </c>
      <c r="L7">
        <f t="shared" si="0"/>
        <v>0</v>
      </c>
      <c r="M7">
        <f t="shared" si="1"/>
        <v>0</v>
      </c>
      <c r="N7">
        <f t="shared" si="2"/>
        <v>0</v>
      </c>
      <c r="O7">
        <f t="shared" si="3"/>
        <v>0</v>
      </c>
      <c r="P7">
        <f t="shared" si="4"/>
        <v>3</v>
      </c>
      <c r="Q7">
        <f t="shared" si="5"/>
        <v>-3</v>
      </c>
    </row>
    <row r="8" spans="1:17" x14ac:dyDescent="0.25">
      <c r="A8" s="2" t="s">
        <v>1</v>
      </c>
      <c r="B8" s="26">
        <v>1</v>
      </c>
      <c r="K8">
        <v>40</v>
      </c>
      <c r="L8">
        <f t="shared" si="0"/>
        <v>0</v>
      </c>
      <c r="M8">
        <f t="shared" si="1"/>
        <v>0</v>
      </c>
      <c r="N8">
        <f t="shared" si="2"/>
        <v>0</v>
      </c>
      <c r="O8">
        <f t="shared" si="3"/>
        <v>0</v>
      </c>
      <c r="P8">
        <f t="shared" si="4"/>
        <v>3</v>
      </c>
      <c r="Q8">
        <f t="shared" si="5"/>
        <v>-3</v>
      </c>
    </row>
    <row r="10" spans="1:17" x14ac:dyDescent="0.25">
      <c r="A10" s="39" t="s">
        <v>202</v>
      </c>
      <c r="B10" s="14"/>
      <c r="C10" s="14"/>
      <c r="D10" s="14"/>
      <c r="E10" s="14"/>
      <c r="F10" s="14"/>
      <c r="G10" s="14"/>
      <c r="H10" s="14"/>
    </row>
    <row r="11" spans="1:17" x14ac:dyDescent="0.25">
      <c r="L11" t="s">
        <v>383</v>
      </c>
    </row>
    <row r="12" spans="1:17" x14ac:dyDescent="0.25">
      <c r="B12" s="31" t="s">
        <v>171</v>
      </c>
      <c r="C12" s="31"/>
      <c r="D12" s="31"/>
      <c r="G12" s="31" t="s">
        <v>171</v>
      </c>
      <c r="H12" s="31"/>
      <c r="I12" s="31"/>
      <c r="L12" t="s">
        <v>384</v>
      </c>
    </row>
    <row r="13" spans="1:17" ht="18" x14ac:dyDescent="0.35">
      <c r="B13" s="36" t="s">
        <v>182</v>
      </c>
      <c r="C13" s="36"/>
      <c r="D13" s="36" t="s">
        <v>172</v>
      </c>
      <c r="G13" s="36" t="s">
        <v>185</v>
      </c>
      <c r="H13" s="36"/>
      <c r="I13" s="36" t="s">
        <v>172</v>
      </c>
    </row>
    <row r="14" spans="1:17" ht="18" x14ac:dyDescent="0.35">
      <c r="B14" s="31" t="s">
        <v>183</v>
      </c>
      <c r="C14" s="31"/>
      <c r="D14" s="31" t="s">
        <v>172</v>
      </c>
      <c r="G14" s="31" t="s">
        <v>184</v>
      </c>
      <c r="H14" s="31"/>
      <c r="I14" s="31" t="s">
        <v>172</v>
      </c>
    </row>
    <row r="16" spans="1:17" x14ac:dyDescent="0.25">
      <c r="B16" t="s">
        <v>173</v>
      </c>
    </row>
    <row r="17" spans="2:10" x14ac:dyDescent="0.25">
      <c r="C17" t="s">
        <v>176</v>
      </c>
      <c r="H17" t="s">
        <v>177</v>
      </c>
    </row>
    <row r="18" spans="2:10" x14ac:dyDescent="0.25">
      <c r="C18" t="s">
        <v>174</v>
      </c>
      <c r="D18" t="s">
        <v>179</v>
      </c>
      <c r="E18" t="s">
        <v>175</v>
      </c>
      <c r="H18" t="s">
        <v>174</v>
      </c>
      <c r="I18" t="s">
        <v>179</v>
      </c>
      <c r="J18" t="s">
        <v>175</v>
      </c>
    </row>
    <row r="19" spans="2:10" x14ac:dyDescent="0.25">
      <c r="C19" s="2">
        <v>0</v>
      </c>
      <c r="D19" s="2">
        <v>1</v>
      </c>
      <c r="E19" s="2">
        <v>0</v>
      </c>
      <c r="F19" s="2"/>
      <c r="G19" s="2"/>
      <c r="H19" s="2">
        <v>0</v>
      </c>
      <c r="I19" s="2">
        <v>-1</v>
      </c>
      <c r="J19" s="2">
        <v>0</v>
      </c>
    </row>
    <row r="21" spans="2:10" x14ac:dyDescent="0.25">
      <c r="C21" t="s">
        <v>174</v>
      </c>
      <c r="D21" t="s">
        <v>179</v>
      </c>
      <c r="E21" t="s">
        <v>175</v>
      </c>
      <c r="H21" t="s">
        <v>174</v>
      </c>
      <c r="I21" t="s">
        <v>179</v>
      </c>
      <c r="J21" t="s">
        <v>175</v>
      </c>
    </row>
    <row r="22" spans="2:10" ht="18" x14ac:dyDescent="0.35">
      <c r="B22" t="s">
        <v>186</v>
      </c>
      <c r="C22" s="2">
        <v>-1</v>
      </c>
      <c r="D22" s="2">
        <v>0</v>
      </c>
      <c r="E22" s="2">
        <v>0</v>
      </c>
      <c r="G22" t="s">
        <v>188</v>
      </c>
      <c r="H22" s="2">
        <v>1</v>
      </c>
      <c r="I22" s="2">
        <v>0</v>
      </c>
      <c r="J22" s="2">
        <v>0</v>
      </c>
    </row>
    <row r="23" spans="2:10" ht="18" x14ac:dyDescent="0.35">
      <c r="B23" s="15" t="s">
        <v>187</v>
      </c>
      <c r="C23" s="11">
        <v>1</v>
      </c>
      <c r="D23" s="11">
        <v>1</v>
      </c>
      <c r="E23" s="11">
        <v>0</v>
      </c>
      <c r="G23" s="15" t="s">
        <v>189</v>
      </c>
      <c r="H23" s="11">
        <v>-1</v>
      </c>
      <c r="I23" s="11">
        <v>-1</v>
      </c>
      <c r="J23" s="11">
        <v>0</v>
      </c>
    </row>
    <row r="24" spans="2:10" x14ac:dyDescent="0.25">
      <c r="B24" t="s">
        <v>33</v>
      </c>
      <c r="C24" s="2">
        <f>SUM(C22:C23)</f>
        <v>0</v>
      </c>
      <c r="D24" s="2">
        <f>SUM(D22:D23)</f>
        <v>1</v>
      </c>
      <c r="E24" s="2">
        <f>SUM(E22:E23)</f>
        <v>0</v>
      </c>
      <c r="G24" t="s">
        <v>33</v>
      </c>
      <c r="H24" s="2">
        <f>SUM(H22:H23)</f>
        <v>0</v>
      </c>
      <c r="I24" s="2">
        <f>SUM(I22:I23)</f>
        <v>-1</v>
      </c>
      <c r="J24" s="2">
        <f>SUM(J22:J23)</f>
        <v>0</v>
      </c>
    </row>
    <row r="26" spans="2:10" x14ac:dyDescent="0.25">
      <c r="C26" t="s">
        <v>173</v>
      </c>
      <c r="H26" t="s">
        <v>173</v>
      </c>
    </row>
    <row r="27" spans="2:10" x14ac:dyDescent="0.25">
      <c r="C27" t="s">
        <v>174</v>
      </c>
      <c r="D27" t="s">
        <v>179</v>
      </c>
      <c r="E27" t="s">
        <v>175</v>
      </c>
      <c r="H27" t="s">
        <v>174</v>
      </c>
      <c r="I27" t="s">
        <v>179</v>
      </c>
      <c r="J27" t="s">
        <v>175</v>
      </c>
    </row>
    <row r="28" spans="2:10" ht="18" x14ac:dyDescent="0.35">
      <c r="B28" t="s">
        <v>190</v>
      </c>
      <c r="C28" s="2">
        <v>0</v>
      </c>
      <c r="D28" s="2">
        <v>1</v>
      </c>
      <c r="E28" s="2">
        <v>1</v>
      </c>
      <c r="G28" t="s">
        <v>192</v>
      </c>
      <c r="H28" s="2">
        <v>0</v>
      </c>
      <c r="I28" s="2">
        <v>-1</v>
      </c>
      <c r="J28" s="2">
        <v>-1</v>
      </c>
    </row>
    <row r="29" spans="2:10" ht="18" x14ac:dyDescent="0.35">
      <c r="B29" s="15" t="s">
        <v>191</v>
      </c>
      <c r="C29" s="11">
        <v>0</v>
      </c>
      <c r="D29" s="11">
        <v>0</v>
      </c>
      <c r="E29" s="11">
        <v>-1</v>
      </c>
      <c r="G29" s="15" t="s">
        <v>193</v>
      </c>
      <c r="H29" s="11">
        <v>0</v>
      </c>
      <c r="I29" s="11">
        <v>0</v>
      </c>
      <c r="J29" s="11">
        <v>1</v>
      </c>
    </row>
    <row r="30" spans="2:10" x14ac:dyDescent="0.25">
      <c r="B30" t="s">
        <v>33</v>
      </c>
      <c r="C30" s="2">
        <f>SUM(C28:C29)</f>
        <v>0</v>
      </c>
      <c r="D30" s="2">
        <f>SUM(D28:D29)</f>
        <v>1</v>
      </c>
      <c r="E30" s="2">
        <f>SUM(E28:E29)</f>
        <v>0</v>
      </c>
      <c r="G30" t="s">
        <v>33</v>
      </c>
      <c r="H30" s="2">
        <f>SUM(H28:H29)</f>
        <v>0</v>
      </c>
      <c r="I30" s="2">
        <f>SUM(I28:I29)</f>
        <v>-1</v>
      </c>
      <c r="J30" s="2">
        <f>SUM(J28:J29)</f>
        <v>0</v>
      </c>
    </row>
    <row r="32" spans="2:10" x14ac:dyDescent="0.25">
      <c r="C32" s="3" t="s">
        <v>176</v>
      </c>
      <c r="H32" s="3" t="s">
        <v>177</v>
      </c>
    </row>
    <row r="33" spans="1:10" ht="18" x14ac:dyDescent="0.35">
      <c r="C33" s="6" t="s">
        <v>214</v>
      </c>
      <c r="H33" s="6" t="s">
        <v>215</v>
      </c>
    </row>
    <row r="35" spans="1:10" x14ac:dyDescent="0.25">
      <c r="A35" s="14" t="s">
        <v>178</v>
      </c>
      <c r="B35" s="14"/>
      <c r="C35" s="14"/>
      <c r="D35" s="14"/>
      <c r="E35" s="14"/>
      <c r="F35" s="14"/>
      <c r="G35" s="14"/>
    </row>
    <row r="37" spans="1:10" x14ac:dyDescent="0.25">
      <c r="C37" s="1" t="s">
        <v>220</v>
      </c>
      <c r="D37" s="1" t="s">
        <v>221</v>
      </c>
      <c r="E37" s="1" t="s">
        <v>222</v>
      </c>
      <c r="H37" s="1" t="s">
        <v>220</v>
      </c>
      <c r="I37" s="1" t="s">
        <v>221</v>
      </c>
      <c r="J37" s="1" t="s">
        <v>222</v>
      </c>
    </row>
    <row r="38" spans="1:10" ht="18" x14ac:dyDescent="0.35">
      <c r="B38" t="s">
        <v>194</v>
      </c>
      <c r="C38" s="2" t="s">
        <v>226</v>
      </c>
      <c r="D38" s="2">
        <v>0</v>
      </c>
      <c r="E38" s="2">
        <v>0</v>
      </c>
      <c r="G38" t="s">
        <v>203</v>
      </c>
      <c r="H38" s="2" t="s">
        <v>227</v>
      </c>
      <c r="I38" s="2">
        <v>0</v>
      </c>
      <c r="J38" s="2">
        <v>0</v>
      </c>
    </row>
    <row r="39" spans="1:10" ht="18" x14ac:dyDescent="0.35">
      <c r="B39" s="15" t="s">
        <v>195</v>
      </c>
      <c r="C39" s="11" t="s">
        <v>225</v>
      </c>
      <c r="D39" s="11" t="s">
        <v>223</v>
      </c>
      <c r="E39" s="11">
        <v>0</v>
      </c>
      <c r="G39" s="15" t="s">
        <v>204</v>
      </c>
      <c r="H39" s="11" t="s">
        <v>228</v>
      </c>
      <c r="I39" s="11" t="s">
        <v>228</v>
      </c>
      <c r="J39" s="11">
        <v>0</v>
      </c>
    </row>
    <row r="40" spans="1:10" x14ac:dyDescent="0.25">
      <c r="B40" s="3" t="s">
        <v>181</v>
      </c>
      <c r="C40" s="32">
        <v>-5</v>
      </c>
      <c r="D40" s="32" t="s">
        <v>223</v>
      </c>
      <c r="E40" s="32">
        <v>0</v>
      </c>
      <c r="G40" s="3" t="s">
        <v>181</v>
      </c>
      <c r="H40" s="32">
        <v>5</v>
      </c>
      <c r="I40" s="32" t="s">
        <v>228</v>
      </c>
      <c r="J40" s="32">
        <v>0</v>
      </c>
    </row>
    <row r="41" spans="1:10" x14ac:dyDescent="0.25">
      <c r="C41" s="2"/>
      <c r="D41" s="2"/>
      <c r="E41" s="2"/>
      <c r="H41" s="2"/>
      <c r="I41" s="2"/>
      <c r="J41" s="2"/>
    </row>
    <row r="42" spans="1:10" x14ac:dyDescent="0.25">
      <c r="B42" t="s">
        <v>19</v>
      </c>
      <c r="C42" s="2">
        <f>B7-B4</f>
        <v>3</v>
      </c>
      <c r="D42" s="2"/>
      <c r="E42" s="2"/>
      <c r="G42" t="s">
        <v>19</v>
      </c>
      <c r="H42" s="2">
        <f>B4-B7</f>
        <v>-3</v>
      </c>
      <c r="I42" s="2"/>
      <c r="J42" s="2"/>
    </row>
    <row r="43" spans="1:10" x14ac:dyDescent="0.25">
      <c r="C43" s="2"/>
      <c r="D43" s="2"/>
      <c r="E43" s="2"/>
      <c r="H43" s="2"/>
      <c r="I43" s="2"/>
      <c r="J43" s="2"/>
    </row>
    <row r="44" spans="1:10" x14ac:dyDescent="0.25">
      <c r="C44" s="42" t="s">
        <v>220</v>
      </c>
      <c r="D44" s="42" t="s">
        <v>221</v>
      </c>
      <c r="E44" s="42" t="s">
        <v>222</v>
      </c>
      <c r="H44" s="42" t="s">
        <v>220</v>
      </c>
      <c r="I44" s="42" t="s">
        <v>221</v>
      </c>
      <c r="J44" s="42" t="s">
        <v>222</v>
      </c>
    </row>
    <row r="45" spans="1:10" x14ac:dyDescent="0.25">
      <c r="B45" s="3" t="s">
        <v>196</v>
      </c>
      <c r="C45" s="32">
        <f>C40+$C$42*$B$8</f>
        <v>-2</v>
      </c>
      <c r="D45" s="32" t="s">
        <v>224</v>
      </c>
      <c r="E45" s="32">
        <f>E40+$C$42*$B$8</f>
        <v>3</v>
      </c>
      <c r="G45" s="3" t="s">
        <v>196</v>
      </c>
      <c r="H45" s="32">
        <f>H40+H42*B8</f>
        <v>2</v>
      </c>
      <c r="I45" s="32" t="s">
        <v>229</v>
      </c>
      <c r="J45" s="32">
        <f>J40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M15"/>
  <sheetViews>
    <sheetView workbookViewId="0">
      <selection activeCell="M6" sqref="M6"/>
    </sheetView>
  </sheetViews>
  <sheetFormatPr defaultRowHeight="15" x14ac:dyDescent="0.25"/>
  <cols>
    <col min="2" max="2" width="12.140625" customWidth="1"/>
  </cols>
  <sheetData>
    <row r="3" spans="2:13" x14ac:dyDescent="0.25">
      <c r="B3" s="31" t="s">
        <v>273</v>
      </c>
      <c r="C3" s="31"/>
      <c r="D3" s="31"/>
      <c r="E3" s="31"/>
      <c r="F3" s="31"/>
      <c r="G3" s="31"/>
      <c r="H3" s="31"/>
      <c r="J3" t="s">
        <v>390</v>
      </c>
      <c r="M3" t="s">
        <v>409</v>
      </c>
    </row>
    <row r="4" spans="2:13" ht="18" x14ac:dyDescent="0.35">
      <c r="B4" s="36" t="s">
        <v>277</v>
      </c>
      <c r="C4" s="36" t="s">
        <v>287</v>
      </c>
      <c r="D4" s="37" t="s">
        <v>274</v>
      </c>
      <c r="E4" s="36" t="s">
        <v>286</v>
      </c>
      <c r="F4" s="48" t="s">
        <v>288</v>
      </c>
      <c r="G4" s="31"/>
      <c r="H4" s="31"/>
      <c r="M4" t="s">
        <v>410</v>
      </c>
    </row>
    <row r="5" spans="2:13" x14ac:dyDescent="0.25">
      <c r="B5" s="31"/>
      <c r="C5" s="31"/>
      <c r="D5" s="31"/>
      <c r="E5" s="31"/>
      <c r="F5" s="31"/>
      <c r="G5" s="31"/>
      <c r="H5" s="31"/>
      <c r="M5" t="s">
        <v>411</v>
      </c>
    </row>
    <row r="6" spans="2:13" x14ac:dyDescent="0.25">
      <c r="B6" s="45" t="s">
        <v>172</v>
      </c>
      <c r="C6" s="31" t="s">
        <v>275</v>
      </c>
      <c r="D6" s="31"/>
      <c r="E6" s="31"/>
      <c r="F6" s="31"/>
      <c r="G6" s="31"/>
      <c r="H6" s="31"/>
    </row>
    <row r="7" spans="2:13" x14ac:dyDescent="0.25">
      <c r="B7" s="31" t="s">
        <v>276</v>
      </c>
      <c r="C7" s="31"/>
      <c r="D7" s="31"/>
      <c r="E7" s="31"/>
      <c r="F7" s="31"/>
      <c r="G7" s="31"/>
      <c r="H7" s="31"/>
    </row>
    <row r="8" spans="2:13" ht="18" x14ac:dyDescent="0.35">
      <c r="B8" s="49" t="s">
        <v>278</v>
      </c>
      <c r="C8" s="40"/>
      <c r="D8" s="50" t="s">
        <v>274</v>
      </c>
      <c r="E8" s="49" t="s">
        <v>279</v>
      </c>
      <c r="F8" s="40"/>
      <c r="G8" s="40"/>
      <c r="H8" s="40"/>
    </row>
    <row r="9" spans="2:13" ht="18" x14ac:dyDescent="0.35">
      <c r="B9" s="51"/>
      <c r="C9" s="40" t="s">
        <v>285</v>
      </c>
      <c r="D9" s="50" t="s">
        <v>274</v>
      </c>
      <c r="E9" s="51"/>
      <c r="F9" s="51" t="s">
        <v>280</v>
      </c>
      <c r="G9" s="40"/>
      <c r="H9" s="40"/>
    </row>
    <row r="10" spans="2:13" x14ac:dyDescent="0.25">
      <c r="B10" s="40"/>
      <c r="C10" s="40"/>
      <c r="D10" s="40"/>
      <c r="E10" s="40"/>
      <c r="F10" s="40"/>
      <c r="G10" s="40"/>
      <c r="H10" s="40"/>
    </row>
    <row r="11" spans="2:13" ht="18" x14ac:dyDescent="0.35">
      <c r="B11" s="40" t="s">
        <v>283</v>
      </c>
      <c r="C11" s="40"/>
      <c r="D11" s="38" t="s">
        <v>274</v>
      </c>
      <c r="E11" s="40" t="s">
        <v>281</v>
      </c>
      <c r="F11" s="40"/>
      <c r="G11" s="40"/>
      <c r="H11" s="40"/>
    </row>
    <row r="12" spans="2:13" x14ac:dyDescent="0.25">
      <c r="B12" s="40"/>
      <c r="C12" s="40"/>
      <c r="D12" s="40"/>
      <c r="E12" s="40"/>
      <c r="F12" s="40"/>
      <c r="G12" s="40"/>
      <c r="H12" s="40"/>
    </row>
    <row r="13" spans="2:13" ht="18" x14ac:dyDescent="0.35">
      <c r="B13" s="40"/>
      <c r="C13" s="40" t="s">
        <v>284</v>
      </c>
      <c r="D13" s="38" t="s">
        <v>274</v>
      </c>
      <c r="E13" s="40"/>
      <c r="F13" s="40" t="s">
        <v>282</v>
      </c>
      <c r="G13" s="40"/>
      <c r="H13" s="40"/>
    </row>
    <row r="14" spans="2:13" x14ac:dyDescent="0.25">
      <c r="B14" s="40"/>
      <c r="C14" s="40"/>
      <c r="D14" s="40"/>
      <c r="E14" s="40"/>
      <c r="F14" s="40"/>
      <c r="G14" s="40"/>
      <c r="H14" s="40"/>
    </row>
    <row r="15" spans="2:13" ht="18" x14ac:dyDescent="0.35">
      <c r="B15" s="44" t="s">
        <v>289</v>
      </c>
      <c r="C15" s="44" t="s">
        <v>290</v>
      </c>
      <c r="D15" s="52" t="s">
        <v>274</v>
      </c>
      <c r="E15" s="44" t="s">
        <v>291</v>
      </c>
      <c r="F15" s="44" t="s">
        <v>292</v>
      </c>
      <c r="G15" s="40"/>
      <c r="H15" s="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Q106"/>
  <sheetViews>
    <sheetView workbookViewId="0">
      <selection activeCell="I14" sqref="I14"/>
    </sheetView>
  </sheetViews>
  <sheetFormatPr defaultRowHeight="15" x14ac:dyDescent="0.25"/>
  <cols>
    <col min="3" max="3" width="9.28515625" customWidth="1"/>
    <col min="4" max="4" width="11.7109375" customWidth="1"/>
    <col min="6" max="6" width="10.42578125" customWidth="1"/>
  </cols>
  <sheetData>
    <row r="3" spans="1:11" x14ac:dyDescent="0.25">
      <c r="A3" s="2" t="s">
        <v>238</v>
      </c>
      <c r="B3" s="12">
        <v>70</v>
      </c>
      <c r="C3" t="s">
        <v>4</v>
      </c>
      <c r="D3" s="2" t="s">
        <v>197</v>
      </c>
      <c r="E3" s="12">
        <v>70</v>
      </c>
      <c r="F3" t="s">
        <v>4</v>
      </c>
    </row>
    <row r="4" spans="1:11" ht="17.25" x14ac:dyDescent="0.25">
      <c r="A4" s="2" t="s">
        <v>241</v>
      </c>
      <c r="B4" s="12">
        <v>24</v>
      </c>
      <c r="C4" t="s">
        <v>4</v>
      </c>
      <c r="D4" s="2" t="s">
        <v>199</v>
      </c>
      <c r="E4" s="12">
        <v>11</v>
      </c>
      <c r="F4" t="s">
        <v>4</v>
      </c>
    </row>
    <row r="5" spans="1:11" x14ac:dyDescent="0.25">
      <c r="A5" s="2" t="s">
        <v>239</v>
      </c>
      <c r="B5" s="12">
        <v>80</v>
      </c>
      <c r="C5" t="s">
        <v>4</v>
      </c>
      <c r="D5" s="2" t="s">
        <v>198</v>
      </c>
      <c r="E5" s="12">
        <v>80</v>
      </c>
      <c r="F5" t="s">
        <v>4</v>
      </c>
    </row>
    <row r="6" spans="1:11" ht="17.25" x14ac:dyDescent="0.25">
      <c r="A6" s="2" t="s">
        <v>242</v>
      </c>
      <c r="B6" s="12">
        <v>18</v>
      </c>
      <c r="C6" t="s">
        <v>4</v>
      </c>
      <c r="D6" s="2" t="s">
        <v>200</v>
      </c>
      <c r="E6" s="12">
        <v>13</v>
      </c>
      <c r="F6" t="s">
        <v>4</v>
      </c>
    </row>
    <row r="7" spans="1:11" x14ac:dyDescent="0.25">
      <c r="A7" s="2" t="s">
        <v>206</v>
      </c>
      <c r="B7" s="12">
        <v>1</v>
      </c>
      <c r="D7" s="2" t="s">
        <v>201</v>
      </c>
      <c r="E7" s="12">
        <v>1</v>
      </c>
    </row>
    <row r="9" spans="1:11" ht="18" x14ac:dyDescent="0.35">
      <c r="A9" s="2" t="s">
        <v>5</v>
      </c>
      <c r="B9" s="26">
        <v>0.9</v>
      </c>
    </row>
    <row r="11" spans="1:11" x14ac:dyDescent="0.25">
      <c r="A11" s="39" t="s">
        <v>296</v>
      </c>
      <c r="B11" s="14"/>
      <c r="C11" s="14"/>
      <c r="D11" s="14"/>
      <c r="E11" s="14"/>
      <c r="F11" s="14"/>
      <c r="J11" s="14" t="s">
        <v>412</v>
      </c>
      <c r="K11" s="14"/>
    </row>
    <row r="12" spans="1:11" x14ac:dyDescent="0.25">
      <c r="J12" t="s">
        <v>414</v>
      </c>
    </row>
    <row r="13" spans="1:11" x14ac:dyDescent="0.25">
      <c r="B13" s="31" t="s">
        <v>273</v>
      </c>
      <c r="C13" s="31"/>
      <c r="D13" s="31"/>
      <c r="E13" s="31"/>
      <c r="F13" s="31"/>
      <c r="J13" t="s">
        <v>415</v>
      </c>
    </row>
    <row r="14" spans="1:11" ht="18" x14ac:dyDescent="0.35">
      <c r="B14" s="36" t="s">
        <v>289</v>
      </c>
      <c r="C14" s="36" t="s">
        <v>290</v>
      </c>
      <c r="D14" s="37" t="s">
        <v>274</v>
      </c>
      <c r="E14" s="36" t="s">
        <v>291</v>
      </c>
      <c r="F14" s="36" t="s">
        <v>292</v>
      </c>
      <c r="J14" t="s">
        <v>416</v>
      </c>
    </row>
    <row r="15" spans="1:11" x14ac:dyDescent="0.25">
      <c r="J15" t="s">
        <v>417</v>
      </c>
    </row>
    <row r="16" spans="1:11" ht="18" x14ac:dyDescent="0.35">
      <c r="B16" s="4" t="s">
        <v>301</v>
      </c>
      <c r="C16" s="4" t="s">
        <v>302</v>
      </c>
      <c r="D16" s="13" t="s">
        <v>274</v>
      </c>
      <c r="E16" s="4" t="s">
        <v>303</v>
      </c>
      <c r="F16" s="4" t="s">
        <v>304</v>
      </c>
      <c r="J16" t="s">
        <v>418</v>
      </c>
    </row>
    <row r="17" spans="2:10" x14ac:dyDescent="0.25">
      <c r="C17" s="2">
        <f>B9*(B5-B3)</f>
        <v>9</v>
      </c>
      <c r="D17" s="2" t="s">
        <v>274</v>
      </c>
      <c r="E17" s="2">
        <f>B4-B6-E4+E6</f>
        <v>8</v>
      </c>
      <c r="J17" t="s">
        <v>419</v>
      </c>
    </row>
    <row r="19" spans="2:10" x14ac:dyDescent="0.25">
      <c r="B19" t="s">
        <v>297</v>
      </c>
    </row>
    <row r="21" spans="2:10" x14ac:dyDescent="0.25">
      <c r="B21" s="31" t="s">
        <v>170</v>
      </c>
      <c r="C21" s="31"/>
      <c r="D21" s="31"/>
      <c r="E21" s="31"/>
    </row>
    <row r="22" spans="2:10" ht="18" x14ac:dyDescent="0.35">
      <c r="B22" s="36" t="s">
        <v>298</v>
      </c>
      <c r="C22" s="31"/>
      <c r="D22" s="36"/>
      <c r="E22" s="31"/>
    </row>
    <row r="24" spans="2:10" ht="18" x14ac:dyDescent="0.35">
      <c r="B24" t="s">
        <v>299</v>
      </c>
      <c r="D24" t="s">
        <v>300</v>
      </c>
      <c r="E24" t="s">
        <v>306</v>
      </c>
      <c r="H24" t="s">
        <v>308</v>
      </c>
      <c r="I24" s="27">
        <f>B3+(B4-E4)/B9</f>
        <v>84.444444444444443</v>
      </c>
    </row>
    <row r="25" spans="2:10" x14ac:dyDescent="0.25">
      <c r="I25" s="27"/>
    </row>
    <row r="26" spans="2:10" ht="18" x14ac:dyDescent="0.35">
      <c r="D26" t="s">
        <v>305</v>
      </c>
      <c r="E26" t="s">
        <v>307</v>
      </c>
      <c r="H26" t="s">
        <v>308</v>
      </c>
      <c r="I26" s="27">
        <f>80+(B6-E6)/B9</f>
        <v>85.555555555555557</v>
      </c>
    </row>
    <row r="28" spans="2:10" x14ac:dyDescent="0.25">
      <c r="B28" t="s">
        <v>309</v>
      </c>
    </row>
    <row r="30" spans="2:10" x14ac:dyDescent="0.25">
      <c r="B30" t="s">
        <v>310</v>
      </c>
    </row>
    <row r="31" spans="2:10" x14ac:dyDescent="0.25">
      <c r="B31" t="s">
        <v>311</v>
      </c>
    </row>
    <row r="33" spans="1:8" ht="18" x14ac:dyDescent="0.35">
      <c r="B33" t="s">
        <v>325</v>
      </c>
      <c r="D33" t="s">
        <v>329</v>
      </c>
    </row>
    <row r="35" spans="1:8" ht="18" x14ac:dyDescent="0.35">
      <c r="B35" s="9" t="s">
        <v>326</v>
      </c>
      <c r="D35" s="9" t="s">
        <v>330</v>
      </c>
      <c r="F35" s="9" t="s">
        <v>65</v>
      </c>
      <c r="G35" t="s">
        <v>164</v>
      </c>
    </row>
    <row r="36" spans="1:8" ht="18" x14ac:dyDescent="0.35">
      <c r="B36" s="9" t="s">
        <v>327</v>
      </c>
      <c r="D36" s="9" t="s">
        <v>328</v>
      </c>
    </row>
    <row r="38" spans="1:8" x14ac:dyDescent="0.25">
      <c r="B38" s="21" t="s">
        <v>15</v>
      </c>
    </row>
    <row r="39" spans="1:8" ht="18" x14ac:dyDescent="0.35">
      <c r="B39" s="6" t="s">
        <v>331</v>
      </c>
      <c r="C39" s="6"/>
      <c r="D39" s="5"/>
      <c r="E39" s="5"/>
      <c r="F39" s="5"/>
      <c r="G39" s="5"/>
    </row>
    <row r="40" spans="1:8" ht="18" x14ac:dyDescent="0.35">
      <c r="B40" s="6" t="s">
        <v>332</v>
      </c>
      <c r="C40" s="6"/>
      <c r="D40" s="5"/>
      <c r="E40" s="5"/>
      <c r="F40" s="5"/>
      <c r="G40" s="5"/>
    </row>
    <row r="41" spans="1:8" ht="18" x14ac:dyDescent="0.35">
      <c r="B41" s="6" t="s">
        <v>333</v>
      </c>
      <c r="C41" s="6"/>
      <c r="D41" s="5"/>
      <c r="E41" s="5"/>
      <c r="F41" s="5"/>
      <c r="G41" s="5"/>
    </row>
    <row r="42" spans="1:8" ht="18" x14ac:dyDescent="0.35">
      <c r="B42" s="6" t="s">
        <v>334</v>
      </c>
      <c r="C42" s="6"/>
      <c r="D42" s="5"/>
      <c r="E42" s="5"/>
      <c r="F42" s="5"/>
      <c r="G42" s="5"/>
    </row>
    <row r="43" spans="1:8" x14ac:dyDescent="0.25">
      <c r="B43" s="6" t="s">
        <v>66</v>
      </c>
      <c r="C43" s="5"/>
      <c r="D43" s="5"/>
      <c r="E43" s="5"/>
      <c r="F43" s="5"/>
      <c r="G43" s="5"/>
    </row>
    <row r="45" spans="1:8" x14ac:dyDescent="0.25">
      <c r="A45" s="14" t="s">
        <v>312</v>
      </c>
      <c r="B45" s="14"/>
      <c r="C45" s="14"/>
      <c r="D45" s="14"/>
      <c r="E45" s="14"/>
    </row>
    <row r="47" spans="1:8" x14ac:dyDescent="0.25">
      <c r="F47" t="s">
        <v>0</v>
      </c>
      <c r="G47" s="2" t="s">
        <v>19</v>
      </c>
    </row>
    <row r="48" spans="1:8" ht="18" x14ac:dyDescent="0.35">
      <c r="B48" t="s">
        <v>313</v>
      </c>
      <c r="F48" t="s">
        <v>326</v>
      </c>
      <c r="G48" s="18">
        <f>-B4</f>
        <v>-24</v>
      </c>
      <c r="H48" t="s">
        <v>4</v>
      </c>
    </row>
    <row r="49" spans="2:17" ht="18" x14ac:dyDescent="0.35">
      <c r="B49" t="s">
        <v>314</v>
      </c>
      <c r="F49" t="s">
        <v>335</v>
      </c>
      <c r="G49" s="18">
        <f>E4</f>
        <v>11</v>
      </c>
      <c r="H49" t="s">
        <v>4</v>
      </c>
    </row>
    <row r="50" spans="2:17" ht="18" x14ac:dyDescent="0.35">
      <c r="B50" t="s">
        <v>315</v>
      </c>
      <c r="F50" t="s">
        <v>330</v>
      </c>
      <c r="G50" s="18">
        <f>B6</f>
        <v>18</v>
      </c>
      <c r="H50" t="s">
        <v>4</v>
      </c>
    </row>
    <row r="51" spans="2:17" ht="18" x14ac:dyDescent="0.35">
      <c r="B51" t="s">
        <v>316</v>
      </c>
      <c r="F51" t="s">
        <v>328</v>
      </c>
      <c r="G51" s="18">
        <f>-E6</f>
        <v>-13</v>
      </c>
      <c r="H51" t="s">
        <v>4</v>
      </c>
    </row>
    <row r="52" spans="2:17" ht="18" x14ac:dyDescent="0.35">
      <c r="B52" t="s">
        <v>317</v>
      </c>
      <c r="F52" s="15" t="s">
        <v>54</v>
      </c>
      <c r="G52" s="24">
        <f>-(G48+G49+G50+G51)</f>
        <v>8</v>
      </c>
      <c r="H52" t="s">
        <v>4</v>
      </c>
      <c r="I52" t="s">
        <v>336</v>
      </c>
    </row>
    <row r="53" spans="2:17" x14ac:dyDescent="0.25">
      <c r="F53" t="s">
        <v>33</v>
      </c>
      <c r="G53" s="18">
        <f>SUM(G48:G52)</f>
        <v>0</v>
      </c>
      <c r="H53" t="s">
        <v>4</v>
      </c>
      <c r="I53" t="s">
        <v>69</v>
      </c>
    </row>
    <row r="54" spans="2:17" x14ac:dyDescent="0.25">
      <c r="I54" t="s">
        <v>70</v>
      </c>
    </row>
    <row r="56" spans="2:17" x14ac:dyDescent="0.25">
      <c r="I56" t="s">
        <v>337</v>
      </c>
    </row>
    <row r="57" spans="2:17" x14ac:dyDescent="0.25">
      <c r="I57" s="7">
        <f>G52/B9</f>
        <v>8.8888888888888893</v>
      </c>
      <c r="J57" t="s">
        <v>4</v>
      </c>
    </row>
    <row r="59" spans="2:17" x14ac:dyDescent="0.25">
      <c r="B59" t="s">
        <v>130</v>
      </c>
    </row>
    <row r="60" spans="2:17" x14ac:dyDescent="0.25">
      <c r="B60" t="s">
        <v>338</v>
      </c>
      <c r="E60" t="s">
        <v>180</v>
      </c>
      <c r="F60" t="s">
        <v>339</v>
      </c>
      <c r="J60" t="s">
        <v>179</v>
      </c>
      <c r="L60" t="s">
        <v>339</v>
      </c>
      <c r="P60" t="s">
        <v>174</v>
      </c>
      <c r="Q60" t="s">
        <v>345</v>
      </c>
    </row>
    <row r="61" spans="2:17" x14ac:dyDescent="0.25">
      <c r="F61" t="s">
        <v>340</v>
      </c>
      <c r="L61" t="s">
        <v>343</v>
      </c>
      <c r="Q61" t="s">
        <v>343</v>
      </c>
    </row>
    <row r="62" spans="2:17" x14ac:dyDescent="0.25">
      <c r="F62" t="s">
        <v>344</v>
      </c>
      <c r="L62" t="s">
        <v>341</v>
      </c>
      <c r="Q62" t="s">
        <v>341</v>
      </c>
    </row>
    <row r="63" spans="2:17" x14ac:dyDescent="0.25">
      <c r="F63" t="s">
        <v>342</v>
      </c>
      <c r="L63" t="s">
        <v>342</v>
      </c>
      <c r="Q63" t="s">
        <v>346</v>
      </c>
    </row>
    <row r="65" spans="2:10" x14ac:dyDescent="0.25">
      <c r="B65" s="35" t="s">
        <v>29</v>
      </c>
    </row>
    <row r="66" spans="2:10" x14ac:dyDescent="0.25">
      <c r="B66" t="s">
        <v>347</v>
      </c>
    </row>
    <row r="67" spans="2:10" x14ac:dyDescent="0.25">
      <c r="B67" t="s">
        <v>349</v>
      </c>
    </row>
    <row r="68" spans="2:10" x14ac:dyDescent="0.25">
      <c r="B68" t="s">
        <v>348</v>
      </c>
      <c r="I68" t="s">
        <v>352</v>
      </c>
    </row>
    <row r="69" spans="2:10" x14ac:dyDescent="0.25">
      <c r="H69" t="s">
        <v>0</v>
      </c>
      <c r="I69" t="s">
        <v>22</v>
      </c>
    </row>
    <row r="70" spans="2:10" ht="18" x14ac:dyDescent="0.35">
      <c r="B70" t="s">
        <v>30</v>
      </c>
      <c r="H70" t="s">
        <v>326</v>
      </c>
      <c r="I70" s="10">
        <f>-B3</f>
        <v>-70</v>
      </c>
      <c r="J70" t="s">
        <v>4</v>
      </c>
    </row>
    <row r="71" spans="2:10" ht="18" x14ac:dyDescent="0.35">
      <c r="B71" t="s">
        <v>84</v>
      </c>
      <c r="H71" t="s">
        <v>335</v>
      </c>
      <c r="I71" s="10">
        <f>B15</f>
        <v>0</v>
      </c>
      <c r="J71" t="s">
        <v>4</v>
      </c>
    </row>
    <row r="72" spans="2:10" ht="18" x14ac:dyDescent="0.35">
      <c r="B72" t="s">
        <v>350</v>
      </c>
      <c r="H72" t="s">
        <v>330</v>
      </c>
      <c r="I72" s="10">
        <f>B5</f>
        <v>80</v>
      </c>
      <c r="J72" t="s">
        <v>4</v>
      </c>
    </row>
    <row r="73" spans="2:10" ht="18" x14ac:dyDescent="0.35">
      <c r="B73" t="s">
        <v>84</v>
      </c>
      <c r="H73" t="s">
        <v>328</v>
      </c>
      <c r="I73" s="10">
        <v>0</v>
      </c>
      <c r="J73" t="s">
        <v>4</v>
      </c>
    </row>
    <row r="74" spans="2:10" x14ac:dyDescent="0.25">
      <c r="B74" t="s">
        <v>60</v>
      </c>
      <c r="H74" s="15" t="s">
        <v>54</v>
      </c>
      <c r="I74" s="10">
        <f>-I57</f>
        <v>-8.8888888888888893</v>
      </c>
      <c r="J74" t="s">
        <v>4</v>
      </c>
    </row>
    <row r="75" spans="2:10" x14ac:dyDescent="0.25">
      <c r="H75" t="s">
        <v>33</v>
      </c>
      <c r="I75" s="25">
        <f>SUM(I70:I74)</f>
        <v>1.1111111111111107</v>
      </c>
      <c r="J75" t="s">
        <v>4</v>
      </c>
    </row>
    <row r="77" spans="2:10" x14ac:dyDescent="0.25">
      <c r="B77" s="35" t="s">
        <v>36</v>
      </c>
    </row>
    <row r="78" spans="2:10" x14ac:dyDescent="0.25">
      <c r="B78" t="s">
        <v>347</v>
      </c>
    </row>
    <row r="79" spans="2:10" x14ac:dyDescent="0.25">
      <c r="B79" t="s">
        <v>353</v>
      </c>
    </row>
    <row r="80" spans="2:10" x14ac:dyDescent="0.25">
      <c r="B80" t="s">
        <v>354</v>
      </c>
    </row>
    <row r="81" spans="2:10" x14ac:dyDescent="0.25">
      <c r="B81" t="s">
        <v>355</v>
      </c>
      <c r="I81" t="s">
        <v>351</v>
      </c>
    </row>
    <row r="82" spans="2:10" x14ac:dyDescent="0.25">
      <c r="H82" t="s">
        <v>0</v>
      </c>
      <c r="I82" t="s">
        <v>22</v>
      </c>
      <c r="J82" t="s">
        <v>4</v>
      </c>
    </row>
    <row r="83" spans="2:10" ht="18" x14ac:dyDescent="0.35">
      <c r="B83" t="s">
        <v>30</v>
      </c>
      <c r="H83" t="s">
        <v>326</v>
      </c>
      <c r="I83" s="10">
        <f>-B3</f>
        <v>-70</v>
      </c>
      <c r="J83" t="s">
        <v>4</v>
      </c>
    </row>
    <row r="84" spans="2:10" ht="18" x14ac:dyDescent="0.35">
      <c r="B84" t="s">
        <v>84</v>
      </c>
      <c r="H84" t="s">
        <v>335</v>
      </c>
      <c r="I84" s="10">
        <f>B27</f>
        <v>0</v>
      </c>
      <c r="J84" t="s">
        <v>4</v>
      </c>
    </row>
    <row r="85" spans="2:10" ht="18" x14ac:dyDescent="0.35">
      <c r="B85" t="s">
        <v>62</v>
      </c>
      <c r="H85" t="s">
        <v>330</v>
      </c>
      <c r="I85" s="10">
        <f>B17</f>
        <v>0</v>
      </c>
      <c r="J85" t="s">
        <v>4</v>
      </c>
    </row>
    <row r="86" spans="2:10" ht="18" x14ac:dyDescent="0.35">
      <c r="B86" t="s">
        <v>350</v>
      </c>
      <c r="H86" t="s">
        <v>328</v>
      </c>
      <c r="I86" s="10">
        <f>E5</f>
        <v>80</v>
      </c>
      <c r="J86" t="s">
        <v>4</v>
      </c>
    </row>
    <row r="87" spans="2:10" x14ac:dyDescent="0.25">
      <c r="B87" t="s">
        <v>60</v>
      </c>
      <c r="H87" s="15" t="s">
        <v>54</v>
      </c>
      <c r="I87" s="10">
        <f>-I57</f>
        <v>-8.8888888888888893</v>
      </c>
      <c r="J87" t="s">
        <v>4</v>
      </c>
    </row>
    <row r="88" spans="2:10" x14ac:dyDescent="0.25">
      <c r="H88" t="s">
        <v>33</v>
      </c>
      <c r="I88" s="25">
        <f>SUM(I83:I87)</f>
        <v>1.1111111111111107</v>
      </c>
    </row>
    <row r="89" spans="2:10" x14ac:dyDescent="0.25">
      <c r="I89" s="10"/>
    </row>
    <row r="90" spans="2:10" x14ac:dyDescent="0.25">
      <c r="B90" s="35" t="s">
        <v>356</v>
      </c>
    </row>
    <row r="91" spans="2:10" x14ac:dyDescent="0.25">
      <c r="B91" t="s">
        <v>354</v>
      </c>
    </row>
    <row r="92" spans="2:10" x14ac:dyDescent="0.25">
      <c r="B92" t="s">
        <v>357</v>
      </c>
    </row>
    <row r="93" spans="2:10" x14ac:dyDescent="0.25">
      <c r="B93" t="s">
        <v>358</v>
      </c>
      <c r="I93" t="s">
        <v>352</v>
      </c>
    </row>
    <row r="94" spans="2:10" x14ac:dyDescent="0.25">
      <c r="H94" t="s">
        <v>0</v>
      </c>
      <c r="I94" t="s">
        <v>22</v>
      </c>
    </row>
    <row r="95" spans="2:10" ht="18" x14ac:dyDescent="0.35">
      <c r="B95" t="s">
        <v>62</v>
      </c>
      <c r="H95" t="s">
        <v>326</v>
      </c>
      <c r="I95" s="10">
        <v>0</v>
      </c>
      <c r="J95" t="s">
        <v>4</v>
      </c>
    </row>
    <row r="96" spans="2:10" ht="18" x14ac:dyDescent="0.35">
      <c r="B96" t="s">
        <v>30</v>
      </c>
      <c r="H96" t="s">
        <v>335</v>
      </c>
      <c r="I96" s="10">
        <f>-B3</f>
        <v>-70</v>
      </c>
      <c r="J96" t="s">
        <v>4</v>
      </c>
    </row>
    <row r="97" spans="2:10" ht="18" x14ac:dyDescent="0.35">
      <c r="B97" t="s">
        <v>62</v>
      </c>
      <c r="H97" t="s">
        <v>330</v>
      </c>
      <c r="I97" s="10">
        <v>0</v>
      </c>
      <c r="J97" t="s">
        <v>4</v>
      </c>
    </row>
    <row r="98" spans="2:10" ht="18" x14ac:dyDescent="0.35">
      <c r="B98" t="s">
        <v>350</v>
      </c>
      <c r="H98" t="s">
        <v>328</v>
      </c>
      <c r="I98" s="10">
        <f>E5</f>
        <v>80</v>
      </c>
      <c r="J98" t="s">
        <v>4</v>
      </c>
    </row>
    <row r="99" spans="2:10" x14ac:dyDescent="0.25">
      <c r="B99" t="s">
        <v>60</v>
      </c>
      <c r="H99" s="15" t="s">
        <v>54</v>
      </c>
      <c r="I99" s="10">
        <f>-I57</f>
        <v>-8.8888888888888893</v>
      </c>
      <c r="J99" t="s">
        <v>4</v>
      </c>
    </row>
    <row r="100" spans="2:10" x14ac:dyDescent="0.25">
      <c r="H100" t="s">
        <v>33</v>
      </c>
      <c r="I100" s="25">
        <f>SUM(I95:I99)</f>
        <v>1.1111111111111107</v>
      </c>
      <c r="J100" t="s">
        <v>4</v>
      </c>
    </row>
    <row r="102" spans="2:10" x14ac:dyDescent="0.25">
      <c r="F102" s="29" t="s">
        <v>145</v>
      </c>
      <c r="I102" s="8">
        <f>I100</f>
        <v>1.1111111111111107</v>
      </c>
      <c r="J102" t="s">
        <v>4</v>
      </c>
    </row>
    <row r="103" spans="2:10" x14ac:dyDescent="0.25">
      <c r="F103" t="s">
        <v>48</v>
      </c>
      <c r="I103" s="10">
        <f>I26-I24</f>
        <v>1.1111111111111143</v>
      </c>
      <c r="J103" t="s">
        <v>4</v>
      </c>
    </row>
    <row r="105" spans="2:10" x14ac:dyDescent="0.25">
      <c r="F105" s="28" t="s">
        <v>359</v>
      </c>
    </row>
    <row r="106" spans="2:10" x14ac:dyDescent="0.25">
      <c r="F106" s="28" t="s">
        <v>413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39"/>
  <sheetViews>
    <sheetView workbookViewId="0">
      <selection activeCell="J13" sqref="J13"/>
    </sheetView>
  </sheetViews>
  <sheetFormatPr defaultRowHeight="15" x14ac:dyDescent="0.25"/>
  <sheetData>
    <row r="2" spans="1:12" x14ac:dyDescent="0.25">
      <c r="I2" t="s">
        <v>366</v>
      </c>
      <c r="L2" t="s">
        <v>370</v>
      </c>
    </row>
    <row r="3" spans="1:12" x14ac:dyDescent="0.25">
      <c r="A3" s="2" t="s">
        <v>148</v>
      </c>
      <c r="B3" s="12">
        <v>60</v>
      </c>
      <c r="C3" t="s">
        <v>4</v>
      </c>
      <c r="H3" t="s">
        <v>365</v>
      </c>
      <c r="I3" t="s">
        <v>367</v>
      </c>
      <c r="J3" t="s">
        <v>368</v>
      </c>
      <c r="K3" t="s">
        <v>369</v>
      </c>
      <c r="L3" t="s">
        <v>369</v>
      </c>
    </row>
    <row r="4" spans="1:12" ht="17.25" x14ac:dyDescent="0.25">
      <c r="A4" s="2" t="s">
        <v>205</v>
      </c>
      <c r="B4" s="12">
        <v>6</v>
      </c>
      <c r="C4" t="s">
        <v>4</v>
      </c>
      <c r="H4">
        <v>40</v>
      </c>
      <c r="I4">
        <f>MAX(0,H4-$B$3)</f>
        <v>0</v>
      </c>
      <c r="J4">
        <f>MAX(0,$B$6-H4)</f>
        <v>20</v>
      </c>
      <c r="K4">
        <f>I4+J4</f>
        <v>20</v>
      </c>
      <c r="L4">
        <f>K4-$B$4-$B$7</f>
        <v>10</v>
      </c>
    </row>
    <row r="5" spans="1:12" x14ac:dyDescent="0.25">
      <c r="A5" s="2" t="s">
        <v>206</v>
      </c>
      <c r="B5" s="12">
        <v>1</v>
      </c>
      <c r="H5">
        <v>50</v>
      </c>
      <c r="I5">
        <f t="shared" ref="I5:I8" si="0">MAX(0,H5-$B$3)</f>
        <v>0</v>
      </c>
      <c r="J5">
        <f t="shared" ref="J5:J8" si="1">MAX(0,$B$6-H5)</f>
        <v>10</v>
      </c>
      <c r="K5">
        <f t="shared" ref="K5:K8" si="2">I5+J5</f>
        <v>10</v>
      </c>
      <c r="L5">
        <f t="shared" ref="L5:L8" si="3">K5-$B$4-$B$7</f>
        <v>0</v>
      </c>
    </row>
    <row r="6" spans="1:12" x14ac:dyDescent="0.25">
      <c r="A6" s="2" t="s">
        <v>151</v>
      </c>
      <c r="B6" s="12">
        <v>60</v>
      </c>
      <c r="C6" t="s">
        <v>4</v>
      </c>
      <c r="H6">
        <v>60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-10</v>
      </c>
    </row>
    <row r="7" spans="1:12" ht="17.25" x14ac:dyDescent="0.25">
      <c r="A7" s="2" t="s">
        <v>207</v>
      </c>
      <c r="B7" s="12">
        <v>4</v>
      </c>
      <c r="C7" t="s">
        <v>4</v>
      </c>
      <c r="H7">
        <v>70</v>
      </c>
      <c r="I7">
        <f t="shared" si="0"/>
        <v>10</v>
      </c>
      <c r="J7">
        <f t="shared" si="1"/>
        <v>0</v>
      </c>
      <c r="K7">
        <f t="shared" si="2"/>
        <v>10</v>
      </c>
      <c r="L7">
        <f t="shared" si="3"/>
        <v>0</v>
      </c>
    </row>
    <row r="8" spans="1:12" x14ac:dyDescent="0.25">
      <c r="A8" s="2" t="s">
        <v>201</v>
      </c>
      <c r="B8" s="12">
        <v>1</v>
      </c>
      <c r="H8">
        <v>80</v>
      </c>
      <c r="I8">
        <f t="shared" si="0"/>
        <v>20</v>
      </c>
      <c r="J8">
        <f t="shared" si="1"/>
        <v>0</v>
      </c>
      <c r="K8">
        <f t="shared" si="2"/>
        <v>20</v>
      </c>
      <c r="L8">
        <f t="shared" si="3"/>
        <v>10</v>
      </c>
    </row>
    <row r="9" spans="1:12" x14ac:dyDescent="0.25">
      <c r="A9" s="2" t="s">
        <v>1</v>
      </c>
      <c r="B9" s="26">
        <v>1</v>
      </c>
    </row>
    <row r="11" spans="1:12" x14ac:dyDescent="0.25">
      <c r="A11" s="39" t="s">
        <v>216</v>
      </c>
      <c r="B11" s="14"/>
      <c r="C11" s="14"/>
      <c r="D11" s="14"/>
      <c r="E11" s="14"/>
      <c r="F11" s="14"/>
      <c r="H11" t="s">
        <v>420</v>
      </c>
    </row>
    <row r="12" spans="1:12" x14ac:dyDescent="0.25">
      <c r="H12" t="s">
        <v>421</v>
      </c>
    </row>
    <row r="13" spans="1:12" x14ac:dyDescent="0.25">
      <c r="B13" s="31" t="s">
        <v>208</v>
      </c>
      <c r="C13" s="31"/>
      <c r="D13" s="31"/>
      <c r="H13" t="s">
        <v>422</v>
      </c>
    </row>
    <row r="14" spans="1:12" ht="18" x14ac:dyDescent="0.35">
      <c r="B14" s="36"/>
      <c r="C14" s="36" t="s">
        <v>211</v>
      </c>
      <c r="D14" s="36"/>
      <c r="F14" s="46"/>
      <c r="G14" s="46"/>
      <c r="H14" s="53" t="s">
        <v>423</v>
      </c>
      <c r="I14" s="53"/>
    </row>
    <row r="16" spans="1:12" x14ac:dyDescent="0.25">
      <c r="B16" t="s">
        <v>173</v>
      </c>
    </row>
    <row r="17" spans="1:8" x14ac:dyDescent="0.25">
      <c r="C17" t="s">
        <v>209</v>
      </c>
    </row>
    <row r="18" spans="1:8" x14ac:dyDescent="0.25">
      <c r="C18" t="s">
        <v>174</v>
      </c>
      <c r="D18" t="s">
        <v>210</v>
      </c>
    </row>
    <row r="19" spans="1:8" x14ac:dyDescent="0.25">
      <c r="C19" s="2">
        <v>-1</v>
      </c>
      <c r="D19" s="2">
        <v>1</v>
      </c>
      <c r="G19" s="2"/>
      <c r="H19" s="2"/>
    </row>
    <row r="21" spans="1:8" x14ac:dyDescent="0.25">
      <c r="C21" t="s">
        <v>174</v>
      </c>
      <c r="D21" t="s">
        <v>210</v>
      </c>
    </row>
    <row r="22" spans="1:8" ht="18" x14ac:dyDescent="0.35">
      <c r="B22" t="s">
        <v>212</v>
      </c>
      <c r="C22" s="2">
        <v>0</v>
      </c>
      <c r="D22" s="2">
        <v>1</v>
      </c>
      <c r="G22" s="2"/>
      <c r="H22" s="2"/>
    </row>
    <row r="23" spans="1:8" ht="18" x14ac:dyDescent="0.35">
      <c r="B23" s="15" t="s">
        <v>213</v>
      </c>
      <c r="C23" s="11">
        <v>-1</v>
      </c>
      <c r="D23" s="11">
        <v>0</v>
      </c>
      <c r="G23" s="2"/>
      <c r="H23" s="2"/>
    </row>
    <row r="24" spans="1:8" x14ac:dyDescent="0.25">
      <c r="B24" t="s">
        <v>33</v>
      </c>
      <c r="C24" s="2">
        <f>SUM(C22:C23)</f>
        <v>-1</v>
      </c>
      <c r="D24" s="2">
        <f>SUM(D22:D23)</f>
        <v>1</v>
      </c>
      <c r="G24" s="2"/>
      <c r="H24" s="2"/>
    </row>
    <row r="26" spans="1:8" x14ac:dyDescent="0.25">
      <c r="C26" s="3" t="s">
        <v>217</v>
      </c>
    </row>
    <row r="27" spans="1:8" ht="18" x14ac:dyDescent="0.35">
      <c r="C27" s="6" t="s">
        <v>218</v>
      </c>
    </row>
    <row r="29" spans="1:8" x14ac:dyDescent="0.25">
      <c r="A29" s="14" t="s">
        <v>219</v>
      </c>
      <c r="B29" s="14"/>
      <c r="C29" s="14"/>
      <c r="D29" s="14"/>
      <c r="E29" s="14"/>
      <c r="F29" s="14"/>
    </row>
    <row r="31" spans="1:8" x14ac:dyDescent="0.25">
      <c r="C31" s="3" t="s">
        <v>230</v>
      </c>
      <c r="D31" s="3" t="s">
        <v>231</v>
      </c>
    </row>
    <row r="32" spans="1:8" ht="18" x14ac:dyDescent="0.35">
      <c r="B32" t="s">
        <v>232</v>
      </c>
      <c r="C32" s="2">
        <v>0</v>
      </c>
      <c r="D32" s="2" t="s">
        <v>234</v>
      </c>
    </row>
    <row r="33" spans="2:4" ht="18" x14ac:dyDescent="0.35">
      <c r="B33" s="15" t="s">
        <v>233</v>
      </c>
      <c r="C33" s="11" t="s">
        <v>235</v>
      </c>
      <c r="D33" s="11">
        <v>0</v>
      </c>
    </row>
    <row r="34" spans="2:4" x14ac:dyDescent="0.25">
      <c r="B34" s="3" t="s">
        <v>181</v>
      </c>
      <c r="C34" s="43" t="s">
        <v>235</v>
      </c>
      <c r="D34" s="43" t="s">
        <v>234</v>
      </c>
    </row>
    <row r="36" spans="2:4" x14ac:dyDescent="0.25">
      <c r="B36" t="s">
        <v>19</v>
      </c>
      <c r="C36" s="2">
        <f>-B4-B7</f>
        <v>-10</v>
      </c>
    </row>
    <row r="38" spans="2:4" x14ac:dyDescent="0.25">
      <c r="C38" s="42" t="s">
        <v>230</v>
      </c>
      <c r="D38" s="42" t="s">
        <v>231</v>
      </c>
    </row>
    <row r="39" spans="2:4" x14ac:dyDescent="0.25">
      <c r="B39" s="3" t="s">
        <v>196</v>
      </c>
      <c r="C39" s="43" t="s">
        <v>236</v>
      </c>
      <c r="D39" s="43" t="s">
        <v>237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5"/>
  <sheetViews>
    <sheetView tabSelected="1" workbookViewId="0">
      <selection activeCell="H23" sqref="H23"/>
    </sheetView>
  </sheetViews>
  <sheetFormatPr defaultRowHeight="15" x14ac:dyDescent="0.25"/>
  <cols>
    <col min="3" max="3" width="13.28515625" customWidth="1"/>
    <col min="4" max="4" width="12.5703125" customWidth="1"/>
    <col min="5" max="5" width="13" customWidth="1"/>
    <col min="6" max="6" width="11.5703125" customWidth="1"/>
  </cols>
  <sheetData>
    <row r="1" spans="1:12" x14ac:dyDescent="0.25">
      <c r="J1" t="s">
        <v>375</v>
      </c>
    </row>
    <row r="2" spans="1:12" x14ac:dyDescent="0.25">
      <c r="H2" t="s">
        <v>373</v>
      </c>
      <c r="L2" t="s">
        <v>196</v>
      </c>
    </row>
    <row r="3" spans="1:12" x14ac:dyDescent="0.25">
      <c r="A3" s="2" t="s">
        <v>238</v>
      </c>
      <c r="B3" s="12">
        <v>80</v>
      </c>
      <c r="C3" t="s">
        <v>4</v>
      </c>
      <c r="G3" t="s">
        <v>365</v>
      </c>
      <c r="H3" t="s">
        <v>371</v>
      </c>
      <c r="I3" t="s">
        <v>372</v>
      </c>
      <c r="J3" t="s">
        <v>374</v>
      </c>
      <c r="K3" t="s">
        <v>376</v>
      </c>
      <c r="L3" t="s">
        <v>376</v>
      </c>
    </row>
    <row r="4" spans="1:12" ht="17.25" x14ac:dyDescent="0.25">
      <c r="A4" s="2" t="s">
        <v>241</v>
      </c>
      <c r="B4" s="12">
        <v>22</v>
      </c>
      <c r="C4" t="s">
        <v>4</v>
      </c>
      <c r="G4">
        <v>70</v>
      </c>
      <c r="H4">
        <f>MAX(0,G4-$B$3)</f>
        <v>0</v>
      </c>
      <c r="I4">
        <f>MAX(0,G4-$B$5)</f>
        <v>0</v>
      </c>
      <c r="J4">
        <f>MAX(0,G4-$B$7)</f>
        <v>0</v>
      </c>
      <c r="K4">
        <f>H4-2*I4+J4</f>
        <v>0</v>
      </c>
      <c r="L4">
        <f>K4-$I$10</f>
        <v>0</v>
      </c>
    </row>
    <row r="5" spans="1:12" x14ac:dyDescent="0.25">
      <c r="A5" s="2" t="s">
        <v>239</v>
      </c>
      <c r="B5" s="12">
        <v>90</v>
      </c>
      <c r="C5" t="s">
        <v>4</v>
      </c>
      <c r="G5">
        <v>80</v>
      </c>
      <c r="H5">
        <f t="shared" ref="H5:H8" si="0">MAX(0,G5-$B$3)</f>
        <v>0</v>
      </c>
      <c r="I5">
        <f t="shared" ref="I5:I8" si="1">MAX(0,G5-$B$5)</f>
        <v>0</v>
      </c>
      <c r="J5">
        <f t="shared" ref="J5:J8" si="2">MAX(0,G5-$B$7)</f>
        <v>0</v>
      </c>
      <c r="K5">
        <f t="shared" ref="K5:K8" si="3">H5-2*I5+J5</f>
        <v>0</v>
      </c>
      <c r="L5">
        <f t="shared" ref="L5:L8" si="4">K5-$I$10</f>
        <v>0</v>
      </c>
    </row>
    <row r="6" spans="1:12" ht="17.25" x14ac:dyDescent="0.25">
      <c r="A6" s="2" t="s">
        <v>242</v>
      </c>
      <c r="B6" s="12">
        <v>16</v>
      </c>
      <c r="C6" t="s">
        <v>4</v>
      </c>
      <c r="G6">
        <v>90</v>
      </c>
      <c r="H6">
        <f t="shared" si="0"/>
        <v>10</v>
      </c>
      <c r="I6">
        <f t="shared" si="1"/>
        <v>0</v>
      </c>
      <c r="J6">
        <f t="shared" si="2"/>
        <v>0</v>
      </c>
      <c r="K6">
        <f t="shared" si="3"/>
        <v>10</v>
      </c>
      <c r="L6">
        <f t="shared" si="4"/>
        <v>10</v>
      </c>
    </row>
    <row r="7" spans="1:12" x14ac:dyDescent="0.25">
      <c r="A7" s="2" t="s">
        <v>240</v>
      </c>
      <c r="B7" s="12">
        <v>100</v>
      </c>
      <c r="C7" t="s">
        <v>4</v>
      </c>
      <c r="G7">
        <v>100</v>
      </c>
      <c r="H7">
        <f t="shared" si="0"/>
        <v>20</v>
      </c>
      <c r="I7">
        <f t="shared" si="1"/>
        <v>10</v>
      </c>
      <c r="J7">
        <f t="shared" si="2"/>
        <v>0</v>
      </c>
      <c r="K7">
        <f t="shared" si="3"/>
        <v>0</v>
      </c>
      <c r="L7">
        <f t="shared" si="4"/>
        <v>0</v>
      </c>
    </row>
    <row r="8" spans="1:12" ht="17.25" x14ac:dyDescent="0.25">
      <c r="A8" s="2" t="s">
        <v>243</v>
      </c>
      <c r="B8" s="12">
        <v>10</v>
      </c>
      <c r="C8" t="s">
        <v>4</v>
      </c>
      <c r="G8">
        <v>110</v>
      </c>
      <c r="H8">
        <f t="shared" si="0"/>
        <v>30</v>
      </c>
      <c r="I8">
        <f t="shared" si="1"/>
        <v>20</v>
      </c>
      <c r="J8">
        <f t="shared" si="2"/>
        <v>10</v>
      </c>
      <c r="K8">
        <f t="shared" si="3"/>
        <v>0</v>
      </c>
      <c r="L8">
        <f t="shared" si="4"/>
        <v>0</v>
      </c>
    </row>
    <row r="9" spans="1:12" x14ac:dyDescent="0.25">
      <c r="A9" s="2" t="s">
        <v>206</v>
      </c>
      <c r="B9" s="12">
        <v>1</v>
      </c>
    </row>
    <row r="10" spans="1:12" x14ac:dyDescent="0.25">
      <c r="A10" s="2" t="s">
        <v>1</v>
      </c>
      <c r="B10" s="26">
        <v>1</v>
      </c>
      <c r="G10" t="s">
        <v>377</v>
      </c>
      <c r="I10">
        <f>B4-2*B6+B8</f>
        <v>0</v>
      </c>
    </row>
    <row r="12" spans="1:12" x14ac:dyDescent="0.25">
      <c r="A12" s="39" t="s">
        <v>244</v>
      </c>
      <c r="B12" s="14"/>
      <c r="C12" s="14"/>
      <c r="D12" s="14"/>
      <c r="E12" s="14"/>
      <c r="F12" s="14"/>
    </row>
    <row r="14" spans="1:12" x14ac:dyDescent="0.25">
      <c r="B14" s="31" t="s">
        <v>245</v>
      </c>
      <c r="C14" s="31"/>
      <c r="D14" s="31"/>
    </row>
    <row r="15" spans="1:12" ht="18" x14ac:dyDescent="0.35">
      <c r="B15" s="36" t="s">
        <v>247</v>
      </c>
      <c r="C15" s="31"/>
      <c r="D15" s="36" t="s">
        <v>246</v>
      </c>
    </row>
    <row r="16" spans="1:12" ht="18" x14ac:dyDescent="0.35">
      <c r="B16" s="45" t="s">
        <v>248</v>
      </c>
      <c r="C16" s="45"/>
      <c r="D16" s="45" t="s">
        <v>246</v>
      </c>
    </row>
    <row r="18" spans="2:8" x14ac:dyDescent="0.25">
      <c r="B18" t="s">
        <v>173</v>
      </c>
    </row>
    <row r="19" spans="2:8" x14ac:dyDescent="0.25">
      <c r="D19" t="s">
        <v>255</v>
      </c>
    </row>
    <row r="20" spans="2:8" x14ac:dyDescent="0.25">
      <c r="C20" t="s">
        <v>174</v>
      </c>
      <c r="D20" t="s">
        <v>179</v>
      </c>
      <c r="E20" t="s">
        <v>250</v>
      </c>
      <c r="F20" t="s">
        <v>249</v>
      </c>
    </row>
    <row r="21" spans="2:8" x14ac:dyDescent="0.25">
      <c r="C21" s="2">
        <v>0</v>
      </c>
      <c r="D21" s="2">
        <v>1</v>
      </c>
      <c r="E21" s="2">
        <v>-1</v>
      </c>
      <c r="F21" s="2">
        <v>0</v>
      </c>
    </row>
    <row r="22" spans="2:8" x14ac:dyDescent="0.25">
      <c r="H22" t="s">
        <v>424</v>
      </c>
    </row>
    <row r="23" spans="2:8" x14ac:dyDescent="0.25">
      <c r="C23" t="s">
        <v>174</v>
      </c>
      <c r="D23" t="s">
        <v>179</v>
      </c>
      <c r="E23" t="s">
        <v>250</v>
      </c>
      <c r="F23" t="s">
        <v>249</v>
      </c>
    </row>
    <row r="24" spans="2:8" ht="18" x14ac:dyDescent="0.35">
      <c r="B24" t="s">
        <v>190</v>
      </c>
      <c r="C24" s="2">
        <v>0</v>
      </c>
      <c r="D24" s="2">
        <v>1</v>
      </c>
      <c r="E24" s="2">
        <v>1</v>
      </c>
      <c r="F24" s="2">
        <v>1</v>
      </c>
    </row>
    <row r="25" spans="2:8" ht="18" x14ac:dyDescent="0.35">
      <c r="B25" t="s">
        <v>251</v>
      </c>
      <c r="C25" s="2">
        <v>0</v>
      </c>
      <c r="D25" s="2">
        <v>0</v>
      </c>
      <c r="E25" s="2">
        <v>-2</v>
      </c>
      <c r="F25" s="2">
        <v>-2</v>
      </c>
    </row>
    <row r="26" spans="2:8" ht="18" x14ac:dyDescent="0.35">
      <c r="B26" s="15" t="s">
        <v>252</v>
      </c>
      <c r="C26" s="11">
        <v>0</v>
      </c>
      <c r="D26" s="11">
        <v>0</v>
      </c>
      <c r="E26" s="11">
        <v>0</v>
      </c>
      <c r="F26" s="11">
        <v>1</v>
      </c>
    </row>
    <row r="27" spans="2:8" x14ac:dyDescent="0.25">
      <c r="B27" t="s">
        <v>33</v>
      </c>
      <c r="C27" s="2">
        <f>SUM(C24:C26)</f>
        <v>0</v>
      </c>
      <c r="D27" s="2">
        <f t="shared" ref="D27:F27" si="5">SUM(D24:D26)</f>
        <v>1</v>
      </c>
      <c r="E27" s="2">
        <f t="shared" si="5"/>
        <v>-1</v>
      </c>
      <c r="F27" s="2">
        <f t="shared" si="5"/>
        <v>0</v>
      </c>
    </row>
    <row r="29" spans="2:8" x14ac:dyDescent="0.25">
      <c r="C29" t="s">
        <v>174</v>
      </c>
      <c r="D29" t="s">
        <v>179</v>
      </c>
      <c r="E29" t="s">
        <v>250</v>
      </c>
      <c r="F29" t="s">
        <v>249</v>
      </c>
    </row>
    <row r="30" spans="2:8" ht="18" x14ac:dyDescent="0.35">
      <c r="B30" t="s">
        <v>186</v>
      </c>
      <c r="C30" s="2">
        <v>-1</v>
      </c>
      <c r="D30" s="2">
        <v>0</v>
      </c>
      <c r="E30" s="2">
        <v>0</v>
      </c>
      <c r="F30" s="2">
        <v>0</v>
      </c>
    </row>
    <row r="31" spans="2:8" ht="18" x14ac:dyDescent="0.35">
      <c r="B31" t="s">
        <v>253</v>
      </c>
      <c r="C31" s="2">
        <v>2</v>
      </c>
      <c r="D31" s="2">
        <v>2</v>
      </c>
      <c r="E31" s="2">
        <v>0</v>
      </c>
      <c r="F31" s="2">
        <v>0</v>
      </c>
    </row>
    <row r="32" spans="2:8" ht="18" x14ac:dyDescent="0.35">
      <c r="B32" s="15" t="s">
        <v>254</v>
      </c>
      <c r="C32" s="11">
        <v>-1</v>
      </c>
      <c r="D32" s="11">
        <v>-1</v>
      </c>
      <c r="E32" s="11">
        <v>-1</v>
      </c>
      <c r="F32" s="11">
        <v>0</v>
      </c>
    </row>
    <row r="33" spans="1:7" x14ac:dyDescent="0.25">
      <c r="B33" t="s">
        <v>33</v>
      </c>
      <c r="C33" s="2">
        <f>SUM(C30:C32)</f>
        <v>0</v>
      </c>
      <c r="D33" s="2">
        <f t="shared" ref="D33" si="6">SUM(D30:D32)</f>
        <v>1</v>
      </c>
      <c r="E33" s="2">
        <f t="shared" ref="E33" si="7">SUM(E30:E32)</f>
        <v>-1</v>
      </c>
      <c r="F33" s="2">
        <f t="shared" ref="F33" si="8">SUM(F30:F32)</f>
        <v>0</v>
      </c>
    </row>
    <row r="35" spans="1:7" x14ac:dyDescent="0.25">
      <c r="D35" s="1" t="s">
        <v>255</v>
      </c>
    </row>
    <row r="36" spans="1:7" ht="18" x14ac:dyDescent="0.35">
      <c r="D36" s="6" t="s">
        <v>256</v>
      </c>
    </row>
    <row r="38" spans="1:7" x14ac:dyDescent="0.25">
      <c r="A38" s="14" t="s">
        <v>257</v>
      </c>
      <c r="B38" s="14"/>
      <c r="C38" s="14"/>
      <c r="D38" s="14"/>
      <c r="E38" s="14"/>
    </row>
    <row r="40" spans="1:7" x14ac:dyDescent="0.25">
      <c r="C40" s="1" t="s">
        <v>258</v>
      </c>
      <c r="D40" s="1" t="s">
        <v>259</v>
      </c>
      <c r="E40" s="1" t="s">
        <v>260</v>
      </c>
      <c r="F40" s="1" t="s">
        <v>261</v>
      </c>
    </row>
    <row r="41" spans="1:7" ht="18" x14ac:dyDescent="0.35">
      <c r="B41" t="s">
        <v>262</v>
      </c>
      <c r="C41" s="2">
        <v>0</v>
      </c>
      <c r="D41" s="2" t="s">
        <v>265</v>
      </c>
      <c r="E41" s="2" t="s">
        <v>265</v>
      </c>
      <c r="F41" s="2" t="s">
        <v>265</v>
      </c>
    </row>
    <row r="42" spans="1:7" ht="18" x14ac:dyDescent="0.35">
      <c r="B42" t="s">
        <v>263</v>
      </c>
      <c r="C42" s="2">
        <v>0</v>
      </c>
      <c r="D42" s="2">
        <v>0</v>
      </c>
      <c r="E42" t="s">
        <v>266</v>
      </c>
      <c r="F42" s="2" t="s">
        <v>266</v>
      </c>
    </row>
    <row r="43" spans="1:7" ht="18" x14ac:dyDescent="0.35">
      <c r="B43" s="15" t="s">
        <v>264</v>
      </c>
      <c r="C43" s="11">
        <v>0</v>
      </c>
      <c r="D43" s="11">
        <v>0</v>
      </c>
      <c r="E43" s="2">
        <v>0</v>
      </c>
      <c r="F43" s="11" t="s">
        <v>267</v>
      </c>
    </row>
    <row r="44" spans="1:7" x14ac:dyDescent="0.25">
      <c r="B44" s="3" t="s">
        <v>181</v>
      </c>
      <c r="C44" s="32">
        <f>SUM(C41:C43)</f>
        <v>0</v>
      </c>
      <c r="D44" s="32" t="s">
        <v>265</v>
      </c>
      <c r="E44" s="47" t="s">
        <v>268</v>
      </c>
      <c r="F44" s="32">
        <v>0</v>
      </c>
    </row>
    <row r="45" spans="1:7" x14ac:dyDescent="0.25">
      <c r="C45" s="2"/>
      <c r="D45" s="2"/>
      <c r="E45" s="2"/>
    </row>
    <row r="46" spans="1:7" x14ac:dyDescent="0.25">
      <c r="B46" t="s">
        <v>19</v>
      </c>
      <c r="C46" s="2">
        <f>-B4+2*B6-B8</f>
        <v>0</v>
      </c>
      <c r="D46" s="2"/>
      <c r="E46" s="2"/>
    </row>
    <row r="47" spans="1:7" x14ac:dyDescent="0.25">
      <c r="C47" s="2"/>
      <c r="D47" s="2"/>
      <c r="E47" s="2"/>
      <c r="G47" s="2"/>
    </row>
    <row r="48" spans="1:7" x14ac:dyDescent="0.25">
      <c r="C48" s="42" t="s">
        <v>258</v>
      </c>
      <c r="D48" s="42" t="s">
        <v>259</v>
      </c>
      <c r="E48" s="42" t="s">
        <v>260</v>
      </c>
      <c r="F48" s="42" t="s">
        <v>261</v>
      </c>
    </row>
    <row r="49" spans="2:10" x14ac:dyDescent="0.25">
      <c r="B49" s="3" t="s">
        <v>196</v>
      </c>
      <c r="C49" s="32">
        <f>C44+C46*B10</f>
        <v>0</v>
      </c>
      <c r="D49" s="32" t="s">
        <v>265</v>
      </c>
      <c r="E49" s="32" t="s">
        <v>268</v>
      </c>
      <c r="F49" s="32">
        <v>0</v>
      </c>
    </row>
    <row r="51" spans="2:10" x14ac:dyDescent="0.25">
      <c r="B51" t="s">
        <v>269</v>
      </c>
      <c r="C51" s="2">
        <f>C490</f>
        <v>0</v>
      </c>
      <c r="D51" s="2">
        <v>0</v>
      </c>
      <c r="E51" s="2">
        <v>0</v>
      </c>
      <c r="F51" s="2">
        <f>MIN(F49)</f>
        <v>0</v>
      </c>
    </row>
    <row r="52" spans="2:10" x14ac:dyDescent="0.25">
      <c r="B52" t="s">
        <v>270</v>
      </c>
      <c r="C52" s="2">
        <f>C49</f>
        <v>0</v>
      </c>
      <c r="D52" s="2">
        <v>10</v>
      </c>
      <c r="E52" s="2">
        <v>10</v>
      </c>
      <c r="F52" s="2">
        <f>MAX(F49)</f>
        <v>0</v>
      </c>
    </row>
    <row r="54" spans="2:10" x14ac:dyDescent="0.25">
      <c r="B54" s="28" t="s">
        <v>271</v>
      </c>
      <c r="C54" s="28"/>
      <c r="D54" s="28"/>
      <c r="E54" s="28"/>
      <c r="F54" s="28"/>
      <c r="G54" s="28"/>
      <c r="H54" s="28"/>
      <c r="I54" s="28"/>
      <c r="J54" s="28"/>
    </row>
    <row r="55" spans="2:10" x14ac:dyDescent="0.25">
      <c r="B55" s="28" t="s">
        <v>272</v>
      </c>
      <c r="C55" s="28"/>
      <c r="D55" s="28"/>
      <c r="E55" s="28"/>
      <c r="F55" s="28"/>
      <c r="G55" s="28"/>
      <c r="H55" s="28"/>
      <c r="I55" s="28"/>
      <c r="J55" s="2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Problem4.1.</vt:lpstr>
      <vt:lpstr>Problem4.2.</vt:lpstr>
      <vt:lpstr>Problem4.3.</vt:lpstr>
      <vt:lpstr>Problem4.4.</vt:lpstr>
      <vt:lpstr>Problem4.5.</vt:lpstr>
      <vt:lpstr>Problem4.6.</vt:lpstr>
      <vt:lpstr>Problem4.7.</vt:lpstr>
      <vt:lpstr>Problem4.8.</vt:lpstr>
      <vt:lpstr>Problem4.9.</vt:lpstr>
      <vt:lpstr>Problem4.10.</vt:lpstr>
      <vt:lpstr>Problem4.11.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User</cp:lastModifiedBy>
  <dcterms:created xsi:type="dcterms:W3CDTF">2022-11-20T20:31:47Z</dcterms:created>
  <dcterms:modified xsi:type="dcterms:W3CDTF">2022-11-29T19:33:13Z</dcterms:modified>
</cp:coreProperties>
</file>