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nvestments\2022\"/>
    </mc:Choice>
  </mc:AlternateContent>
  <xr:revisionPtr revIDLastSave="0" documentId="13_ncr:1_{04951657-53D2-499A-BEF9-0339BE6A8935}" xr6:coauthVersionLast="47" xr6:coauthVersionMax="47" xr10:uidLastSave="{00000000-0000-0000-0000-000000000000}"/>
  <bookViews>
    <workbookView xWindow="0" yWindow="0" windowWidth="14610" windowHeight="15300" xr2:uid="{739D0DF5-D7B1-4BCB-9FF6-D7C382FA4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I14" i="1"/>
  <c r="L9" i="1"/>
  <c r="K10" i="1"/>
  <c r="K11" i="1"/>
  <c r="K9" i="1"/>
  <c r="J11" i="1"/>
  <c r="J10" i="1"/>
  <c r="L10" i="1" s="1"/>
  <c r="J9" i="1"/>
  <c r="L11" i="1"/>
  <c r="I13" i="1"/>
  <c r="I10" i="1"/>
  <c r="I11" i="1"/>
  <c r="I9" i="1"/>
  <c r="H9" i="1"/>
  <c r="H10" i="1"/>
  <c r="H11" i="1"/>
  <c r="G11" i="1"/>
  <c r="G10" i="1"/>
  <c r="G9" i="1"/>
  <c r="F11" i="1"/>
  <c r="F10" i="1"/>
  <c r="F9" i="1"/>
  <c r="D15" i="1"/>
  <c r="D14" i="1"/>
  <c r="D13" i="1"/>
  <c r="D10" i="1"/>
  <c r="D11" i="1"/>
  <c r="D9" i="1"/>
  <c r="C10" i="1"/>
  <c r="C11" i="1"/>
  <c r="C9" i="1"/>
  <c r="B11" i="1"/>
  <c r="B10" i="1"/>
  <c r="B9" i="1"/>
  <c r="L13" i="1" l="1"/>
</calcChain>
</file>

<file path=xl/sharedStrings.xml><?xml version="1.0" encoding="utf-8"?>
<sst xmlns="http://schemas.openxmlformats.org/spreadsheetml/2006/main" count="29" uniqueCount="18">
  <si>
    <t>rEU</t>
  </si>
  <si>
    <t>rUSD</t>
  </si>
  <si>
    <t>S0</t>
  </si>
  <si>
    <t>rfix</t>
  </si>
  <si>
    <t>N_IRS</t>
  </si>
  <si>
    <t>IRS valuation bond method</t>
  </si>
  <si>
    <t>thousand USD</t>
  </si>
  <si>
    <t>CF</t>
  </si>
  <si>
    <t>DF</t>
  </si>
  <si>
    <t>PV(CF)</t>
  </si>
  <si>
    <t>fix bond</t>
  </si>
  <si>
    <t>floater</t>
  </si>
  <si>
    <t>IRS</t>
  </si>
  <si>
    <t>CCS valuation bond method</t>
  </si>
  <si>
    <t>N</t>
  </si>
  <si>
    <t>EUR</t>
  </si>
  <si>
    <t>USD</t>
  </si>
  <si>
    <t>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</si>
</sst>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"/>
  </numFmts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727B-5ABD-4FB4-900B-ED603675BE34}">
  <dimension ref="A1:M15"/>
  <sheetViews>
    <sheetView tabSelected="1" zoomScale="115" zoomScaleNormal="115" workbookViewId="0">
      <selection activeCell="H16" sqref="H16"/>
    </sheetView>
  </sheetViews>
  <sheetFormatPr defaultColWidth="8.28515625" defaultRowHeight="15" x14ac:dyDescent="0.25"/>
  <cols>
    <col min="5" max="5" width="8.28515625" style="4"/>
  </cols>
  <sheetData>
    <row r="1" spans="1:13" x14ac:dyDescent="0.25">
      <c r="A1" t="s">
        <v>0</v>
      </c>
      <c r="B1" s="1">
        <v>0.05</v>
      </c>
      <c r="G1" t="s">
        <v>15</v>
      </c>
      <c r="J1" t="s">
        <v>16</v>
      </c>
    </row>
    <row r="2" spans="1:13" x14ac:dyDescent="0.25">
      <c r="A2" t="s">
        <v>1</v>
      </c>
      <c r="B2" s="1">
        <v>0.06</v>
      </c>
      <c r="F2" t="s">
        <v>14</v>
      </c>
      <c r="G2">
        <v>10000</v>
      </c>
      <c r="J2">
        <v>12000</v>
      </c>
    </row>
    <row r="3" spans="1:13" x14ac:dyDescent="0.25">
      <c r="A3" t="s">
        <v>2</v>
      </c>
      <c r="B3">
        <v>1.1000000000000001</v>
      </c>
      <c r="F3" t="s">
        <v>3</v>
      </c>
      <c r="G3" s="1">
        <v>0.03</v>
      </c>
      <c r="J3" s="1">
        <v>0.05</v>
      </c>
    </row>
    <row r="4" spans="1:13" x14ac:dyDescent="0.25">
      <c r="A4" t="s">
        <v>3</v>
      </c>
      <c r="B4" s="1">
        <v>0.04</v>
      </c>
    </row>
    <row r="5" spans="1:13" x14ac:dyDescent="0.25">
      <c r="A5" t="s">
        <v>4</v>
      </c>
      <c r="B5">
        <v>10000</v>
      </c>
      <c r="C5" t="s">
        <v>6</v>
      </c>
    </row>
    <row r="7" spans="1:13" x14ac:dyDescent="0.25">
      <c r="A7" t="s">
        <v>5</v>
      </c>
      <c r="F7" t="s">
        <v>13</v>
      </c>
    </row>
    <row r="8" spans="1:13" x14ac:dyDescent="0.25">
      <c r="B8" t="s">
        <v>7</v>
      </c>
      <c r="C8" t="s">
        <v>8</v>
      </c>
      <c r="D8" t="s">
        <v>9</v>
      </c>
      <c r="G8" t="s">
        <v>7</v>
      </c>
      <c r="H8" t="s">
        <v>8</v>
      </c>
      <c r="I8" t="s">
        <v>9</v>
      </c>
      <c r="J8" t="s">
        <v>7</v>
      </c>
      <c r="K8" t="s">
        <v>8</v>
      </c>
      <c r="L8" t="s">
        <v>9</v>
      </c>
    </row>
    <row r="9" spans="1:13" x14ac:dyDescent="0.25">
      <c r="A9">
        <v>1</v>
      </c>
      <c r="B9">
        <f>$B$5*$B$4</f>
        <v>400</v>
      </c>
      <c r="C9">
        <f>1/(1+$B$2)^A9</f>
        <v>0.94339622641509424</v>
      </c>
      <c r="D9">
        <f>B9*C9</f>
        <v>377.35849056603769</v>
      </c>
      <c r="F9">
        <f>3/12</f>
        <v>0.25</v>
      </c>
      <c r="G9">
        <f>$G$2*$G$3</f>
        <v>300</v>
      </c>
      <c r="H9" s="2">
        <f>1/(1+$B$1)^F9</f>
        <v>0.98787654742307407</v>
      </c>
      <c r="I9" s="3">
        <f>G9*H9</f>
        <v>296.3629642269222</v>
      </c>
      <c r="J9">
        <f>$J$2*$J$3</f>
        <v>600</v>
      </c>
      <c r="K9" s="2">
        <f>1/(1+$B$2)^F9</f>
        <v>0.98553836168728826</v>
      </c>
      <c r="L9" s="3">
        <f>J9*K9</f>
        <v>591.32301701237293</v>
      </c>
    </row>
    <row r="10" spans="1:13" x14ac:dyDescent="0.25">
      <c r="A10">
        <v>2</v>
      </c>
      <c r="B10">
        <f t="shared" ref="B10:B11" si="0">$B$5*$B$4</f>
        <v>400</v>
      </c>
      <c r="C10">
        <f t="shared" ref="C10:C11" si="1">1/(1+$B$2)^A10</f>
        <v>0.88999644001423983</v>
      </c>
      <c r="D10">
        <f t="shared" ref="D10:D11" si="2">B10*C10</f>
        <v>355.99857600569595</v>
      </c>
      <c r="F10">
        <f>15/12</f>
        <v>1.25</v>
      </c>
      <c r="G10">
        <f t="shared" ref="G10:G11" si="3">$G$2*$G$3</f>
        <v>300</v>
      </c>
      <c r="H10" s="2">
        <f t="shared" ref="H10:H11" si="4">1/(1+$B$1)^F10</f>
        <v>0.94083480706959433</v>
      </c>
      <c r="I10" s="3">
        <f t="shared" ref="I10:I11" si="5">G10*H10</f>
        <v>282.25044212087829</v>
      </c>
      <c r="J10">
        <f t="shared" ref="J10:J11" si="6">$J$2*$J$3</f>
        <v>600</v>
      </c>
      <c r="K10" s="2">
        <f t="shared" ref="K10:K11" si="7">1/(1+$B$2)^F10</f>
        <v>0.9297531714031021</v>
      </c>
      <c r="L10" s="3">
        <f t="shared" ref="L10:L11" si="8">J10*K10</f>
        <v>557.85190284186126</v>
      </c>
    </row>
    <row r="11" spans="1:13" x14ac:dyDescent="0.25">
      <c r="A11">
        <v>3</v>
      </c>
      <c r="B11">
        <f>$B$5*$B$4+$B$5</f>
        <v>10400</v>
      </c>
      <c r="C11">
        <f t="shared" si="1"/>
        <v>0.8396192830323016</v>
      </c>
      <c r="D11">
        <f t="shared" si="2"/>
        <v>8732.0405435359371</v>
      </c>
      <c r="F11">
        <f>27/12</f>
        <v>2.25</v>
      </c>
      <c r="G11">
        <f>$G$2*$G$3+$G$2</f>
        <v>10300</v>
      </c>
      <c r="H11" s="2">
        <f t="shared" si="4"/>
        <v>0.89603314959008973</v>
      </c>
      <c r="I11" s="3">
        <f t="shared" si="5"/>
        <v>9229.1414407779248</v>
      </c>
      <c r="J11">
        <f>$J$2*$J$3+$J$2</f>
        <v>12600</v>
      </c>
      <c r="K11" s="2">
        <f t="shared" si="7"/>
        <v>0.87712563339915284</v>
      </c>
      <c r="L11" s="3">
        <f t="shared" si="8"/>
        <v>11051.782980829326</v>
      </c>
    </row>
    <row r="12" spans="1:13" x14ac:dyDescent="0.25">
      <c r="I12" s="3"/>
      <c r="L12" s="3"/>
    </row>
    <row r="13" spans="1:13" x14ac:dyDescent="0.25">
      <c r="C13" t="s">
        <v>10</v>
      </c>
      <c r="D13">
        <f>SUM(D9:D11)</f>
        <v>9465.3976101076714</v>
      </c>
      <c r="I13" s="3">
        <f>SUM(I9:I11)</f>
        <v>9807.7548471257251</v>
      </c>
      <c r="J13" t="s">
        <v>15</v>
      </c>
      <c r="L13" s="3">
        <f>SUM(L9:L11)</f>
        <v>12200.957900683561</v>
      </c>
      <c r="M13" t="s">
        <v>16</v>
      </c>
    </row>
    <row r="14" spans="1:13" x14ac:dyDescent="0.25">
      <c r="C14" t="s">
        <v>11</v>
      </c>
      <c r="D14">
        <f>B5</f>
        <v>10000</v>
      </c>
      <c r="I14">
        <f>I13*B3</f>
        <v>10788.530331838298</v>
      </c>
      <c r="J14" t="s">
        <v>16</v>
      </c>
      <c r="K14" t="s">
        <v>17</v>
      </c>
      <c r="L14" s="3">
        <f>L13-I14</f>
        <v>1412.4275688452635</v>
      </c>
      <c r="M14" t="s">
        <v>16</v>
      </c>
    </row>
    <row r="15" spans="1:13" x14ac:dyDescent="0.25">
      <c r="C15" t="s">
        <v>12</v>
      </c>
      <c r="D15" s="3">
        <f>D14-D13</f>
        <v>534.60238989232857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Bihary  Zsolt</dc:creator>
  <cp:lastModifiedBy>Bihary  Zsolt</cp:lastModifiedBy>
  <dcterms:created xsi:type="dcterms:W3CDTF">2023-12-04T20:43:34Z</dcterms:created>
  <dcterms:modified xsi:type="dcterms:W3CDTF">2023-12-04T21:26:16Z</dcterms:modified>
</cp:coreProperties>
</file>