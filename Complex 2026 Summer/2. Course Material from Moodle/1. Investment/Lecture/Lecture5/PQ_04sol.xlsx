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nvestments\2023\"/>
    </mc:Choice>
  </mc:AlternateContent>
  <xr:revisionPtr revIDLastSave="0" documentId="13_ncr:1_{22CE437C-4823-4B03-9F60-F42067C42CC1}" xr6:coauthVersionLast="47" xr6:coauthVersionMax="47" xr10:uidLastSave="{00000000-0000-0000-0000-000000000000}"/>
  <bookViews>
    <workbookView xWindow="12945" yWindow="0" windowWidth="15960" windowHeight="15585" xr2:uid="{96159F9C-9A39-4AB5-B9D3-19AB3E8FA7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21" i="1"/>
  <c r="L17" i="1"/>
  <c r="L18" i="1"/>
  <c r="L19" i="1"/>
  <c r="L16" i="1"/>
  <c r="K17" i="1"/>
  <c r="K18" i="1"/>
  <c r="K19" i="1"/>
  <c r="K16" i="1"/>
  <c r="L14" i="1"/>
  <c r="I14" i="1"/>
  <c r="G17" i="1"/>
  <c r="G18" i="1"/>
  <c r="G19" i="1"/>
  <c r="G16" i="1"/>
  <c r="F17" i="1"/>
  <c r="H17" i="1" s="1"/>
  <c r="I17" i="1" s="1"/>
  <c r="F18" i="1"/>
  <c r="H18" i="1" s="1"/>
  <c r="I18" i="1" s="1"/>
  <c r="F19" i="1"/>
  <c r="H19" i="1" s="1"/>
  <c r="I19" i="1" s="1"/>
  <c r="F16" i="1"/>
  <c r="H16" i="1" s="1"/>
  <c r="I16" i="1" s="1"/>
  <c r="B8" i="1"/>
  <c r="F5" i="1" s="1"/>
  <c r="I22" i="1" l="1"/>
  <c r="I21" i="1"/>
  <c r="G8" i="1"/>
  <c r="G7" i="1"/>
</calcChain>
</file>

<file path=xl/sharedStrings.xml><?xml version="1.0" encoding="utf-8"?>
<sst xmlns="http://schemas.openxmlformats.org/spreadsheetml/2006/main" count="31" uniqueCount="25">
  <si>
    <t>S0</t>
  </si>
  <si>
    <t>K</t>
  </si>
  <si>
    <t>c</t>
  </si>
  <si>
    <t>r</t>
  </si>
  <si>
    <t>Problem 1.</t>
  </si>
  <si>
    <t>DF</t>
  </si>
  <si>
    <t>T</t>
  </si>
  <si>
    <t>p = c - S0 + DF*K</t>
  </si>
  <si>
    <t>put-call parity: c - p = S0 - DF*K</t>
  </si>
  <si>
    <t xml:space="preserve">p = </t>
  </si>
  <si>
    <t>If market p =</t>
  </si>
  <si>
    <t>Problem 2.</t>
  </si>
  <si>
    <t>ST</t>
  </si>
  <si>
    <t>payoff</t>
  </si>
  <si>
    <t>c(40)</t>
  </si>
  <si>
    <t>c(45)</t>
  </si>
  <si>
    <t>cost</t>
  </si>
  <si>
    <t>max</t>
  </si>
  <si>
    <t>min</t>
  </si>
  <si>
    <t>Bull</t>
  </si>
  <si>
    <t>BullProfit</t>
  </si>
  <si>
    <t>Bullspread = c(40) - c(45)</t>
  </si>
  <si>
    <t>Bear</t>
  </si>
  <si>
    <t>BearProfit</t>
  </si>
  <si>
    <t>Bearspread = c(45) - c(40)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</si>
</sst>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9" fontId="0" fillId="2" borderId="0" xfId="0" applyNumberFormat="1" applyFill="1"/>
    <xf numFmtId="167" fontId="0" fillId="3" borderId="0" xfId="0" applyNumberFormat="1" applyFill="1"/>
    <xf numFmtId="2" fontId="0" fillId="3" borderId="0" xfId="0" applyNumberFormat="1" applyFill="1"/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Sheet1!$I$15</c:f>
              <c:strCache>
                <c:ptCount val="1"/>
                <c:pt idx="0">
                  <c:v>BullProfit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Sheet1!$E$16:$E$19</c:f>
              <c:numCache>
                <c:formatCode>General</c:formatCode>
                <c:ptCount val="4"/>
                <c:pt idx="0">
                  <c:v>35</c:v>
                </c:pt>
                <c:pt idx="1">
                  <c:v>40</c:v>
                </c:pt>
                <c:pt idx="2">
                  <c:v>45</c:v>
                </c:pt>
                <c:pt idx="3">
                  <c:v>50</c:v>
                </c:pt>
              </c:numCache>
            </c:numRef>
          </c:xVal>
          <c:yVal>
            <c:numRef>
              <c:f>Sheet1!$I$16:$I$19</c:f>
              <c:numCache>
                <c:formatCode>General</c:formatCode>
                <c:ptCount val="4"/>
                <c:pt idx="0">
                  <c:v>-2</c:v>
                </c:pt>
                <c:pt idx="1">
                  <c:v>-2</c:v>
                </c:pt>
                <c:pt idx="2">
                  <c:v>3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0B-4E4D-B52E-1D9466937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771776"/>
        <c:axId val="1372314320"/>
      </c:scatterChart>
      <c:valAx>
        <c:axId val="1363771776"/>
        <c:scaling>
          <c:orientation val="minMax"/>
          <c:max val="50"/>
          <c:min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72314320"/>
        <c:crosses val="autoZero"/>
        <c:crossBetween val="midCat"/>
        <c:majorUnit val="5"/>
      </c:valAx>
      <c:valAx>
        <c:axId val="137231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63771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Sheet1!$L$15</c:f>
              <c:strCache>
                <c:ptCount val="1"/>
                <c:pt idx="0">
                  <c:v>BearProfit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Sheet1!$E$16:$E$19</c:f>
              <c:numCache>
                <c:formatCode>General</c:formatCode>
                <c:ptCount val="4"/>
                <c:pt idx="0">
                  <c:v>35</c:v>
                </c:pt>
                <c:pt idx="1">
                  <c:v>40</c:v>
                </c:pt>
                <c:pt idx="2">
                  <c:v>45</c:v>
                </c:pt>
                <c:pt idx="3">
                  <c:v>50</c:v>
                </c:pt>
              </c:numCache>
            </c:numRef>
          </c:xVal>
          <c:yVal>
            <c:numRef>
              <c:f>Sheet1!$L$16:$L$19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-3</c:v>
                </c:pt>
                <c:pt idx="3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E4-420B-B0D0-F82616571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771776"/>
        <c:axId val="1372314320"/>
      </c:scatterChart>
      <c:valAx>
        <c:axId val="1363771776"/>
        <c:scaling>
          <c:orientation val="minMax"/>
          <c:max val="50"/>
          <c:min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72314320"/>
        <c:crosses val="autoZero"/>
        <c:crossBetween val="midCat"/>
        <c:majorUnit val="5"/>
      </c:valAx>
      <c:valAx>
        <c:axId val="137231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63771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22</xdr:row>
      <xdr:rowOff>90487</xdr:rowOff>
    </xdr:from>
    <xdr:to>
      <xdr:col>7</xdr:col>
      <xdr:colOff>419100</xdr:colOff>
      <xdr:row>36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388DC1-B09C-D064-0D01-BDFA65B35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485775</xdr:colOff>
      <xdr:row>22</xdr:row>
      <xdr:rowOff>85725</xdr:rowOff>
    </xdr:from>
    <xdr:to>
      <xdr:col>15</xdr:col>
      <xdr:colOff>180975</xdr:colOff>
      <xdr:row>36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350F79-A8ED-4DFF-AE6F-7A0D10C3E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9309-CE6A-4FE7-A17D-262821D19C00}">
  <dimension ref="A1:L22"/>
  <sheetViews>
    <sheetView tabSelected="1" workbookViewId="0">
      <selection activeCell="E11" sqref="E11"/>
    </sheetView>
  </sheetViews>
  <sheetFormatPr defaultRowHeight="15" x14ac:dyDescent="0.25"/>
  <cols>
    <col min="2" max="2" width="9.5703125" bestFit="1" customWidth="1"/>
  </cols>
  <sheetData>
    <row r="1" spans="1:12" x14ac:dyDescent="0.25">
      <c r="A1" s="5" t="s">
        <v>4</v>
      </c>
      <c r="B1" s="5"/>
    </row>
    <row r="3" spans="1:12" x14ac:dyDescent="0.25">
      <c r="A3" t="s">
        <v>0</v>
      </c>
      <c r="B3" s="1">
        <v>39</v>
      </c>
      <c r="E3" t="s">
        <v>8</v>
      </c>
    </row>
    <row r="4" spans="1:12" x14ac:dyDescent="0.25">
      <c r="A4" t="s">
        <v>1</v>
      </c>
      <c r="B4" s="1">
        <v>40</v>
      </c>
      <c r="E4" t="s">
        <v>7</v>
      </c>
    </row>
    <row r="5" spans="1:12" x14ac:dyDescent="0.25">
      <c r="A5" t="s">
        <v>2</v>
      </c>
      <c r="B5" s="1">
        <v>3</v>
      </c>
      <c r="E5" t="s">
        <v>9</v>
      </c>
      <c r="F5" s="4">
        <f>B5-B3+B8*B4</f>
        <v>3.207946932270211</v>
      </c>
    </row>
    <row r="6" spans="1:12" x14ac:dyDescent="0.25">
      <c r="A6" t="s">
        <v>3</v>
      </c>
      <c r="B6" s="2">
        <v>0.04</v>
      </c>
    </row>
    <row r="7" spans="1:12" x14ac:dyDescent="0.25">
      <c r="A7" t="s">
        <v>6</v>
      </c>
      <c r="B7" s="1">
        <v>0.5</v>
      </c>
      <c r="D7" t="s">
        <v>10</v>
      </c>
      <c r="F7" s="1">
        <v>3</v>
      </c>
      <c r="G7" s="4">
        <f>F5-F7</f>
        <v>0.20794693227021099</v>
      </c>
    </row>
    <row r="8" spans="1:12" x14ac:dyDescent="0.25">
      <c r="A8" t="s">
        <v>5</v>
      </c>
      <c r="B8" s="3">
        <f>EXP(-B6*B7)</f>
        <v>0.98019867330675525</v>
      </c>
      <c r="D8" t="s">
        <v>10</v>
      </c>
      <c r="F8" s="1">
        <v>4</v>
      </c>
      <c r="G8" s="4">
        <f>F8-F5</f>
        <v>0.79205306772978901</v>
      </c>
    </row>
    <row r="11" spans="1:12" x14ac:dyDescent="0.25">
      <c r="A11" s="5" t="s">
        <v>11</v>
      </c>
      <c r="B11" s="5"/>
    </row>
    <row r="12" spans="1:12" x14ac:dyDescent="0.25">
      <c r="H12" t="s">
        <v>21</v>
      </c>
      <c r="K12" t="s">
        <v>24</v>
      </c>
    </row>
    <row r="13" spans="1:12" x14ac:dyDescent="0.25">
      <c r="I13" t="s">
        <v>16</v>
      </c>
      <c r="L13" t="s">
        <v>16</v>
      </c>
    </row>
    <row r="14" spans="1:12" x14ac:dyDescent="0.25">
      <c r="F14" t="s">
        <v>13</v>
      </c>
      <c r="I14">
        <f>B16-C16</f>
        <v>2</v>
      </c>
      <c r="L14">
        <f>C16-B16</f>
        <v>-2</v>
      </c>
    </row>
    <row r="15" spans="1:12" x14ac:dyDescent="0.25">
      <c r="A15" t="s">
        <v>1</v>
      </c>
      <c r="B15" s="1">
        <v>40</v>
      </c>
      <c r="C15" s="1">
        <v>45</v>
      </c>
      <c r="E15" t="s">
        <v>12</v>
      </c>
      <c r="F15" t="s">
        <v>14</v>
      </c>
      <c r="G15" t="s">
        <v>15</v>
      </c>
      <c r="H15" t="s">
        <v>19</v>
      </c>
      <c r="I15" t="s">
        <v>20</v>
      </c>
      <c r="K15" t="s">
        <v>22</v>
      </c>
      <c r="L15" t="s">
        <v>23</v>
      </c>
    </row>
    <row r="16" spans="1:12" x14ac:dyDescent="0.25">
      <c r="A16" t="s">
        <v>2</v>
      </c>
      <c r="B16" s="1">
        <v>8</v>
      </c>
      <c r="C16" s="1">
        <v>6</v>
      </c>
      <c r="E16" s="1">
        <v>35</v>
      </c>
      <c r="F16">
        <f>MAX(0,$E16-B$15)</f>
        <v>0</v>
      </c>
      <c r="G16">
        <f>MAX(0,$E16-C$15)</f>
        <v>0</v>
      </c>
      <c r="H16">
        <f>F16-G16</f>
        <v>0</v>
      </c>
      <c r="I16" s="6">
        <f>H16-I$14</f>
        <v>-2</v>
      </c>
      <c r="K16">
        <f>G16-F16</f>
        <v>0</v>
      </c>
      <c r="L16" s="6">
        <f>K16-L$14</f>
        <v>2</v>
      </c>
    </row>
    <row r="17" spans="5:12" x14ac:dyDescent="0.25">
      <c r="E17" s="1">
        <v>40</v>
      </c>
      <c r="F17">
        <f>MAX(0,$E17-B$15)</f>
        <v>0</v>
      </c>
      <c r="G17">
        <f>MAX(0,$E17-C$15)</f>
        <v>0</v>
      </c>
      <c r="H17">
        <f t="shared" ref="H17:H19" si="0">F17-G17</f>
        <v>0</v>
      </c>
      <c r="I17" s="6">
        <f t="shared" ref="I17:I19" si="1">H17-I$14</f>
        <v>-2</v>
      </c>
      <c r="K17">
        <f t="shared" ref="K17:K19" si="2">G17-F17</f>
        <v>0</v>
      </c>
      <c r="L17" s="6">
        <f t="shared" ref="L17:L19" si="3">K17-L$14</f>
        <v>2</v>
      </c>
    </row>
    <row r="18" spans="5:12" x14ac:dyDescent="0.25">
      <c r="E18" s="1">
        <v>45</v>
      </c>
      <c r="F18">
        <f>MAX(0,$E18-B$15)</f>
        <v>5</v>
      </c>
      <c r="G18">
        <f>MAX(0,$E18-C$15)</f>
        <v>0</v>
      </c>
      <c r="H18">
        <f t="shared" si="0"/>
        <v>5</v>
      </c>
      <c r="I18" s="6">
        <f t="shared" si="1"/>
        <v>3</v>
      </c>
      <c r="K18">
        <f t="shared" si="2"/>
        <v>-5</v>
      </c>
      <c r="L18" s="6">
        <f t="shared" si="3"/>
        <v>-3</v>
      </c>
    </row>
    <row r="19" spans="5:12" x14ac:dyDescent="0.25">
      <c r="E19" s="1">
        <v>50</v>
      </c>
      <c r="F19">
        <f>MAX(0,$E19-B$15)</f>
        <v>10</v>
      </c>
      <c r="G19">
        <f>MAX(0,$E19-C$15)</f>
        <v>5</v>
      </c>
      <c r="H19">
        <f t="shared" si="0"/>
        <v>5</v>
      </c>
      <c r="I19" s="6">
        <f t="shared" si="1"/>
        <v>3</v>
      </c>
      <c r="K19">
        <f t="shared" si="2"/>
        <v>-5</v>
      </c>
      <c r="L19" s="6">
        <f t="shared" si="3"/>
        <v>-3</v>
      </c>
    </row>
    <row r="21" spans="5:12" x14ac:dyDescent="0.25">
      <c r="H21" t="s">
        <v>17</v>
      </c>
      <c r="I21" s="6">
        <f>MAX(I16:I19)</f>
        <v>3</v>
      </c>
      <c r="K21" t="s">
        <v>17</v>
      </c>
      <c r="L21" s="6">
        <f>MAX(L16:L19)</f>
        <v>2</v>
      </c>
    </row>
    <row r="22" spans="5:12" x14ac:dyDescent="0.25">
      <c r="H22" t="s">
        <v>18</v>
      </c>
      <c r="I22" s="6">
        <f>MIN(I16:I19)</f>
        <v>-2</v>
      </c>
      <c r="K22" t="s">
        <v>18</v>
      </c>
      <c r="L22" s="6">
        <f>MIN(L16:L19)</f>
        <v>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Bihary  Zsolt</dc:creator>
  <cp:lastModifiedBy>Bihary  Zsolt</cp:lastModifiedBy>
  <dcterms:created xsi:type="dcterms:W3CDTF">2023-12-06T10:41:49Z</dcterms:created>
  <dcterms:modified xsi:type="dcterms:W3CDTF">2023-12-06T11:16:43Z</dcterms:modified>
</cp:coreProperties>
</file>