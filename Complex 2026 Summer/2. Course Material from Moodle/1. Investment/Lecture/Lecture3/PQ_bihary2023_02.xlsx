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User\Desktop\Investments\2023\"/>
    </mc:Choice>
  </mc:AlternateContent>
  <xr:revisionPtr revIDLastSave="0" documentId="13_ncr:1_{A7C76084-E8B2-4493-9311-991D77343E6D}" xr6:coauthVersionLast="47" xr6:coauthVersionMax="47" xr10:uidLastSave="{00000000-0000-0000-0000-000000000000}"/>
  <bookViews>
    <workbookView xWindow="0" yWindow="75" windowWidth="12840" windowHeight="15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H13" i="1"/>
  <c r="E9" i="1"/>
  <c r="E12" i="1" s="1"/>
  <c r="E10" i="1"/>
  <c r="E14" i="1" s="1"/>
  <c r="E8" i="1"/>
</calcChain>
</file>

<file path=xl/sharedStrings.xml><?xml version="1.0" encoding="utf-8"?>
<sst xmlns="http://schemas.openxmlformats.org/spreadsheetml/2006/main" count="24" uniqueCount="24">
  <si>
    <t>a year ago</t>
  </si>
  <si>
    <t>today</t>
  </si>
  <si>
    <t>r1</t>
  </si>
  <si>
    <t>r2</t>
  </si>
  <si>
    <t>S</t>
  </si>
  <si>
    <t>K</t>
  </si>
  <si>
    <t>forward price a year ago</t>
  </si>
  <si>
    <t>forward price today</t>
  </si>
  <si>
    <t>F</t>
  </si>
  <si>
    <t>1-year DF today</t>
  </si>
  <si>
    <t>DF</t>
  </si>
  <si>
    <t>N</t>
  </si>
  <si>
    <t>f = N*(F-K)*DF</t>
  </si>
  <si>
    <t>f = N*(S-K*DF)</t>
  </si>
  <si>
    <t>Problem 2</t>
  </si>
  <si>
    <t>This is for long position.</t>
  </si>
  <si>
    <t>For short position:</t>
  </si>
  <si>
    <t>Problem 3</t>
  </si>
  <si>
    <t>sigS</t>
  </si>
  <si>
    <t>sigF</t>
  </si>
  <si>
    <t>corr1</t>
  </si>
  <si>
    <t>corr2</t>
  </si>
  <si>
    <t>h*=corr1*sigS/sigF</t>
  </si>
  <si>
    <t>h*=corr2*sigS/sigF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</si>
</sst>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2" fontId="0" fillId="0" borderId="0" xfId="0" applyNumberFormat="1"/>
    <xf numFmtId="167" fontId="0" fillId="0" borderId="0" xfId="0" applyNumberFormat="1"/>
    <xf numFmtId="1" fontId="0" fillId="0" borderId="0" xfId="0" applyNumberFormat="1"/>
    <xf numFmtId="1" fontId="1" fillId="2" borderId="0" xfId="0" applyNumberFormat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G7" sqref="G7"/>
    </sheetView>
  </sheetViews>
  <sheetFormatPr defaultRowHeight="15" x14ac:dyDescent="0.25"/>
  <cols>
    <col min="1" max="1" width="9.85546875" bestFit="1" customWidth="1"/>
    <col min="5" max="5" width="10.28515625" bestFit="1" customWidth="1"/>
  </cols>
  <sheetData>
    <row r="1" spans="1:8" x14ac:dyDescent="0.25">
      <c r="A1" s="6" t="s">
        <v>14</v>
      </c>
    </row>
    <row r="3" spans="1:8" x14ac:dyDescent="0.25">
      <c r="B3" t="s">
        <v>2</v>
      </c>
      <c r="C3" t="s">
        <v>3</v>
      </c>
      <c r="D3" t="s">
        <v>4</v>
      </c>
    </row>
    <row r="4" spans="1:8" x14ac:dyDescent="0.25">
      <c r="A4" t="s">
        <v>0</v>
      </c>
      <c r="B4" s="1">
        <v>0.1</v>
      </c>
      <c r="C4" s="1">
        <v>0.12</v>
      </c>
      <c r="D4">
        <v>120</v>
      </c>
    </row>
    <row r="5" spans="1:8" x14ac:dyDescent="0.25">
      <c r="A5" t="s">
        <v>1</v>
      </c>
      <c r="B5" s="1">
        <v>0.09</v>
      </c>
      <c r="C5" s="1">
        <v>0.11</v>
      </c>
      <c r="D5">
        <v>130</v>
      </c>
    </row>
    <row r="6" spans="1:8" x14ac:dyDescent="0.25">
      <c r="A6" t="s">
        <v>11</v>
      </c>
      <c r="B6" s="4">
        <v>200</v>
      </c>
      <c r="C6" s="1"/>
    </row>
    <row r="8" spans="1:8" x14ac:dyDescent="0.25">
      <c r="A8" t="s">
        <v>6</v>
      </c>
      <c r="D8" t="s">
        <v>5</v>
      </c>
      <c r="E8" s="2">
        <f>D4*(1+C4)^2</f>
        <v>150.52800000000002</v>
      </c>
    </row>
    <row r="9" spans="1:8" x14ac:dyDescent="0.25">
      <c r="A9" t="s">
        <v>7</v>
      </c>
      <c r="D9" t="s">
        <v>8</v>
      </c>
      <c r="E9" s="2">
        <f>D5*(1+B5)</f>
        <v>141.70000000000002</v>
      </c>
    </row>
    <row r="10" spans="1:8" x14ac:dyDescent="0.25">
      <c r="A10" t="s">
        <v>9</v>
      </c>
      <c r="D10" t="s">
        <v>10</v>
      </c>
      <c r="E10" s="3">
        <f>1/(1+B5)</f>
        <v>0.9174311926605504</v>
      </c>
    </row>
    <row r="12" spans="1:8" x14ac:dyDescent="0.25">
      <c r="C12" t="s">
        <v>12</v>
      </c>
      <c r="E12" s="5">
        <f>B6*(E9-E8)*E10</f>
        <v>-1619.8165137614683</v>
      </c>
      <c r="F12" t="s">
        <v>15</v>
      </c>
    </row>
    <row r="13" spans="1:8" x14ac:dyDescent="0.25">
      <c r="F13" t="s">
        <v>16</v>
      </c>
      <c r="H13" s="5">
        <f>-E14</f>
        <v>1619.8165137614694</v>
      </c>
    </row>
    <row r="14" spans="1:8" x14ac:dyDescent="0.25">
      <c r="C14" t="s">
        <v>13</v>
      </c>
      <c r="E14" s="5">
        <f>B6*(D5-E10*E8)</f>
        <v>-1619.8165137614694</v>
      </c>
    </row>
    <row r="16" spans="1:8" x14ac:dyDescent="0.25">
      <c r="A16" s="6" t="s">
        <v>17</v>
      </c>
    </row>
    <row r="18" spans="1:5" x14ac:dyDescent="0.25">
      <c r="A18" t="s">
        <v>18</v>
      </c>
      <c r="B18">
        <v>0.6</v>
      </c>
    </row>
    <row r="19" spans="1:5" x14ac:dyDescent="0.25">
      <c r="A19" t="s">
        <v>19</v>
      </c>
      <c r="B19">
        <v>0.7</v>
      </c>
    </row>
    <row r="20" spans="1:5" x14ac:dyDescent="0.25">
      <c r="A20" t="s">
        <v>20</v>
      </c>
      <c r="B20">
        <v>0.8</v>
      </c>
      <c r="C20" t="s">
        <v>22</v>
      </c>
      <c r="E20" s="3">
        <f>B20*B18/B19</f>
        <v>0.68571428571428572</v>
      </c>
    </row>
    <row r="21" spans="1:5" x14ac:dyDescent="0.25">
      <c r="A21" t="s">
        <v>21</v>
      </c>
      <c r="B21">
        <v>0.9</v>
      </c>
      <c r="C21" t="s">
        <v>23</v>
      </c>
      <c r="E21" s="3">
        <f>B21*B18/B19</f>
        <v>0.77142857142857157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Bihary  Zsolt</cp:lastModifiedBy>
  <dcterms:created xsi:type="dcterms:W3CDTF">2015-06-05T18:17:20Z</dcterms:created>
  <dcterms:modified xsi:type="dcterms:W3CDTF">2023-11-22T08:36:51Z</dcterms:modified>
</cp:coreProperties>
</file>