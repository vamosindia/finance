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le\Downloads\"/>
    </mc:Choice>
  </mc:AlternateContent>
  <xr:revisionPtr revIDLastSave="0" documentId="13_ncr:1_{E8571F0A-BCA4-4C7C-BA36-6015684D3531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1." sheetId="21" r:id="rId1"/>
    <sheet name="2." sheetId="1" r:id="rId2"/>
    <sheet name="3. " sheetId="2" r:id="rId3"/>
    <sheet name="4." sheetId="3" r:id="rId4"/>
    <sheet name="5." sheetId="5" r:id="rId5"/>
    <sheet name="6. " sheetId="6" r:id="rId6"/>
    <sheet name="7." sheetId="7" r:id="rId7"/>
    <sheet name="8." sheetId="8" r:id="rId8"/>
    <sheet name="9." sheetId="9" r:id="rId9"/>
    <sheet name="10." sheetId="13" r:id="rId10"/>
    <sheet name="11." sheetId="22" r:id="rId11"/>
    <sheet name="12. " sheetId="14" r:id="rId12"/>
    <sheet name="13." sheetId="15" r:id="rId13"/>
    <sheet name="14." sheetId="16" r:id="rId14"/>
    <sheet name="15." sheetId="17" r:id="rId15"/>
    <sheet name="16." sheetId="18" r:id="rId16"/>
    <sheet name="17." sheetId="19" r:id="rId17"/>
    <sheet name="18.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2" l="1"/>
  <c r="C25" i="22"/>
  <c r="E25" i="22" s="1"/>
  <c r="F25" i="22" s="1"/>
  <c r="D24" i="22"/>
  <c r="C24" i="22"/>
  <c r="E24" i="22" s="1"/>
  <c r="F24" i="22" s="1"/>
  <c r="D23" i="22"/>
  <c r="C23" i="22"/>
  <c r="E23" i="22" s="1"/>
  <c r="F23" i="22" s="1"/>
  <c r="D22" i="22"/>
  <c r="C22" i="22"/>
  <c r="E22" i="22" s="1"/>
  <c r="F22" i="22" s="1"/>
  <c r="D21" i="22"/>
  <c r="C21" i="22"/>
  <c r="E21" i="22" s="1"/>
  <c r="F21" i="22" s="1"/>
  <c r="D20" i="22"/>
  <c r="C20" i="22"/>
  <c r="E20" i="22" s="1"/>
  <c r="F20" i="22" s="1"/>
  <c r="D19" i="22"/>
  <c r="C19" i="22"/>
  <c r="E19" i="22" s="1"/>
  <c r="F19" i="22" s="1"/>
  <c r="E15" i="22"/>
  <c r="C24" i="8"/>
  <c r="F20" i="8"/>
  <c r="H24" i="8" s="1"/>
  <c r="B9" i="21"/>
  <c r="M24" i="8" l="1"/>
  <c r="D18" i="14" l="1"/>
  <c r="D19" i="14"/>
  <c r="D20" i="14"/>
  <c r="D21" i="14"/>
  <c r="D17" i="14"/>
  <c r="E18" i="14"/>
  <c r="E19" i="14"/>
  <c r="E20" i="14"/>
  <c r="E21" i="14"/>
  <c r="E17" i="14"/>
  <c r="C18" i="14"/>
  <c r="F18" i="14" s="1"/>
  <c r="G18" i="14" s="1"/>
  <c r="C19" i="14"/>
  <c r="F19" i="14" s="1"/>
  <c r="G19" i="14" s="1"/>
  <c r="C20" i="14"/>
  <c r="F20" i="14" s="1"/>
  <c r="G20" i="14" s="1"/>
  <c r="C21" i="14"/>
  <c r="F21" i="14" s="1"/>
  <c r="G21" i="14" s="1"/>
  <c r="C17" i="14"/>
  <c r="F17" i="14" s="1"/>
  <c r="G17" i="14" s="1"/>
  <c r="E13" i="14"/>
  <c r="C9" i="17"/>
  <c r="C8" i="17"/>
  <c r="C16" i="16"/>
  <c r="C17" i="16" s="1"/>
  <c r="B23" i="16"/>
  <c r="C22" i="16" s="1"/>
  <c r="B10" i="16"/>
  <c r="C22" i="15"/>
  <c r="C20" i="15"/>
  <c r="C21" i="15"/>
  <c r="B12" i="13"/>
  <c r="J21" i="9"/>
  <c r="J20" i="9"/>
  <c r="K20" i="9" s="1"/>
  <c r="I21" i="9"/>
  <c r="K21" i="9" s="1"/>
  <c r="I20" i="9"/>
  <c r="E22" i="9"/>
  <c r="C22" i="9"/>
  <c r="C23" i="9" s="1"/>
  <c r="C21" i="9"/>
  <c r="C20" i="9"/>
  <c r="C16" i="7"/>
  <c r="C20" i="7" s="1"/>
  <c r="D24" i="5"/>
  <c r="C25" i="5"/>
  <c r="B24" i="5"/>
  <c r="A25" i="5"/>
  <c r="A24" i="5"/>
  <c r="D17" i="5"/>
  <c r="C11" i="5"/>
  <c r="C10" i="5"/>
  <c r="B10" i="5"/>
  <c r="B10" i="3"/>
  <c r="C10" i="2"/>
  <c r="C9" i="2"/>
  <c r="B9" i="2"/>
  <c r="B10" i="2" s="1"/>
  <c r="B10" i="1"/>
  <c r="D23" i="16" l="1"/>
  <c r="H23" i="16" s="1"/>
  <c r="G24" i="16" s="1"/>
  <c r="D21" i="16"/>
  <c r="H21" i="16" s="1"/>
  <c r="G22" i="16" s="1"/>
  <c r="L21" i="9"/>
  <c r="M21" i="9" s="1"/>
  <c r="K22" i="9"/>
  <c r="L20" i="9" s="1"/>
  <c r="M20" i="9" s="1"/>
  <c r="M22" i="9" s="1"/>
  <c r="C26" i="15"/>
  <c r="C24" i="16"/>
  <c r="D25" i="16" s="1"/>
  <c r="H25" i="16" s="1"/>
  <c r="D10" i="5"/>
  <c r="C25" i="15"/>
  <c r="C27" i="15"/>
  <c r="B29" i="9"/>
  <c r="B11" i="5"/>
  <c r="D10" i="2"/>
  <c r="D9" i="2"/>
  <c r="D11" i="5" l="1"/>
  <c r="D14" i="5" s="1"/>
  <c r="D20" i="5" s="1"/>
  <c r="B25" i="5"/>
  <c r="D25" i="5" s="1"/>
  <c r="D28" i="5" s="1"/>
  <c r="C28" i="16"/>
  <c r="C31" i="16" s="1"/>
  <c r="F23" i="16"/>
  <c r="C28" i="15"/>
  <c r="D13" i="2"/>
  <c r="D16" i="2"/>
  <c r="D31" i="5" l="1"/>
  <c r="D19" i="2"/>
</calcChain>
</file>

<file path=xl/sharedStrings.xml><?xml version="1.0" encoding="utf-8"?>
<sst xmlns="http://schemas.openxmlformats.org/spreadsheetml/2006/main" count="403" uniqueCount="216">
  <si>
    <t>Main message:</t>
  </si>
  <si>
    <t>S(0)</t>
  </si>
  <si>
    <t>$</t>
  </si>
  <si>
    <t>r(0)</t>
  </si>
  <si>
    <t>continous compounding</t>
  </si>
  <si>
    <t>q(0)</t>
  </si>
  <si>
    <t>dividend yield with continous compounding</t>
  </si>
  <si>
    <t>T - t</t>
  </si>
  <si>
    <t>(in years)</t>
  </si>
  <si>
    <t>Implied interest rate</t>
  </si>
  <si>
    <t>i(0)</t>
  </si>
  <si>
    <t>If the implied interest rate is different from the risk-free interest rate you can earn a risk-free arbitrage profit</t>
  </si>
  <si>
    <t>Arbitrage  strategy</t>
  </si>
  <si>
    <t>risk free interest rate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</si>
  <si>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(0)</t>
    </r>
  </si>
  <si>
    <t>lend money for 4 months at 6%</t>
  </si>
  <si>
    <t>implied interest rate</t>
  </si>
  <si>
    <t>borrow money for three months at 4,54% - replicate a short bond position with the underlying asset and the forward contract</t>
  </si>
  <si>
    <t>short postion in the underlying asset (SU)</t>
  </si>
  <si>
    <r>
      <rPr>
        <b/>
        <sz val="11"/>
        <color rgb="FFFF0000"/>
        <rFont val="Calibri"/>
        <family val="2"/>
        <charset val="238"/>
        <scheme val="minor"/>
      </rPr>
      <t>long foward (LF(0,33))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</si>
  <si>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lend money for 3 months (LB(0,33))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</si>
  <si>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</si>
  <si>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T</t>
  </si>
  <si>
    <t>Face value</t>
  </si>
  <si>
    <t>k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</si>
  <si>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</si>
  <si>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</si>
  <si>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t>CF</t>
  </si>
  <si>
    <t>DF</t>
  </si>
  <si>
    <t>Market price</t>
  </si>
  <si>
    <t>Present value of the income during life of forward contract</t>
  </si>
  <si>
    <t>Arbitrage-free forward price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</si>
  <si>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</si>
  <si>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T-t</t>
  </si>
  <si>
    <t>years</t>
  </si>
  <si>
    <t>Long</t>
  </si>
  <si>
    <t>years - after first coupon payment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</si>
  <si>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CHFUSD</t>
    </r>
    <r>
      <rPr>
        <sz val="11"/>
        <color theme="1"/>
        <rFont val="Calibri"/>
        <family val="2"/>
        <scheme val="minor"/>
      </rPr>
      <t>(0)</t>
    </r>
  </si>
  <si>
    <t>CHF</t>
  </si>
  <si>
    <t>domestic currency</t>
  </si>
  <si>
    <t>base currency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</si>
  <si>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(0)</t>
    </r>
  </si>
  <si>
    <t>USD</t>
  </si>
  <si>
    <t>foreign currency</t>
  </si>
  <si>
    <t>quote currency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</si>
  <si>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(0)</t>
    </r>
  </si>
  <si>
    <t>undelying asset - domestic currency - CHF</t>
  </si>
  <si>
    <t>If the arbitrage free forward price is different from the market price then there is arbitrage</t>
  </si>
  <si>
    <t>sell CHF today (buy USD)</t>
  </si>
  <si>
    <t>borrow CHF</t>
  </si>
  <si>
    <t xml:space="preserve">lend USD </t>
  </si>
  <si>
    <r>
      <t>F</t>
    </r>
    <r>
      <rPr>
        <vertAlign val="superscript"/>
        <sz val="11"/>
        <color theme="1"/>
        <rFont val="Calibri"/>
        <family val="2"/>
        <charset val="238"/>
        <scheme val="minor"/>
      </rPr>
      <t>m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(0)</t>
    </r>
  </si>
  <si>
    <t xml:space="preserve">long foward (LF(0,25)) </t>
  </si>
  <si>
    <t xml:space="preserve">borrow money - in the underlying asset - for 2 months (SB(0,25)) </t>
  </si>
  <si>
    <t>lend money -in quote currency - for 2 months (SB(0,25))</t>
  </si>
  <si>
    <t>buy CHF (sell USD) at delivery date</t>
  </si>
  <si>
    <t>k(0)</t>
  </si>
  <si>
    <t>N</t>
  </si>
  <si>
    <t>million $</t>
  </si>
  <si>
    <t>t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</si>
  <si>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(2)</t>
    </r>
  </si>
  <si>
    <t>years - after before coupon payment</t>
  </si>
  <si>
    <t>the expectations theory of the yield curve is correct</t>
  </si>
  <si>
    <t>t = 1</t>
  </si>
  <si>
    <t>S(1)</t>
  </si>
  <si>
    <t>profit/loss</t>
  </si>
  <si>
    <t>hedge</t>
  </si>
  <si>
    <t>long position</t>
  </si>
  <si>
    <t xml:space="preserve">original exposure </t>
  </si>
  <si>
    <t>short</t>
  </si>
  <si>
    <t>June</t>
  </si>
  <si>
    <t>purchase</t>
  </si>
  <si>
    <t>April</t>
  </si>
  <si>
    <t>futures1</t>
  </si>
  <si>
    <t>futures2</t>
  </si>
  <si>
    <t>Correlation</t>
  </si>
  <si>
    <t>higher correlation</t>
  </si>
  <si>
    <t>September</t>
  </si>
  <si>
    <t xml:space="preserve">Hedging 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</si>
  <si>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(2)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</si>
  <si>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(2)</t>
    </r>
  </si>
  <si>
    <t>Position</t>
  </si>
  <si>
    <t>Short</t>
  </si>
  <si>
    <t xml:space="preserve">payments are exchanged </t>
  </si>
  <si>
    <t>once</t>
  </si>
  <si>
    <t>per year</t>
  </si>
  <si>
    <t>Floating rate</t>
  </si>
  <si>
    <t>Libor</t>
  </si>
  <si>
    <t xml:space="preserve">Short IRS - paying floating receiving fix rate </t>
  </si>
  <si>
    <t>par yield</t>
  </si>
  <si>
    <t>Short IRS CF</t>
  </si>
  <si>
    <t>Fix leg</t>
  </si>
  <si>
    <t>Floating Leg</t>
  </si>
  <si>
    <t>Portfolio duration</t>
  </si>
  <si>
    <t>Portfolio market value</t>
  </si>
  <si>
    <t>Paying</t>
  </si>
  <si>
    <t>Fix</t>
  </si>
  <si>
    <t>Receiving</t>
  </si>
  <si>
    <t>Floating</t>
  </si>
  <si>
    <t xml:space="preserve">Long IRS - paying fix receiving floating rate </t>
  </si>
  <si>
    <t>Market value</t>
  </si>
  <si>
    <t>Duration</t>
  </si>
  <si>
    <t>PV(CF)</t>
  </si>
  <si>
    <t>w</t>
  </si>
  <si>
    <t>t*w</t>
  </si>
  <si>
    <t>Portfolio</t>
  </si>
  <si>
    <r>
      <t>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(3)</t>
    </r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</si>
  <si>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(1)</t>
    </r>
  </si>
  <si>
    <t>Portfolio'</t>
  </si>
  <si>
    <r>
      <t>Long IRS(2) = LB</t>
    </r>
    <r>
      <rPr>
        <vertAlign val="subscript"/>
        <sz val="11"/>
        <color theme="1"/>
        <rFont val="Calibri"/>
        <family val="2"/>
        <charset val="238"/>
        <scheme val="minor"/>
      </rPr>
      <t>Floating</t>
    </r>
    <r>
      <rPr>
        <sz val="11"/>
        <color theme="1"/>
        <rFont val="Calibri"/>
        <family val="2"/>
        <charset val="238"/>
        <scheme val="minor"/>
      </rPr>
      <t>(2) + 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(2)</t>
    </r>
  </si>
  <si>
    <t>2-year bond duration</t>
  </si>
  <si>
    <t>(500*3+100*1-100*1,93)/500</t>
  </si>
  <si>
    <r>
      <t>SB</t>
    </r>
    <r>
      <rPr>
        <vertAlign val="subscript"/>
        <sz val="11"/>
        <color theme="1"/>
        <rFont val="Calibri"/>
        <family val="2"/>
        <charset val="238"/>
        <scheme val="minor"/>
      </rPr>
      <t>Fix</t>
    </r>
    <r>
      <rPr>
        <sz val="11"/>
        <color theme="1"/>
        <rFont val="Calibri"/>
        <family val="2"/>
        <charset val="238"/>
        <scheme val="minor"/>
      </rPr>
      <t>() - Duration</t>
    </r>
  </si>
  <si>
    <t>call K1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</si>
  <si>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K1</t>
    </r>
  </si>
  <si>
    <t>call K2</t>
  </si>
  <si>
    <t>put K2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</si>
  <si>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K2</t>
    </r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</si>
  <si>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K2</t>
    </r>
  </si>
  <si>
    <t>c T-t</t>
  </si>
  <si>
    <t>p T-t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</si>
  <si>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</si>
  <si>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>put K1</t>
  </si>
  <si>
    <t>arbitrage free spot price</t>
  </si>
  <si>
    <t>u</t>
  </si>
  <si>
    <t>d</t>
  </si>
  <si>
    <t>Δt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</si>
  <si>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</si>
  <si>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>annual continuous compounding</t>
  </si>
  <si>
    <t>t = 0</t>
  </si>
  <si>
    <t>?</t>
  </si>
  <si>
    <t>q</t>
  </si>
  <si>
    <t>sum</t>
  </si>
  <si>
    <t>We have three Arrow-Debreu assets</t>
  </si>
  <si>
    <r>
      <t>AD</t>
    </r>
    <r>
      <rPr>
        <vertAlign val="superscript"/>
        <sz val="11"/>
        <color theme="1"/>
        <rFont val="Calibri"/>
        <family val="2"/>
        <charset val="238"/>
        <scheme val="minor"/>
      </rPr>
      <t>1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</si>
  <si>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AD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</si>
  <si>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AD</t>
    </r>
    <r>
      <rPr>
        <vertAlign val="superscript"/>
        <sz val="11"/>
        <color theme="1"/>
        <rFont val="Calibri"/>
        <family val="2"/>
        <charset val="238"/>
        <scheme val="minor"/>
      </rPr>
      <t>3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</si>
  <si>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t>t = 2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</si>
  <si>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</si>
  <si>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t>two-year Arrow-Debreu prices</t>
  </si>
  <si>
    <r>
      <t>PAD</t>
    </r>
    <r>
      <rPr>
        <b/>
        <vertAlign val="superscript"/>
        <sz val="11"/>
        <color rgb="FFFF0000"/>
        <rFont val="Calibri"/>
        <family val="2"/>
        <charset val="238"/>
        <scheme val="minor"/>
      </rPr>
      <t>1</t>
    </r>
    <r>
      <rPr>
        <b/>
        <vertAlign val="subscript"/>
        <sz val="11"/>
        <color rgb="FFFF0000"/>
        <rFont val="Calibri"/>
        <family val="2"/>
        <charset val="238"/>
        <scheme val="minor"/>
      </rPr>
      <t>2</t>
    </r>
  </si>
  <si>
    <r>
      <t>PAD</t>
    </r>
    <r>
      <rPr>
        <b/>
        <vertAlign val="superscript"/>
        <sz val="11"/>
        <color rgb="FFFF0000"/>
        <rFont val="Calibri"/>
        <family val="2"/>
        <charset val="238"/>
        <scheme val="minor"/>
      </rPr>
      <t>2</t>
    </r>
    <r>
      <rPr>
        <b/>
        <vertAlign val="subscript"/>
        <sz val="11"/>
        <color rgb="FFFF0000"/>
        <rFont val="Calibri"/>
        <family val="2"/>
        <charset val="238"/>
        <scheme val="minor"/>
      </rPr>
      <t>2</t>
    </r>
  </si>
  <si>
    <r>
      <t>PAD</t>
    </r>
    <r>
      <rPr>
        <b/>
        <vertAlign val="superscript"/>
        <sz val="11"/>
        <color rgb="FFFF0000"/>
        <rFont val="Calibri"/>
        <family val="2"/>
        <charset val="238"/>
        <scheme val="minor"/>
      </rPr>
      <t>3</t>
    </r>
    <r>
      <rPr>
        <b/>
        <vertAlign val="subscript"/>
        <sz val="11"/>
        <color rgb="FFFF0000"/>
        <rFont val="Calibri"/>
        <family val="2"/>
        <charset val="238"/>
        <scheme val="minor"/>
      </rPr>
      <t>2</t>
    </r>
  </si>
  <si>
    <r>
      <t>The sum of the AD</t>
    </r>
    <r>
      <rPr>
        <vertAlign val="superscript"/>
        <sz val="11"/>
        <color rgb="FF7030A0"/>
        <rFont val="Calibri"/>
        <family val="2"/>
        <charset val="238"/>
        <scheme val="minor"/>
      </rPr>
      <t>k</t>
    </r>
    <r>
      <rPr>
        <vertAlign val="subscript"/>
        <sz val="11"/>
        <color rgb="FF7030A0"/>
        <rFont val="Calibri"/>
        <family val="2"/>
        <charset val="238"/>
        <scheme val="minor"/>
      </rPr>
      <t>2</t>
    </r>
    <r>
      <rPr>
        <sz val="11"/>
        <color rgb="FF7030A0"/>
        <rFont val="Calibri"/>
        <family val="2"/>
        <charset val="238"/>
        <scheme val="minor"/>
      </rPr>
      <t xml:space="preserve"> prices is equal with the DF</t>
    </r>
    <r>
      <rPr>
        <vertAlign val="subscript"/>
        <sz val="11"/>
        <color rgb="FF7030A0"/>
        <rFont val="Calibri"/>
        <family val="2"/>
        <charset val="238"/>
        <scheme val="minor"/>
      </rPr>
      <t>2</t>
    </r>
  </si>
  <si>
    <t>Definition!</t>
  </si>
  <si>
    <t>The Wiener process does not have memory.</t>
  </si>
  <si>
    <t>True</t>
  </si>
  <si>
    <t>Actually, the Wiener process is not Markovian.</t>
  </si>
  <si>
    <t>False</t>
  </si>
  <si>
    <t>The Wiener process does not grow on average.</t>
  </si>
  <si>
    <t>The Wiener process does not have a drift.</t>
  </si>
  <si>
    <t>N(0.2) = 1 - N(-0.2)</t>
  </si>
  <si>
    <t>N(0.2) = N(-0.2) - 1</t>
  </si>
  <si>
    <t>N(0.2) = 1 + N(-0.2)</t>
  </si>
  <si>
    <t>N(x) +N(-x) = 1</t>
  </si>
  <si>
    <t>It cannot be calculated, because they are not related.</t>
  </si>
  <si>
    <t>σ</t>
  </si>
  <si>
    <t>continuous compounding</t>
  </si>
  <si>
    <t>contract</t>
  </si>
  <si>
    <t>call</t>
  </si>
  <si>
    <t>option</t>
  </si>
  <si>
    <t>position</t>
  </si>
  <si>
    <t>contract number</t>
  </si>
  <si>
    <t>contract size</t>
  </si>
  <si>
    <t>K</t>
  </si>
  <si>
    <t>put</t>
  </si>
  <si>
    <t>gamma hedge</t>
  </si>
  <si>
    <t>long 1000 1-year K=$190 European put options</t>
  </si>
  <si>
    <t>year</t>
  </si>
  <si>
    <t>Stock tree</t>
  </si>
  <si>
    <t>t = 0,5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</si>
  <si>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0,5</t>
    </r>
  </si>
  <si>
    <t>Call tree</t>
  </si>
  <si>
    <t>Long call delta</t>
  </si>
  <si>
    <t>Δ(0)</t>
  </si>
  <si>
    <t>portfolio delta</t>
  </si>
  <si>
    <t>Hedging strategy</t>
  </si>
  <si>
    <r>
      <rPr>
        <b/>
        <sz val="11"/>
        <color rgb="FFFF0000"/>
        <rFont val="Calibri"/>
        <family val="2"/>
        <charset val="238"/>
      </rPr>
      <t>2000*Δ</t>
    </r>
    <r>
      <rPr>
        <b/>
        <sz val="11"/>
        <color rgb="FFFF0000"/>
        <rFont val="Calibri"/>
        <family val="2"/>
        <charset val="238"/>
        <scheme val="minor"/>
      </rPr>
      <t xml:space="preserve">  position in the underlying asset</t>
    </r>
  </si>
  <si>
    <t>1396 (long) position in the underlying asset: 1396 stocks</t>
  </si>
  <si>
    <t>C(0)</t>
  </si>
  <si>
    <t>μ</t>
  </si>
  <si>
    <t>EV</t>
  </si>
  <si>
    <t>STD</t>
  </si>
  <si>
    <t>call K3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</si>
  <si>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  <r>
      <rPr>
        <sz val="11"/>
        <color theme="1"/>
        <rFont val="Calibri"/>
        <family val="2"/>
        <charset val="238"/>
        <scheme val="minor"/>
      </rPr>
      <t>K3</t>
    </r>
  </si>
  <si>
    <t>long butterfly</t>
  </si>
  <si>
    <t>S(0,5)</t>
  </si>
  <si>
    <t>Payoff</t>
  </si>
  <si>
    <t>Profit</t>
  </si>
  <si>
    <t>CF(0)</t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</si>
  <si>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120</t>
    </r>
    <r>
      <rPr>
        <sz val="11"/>
        <color theme="1"/>
        <rFont val="Calibri"/>
        <family val="2"/>
        <charset val="238"/>
        <scheme val="minor"/>
      </rPr>
      <t xml:space="preserve"> + 2SC</t>
    </r>
    <r>
      <rPr>
        <vertAlign val="subscript"/>
        <sz val="11"/>
        <color theme="1"/>
        <rFont val="Calibri"/>
        <family val="2"/>
        <charset val="238"/>
        <scheme val="minor"/>
      </rPr>
      <t>130</t>
    </r>
    <r>
      <rPr>
        <sz val="11"/>
        <color theme="1"/>
        <rFont val="Calibri"/>
        <family val="2"/>
        <charset val="238"/>
        <scheme val="minor"/>
      </rPr>
      <t xml:space="preserve"> + LC</t>
    </r>
    <r>
      <rPr>
        <vertAlign val="subscript"/>
        <sz val="11"/>
        <color theme="1"/>
        <rFont val="Calibri"/>
        <family val="2"/>
        <charset val="238"/>
        <scheme val="minor"/>
      </rPr>
      <t>140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</si>
  <si>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120</t>
    </r>
  </si>
  <si>
    <r>
      <t>2SC</t>
    </r>
    <r>
      <rPr>
        <vertAlign val="subscript"/>
        <sz val="11"/>
        <color theme="1"/>
        <rFont val="Calibri"/>
        <family val="2"/>
        <charset val="238"/>
        <scheme val="minor"/>
      </rPr>
      <t>130</t>
    </r>
  </si>
  <si>
    <r>
      <t>LC</t>
    </r>
    <r>
      <rPr>
        <vertAlign val="subscript"/>
        <sz val="11"/>
        <color theme="1"/>
        <rFont val="Calibri"/>
        <family val="2"/>
        <charset val="238"/>
        <scheme val="minor"/>
      </rPr>
      <t>140</t>
    </r>
  </si>
  <si>
    <r>
      <t xml:space="preserve"> -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(0)*100</t>
    </r>
  </si>
  <si>
    <t>Long June contract</t>
  </si>
  <si>
    <t>Implied dividend yield</t>
  </si>
  <si>
    <t xml:space="preserve">Long IRS(2) - paying fix receiving floating rate </t>
  </si>
  <si>
    <t>We can close with a Short IRS(2)</t>
  </si>
  <si>
    <t>Long IRS CF</t>
  </si>
  <si>
    <t>Sum CF</t>
  </si>
  <si>
    <r>
      <t xml:space="preserve"> +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(1)*500</t>
    </r>
  </si>
  <si>
    <r>
      <t xml:space="preserve"> - Libor</t>
    </r>
    <r>
      <rPr>
        <b/>
        <vertAlign val="subscript"/>
        <sz val="11"/>
        <color rgb="FFFF0000"/>
        <rFont val="Calibri"/>
        <family val="2"/>
        <charset val="238"/>
        <scheme val="minor"/>
      </rPr>
      <t>1</t>
    </r>
    <r>
      <rPr>
        <b/>
        <sz val="11"/>
        <color rgb="FFFF0000"/>
        <rFont val="Calibri"/>
        <family val="2"/>
        <charset val="238"/>
        <scheme val="minor"/>
      </rPr>
      <t>(1)*500</t>
    </r>
  </si>
  <si>
    <t>call K</t>
  </si>
  <si>
    <r>
      <t>c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</si>
  <si>
    <t>put K</t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</si>
  <si>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m </t>
    </r>
  </si>
  <si>
    <t>short straddle</t>
  </si>
  <si>
    <t xml:space="preserve">short straddle </t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</si>
  <si>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50 </t>
    </r>
    <r>
      <rPr>
        <sz val="11"/>
        <color theme="1"/>
        <rFont val="Calibri"/>
        <family val="2"/>
        <charset val="238"/>
        <scheme val="minor"/>
      </rPr>
      <t>+ SP</t>
    </r>
    <r>
      <rPr>
        <vertAlign val="subscript"/>
        <sz val="11"/>
        <color theme="1"/>
        <rFont val="Calibri"/>
        <family val="2"/>
        <charset val="238"/>
        <scheme val="minor"/>
      </rPr>
      <t>50</t>
    </r>
  </si>
  <si>
    <r>
      <t>SC</t>
    </r>
    <r>
      <rPr>
        <vertAlign val="subscript"/>
        <sz val="11"/>
        <color theme="1"/>
        <rFont val="Calibri"/>
        <family val="2"/>
        <charset val="238"/>
        <scheme val="minor"/>
      </rPr>
      <t>50</t>
    </r>
  </si>
  <si>
    <r>
      <t>SP</t>
    </r>
    <r>
      <rPr>
        <vertAlign val="subscript"/>
        <sz val="11"/>
        <color theme="1"/>
        <rFont val="Calibri"/>
        <family val="2"/>
        <charset val="238"/>
        <scheme val="minor"/>
      </rPr>
      <t>50</t>
    </r>
  </si>
  <si>
    <t>Loss below 40 and above 60</t>
  </si>
  <si>
    <t>Gain between 40 and 60</t>
  </si>
  <si>
    <t>Max gain = 10 if S(1) = 50</t>
  </si>
  <si>
    <t>Max loss =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</si>
</sst>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color rgb="FF7030A0"/>
      <name val="Calibri"/>
      <family val="2"/>
      <scheme val="minor"/>
    </font>
    <font>
      <sz val="11"/>
      <name val="Calibri"/>
      <family val="2"/>
      <charset val="238"/>
      <scheme val="minor"/>
    </font>
    <font>
      <vertAlign val="subscript"/>
      <sz val="11"/>
      <color rgb="FF7030A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vertAlign val="subscript"/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vertAlign val="superscript"/>
      <sz val="11"/>
      <color rgb="FF7030A0"/>
      <name val="Calibri"/>
      <family val="2"/>
      <charset val="238"/>
      <scheme val="minor"/>
    </font>
    <font>
      <b/>
      <vertAlign val="superscript"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2" applyAlignment="1">
      <alignment horizontal="center"/>
    </xf>
    <xf numFmtId="0" fontId="2" fillId="2" borderId="0" xfId="2" applyFill="1" applyAlignment="1">
      <alignment horizontal="center"/>
    </xf>
    <xf numFmtId="9" fontId="2" fillId="2" borderId="0" xfId="2" applyNumberFormat="1" applyFill="1" applyAlignment="1">
      <alignment horizontal="center"/>
    </xf>
    <xf numFmtId="0" fontId="0" fillId="0" borderId="0" xfId="0" applyAlignment="1">
      <alignment horizontal="center"/>
    </xf>
    <xf numFmtId="10" fontId="3" fillId="3" borderId="0" xfId="3" applyNumberFormat="1" applyFont="1" applyFill="1" applyAlignment="1">
      <alignment horizontal="center"/>
    </xf>
    <xf numFmtId="0" fontId="3" fillId="0" borderId="0" xfId="0" applyFont="1"/>
    <xf numFmtId="9" fontId="2" fillId="0" borderId="0" xfId="2" applyNumberFormat="1" applyAlignment="1">
      <alignment horizontal="center"/>
    </xf>
    <xf numFmtId="0" fontId="7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9" fillId="0" borderId="0" xfId="0" applyFont="1"/>
    <xf numFmtId="2" fontId="0" fillId="2" borderId="0" xfId="0" applyNumberFormat="1" applyFill="1" applyAlignment="1">
      <alignment horizontal="center"/>
    </xf>
    <xf numFmtId="0" fontId="6" fillId="0" borderId="0" xfId="0" applyFont="1"/>
    <xf numFmtId="0" fontId="2" fillId="0" borderId="0" xfId="2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/>
    <xf numFmtId="0" fontId="3" fillId="0" borderId="0" xfId="2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2" fillId="2" borderId="0" xfId="2" applyNumberFormat="1" applyFill="1" applyAlignment="1">
      <alignment horizontal="center"/>
    </xf>
    <xf numFmtId="0" fontId="10" fillId="0" borderId="0" xfId="2" applyFont="1" applyAlignment="1">
      <alignment horizontal="left"/>
    </xf>
    <xf numFmtId="9" fontId="0" fillId="0" borderId="0" xfId="0" applyNumberFormat="1"/>
    <xf numFmtId="10" fontId="2" fillId="2" borderId="0" xfId="2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2" fontId="3" fillId="3" borderId="0" xfId="3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2" fontId="2" fillId="2" borderId="0" xfId="2" applyNumberFormat="1" applyFill="1" applyAlignment="1">
      <alignment horizontal="center"/>
    </xf>
    <xf numFmtId="165" fontId="2" fillId="2" borderId="0" xfId="2" applyNumberFormat="1" applyFill="1" applyAlignment="1">
      <alignment horizontal="center"/>
    </xf>
    <xf numFmtId="166" fontId="3" fillId="3" borderId="0" xfId="3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166" fontId="4" fillId="0" borderId="0" xfId="3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2" fontId="3" fillId="0" borderId="0" xfId="3" applyNumberFormat="1" applyFont="1" applyFill="1" applyAlignment="1">
      <alignment horizontal="left"/>
    </xf>
    <xf numFmtId="166" fontId="0" fillId="0" borderId="0" xfId="0" applyNumberFormat="1"/>
    <xf numFmtId="0" fontId="11" fillId="0" borderId="0" xfId="0" applyFont="1"/>
    <xf numFmtId="1" fontId="0" fillId="2" borderId="0" xfId="0" applyNumberFormat="1" applyFill="1" applyAlignment="1">
      <alignment horizontal="left"/>
    </xf>
    <xf numFmtId="165" fontId="0" fillId="0" borderId="0" xfId="0" applyNumberFormat="1"/>
    <xf numFmtId="0" fontId="0" fillId="2" borderId="0" xfId="0" applyFill="1"/>
    <xf numFmtId="2" fontId="11" fillId="0" borderId="0" xfId="3" applyNumberFormat="1" applyFont="1" applyFill="1" applyAlignment="1">
      <alignment horizontal="left"/>
    </xf>
    <xf numFmtId="2" fontId="11" fillId="0" borderId="0" xfId="3" applyNumberFormat="1" applyFont="1" applyFill="1" applyAlignment="1">
      <alignment horizontal="center"/>
    </xf>
    <xf numFmtId="2" fontId="3" fillId="3" borderId="0" xfId="1" applyNumberFormat="1" applyFont="1" applyFill="1" applyAlignment="1">
      <alignment horizontal="center"/>
    </xf>
    <xf numFmtId="2" fontId="3" fillId="3" borderId="0" xfId="1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10" fontId="0" fillId="0" borderId="0" xfId="1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5" fillId="0" borderId="0" xfId="0" applyFont="1"/>
    <xf numFmtId="2" fontId="0" fillId="0" borderId="1" xfId="0" applyNumberFormat="1" applyBorder="1"/>
    <xf numFmtId="0" fontId="0" fillId="3" borderId="0" xfId="0" applyFill="1"/>
    <xf numFmtId="0" fontId="3" fillId="3" borderId="0" xfId="0" applyFont="1" applyFill="1"/>
    <xf numFmtId="10" fontId="0" fillId="0" borderId="0" xfId="1" applyNumberFormat="1" applyFont="1"/>
    <xf numFmtId="2" fontId="3" fillId="3" borderId="0" xfId="0" applyNumberFormat="1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65" fontId="3" fillId="3" borderId="0" xfId="0" applyNumberFormat="1" applyFont="1" applyFill="1"/>
    <xf numFmtId="165" fontId="3" fillId="3" borderId="2" xfId="0" applyNumberFormat="1" applyFont="1" applyFill="1" applyBorder="1"/>
    <xf numFmtId="164" fontId="0" fillId="0" borderId="0" xfId="0" applyNumberFormat="1"/>
    <xf numFmtId="9" fontId="0" fillId="0" borderId="0" xfId="1" applyFont="1"/>
    <xf numFmtId="1" fontId="0" fillId="0" borderId="0" xfId="0" applyNumberFormat="1"/>
    <xf numFmtId="9" fontId="0" fillId="2" borderId="0" xfId="0" applyNumberFormat="1" applyFill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2" fontId="3" fillId="3" borderId="0" xfId="0" applyNumberFormat="1" applyFont="1" applyFill="1"/>
    <xf numFmtId="0" fontId="11" fillId="0" borderId="0" xfId="0" applyFont="1" applyAlignment="1">
      <alignment horizontal="left"/>
    </xf>
  </cellXfs>
  <cellStyles count="4">
    <cellStyle name="Normál" xfId="0" builtinId="0"/>
    <cellStyle name="Normál 2" xfId="2" xr:uid="{00000000-0005-0000-0000-000001000000}"/>
    <cellStyle name="Százalék" xfId="1" builtinId="5"/>
    <cellStyle name="Százalék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FA03-BD2D-41B6-836E-28DD1160FB9F}">
  <dimension ref="A3:E9"/>
  <sheetViews>
    <sheetView workbookViewId="0">
      <selection activeCell="B9" sqref="B9"/>
    </sheetView>
  </sheetViews>
  <sheetFormatPr defaultRowHeight="14.5" x14ac:dyDescent="0.35"/>
  <sheetData>
    <row r="3" spans="1:5" ht="15.5" x14ac:dyDescent="0.35">
      <c r="A3" s="1" t="s">
        <v>1</v>
      </c>
      <c r="B3" s="2">
        <v>1000</v>
      </c>
      <c r="C3" s="11" t="s">
        <v>2</v>
      </c>
      <c r="D3" s="14"/>
      <c r="E3" s="14"/>
    </row>
    <row r="4" spans="1:5" x14ac:dyDescent="0.35">
      <c r="A4" s="1" t="s">
        <v>3</v>
      </c>
      <c r="B4" s="3">
        <v>0.06</v>
      </c>
      <c r="C4" t="s">
        <v>157</v>
      </c>
      <c r="D4" s="1"/>
      <c r="E4" s="7"/>
    </row>
    <row r="5" spans="1:5" x14ac:dyDescent="0.35">
      <c r="A5" s="4" t="s">
        <v>7</v>
      </c>
      <c r="B5" s="12">
        <v>0.5</v>
      </c>
      <c r="C5" t="s">
        <v>8</v>
      </c>
    </row>
    <row r="6" spans="1:5" ht="16.5" x14ac:dyDescent="0.45">
      <c r="A6" s="4" t="s">
        <v>14</v>
      </c>
      <c r="B6" s="20">
        <v>1020</v>
      </c>
      <c r="C6" s="11" t="s">
        <v>2</v>
      </c>
    </row>
    <row r="8" spans="1:5" x14ac:dyDescent="0.35">
      <c r="B8" s="6" t="s">
        <v>196</v>
      </c>
    </row>
    <row r="9" spans="1:5" x14ac:dyDescent="0.35">
      <c r="A9" s="4" t="s">
        <v>5</v>
      </c>
      <c r="B9" s="5">
        <f>-(LN(B6/B3)/B5-B4)</f>
        <v>2.0394745407640538E-2</v>
      </c>
      <c r="C9" t="s">
        <v>157</v>
      </c>
      <c r="E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C18" sqref="C18"/>
    </sheetView>
  </sheetViews>
  <sheetFormatPr defaultRowHeight="14.5" x14ac:dyDescent="0.35"/>
  <sheetData>
    <row r="1" spans="1:10" ht="15.5" x14ac:dyDescent="0.35">
      <c r="C1" s="8"/>
      <c r="E1" s="13"/>
    </row>
    <row r="3" spans="1:10" ht="15.5" x14ac:dyDescent="0.35">
      <c r="A3" s="1" t="s">
        <v>1</v>
      </c>
      <c r="B3" s="2">
        <v>1300</v>
      </c>
      <c r="C3" s="11" t="s">
        <v>2</v>
      </c>
      <c r="D3" s="14"/>
      <c r="E3" s="14"/>
      <c r="F3" s="4"/>
    </row>
    <row r="4" spans="1:10" x14ac:dyDescent="0.35">
      <c r="A4" s="1" t="s">
        <v>3</v>
      </c>
      <c r="B4" s="3">
        <v>0.06</v>
      </c>
      <c r="C4" t="s">
        <v>4</v>
      </c>
      <c r="D4" s="1"/>
      <c r="E4" s="7"/>
      <c r="F4" s="4"/>
    </row>
    <row r="5" spans="1:10" x14ac:dyDescent="0.35">
      <c r="A5" s="4" t="s">
        <v>5</v>
      </c>
      <c r="B5" s="3">
        <v>0.03</v>
      </c>
      <c r="C5" t="s">
        <v>6</v>
      </c>
    </row>
    <row r="6" spans="1:10" x14ac:dyDescent="0.35">
      <c r="A6" s="4" t="s">
        <v>7</v>
      </c>
      <c r="B6" s="12">
        <v>0.25</v>
      </c>
      <c r="C6" t="s">
        <v>8</v>
      </c>
    </row>
    <row r="7" spans="1:10" ht="16.5" x14ac:dyDescent="0.45">
      <c r="A7" s="4" t="s">
        <v>14</v>
      </c>
      <c r="B7" s="20">
        <v>1305</v>
      </c>
      <c r="C7" s="11" t="s">
        <v>2</v>
      </c>
    </row>
    <row r="9" spans="1:10" x14ac:dyDescent="0.35">
      <c r="B9" s="6" t="s">
        <v>9</v>
      </c>
    </row>
    <row r="10" spans="1:10" x14ac:dyDescent="0.35">
      <c r="A10" s="4" t="s">
        <v>10</v>
      </c>
      <c r="B10" s="5">
        <f>LN(B7/B3)/B6 +B5</f>
        <v>4.5355105228662665E-2</v>
      </c>
      <c r="C10" t="s">
        <v>4</v>
      </c>
      <c r="E10" s="1"/>
      <c r="F10" s="21" t="s">
        <v>11</v>
      </c>
      <c r="G10" s="1"/>
      <c r="H10" s="14"/>
      <c r="J10" s="9"/>
    </row>
    <row r="11" spans="1:10" x14ac:dyDescent="0.35">
      <c r="E11" s="1"/>
      <c r="F11" s="4"/>
      <c r="G11" s="15"/>
      <c r="H11" s="16"/>
    </row>
    <row r="12" spans="1:10" x14ac:dyDescent="0.35">
      <c r="B12" s="10" t="s">
        <v>12</v>
      </c>
      <c r="C12" s="17"/>
    </row>
    <row r="13" spans="1:10" x14ac:dyDescent="0.35">
      <c r="B13" s="6" t="s">
        <v>20</v>
      </c>
      <c r="F13" s="22">
        <v>0.06</v>
      </c>
      <c r="G13" t="s">
        <v>13</v>
      </c>
      <c r="H13" s="18"/>
      <c r="I13" s="9" t="s">
        <v>15</v>
      </c>
    </row>
    <row r="14" spans="1:10" x14ac:dyDescent="0.35">
      <c r="B14" s="10" t="s">
        <v>18</v>
      </c>
      <c r="H14" s="19"/>
    </row>
    <row r="15" spans="1:10" x14ac:dyDescent="0.35">
      <c r="B15" t="s">
        <v>19</v>
      </c>
      <c r="F15" s="17">
        <v>4.5400000000000003E-2</v>
      </c>
      <c r="G15" t="s">
        <v>16</v>
      </c>
      <c r="I15" s="9" t="s">
        <v>17</v>
      </c>
    </row>
    <row r="16" spans="1:10" x14ac:dyDescent="0.35">
      <c r="B16" s="4"/>
    </row>
    <row r="18" spans="3:10" x14ac:dyDescent="0.35">
      <c r="C18" s="17"/>
    </row>
    <row r="23" spans="3:10" x14ac:dyDescent="0.35">
      <c r="J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9"/>
  <sheetViews>
    <sheetView workbookViewId="0">
      <selection activeCell="F12" sqref="F12"/>
    </sheetView>
  </sheetViews>
  <sheetFormatPr defaultRowHeight="14.5" x14ac:dyDescent="0.35"/>
  <sheetData>
    <row r="3" spans="1:5" ht="16.5" x14ac:dyDescent="0.45">
      <c r="A3" s="4" t="s">
        <v>21</v>
      </c>
      <c r="B3" s="25">
        <v>0.8</v>
      </c>
      <c r="C3" s="4" t="s">
        <v>22</v>
      </c>
      <c r="D3" s="14" t="s">
        <v>23</v>
      </c>
      <c r="E3" s="4" t="s">
        <v>24</v>
      </c>
    </row>
    <row r="4" spans="1:5" ht="16.5" x14ac:dyDescent="0.45">
      <c r="A4" s="4" t="s">
        <v>25</v>
      </c>
      <c r="B4" s="25">
        <v>0.7</v>
      </c>
      <c r="C4" s="26">
        <v>2</v>
      </c>
      <c r="D4" s="2">
        <v>1000</v>
      </c>
      <c r="E4" s="25">
        <v>0.1</v>
      </c>
    </row>
    <row r="5" spans="1:5" ht="16.5" x14ac:dyDescent="0.45">
      <c r="A5" s="4" t="s">
        <v>26</v>
      </c>
      <c r="B5" s="25">
        <v>0.6</v>
      </c>
    </row>
    <row r="6" spans="1:5" x14ac:dyDescent="0.35">
      <c r="A6" s="4" t="s">
        <v>33</v>
      </c>
      <c r="B6" s="24">
        <v>1</v>
      </c>
      <c r="C6" t="s">
        <v>36</v>
      </c>
    </row>
    <row r="8" spans="1:5" x14ac:dyDescent="0.35">
      <c r="B8" s="29" t="s">
        <v>27</v>
      </c>
      <c r="C8" s="4" t="s">
        <v>28</v>
      </c>
    </row>
    <row r="9" spans="1:5" x14ac:dyDescent="0.35">
      <c r="A9" s="4">
        <v>1</v>
      </c>
      <c r="B9" s="4">
        <f>D4*E4</f>
        <v>100</v>
      </c>
      <c r="C9" s="30">
        <f>B3</f>
        <v>0.8</v>
      </c>
      <c r="D9" s="4">
        <f>B9*C9</f>
        <v>80</v>
      </c>
    </row>
    <row r="10" spans="1:5" x14ac:dyDescent="0.35">
      <c r="A10" s="4">
        <v>2</v>
      </c>
      <c r="B10" s="4">
        <f>B9+D4</f>
        <v>1100</v>
      </c>
      <c r="C10" s="30">
        <f>B4</f>
        <v>0.7</v>
      </c>
      <c r="D10" s="4">
        <f>B10*C10</f>
        <v>770</v>
      </c>
    </row>
    <row r="11" spans="1:5" x14ac:dyDescent="0.35">
      <c r="B11" s="4"/>
      <c r="C11" s="4"/>
      <c r="D11" s="4"/>
    </row>
    <row r="12" spans="1:5" x14ac:dyDescent="0.35">
      <c r="B12" s="4"/>
      <c r="C12" s="4"/>
      <c r="D12" s="27" t="s">
        <v>29</v>
      </c>
    </row>
    <row r="13" spans="1:5" x14ac:dyDescent="0.35">
      <c r="B13" s="4"/>
      <c r="C13" s="4"/>
      <c r="D13" s="4">
        <f>D9+D10</f>
        <v>850</v>
      </c>
    </row>
    <row r="15" spans="1:5" x14ac:dyDescent="0.35">
      <c r="D15" t="s">
        <v>30</v>
      </c>
    </row>
    <row r="16" spans="1:5" x14ac:dyDescent="0.35">
      <c r="D16" s="4">
        <f>D9</f>
        <v>80</v>
      </c>
    </row>
    <row r="18" spans="3:5" x14ac:dyDescent="0.35">
      <c r="D18" s="6" t="s">
        <v>31</v>
      </c>
    </row>
    <row r="19" spans="3:5" ht="16.5" x14ac:dyDescent="0.45">
      <c r="C19" t="s">
        <v>32</v>
      </c>
      <c r="D19" s="28">
        <f>(D13-D16)/B3</f>
        <v>962.5</v>
      </c>
      <c r="E19" s="1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I12" sqref="I12"/>
    </sheetView>
  </sheetViews>
  <sheetFormatPr defaultRowHeight="14.5" x14ac:dyDescent="0.35"/>
  <cols>
    <col min="6" max="6" width="10" customWidth="1"/>
  </cols>
  <sheetData>
    <row r="1" spans="1:10" ht="15.5" x14ac:dyDescent="0.35">
      <c r="C1" s="8" t="s">
        <v>0</v>
      </c>
      <c r="E1" s="13"/>
    </row>
    <row r="3" spans="1:10" ht="16.5" x14ac:dyDescent="0.45">
      <c r="A3" s="1" t="s">
        <v>37</v>
      </c>
      <c r="B3" s="32">
        <v>1.0404</v>
      </c>
      <c r="D3" s="14"/>
      <c r="E3" s="14"/>
      <c r="F3" t="s">
        <v>38</v>
      </c>
      <c r="G3" t="s">
        <v>39</v>
      </c>
      <c r="I3" s="9" t="s">
        <v>40</v>
      </c>
    </row>
    <row r="4" spans="1:10" ht="16.5" x14ac:dyDescent="0.45">
      <c r="A4" s="4" t="s">
        <v>41</v>
      </c>
      <c r="B4" s="23">
        <v>2.5000000000000001E-3</v>
      </c>
      <c r="C4" t="s">
        <v>4</v>
      </c>
      <c r="D4" s="1"/>
      <c r="E4" s="7"/>
      <c r="F4" t="s">
        <v>42</v>
      </c>
      <c r="G4" t="s">
        <v>43</v>
      </c>
      <c r="I4" s="9" t="s">
        <v>44</v>
      </c>
    </row>
    <row r="5" spans="1:10" ht="16.5" x14ac:dyDescent="0.45">
      <c r="A5" s="1" t="s">
        <v>45</v>
      </c>
      <c r="B5" s="3">
        <v>0</v>
      </c>
      <c r="C5" t="s">
        <v>4</v>
      </c>
    </row>
    <row r="6" spans="1:10" x14ac:dyDescent="0.35">
      <c r="A6" s="4" t="s">
        <v>7</v>
      </c>
      <c r="B6" s="12">
        <v>0.25</v>
      </c>
      <c r="C6" t="s">
        <v>8</v>
      </c>
      <c r="F6" t="s">
        <v>46</v>
      </c>
    </row>
    <row r="7" spans="1:10" ht="17.5" x14ac:dyDescent="0.45">
      <c r="A7" s="4" t="s">
        <v>51</v>
      </c>
      <c r="B7" s="31">
        <v>1.03</v>
      </c>
    </row>
    <row r="9" spans="1:10" x14ac:dyDescent="0.35">
      <c r="B9" t="s">
        <v>31</v>
      </c>
    </row>
    <row r="10" spans="1:10" ht="16.5" x14ac:dyDescent="0.45">
      <c r="A10" t="s">
        <v>14</v>
      </c>
      <c r="B10" s="15">
        <f>B3*EXP((B4-B5)*B6)</f>
        <v>1.0410504532454654</v>
      </c>
      <c r="E10" s="9" t="s">
        <v>47</v>
      </c>
    </row>
    <row r="12" spans="1:10" x14ac:dyDescent="0.35">
      <c r="B12" s="10" t="s">
        <v>12</v>
      </c>
    </row>
    <row r="13" spans="1:10" x14ac:dyDescent="0.35">
      <c r="B13" s="33" t="s">
        <v>52</v>
      </c>
      <c r="C13" s="33"/>
      <c r="D13" s="33"/>
      <c r="E13" s="33"/>
      <c r="J13" t="s">
        <v>55</v>
      </c>
    </row>
    <row r="14" spans="1:10" x14ac:dyDescent="0.35">
      <c r="B14" s="33" t="s">
        <v>18</v>
      </c>
      <c r="C14" s="33"/>
      <c r="D14" s="33"/>
      <c r="E14" s="33"/>
      <c r="J14" t="s">
        <v>48</v>
      </c>
    </row>
    <row r="15" spans="1:10" x14ac:dyDescent="0.35">
      <c r="B15" s="33" t="s">
        <v>53</v>
      </c>
      <c r="C15" s="33"/>
      <c r="D15" s="33"/>
      <c r="E15" s="33"/>
      <c r="J15" t="s">
        <v>49</v>
      </c>
    </row>
    <row r="16" spans="1:10" x14ac:dyDescent="0.35">
      <c r="B16" s="33" t="s">
        <v>54</v>
      </c>
      <c r="C16" s="33"/>
      <c r="D16" s="33"/>
      <c r="E16" s="33"/>
      <c r="J16" t="s">
        <v>50</v>
      </c>
    </row>
    <row r="18" spans="1:10" x14ac:dyDescent="0.35">
      <c r="C18" s="17"/>
    </row>
    <row r="19" spans="1:10" x14ac:dyDescent="0.35">
      <c r="A19" s="9"/>
      <c r="B19" s="9"/>
      <c r="C19" s="9"/>
      <c r="D19" s="9"/>
    </row>
    <row r="20" spans="1:10" x14ac:dyDescent="0.35">
      <c r="A20" s="34"/>
      <c r="B20" s="35"/>
      <c r="C20" s="9"/>
      <c r="D20" s="9"/>
      <c r="E20" s="1"/>
      <c r="F20" s="21"/>
      <c r="G20" s="1"/>
      <c r="H20" s="14"/>
      <c r="J20" s="9"/>
    </row>
    <row r="21" spans="1:10" x14ac:dyDescent="0.35">
      <c r="A21" s="9"/>
      <c r="B21" s="9"/>
      <c r="C21" s="9"/>
      <c r="D21" s="9"/>
      <c r="E21" s="1"/>
      <c r="F21" s="4"/>
      <c r="G21" s="15"/>
      <c r="H21" s="16"/>
    </row>
    <row r="22" spans="1:10" x14ac:dyDescent="0.35">
      <c r="A22" s="9"/>
      <c r="B22" s="9"/>
      <c r="C22" s="36"/>
      <c r="D22" s="9"/>
    </row>
    <row r="23" spans="1:10" x14ac:dyDescent="0.35">
      <c r="B23" s="6"/>
      <c r="F23" s="22"/>
      <c r="H23" s="18"/>
      <c r="I23" s="9"/>
    </row>
    <row r="24" spans="1:10" x14ac:dyDescent="0.35">
      <c r="B24" s="10"/>
      <c r="H24" s="19"/>
    </row>
    <row r="25" spans="1:10" x14ac:dyDescent="0.35">
      <c r="F25" s="17"/>
      <c r="I2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31"/>
  <sheetViews>
    <sheetView topLeftCell="A14" workbookViewId="0">
      <selection activeCell="D31" sqref="D31"/>
    </sheetView>
  </sheetViews>
  <sheetFormatPr defaultRowHeight="14.5" x14ac:dyDescent="0.35"/>
  <sheetData>
    <row r="3" spans="1:6" ht="16.5" x14ac:dyDescent="0.45">
      <c r="A3" s="4" t="s">
        <v>21</v>
      </c>
      <c r="B3" s="25">
        <v>0.8</v>
      </c>
      <c r="C3" s="4" t="s">
        <v>22</v>
      </c>
      <c r="D3" s="14" t="s">
        <v>23</v>
      </c>
      <c r="E3" s="4" t="s">
        <v>24</v>
      </c>
    </row>
    <row r="4" spans="1:6" ht="16.5" x14ac:dyDescent="0.45">
      <c r="A4" s="4" t="s">
        <v>25</v>
      </c>
      <c r="B4" s="25">
        <v>0.7</v>
      </c>
      <c r="C4" s="26">
        <v>2</v>
      </c>
      <c r="D4" s="2">
        <v>1000</v>
      </c>
      <c r="E4" s="25">
        <v>0.1</v>
      </c>
    </row>
    <row r="5" spans="1:6" ht="16.5" x14ac:dyDescent="0.45">
      <c r="A5" s="4" t="s">
        <v>26</v>
      </c>
      <c r="B5" s="25">
        <v>0.6</v>
      </c>
    </row>
    <row r="6" spans="1:6" x14ac:dyDescent="0.35">
      <c r="A6" s="4" t="s">
        <v>33</v>
      </c>
      <c r="B6" s="24">
        <v>1</v>
      </c>
      <c r="C6" t="s">
        <v>61</v>
      </c>
    </row>
    <row r="7" spans="1:6" x14ac:dyDescent="0.35">
      <c r="A7" s="4"/>
      <c r="B7" s="40" t="s">
        <v>62</v>
      </c>
      <c r="C7" s="42"/>
      <c r="D7" s="42"/>
      <c r="E7" s="42"/>
      <c r="F7" s="42"/>
    </row>
    <row r="9" spans="1:6" x14ac:dyDescent="0.35">
      <c r="B9" s="29" t="s">
        <v>27</v>
      </c>
      <c r="C9" s="4" t="s">
        <v>28</v>
      </c>
    </row>
    <row r="10" spans="1:6" x14ac:dyDescent="0.35">
      <c r="A10" s="4">
        <v>1</v>
      </c>
      <c r="B10" s="4">
        <f>D4*E4</f>
        <v>100</v>
      </c>
      <c r="C10" s="30">
        <f>B3</f>
        <v>0.8</v>
      </c>
      <c r="D10" s="4">
        <f>B10*C10</f>
        <v>80</v>
      </c>
    </row>
    <row r="11" spans="1:6" x14ac:dyDescent="0.35">
      <c r="A11" s="4">
        <v>2</v>
      </c>
      <c r="B11" s="4">
        <f>B10+D4</f>
        <v>1100</v>
      </c>
      <c r="C11" s="30">
        <f>B4</f>
        <v>0.7</v>
      </c>
      <c r="D11" s="4">
        <f>B11*C11</f>
        <v>770</v>
      </c>
    </row>
    <row r="12" spans="1:6" x14ac:dyDescent="0.35">
      <c r="B12" s="4"/>
      <c r="C12" s="4"/>
      <c r="D12" s="4"/>
    </row>
    <row r="13" spans="1:6" x14ac:dyDescent="0.35">
      <c r="B13" s="4"/>
      <c r="C13" s="4"/>
      <c r="D13" s="27" t="s">
        <v>29</v>
      </c>
    </row>
    <row r="14" spans="1:6" x14ac:dyDescent="0.35">
      <c r="B14" s="4"/>
      <c r="C14" s="4"/>
      <c r="D14" s="4">
        <f>D10+D11</f>
        <v>850</v>
      </c>
      <c r="E14" s="43" t="s">
        <v>2</v>
      </c>
    </row>
    <row r="16" spans="1:6" x14ac:dyDescent="0.35">
      <c r="D16" t="s">
        <v>30</v>
      </c>
    </row>
    <row r="17" spans="1:5" x14ac:dyDescent="0.35">
      <c r="D17" s="4">
        <f>0</f>
        <v>0</v>
      </c>
    </row>
    <row r="19" spans="1:5" x14ac:dyDescent="0.35">
      <c r="D19" s="39" t="s">
        <v>31</v>
      </c>
    </row>
    <row r="20" spans="1:5" ht="16.5" x14ac:dyDescent="0.45">
      <c r="C20" t="s">
        <v>32</v>
      </c>
      <c r="D20" s="44">
        <f>(D14-D17)/B3</f>
        <v>1062.5</v>
      </c>
      <c r="E20" s="43" t="s">
        <v>2</v>
      </c>
    </row>
    <row r="22" spans="1:5" x14ac:dyDescent="0.35">
      <c r="C22" s="4" t="s">
        <v>63</v>
      </c>
    </row>
    <row r="23" spans="1:5" x14ac:dyDescent="0.35">
      <c r="B23" s="29" t="s">
        <v>27</v>
      </c>
      <c r="C23" s="4" t="s">
        <v>28</v>
      </c>
    </row>
    <row r="24" spans="1:5" x14ac:dyDescent="0.35">
      <c r="A24" s="4">
        <f>A10-1</f>
        <v>0</v>
      </c>
      <c r="B24" s="4">
        <f>B10</f>
        <v>100</v>
      </c>
      <c r="C24" s="22">
        <v>1</v>
      </c>
      <c r="D24">
        <f>B24*C24</f>
        <v>100</v>
      </c>
    </row>
    <row r="25" spans="1:5" x14ac:dyDescent="0.35">
      <c r="A25" s="4">
        <f>A11-1</f>
        <v>1</v>
      </c>
      <c r="B25" s="4">
        <f>B11</f>
        <v>1100</v>
      </c>
      <c r="C25" s="38">
        <f>B4/B3</f>
        <v>0.87499999999999989</v>
      </c>
      <c r="D25">
        <f>B25*C25</f>
        <v>962.49999999999989</v>
      </c>
    </row>
    <row r="27" spans="1:5" x14ac:dyDescent="0.35">
      <c r="D27" s="27" t="s">
        <v>29</v>
      </c>
    </row>
    <row r="28" spans="1:5" x14ac:dyDescent="0.35">
      <c r="C28" s="4" t="s">
        <v>64</v>
      </c>
      <c r="D28" s="4">
        <f>D24+D25</f>
        <v>1062.5</v>
      </c>
      <c r="E28" s="43" t="s">
        <v>2</v>
      </c>
    </row>
    <row r="30" spans="1:5" x14ac:dyDescent="0.35">
      <c r="D30" s="37" t="s">
        <v>65</v>
      </c>
    </row>
    <row r="31" spans="1:5" x14ac:dyDescent="0.35">
      <c r="D31" s="45">
        <f>D28-D20</f>
        <v>0</v>
      </c>
      <c r="E31" s="43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2"/>
  <sheetViews>
    <sheetView workbookViewId="0">
      <selection activeCell="D13" sqref="D13"/>
    </sheetView>
  </sheetViews>
  <sheetFormatPr defaultRowHeight="14.5" x14ac:dyDescent="0.35"/>
  <sheetData>
    <row r="2" spans="2:4" x14ac:dyDescent="0.35">
      <c r="B2" t="s">
        <v>71</v>
      </c>
      <c r="C2" s="42" t="s">
        <v>72</v>
      </c>
    </row>
    <row r="3" spans="2:4" x14ac:dyDescent="0.35">
      <c r="D3" t="s">
        <v>75</v>
      </c>
    </row>
    <row r="4" spans="2:4" x14ac:dyDescent="0.35">
      <c r="B4" t="s">
        <v>73</v>
      </c>
      <c r="C4" t="s">
        <v>70</v>
      </c>
      <c r="D4" s="42">
        <v>0.8</v>
      </c>
    </row>
    <row r="5" spans="2:4" x14ac:dyDescent="0.35">
      <c r="B5" t="s">
        <v>74</v>
      </c>
      <c r="C5" t="s">
        <v>77</v>
      </c>
      <c r="D5" s="42">
        <v>0.7</v>
      </c>
    </row>
    <row r="7" spans="2:4" x14ac:dyDescent="0.35">
      <c r="B7" t="s">
        <v>68</v>
      </c>
      <c r="D7" t="s">
        <v>69</v>
      </c>
    </row>
    <row r="8" spans="2:4" x14ac:dyDescent="0.35">
      <c r="B8" t="s">
        <v>66</v>
      </c>
      <c r="D8" t="s">
        <v>67</v>
      </c>
    </row>
    <row r="9" spans="2:4" x14ac:dyDescent="0.35">
      <c r="B9" t="s">
        <v>76</v>
      </c>
      <c r="D9" t="s">
        <v>70</v>
      </c>
    </row>
    <row r="11" spans="2:4" x14ac:dyDescent="0.35">
      <c r="D11" s="6" t="s">
        <v>78</v>
      </c>
    </row>
    <row r="12" spans="2:4" x14ac:dyDescent="0.35">
      <c r="D12" s="46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25"/>
  <sheetViews>
    <sheetView topLeftCell="A6" workbookViewId="0">
      <selection activeCell="I10" sqref="I10"/>
    </sheetView>
  </sheetViews>
  <sheetFormatPr defaultRowHeight="14.5" x14ac:dyDescent="0.35"/>
  <sheetData>
    <row r="3" spans="1:3" ht="16.5" x14ac:dyDescent="0.45">
      <c r="A3" t="s">
        <v>79</v>
      </c>
      <c r="B3" s="26">
        <v>0.92</v>
      </c>
    </row>
    <row r="4" spans="1:3" ht="16.5" x14ac:dyDescent="0.45">
      <c r="A4" t="s">
        <v>60</v>
      </c>
      <c r="B4" s="26">
        <v>0.84</v>
      </c>
    </row>
    <row r="5" spans="1:3" ht="16.5" x14ac:dyDescent="0.45">
      <c r="A5" t="s">
        <v>80</v>
      </c>
      <c r="B5" s="26">
        <v>0.76</v>
      </c>
    </row>
    <row r="6" spans="1:3" x14ac:dyDescent="0.35">
      <c r="A6" t="s">
        <v>81</v>
      </c>
      <c r="B6" s="26" t="s">
        <v>82</v>
      </c>
    </row>
    <row r="7" spans="1:3" x14ac:dyDescent="0.35">
      <c r="A7" t="s">
        <v>57</v>
      </c>
      <c r="B7" s="26">
        <v>100</v>
      </c>
      <c r="C7" t="s">
        <v>58</v>
      </c>
    </row>
    <row r="8" spans="1:3" x14ac:dyDescent="0.35">
      <c r="A8" t="s">
        <v>83</v>
      </c>
      <c r="B8" s="42" t="s">
        <v>84</v>
      </c>
      <c r="C8" t="s">
        <v>85</v>
      </c>
    </row>
    <row r="9" spans="1:3" x14ac:dyDescent="0.35">
      <c r="A9" t="s">
        <v>86</v>
      </c>
      <c r="B9" s="26" t="s">
        <v>87</v>
      </c>
    </row>
    <row r="10" spans="1:3" x14ac:dyDescent="0.35">
      <c r="A10" t="s">
        <v>22</v>
      </c>
      <c r="B10" s="26">
        <v>2</v>
      </c>
      <c r="C10" t="s">
        <v>34</v>
      </c>
    </row>
    <row r="11" spans="1:3" x14ac:dyDescent="0.35">
      <c r="A11" s="27" t="s">
        <v>59</v>
      </c>
      <c r="B11" s="26">
        <v>0</v>
      </c>
      <c r="C11" t="s">
        <v>34</v>
      </c>
    </row>
    <row r="12" spans="1:3" x14ac:dyDescent="0.35">
      <c r="A12" s="4"/>
      <c r="B12" s="4"/>
    </row>
    <row r="13" spans="1:3" x14ac:dyDescent="0.35">
      <c r="B13" t="s">
        <v>88</v>
      </c>
    </row>
    <row r="15" spans="1:3" x14ac:dyDescent="0.35">
      <c r="C15" t="s">
        <v>89</v>
      </c>
    </row>
    <row r="16" spans="1:3" x14ac:dyDescent="0.35">
      <c r="C16" s="49">
        <f>(1-B4)/(B3+B4)</f>
        <v>9.0909090909090925E-2</v>
      </c>
    </row>
    <row r="18" spans="2:11" x14ac:dyDescent="0.35">
      <c r="C18" s="85" t="s">
        <v>90</v>
      </c>
      <c r="D18" s="85"/>
      <c r="F18" s="85"/>
      <c r="G18" s="85"/>
    </row>
    <row r="19" spans="2:11" x14ac:dyDescent="0.35">
      <c r="B19" s="4"/>
      <c r="C19" t="s">
        <v>91</v>
      </c>
      <c r="E19" t="s">
        <v>92</v>
      </c>
      <c r="J19" s="4"/>
      <c r="K19" s="29"/>
    </row>
    <row r="20" spans="2:11" ht="16.5" x14ac:dyDescent="0.45">
      <c r="B20" s="4">
        <v>1</v>
      </c>
      <c r="C20" s="56">
        <f>C16*B7</f>
        <v>9.0909090909090917</v>
      </c>
      <c r="D20" s="54" t="s">
        <v>58</v>
      </c>
      <c r="E20" s="54" t="s">
        <v>194</v>
      </c>
      <c r="F20" s="84"/>
      <c r="G20" s="54" t="s">
        <v>58</v>
      </c>
      <c r="I20" s="48"/>
      <c r="J20" s="41"/>
      <c r="K20" s="50"/>
    </row>
    <row r="21" spans="2:11" x14ac:dyDescent="0.35">
      <c r="B21" s="4"/>
      <c r="C21" s="4"/>
      <c r="F21" s="16"/>
      <c r="I21" s="48"/>
      <c r="J21" s="41"/>
      <c r="K21" s="50"/>
    </row>
    <row r="22" spans="2:11" x14ac:dyDescent="0.35">
      <c r="B22" s="4"/>
      <c r="C22" s="4"/>
      <c r="F22" s="16"/>
      <c r="I22" s="48"/>
      <c r="J22" s="41"/>
      <c r="K22" s="50"/>
    </row>
    <row r="24" spans="2:11" x14ac:dyDescent="0.35">
      <c r="K24" s="47"/>
    </row>
    <row r="25" spans="2:11" x14ac:dyDescent="0.35">
      <c r="K25" s="19"/>
    </row>
  </sheetData>
  <mergeCells count="2">
    <mergeCell ref="C18:D18"/>
    <mergeCell ref="F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topLeftCell="A12" workbookViewId="0">
      <selection activeCell="G27" sqref="G27"/>
    </sheetView>
  </sheetViews>
  <sheetFormatPr defaultRowHeight="14.5" x14ac:dyDescent="0.35"/>
  <cols>
    <col min="1" max="1" width="12.54296875" customWidth="1"/>
  </cols>
  <sheetData>
    <row r="1" spans="1:14" x14ac:dyDescent="0.35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x14ac:dyDescent="0.3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x14ac:dyDescent="0.35">
      <c r="A3" s="87"/>
      <c r="B3" s="88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6" spans="1:14" ht="16.5" x14ac:dyDescent="0.45">
      <c r="A6" s="4" t="s">
        <v>79</v>
      </c>
      <c r="B6" s="26">
        <v>0.94</v>
      </c>
    </row>
    <row r="7" spans="1:14" ht="16.5" x14ac:dyDescent="0.45">
      <c r="A7" s="4" t="s">
        <v>60</v>
      </c>
      <c r="B7" s="26">
        <v>0.87</v>
      </c>
    </row>
    <row r="8" spans="1:14" ht="16.5" x14ac:dyDescent="0.45">
      <c r="A8" s="4" t="s">
        <v>80</v>
      </c>
      <c r="B8" s="26">
        <v>0.82</v>
      </c>
    </row>
    <row r="9" spans="1:14" x14ac:dyDescent="0.35">
      <c r="A9" s="4" t="s">
        <v>81</v>
      </c>
      <c r="B9" s="26" t="s">
        <v>35</v>
      </c>
    </row>
    <row r="10" spans="1:14" x14ac:dyDescent="0.35">
      <c r="A10" s="4" t="s">
        <v>57</v>
      </c>
      <c r="B10" s="26">
        <v>500</v>
      </c>
      <c r="C10" t="s">
        <v>58</v>
      </c>
    </row>
    <row r="11" spans="1:14" x14ac:dyDescent="0.35">
      <c r="A11" s="4" t="s">
        <v>83</v>
      </c>
      <c r="B11" s="42" t="s">
        <v>84</v>
      </c>
      <c r="C11" t="s">
        <v>85</v>
      </c>
    </row>
    <row r="12" spans="1:14" x14ac:dyDescent="0.35">
      <c r="A12" s="4" t="s">
        <v>86</v>
      </c>
      <c r="B12" s="26" t="s">
        <v>87</v>
      </c>
    </row>
    <row r="13" spans="1:14" x14ac:dyDescent="0.35">
      <c r="A13" s="4" t="s">
        <v>22</v>
      </c>
      <c r="B13" s="26">
        <v>3</v>
      </c>
      <c r="C13" t="s">
        <v>34</v>
      </c>
    </row>
    <row r="14" spans="1:14" x14ac:dyDescent="0.35">
      <c r="A14" s="4" t="s">
        <v>59</v>
      </c>
      <c r="B14" s="26">
        <v>1</v>
      </c>
      <c r="C14" t="s">
        <v>34</v>
      </c>
    </row>
    <row r="15" spans="1:14" x14ac:dyDescent="0.35">
      <c r="A15" s="4" t="s">
        <v>24</v>
      </c>
      <c r="B15" s="25">
        <v>0.06</v>
      </c>
    </row>
    <row r="16" spans="1:14" x14ac:dyDescent="0.35">
      <c r="A16" s="4"/>
      <c r="B16" s="30"/>
    </row>
    <row r="17" spans="2:14" x14ac:dyDescent="0.35">
      <c r="B17" t="s">
        <v>197</v>
      </c>
    </row>
    <row r="19" spans="2:14" x14ac:dyDescent="0.35">
      <c r="B19" t="s">
        <v>198</v>
      </c>
      <c r="F19" t="s">
        <v>89</v>
      </c>
    </row>
    <row r="20" spans="2:14" x14ac:dyDescent="0.35">
      <c r="F20" s="49">
        <f>(1-B7)/(B6+B7)</f>
        <v>7.18232044198895E-2</v>
      </c>
    </row>
    <row r="22" spans="2:14" x14ac:dyDescent="0.35">
      <c r="C22" s="85" t="s">
        <v>199</v>
      </c>
      <c r="D22" s="85"/>
      <c r="F22" s="85"/>
      <c r="G22" s="85"/>
      <c r="H22" s="85" t="s">
        <v>90</v>
      </c>
      <c r="I22" s="85"/>
      <c r="M22" t="s">
        <v>200</v>
      </c>
    </row>
    <row r="23" spans="2:14" x14ac:dyDescent="0.35">
      <c r="B23" s="4"/>
      <c r="C23" t="s">
        <v>91</v>
      </c>
      <c r="E23" t="s">
        <v>92</v>
      </c>
      <c r="H23" t="s">
        <v>91</v>
      </c>
      <c r="J23" t="s">
        <v>92</v>
      </c>
    </row>
    <row r="24" spans="2:14" ht="16.5" x14ac:dyDescent="0.45">
      <c r="B24" s="4">
        <v>1</v>
      </c>
      <c r="C24" s="56">
        <f>-B10*B15</f>
        <v>-30</v>
      </c>
      <c r="D24" s="54" t="s">
        <v>58</v>
      </c>
      <c r="E24" s="54" t="s">
        <v>201</v>
      </c>
      <c r="F24" s="54"/>
      <c r="G24" s="54" t="s">
        <v>58</v>
      </c>
      <c r="H24" s="89">
        <f>+F20*B10</f>
        <v>35.911602209944753</v>
      </c>
      <c r="I24" s="54" t="s">
        <v>58</v>
      </c>
      <c r="J24" s="54" t="s">
        <v>202</v>
      </c>
      <c r="K24" s="54"/>
      <c r="L24" s="54" t="s">
        <v>58</v>
      </c>
      <c r="M24" s="89">
        <f>C24+H24</f>
        <v>5.9116022099447534</v>
      </c>
      <c r="N24" s="54" t="s">
        <v>58</v>
      </c>
    </row>
    <row r="25" spans="2:14" x14ac:dyDescent="0.35">
      <c r="B25" s="4"/>
      <c r="C25" s="4"/>
      <c r="F25" s="16"/>
      <c r="I25" s="48"/>
      <c r="J25" s="41"/>
      <c r="K25" s="50"/>
    </row>
    <row r="26" spans="2:14" x14ac:dyDescent="0.35">
      <c r="B26" s="4"/>
      <c r="C26" s="4"/>
      <c r="F26" s="16"/>
      <c r="I26" s="48"/>
      <c r="J26" s="41"/>
      <c r="K26" s="50"/>
    </row>
  </sheetData>
  <mergeCells count="3">
    <mergeCell ref="C22:D22"/>
    <mergeCell ref="F22:G22"/>
    <mergeCell ref="H22:I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M29"/>
  <sheetViews>
    <sheetView topLeftCell="A13" workbookViewId="0">
      <selection activeCell="O17" sqref="O17"/>
    </sheetView>
  </sheetViews>
  <sheetFormatPr defaultRowHeight="14.5" x14ac:dyDescent="0.35"/>
  <sheetData>
    <row r="3" spans="1:3" x14ac:dyDescent="0.35">
      <c r="A3" t="s">
        <v>93</v>
      </c>
      <c r="B3" s="26">
        <v>3</v>
      </c>
      <c r="C3" t="s">
        <v>34</v>
      </c>
    </row>
    <row r="4" spans="1:3" x14ac:dyDescent="0.35">
      <c r="A4" t="s">
        <v>94</v>
      </c>
      <c r="B4" s="26">
        <v>500</v>
      </c>
      <c r="C4" t="s">
        <v>58</v>
      </c>
    </row>
    <row r="5" spans="1:3" x14ac:dyDescent="0.35">
      <c r="A5" t="s">
        <v>95</v>
      </c>
      <c r="B5" s="26" t="s">
        <v>96</v>
      </c>
    </row>
    <row r="6" spans="1:3" x14ac:dyDescent="0.35">
      <c r="A6" t="s">
        <v>97</v>
      </c>
      <c r="B6" s="26" t="s">
        <v>98</v>
      </c>
    </row>
    <row r="7" spans="1:3" x14ac:dyDescent="0.35">
      <c r="A7" t="s">
        <v>57</v>
      </c>
      <c r="B7" s="26">
        <v>100</v>
      </c>
      <c r="C7" t="s">
        <v>58</v>
      </c>
    </row>
    <row r="8" spans="1:3" x14ac:dyDescent="0.35">
      <c r="A8" t="s">
        <v>83</v>
      </c>
      <c r="B8" s="26" t="s">
        <v>84</v>
      </c>
      <c r="C8" t="s">
        <v>85</v>
      </c>
    </row>
    <row r="9" spans="1:3" x14ac:dyDescent="0.35">
      <c r="A9" t="s">
        <v>86</v>
      </c>
      <c r="B9" s="26" t="s">
        <v>87</v>
      </c>
    </row>
    <row r="10" spans="1:3" x14ac:dyDescent="0.35">
      <c r="A10" t="s">
        <v>22</v>
      </c>
      <c r="B10" s="26">
        <v>2</v>
      </c>
      <c r="C10" t="s">
        <v>34</v>
      </c>
    </row>
    <row r="11" spans="1:3" x14ac:dyDescent="0.35">
      <c r="A11" t="s">
        <v>56</v>
      </c>
      <c r="B11" s="25">
        <v>0.08</v>
      </c>
    </row>
    <row r="12" spans="1:3" x14ac:dyDescent="0.35">
      <c r="A12" s="27" t="s">
        <v>59</v>
      </c>
      <c r="B12" s="24">
        <v>0</v>
      </c>
    </row>
    <row r="13" spans="1:3" x14ac:dyDescent="0.35">
      <c r="A13" t="s">
        <v>110</v>
      </c>
      <c r="B13" s="26">
        <v>1.93</v>
      </c>
    </row>
    <row r="14" spans="1:3" x14ac:dyDescent="0.35">
      <c r="B14" s="4"/>
    </row>
    <row r="15" spans="1:3" s="51" customFormat="1" x14ac:dyDescent="0.35">
      <c r="B15" s="39" t="s">
        <v>99</v>
      </c>
    </row>
    <row r="17" spans="2:13" ht="16.5" x14ac:dyDescent="0.45">
      <c r="B17" t="s">
        <v>109</v>
      </c>
    </row>
    <row r="18" spans="2:13" ht="16.5" x14ac:dyDescent="0.45">
      <c r="H18" t="s">
        <v>112</v>
      </c>
    </row>
    <row r="19" spans="2:13" x14ac:dyDescent="0.35">
      <c r="C19" t="s">
        <v>100</v>
      </c>
      <c r="E19" t="s">
        <v>101</v>
      </c>
      <c r="I19" s="4" t="s">
        <v>27</v>
      </c>
      <c r="J19" s="4" t="s">
        <v>28</v>
      </c>
      <c r="K19" t="s">
        <v>102</v>
      </c>
      <c r="L19" s="4" t="s">
        <v>103</v>
      </c>
      <c r="M19" s="4" t="s">
        <v>104</v>
      </c>
    </row>
    <row r="20" spans="2:13" x14ac:dyDescent="0.35">
      <c r="B20" t="s">
        <v>105</v>
      </c>
      <c r="C20" s="4">
        <f>B4</f>
        <v>500</v>
      </c>
      <c r="E20" s="4">
        <v>3</v>
      </c>
      <c r="H20">
        <v>1</v>
      </c>
      <c r="I20">
        <f>B11*B7</f>
        <v>8</v>
      </c>
      <c r="J20" s="41">
        <f>1/(1+$B$11)^H20</f>
        <v>0.92592592592592582</v>
      </c>
      <c r="K20" s="48">
        <f>I20*J20</f>
        <v>7.4074074074074066</v>
      </c>
      <c r="L20" s="55">
        <f>K20/K22</f>
        <v>7.407407407407407E-2</v>
      </c>
      <c r="M20" s="48">
        <f>H20*L20</f>
        <v>7.407407407407407E-2</v>
      </c>
    </row>
    <row r="21" spans="2:13" ht="16.5" x14ac:dyDescent="0.45">
      <c r="B21" t="s">
        <v>106</v>
      </c>
      <c r="C21" s="4">
        <f>B7</f>
        <v>100</v>
      </c>
      <c r="E21" s="4">
        <v>1</v>
      </c>
      <c r="H21">
        <v>2</v>
      </c>
      <c r="I21">
        <f>I20+B7</f>
        <v>108</v>
      </c>
      <c r="J21" s="41">
        <f>1/(1+$B$11)^H21</f>
        <v>0.85733882030178321</v>
      </c>
      <c r="K21" s="48">
        <f>I21*J21</f>
        <v>92.592592592592581</v>
      </c>
      <c r="L21" s="55">
        <f>K21/K22</f>
        <v>0.92592592592592593</v>
      </c>
      <c r="M21" s="48">
        <f>H21*L21</f>
        <v>1.8518518518518519</v>
      </c>
    </row>
    <row r="22" spans="2:13" ht="16.5" x14ac:dyDescent="0.45">
      <c r="B22" s="57" t="s">
        <v>107</v>
      </c>
      <c r="C22" s="58">
        <f>-C21</f>
        <v>-100</v>
      </c>
      <c r="D22" s="57"/>
      <c r="E22" s="59">
        <f>B13</f>
        <v>1.93</v>
      </c>
      <c r="J22" s="41"/>
      <c r="K22" s="52">
        <f>SUM(K20:K21)</f>
        <v>99.999999999999986</v>
      </c>
      <c r="M22" s="52">
        <f>SUM(M20:M21)</f>
        <v>1.925925925925926</v>
      </c>
    </row>
    <row r="23" spans="2:13" x14ac:dyDescent="0.35">
      <c r="B23" t="s">
        <v>108</v>
      </c>
      <c r="C23" s="4">
        <f>C20+C21+C22</f>
        <v>500</v>
      </c>
      <c r="E23" s="4"/>
    </row>
    <row r="25" spans="2:13" x14ac:dyDescent="0.35">
      <c r="B25" t="s">
        <v>93</v>
      </c>
    </row>
    <row r="26" spans="2:13" x14ac:dyDescent="0.35">
      <c r="B26" t="s">
        <v>111</v>
      </c>
    </row>
    <row r="28" spans="2:13" x14ac:dyDescent="0.35">
      <c r="B28" s="6" t="s">
        <v>93</v>
      </c>
    </row>
    <row r="29" spans="2:13" x14ac:dyDescent="0.35">
      <c r="B29" s="56">
        <f>(C20*E20+C21*E21+C22*E22)/C23</f>
        <v>2.8140000000000001</v>
      </c>
      <c r="C29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12"/>
  <sheetViews>
    <sheetView workbookViewId="0">
      <selection activeCell="I9" sqref="I9"/>
    </sheetView>
  </sheetViews>
  <sheetFormatPr defaultRowHeight="14.5" x14ac:dyDescent="0.35"/>
  <sheetData>
    <row r="2" spans="1:6" x14ac:dyDescent="0.35">
      <c r="A2" s="4" t="s">
        <v>113</v>
      </c>
      <c r="B2" s="26">
        <v>110</v>
      </c>
      <c r="C2" t="s">
        <v>2</v>
      </c>
    </row>
    <row r="3" spans="1:6" ht="16.5" x14ac:dyDescent="0.35">
      <c r="A3" s="4" t="s">
        <v>114</v>
      </c>
      <c r="B3" s="26">
        <v>45</v>
      </c>
      <c r="C3" t="s">
        <v>2</v>
      </c>
    </row>
    <row r="4" spans="1:6" x14ac:dyDescent="0.35">
      <c r="A4" s="4" t="s">
        <v>115</v>
      </c>
      <c r="B4" s="26">
        <v>120</v>
      </c>
      <c r="C4" t="s">
        <v>2</v>
      </c>
      <c r="D4" s="4" t="s">
        <v>116</v>
      </c>
      <c r="E4" s="26">
        <v>120</v>
      </c>
      <c r="F4" t="s">
        <v>2</v>
      </c>
    </row>
    <row r="5" spans="1:6" ht="16.5" x14ac:dyDescent="0.35">
      <c r="A5" s="4" t="s">
        <v>117</v>
      </c>
      <c r="B5" s="26">
        <v>42</v>
      </c>
      <c r="C5" t="s">
        <v>2</v>
      </c>
      <c r="D5" s="4" t="s">
        <v>118</v>
      </c>
      <c r="E5" s="26">
        <v>38</v>
      </c>
      <c r="F5" t="s">
        <v>2</v>
      </c>
    </row>
    <row r="6" spans="1:6" x14ac:dyDescent="0.35">
      <c r="A6" s="4" t="s">
        <v>119</v>
      </c>
      <c r="B6" s="26">
        <v>1</v>
      </c>
      <c r="D6" s="4" t="s">
        <v>120</v>
      </c>
      <c r="E6" s="26">
        <v>1</v>
      </c>
    </row>
    <row r="8" spans="1:6" ht="16.5" x14ac:dyDescent="0.45">
      <c r="A8" s="4" t="s">
        <v>121</v>
      </c>
      <c r="B8" s="25">
        <v>0.8</v>
      </c>
    </row>
    <row r="9" spans="1:6" x14ac:dyDescent="0.35">
      <c r="A9" s="4" t="s">
        <v>122</v>
      </c>
      <c r="B9" s="26">
        <v>110</v>
      </c>
      <c r="C9" t="s">
        <v>2</v>
      </c>
    </row>
    <row r="10" spans="1:6" x14ac:dyDescent="0.35">
      <c r="A10" s="4"/>
      <c r="B10" s="4"/>
    </row>
    <row r="11" spans="1:6" x14ac:dyDescent="0.35">
      <c r="B11" s="6" t="s">
        <v>123</v>
      </c>
    </row>
    <row r="12" spans="1:6" x14ac:dyDescent="0.35">
      <c r="B12" s="60">
        <f>B5+B8*B4-E5</f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897F-52A6-49DA-BEBE-98890AFCB3A7}">
  <dimension ref="A2:H25"/>
  <sheetViews>
    <sheetView tabSelected="1" topLeftCell="A12" workbookViewId="0">
      <selection activeCell="M17" sqref="M17"/>
    </sheetView>
  </sheetViews>
  <sheetFormatPr defaultRowHeight="14.5" x14ac:dyDescent="0.35"/>
  <sheetData>
    <row r="2" spans="1:8" x14ac:dyDescent="0.35">
      <c r="A2" s="4"/>
      <c r="B2" s="4"/>
    </row>
    <row r="3" spans="1:8" x14ac:dyDescent="0.35">
      <c r="A3" s="4" t="s">
        <v>203</v>
      </c>
      <c r="B3" s="26">
        <v>50</v>
      </c>
      <c r="C3" t="s">
        <v>2</v>
      </c>
    </row>
    <row r="4" spans="1:8" ht="16.5" x14ac:dyDescent="0.35">
      <c r="A4" s="4" t="s">
        <v>204</v>
      </c>
      <c r="B4" s="26">
        <v>7</v>
      </c>
      <c r="C4" t="s">
        <v>2</v>
      </c>
      <c r="D4" s="4"/>
      <c r="E4" s="4"/>
    </row>
    <row r="5" spans="1:8" x14ac:dyDescent="0.35">
      <c r="A5" s="4" t="s">
        <v>119</v>
      </c>
      <c r="B5" s="26">
        <v>1</v>
      </c>
      <c r="D5" s="4"/>
      <c r="E5" s="4"/>
    </row>
    <row r="6" spans="1:8" x14ac:dyDescent="0.35">
      <c r="A6" s="4" t="s">
        <v>205</v>
      </c>
      <c r="B6" s="26">
        <v>50</v>
      </c>
      <c r="C6" t="s">
        <v>2</v>
      </c>
      <c r="D6" s="4"/>
      <c r="E6" s="4"/>
    </row>
    <row r="7" spans="1:8" ht="16.5" x14ac:dyDescent="0.35">
      <c r="A7" s="4" t="s">
        <v>206</v>
      </c>
      <c r="B7" s="26">
        <v>3</v>
      </c>
      <c r="C7" t="s">
        <v>2</v>
      </c>
    </row>
    <row r="8" spans="1:8" x14ac:dyDescent="0.35">
      <c r="A8" s="4" t="s">
        <v>120</v>
      </c>
      <c r="B8" s="26">
        <v>1</v>
      </c>
    </row>
    <row r="9" spans="1:8" x14ac:dyDescent="0.35">
      <c r="A9" s="4" t="s">
        <v>28</v>
      </c>
      <c r="B9" s="25">
        <v>1</v>
      </c>
    </row>
    <row r="10" spans="1:8" x14ac:dyDescent="0.35">
      <c r="A10" s="4"/>
      <c r="B10" s="4"/>
    </row>
    <row r="11" spans="1:8" x14ac:dyDescent="0.35">
      <c r="A11" s="4" t="s">
        <v>161</v>
      </c>
      <c r="B11" s="26" t="s">
        <v>207</v>
      </c>
    </row>
    <row r="12" spans="1:8" x14ac:dyDescent="0.35">
      <c r="B12" s="47"/>
    </row>
    <row r="13" spans="1:8" ht="16.5" x14ac:dyDescent="0.45">
      <c r="B13" s="90" t="s">
        <v>208</v>
      </c>
      <c r="D13" s="4" t="s">
        <v>209</v>
      </c>
      <c r="E13" s="4"/>
      <c r="F13" s="4"/>
      <c r="G13" s="4"/>
    </row>
    <row r="14" spans="1:8" x14ac:dyDescent="0.35">
      <c r="B14" s="47"/>
      <c r="D14" s="4"/>
    </row>
    <row r="15" spans="1:8" x14ac:dyDescent="0.35">
      <c r="B15" s="47"/>
      <c r="D15" t="s">
        <v>189</v>
      </c>
      <c r="E15" s="4">
        <f>B4+B7</f>
        <v>10</v>
      </c>
      <c r="F15" s="4"/>
      <c r="G15" s="4"/>
      <c r="H15" s="4"/>
    </row>
    <row r="16" spans="1:8" ht="15" thickBot="1" x14ac:dyDescent="0.4">
      <c r="B16" s="47"/>
    </row>
    <row r="17" spans="2:8" x14ac:dyDescent="0.35">
      <c r="B17" s="70"/>
      <c r="C17" s="86" t="s">
        <v>187</v>
      </c>
      <c r="D17" s="86"/>
      <c r="E17" s="71" t="s">
        <v>187</v>
      </c>
      <c r="F17" s="72" t="s">
        <v>188</v>
      </c>
    </row>
    <row r="18" spans="2:8" ht="17" thickBot="1" x14ac:dyDescent="0.5">
      <c r="B18" s="73" t="s">
        <v>64</v>
      </c>
      <c r="C18" s="81" t="s">
        <v>210</v>
      </c>
      <c r="D18" s="81" t="s">
        <v>211</v>
      </c>
      <c r="E18" s="81" t="s">
        <v>105</v>
      </c>
      <c r="F18" s="82" t="s">
        <v>105</v>
      </c>
    </row>
    <row r="19" spans="2:8" x14ac:dyDescent="0.35">
      <c r="B19" s="76">
        <v>35</v>
      </c>
      <c r="C19" s="77">
        <f>-MAX(B19-$B$6,0)</f>
        <v>0</v>
      </c>
      <c r="D19" s="77">
        <f>-MAX($B$6-B19,0)</f>
        <v>-15</v>
      </c>
      <c r="E19" s="77">
        <f>C19+D19</f>
        <v>-15</v>
      </c>
      <c r="F19" s="78">
        <f>E19+$E$15</f>
        <v>-5</v>
      </c>
      <c r="H19" t="s">
        <v>212</v>
      </c>
    </row>
    <row r="20" spans="2:8" x14ac:dyDescent="0.35">
      <c r="B20" s="79">
        <v>40</v>
      </c>
      <c r="C20" s="4">
        <f>-MAX(B20-$B$6,0)</f>
        <v>0</v>
      </c>
      <c r="D20" s="4">
        <f>-MAX($B$6-B20,0)</f>
        <v>-10</v>
      </c>
      <c r="E20" s="4">
        <f>C20+D20</f>
        <v>-10</v>
      </c>
      <c r="F20" s="80">
        <f t="shared" ref="F20:F24" si="0">E20+$E$15</f>
        <v>0</v>
      </c>
      <c r="H20" t="s">
        <v>213</v>
      </c>
    </row>
    <row r="21" spans="2:8" x14ac:dyDescent="0.35">
      <c r="B21" s="79">
        <v>45</v>
      </c>
      <c r="C21" s="4">
        <f t="shared" ref="C21:C25" si="1">-MAX(B21-$B$6,0)</f>
        <v>0</v>
      </c>
      <c r="D21" s="4">
        <f t="shared" ref="D21:D25" si="2">-MAX($B$6-B21,0)</f>
        <v>-5</v>
      </c>
      <c r="E21" s="4">
        <f t="shared" ref="E21:E25" si="3">C21+D21</f>
        <v>-5</v>
      </c>
      <c r="F21" s="80">
        <f t="shared" si="0"/>
        <v>5</v>
      </c>
      <c r="H21" t="s">
        <v>214</v>
      </c>
    </row>
    <row r="22" spans="2:8" x14ac:dyDescent="0.35">
      <c r="B22" s="79">
        <v>50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83">
        <f t="shared" si="0"/>
        <v>10</v>
      </c>
      <c r="H22" t="s">
        <v>215</v>
      </c>
    </row>
    <row r="23" spans="2:8" x14ac:dyDescent="0.35">
      <c r="B23" s="79">
        <v>55</v>
      </c>
      <c r="C23" s="4">
        <f t="shared" si="1"/>
        <v>-5</v>
      </c>
      <c r="D23" s="4">
        <f t="shared" si="2"/>
        <v>0</v>
      </c>
      <c r="E23" s="4">
        <f t="shared" si="3"/>
        <v>-5</v>
      </c>
      <c r="F23" s="80">
        <f t="shared" si="0"/>
        <v>5</v>
      </c>
    </row>
    <row r="24" spans="2:8" x14ac:dyDescent="0.35">
      <c r="B24" s="79">
        <v>60</v>
      </c>
      <c r="C24" s="4">
        <f t="shared" si="1"/>
        <v>-10</v>
      </c>
      <c r="D24" s="4">
        <f t="shared" si="2"/>
        <v>0</v>
      </c>
      <c r="E24" s="4">
        <f t="shared" si="3"/>
        <v>-10</v>
      </c>
      <c r="F24" s="80">
        <f t="shared" si="0"/>
        <v>0</v>
      </c>
    </row>
    <row r="25" spans="2:8" ht="15" thickBot="1" x14ac:dyDescent="0.4">
      <c r="B25" s="73">
        <v>65</v>
      </c>
      <c r="C25" s="81">
        <f t="shared" si="1"/>
        <v>-15</v>
      </c>
      <c r="D25" s="81">
        <f t="shared" si="2"/>
        <v>0</v>
      </c>
      <c r="E25" s="81">
        <f t="shared" si="3"/>
        <v>-15</v>
      </c>
      <c r="F25" s="82">
        <f>E25+$E$15</f>
        <v>-5</v>
      </c>
    </row>
  </sheetData>
  <mergeCells count="1">
    <mergeCell ref="C17:D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21"/>
  <sheetViews>
    <sheetView workbookViewId="0">
      <selection activeCell="J8" sqref="J8"/>
    </sheetView>
  </sheetViews>
  <sheetFormatPr defaultRowHeight="14.5" x14ac:dyDescent="0.35"/>
  <sheetData>
    <row r="2" spans="1:7" x14ac:dyDescent="0.35">
      <c r="A2" s="4" t="s">
        <v>1</v>
      </c>
      <c r="B2" s="26">
        <v>128</v>
      </c>
      <c r="C2" t="s">
        <v>2</v>
      </c>
    </row>
    <row r="3" spans="1:7" x14ac:dyDescent="0.35">
      <c r="A3" s="4" t="s">
        <v>113</v>
      </c>
      <c r="B3" s="26">
        <v>120</v>
      </c>
      <c r="C3" t="s">
        <v>2</v>
      </c>
    </row>
    <row r="4" spans="1:7" ht="16.5" x14ac:dyDescent="0.35">
      <c r="A4" s="4" t="s">
        <v>114</v>
      </c>
      <c r="B4" s="26">
        <v>22</v>
      </c>
      <c r="C4" t="s">
        <v>2</v>
      </c>
    </row>
    <row r="5" spans="1:7" x14ac:dyDescent="0.35">
      <c r="A5" s="4" t="s">
        <v>115</v>
      </c>
      <c r="B5" s="26">
        <v>130</v>
      </c>
      <c r="C5" t="s">
        <v>2</v>
      </c>
    </row>
    <row r="6" spans="1:7" ht="16.5" x14ac:dyDescent="0.35">
      <c r="A6" s="4" t="s">
        <v>117</v>
      </c>
      <c r="B6" s="26">
        <v>13</v>
      </c>
      <c r="C6" t="s">
        <v>2</v>
      </c>
    </row>
    <row r="7" spans="1:7" x14ac:dyDescent="0.35">
      <c r="A7" s="4" t="s">
        <v>183</v>
      </c>
      <c r="B7" s="26">
        <v>140</v>
      </c>
      <c r="C7" t="s">
        <v>2</v>
      </c>
    </row>
    <row r="8" spans="1:7" ht="16.5" x14ac:dyDescent="0.35">
      <c r="A8" s="4" t="s">
        <v>184</v>
      </c>
      <c r="B8" s="26">
        <v>7</v>
      </c>
      <c r="C8" t="s">
        <v>2</v>
      </c>
    </row>
    <row r="9" spans="1:7" x14ac:dyDescent="0.35">
      <c r="A9" s="4" t="s">
        <v>119</v>
      </c>
      <c r="B9" s="26">
        <v>0.5</v>
      </c>
    </row>
    <row r="10" spans="1:7" x14ac:dyDescent="0.35">
      <c r="A10" s="4" t="s">
        <v>161</v>
      </c>
      <c r="B10" s="69" t="s">
        <v>185</v>
      </c>
    </row>
    <row r="12" spans="1:7" ht="16.5" x14ac:dyDescent="0.45">
      <c r="B12" t="s">
        <v>185</v>
      </c>
      <c r="D12" t="s">
        <v>190</v>
      </c>
    </row>
    <row r="13" spans="1:7" x14ac:dyDescent="0.35">
      <c r="D13" t="s">
        <v>189</v>
      </c>
      <c r="E13">
        <f>-B4-B8+2*B6</f>
        <v>-3</v>
      </c>
    </row>
    <row r="14" spans="1:7" ht="15" thickBot="1" x14ac:dyDescent="0.4"/>
    <row r="15" spans="1:7" x14ac:dyDescent="0.35">
      <c r="B15" s="70"/>
      <c r="C15" s="86" t="s">
        <v>187</v>
      </c>
      <c r="D15" s="86"/>
      <c r="E15" s="86"/>
      <c r="F15" s="71" t="s">
        <v>187</v>
      </c>
      <c r="G15" s="72" t="s">
        <v>188</v>
      </c>
    </row>
    <row r="16" spans="1:7" ht="17" thickBot="1" x14ac:dyDescent="0.5">
      <c r="B16" s="73" t="s">
        <v>186</v>
      </c>
      <c r="C16" s="74" t="s">
        <v>191</v>
      </c>
      <c r="D16" s="74" t="s">
        <v>192</v>
      </c>
      <c r="E16" s="74" t="s">
        <v>193</v>
      </c>
      <c r="F16" s="74" t="s">
        <v>105</v>
      </c>
      <c r="G16" s="75" t="s">
        <v>105</v>
      </c>
    </row>
    <row r="17" spans="2:7" x14ac:dyDescent="0.35">
      <c r="B17" s="76">
        <v>110</v>
      </c>
      <c r="C17" s="77">
        <f>MAX(B17-$B$3,0)</f>
        <v>0</v>
      </c>
      <c r="D17" s="77">
        <f>-2*MAX(B17-$B$5,0)</f>
        <v>0</v>
      </c>
      <c r="E17" s="77">
        <f>MAX(B17-$B$7,0)</f>
        <v>0</v>
      </c>
      <c r="F17" s="77">
        <f>C17+D17+E17</f>
        <v>0</v>
      </c>
      <c r="G17" s="78">
        <f>F17+$E$13</f>
        <v>-3</v>
      </c>
    </row>
    <row r="18" spans="2:7" x14ac:dyDescent="0.35">
      <c r="B18" s="79">
        <v>120</v>
      </c>
      <c r="C18" s="4">
        <f t="shared" ref="C18:C21" si="0">MAX(B18-$B$3,0)</f>
        <v>0</v>
      </c>
      <c r="D18" s="4">
        <f t="shared" ref="D18:D21" si="1">-2*MAX(B18-$B$5,0)</f>
        <v>0</v>
      </c>
      <c r="E18" s="4">
        <f t="shared" ref="E18:E21" si="2">MAX(B18-$B$7,0)</f>
        <v>0</v>
      </c>
      <c r="F18" s="4">
        <f t="shared" ref="F18:F21" si="3">C18+D18+E18</f>
        <v>0</v>
      </c>
      <c r="G18" s="80">
        <f t="shared" ref="G18:G21" si="4">F18+$E$13</f>
        <v>-3</v>
      </c>
    </row>
    <row r="19" spans="2:7" x14ac:dyDescent="0.35">
      <c r="B19" s="79">
        <v>130</v>
      </c>
      <c r="C19" s="4">
        <f t="shared" si="0"/>
        <v>10</v>
      </c>
      <c r="D19" s="4">
        <f t="shared" si="1"/>
        <v>0</v>
      </c>
      <c r="E19" s="4">
        <f t="shared" si="2"/>
        <v>0</v>
      </c>
      <c r="F19" s="4">
        <f t="shared" si="3"/>
        <v>10</v>
      </c>
      <c r="G19" s="83">
        <f t="shared" si="4"/>
        <v>7</v>
      </c>
    </row>
    <row r="20" spans="2:7" x14ac:dyDescent="0.35">
      <c r="B20" s="79">
        <v>140</v>
      </c>
      <c r="C20" s="4">
        <f t="shared" si="0"/>
        <v>20</v>
      </c>
      <c r="D20" s="4">
        <f t="shared" si="1"/>
        <v>-20</v>
      </c>
      <c r="E20" s="4">
        <f t="shared" si="2"/>
        <v>0</v>
      </c>
      <c r="F20" s="4">
        <f t="shared" si="3"/>
        <v>0</v>
      </c>
      <c r="G20" s="80">
        <f t="shared" si="4"/>
        <v>-3</v>
      </c>
    </row>
    <row r="21" spans="2:7" ht="15" thickBot="1" x14ac:dyDescent="0.4">
      <c r="B21" s="73">
        <v>150</v>
      </c>
      <c r="C21" s="81">
        <f t="shared" si="0"/>
        <v>30</v>
      </c>
      <c r="D21" s="81">
        <f t="shared" si="1"/>
        <v>-40</v>
      </c>
      <c r="E21" s="81">
        <f t="shared" si="2"/>
        <v>10</v>
      </c>
      <c r="F21" s="81">
        <f t="shared" si="3"/>
        <v>0</v>
      </c>
      <c r="G21" s="82">
        <f t="shared" si="4"/>
        <v>-3</v>
      </c>
    </row>
  </sheetData>
  <mergeCells count="1">
    <mergeCell ref="C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L28"/>
  <sheetViews>
    <sheetView topLeftCell="A10" workbookViewId="0">
      <selection activeCell="E10" sqref="E10"/>
    </sheetView>
  </sheetViews>
  <sheetFormatPr defaultRowHeight="14.5" x14ac:dyDescent="0.35"/>
  <sheetData>
    <row r="3" spans="1:12" x14ac:dyDescent="0.35">
      <c r="A3" s="4" t="s">
        <v>1</v>
      </c>
      <c r="B3" s="26">
        <v>400</v>
      </c>
      <c r="C3" t="s">
        <v>2</v>
      </c>
    </row>
    <row r="4" spans="1:12" x14ac:dyDescent="0.35">
      <c r="A4" s="4" t="s">
        <v>124</v>
      </c>
      <c r="B4" s="25">
        <v>1.25</v>
      </c>
    </row>
    <row r="5" spans="1:12" x14ac:dyDescent="0.35">
      <c r="A5" s="4" t="s">
        <v>125</v>
      </c>
      <c r="B5" s="25">
        <v>0.8</v>
      </c>
    </row>
    <row r="6" spans="1:12" x14ac:dyDescent="0.35">
      <c r="A6" s="61" t="s">
        <v>126</v>
      </c>
      <c r="B6" s="26">
        <v>1</v>
      </c>
      <c r="C6" t="s">
        <v>34</v>
      </c>
    </row>
    <row r="7" spans="1:12" ht="16.5" x14ac:dyDescent="0.45">
      <c r="A7" s="4" t="s">
        <v>127</v>
      </c>
      <c r="B7" s="25">
        <v>0.1</v>
      </c>
      <c r="C7" t="s">
        <v>128</v>
      </c>
    </row>
    <row r="8" spans="1:12" x14ac:dyDescent="0.35">
      <c r="A8" s="4" t="s">
        <v>22</v>
      </c>
      <c r="B8" s="63">
        <v>2</v>
      </c>
      <c r="C8" s="29" t="s">
        <v>34</v>
      </c>
    </row>
    <row r="10" spans="1:12" x14ac:dyDescent="0.35">
      <c r="B10" t="s">
        <v>133</v>
      </c>
    </row>
    <row r="12" spans="1:12" ht="17.5" x14ac:dyDescent="0.45">
      <c r="C12" s="4" t="s">
        <v>134</v>
      </c>
      <c r="G12" s="4" t="s">
        <v>135</v>
      </c>
      <c r="K12" s="4" t="s">
        <v>136</v>
      </c>
    </row>
    <row r="13" spans="1:12" x14ac:dyDescent="0.35">
      <c r="B13" s="4" t="s">
        <v>129</v>
      </c>
      <c r="C13" s="4" t="s">
        <v>63</v>
      </c>
      <c r="D13" s="4" t="s">
        <v>137</v>
      </c>
      <c r="F13" s="4" t="s">
        <v>129</v>
      </c>
      <c r="G13" s="4" t="s">
        <v>63</v>
      </c>
      <c r="H13" s="4" t="s">
        <v>137</v>
      </c>
      <c r="J13" s="4" t="s">
        <v>129</v>
      </c>
      <c r="K13" s="4" t="s">
        <v>63</v>
      </c>
      <c r="L13" s="4" t="s">
        <v>137</v>
      </c>
    </row>
    <row r="14" spans="1:12" x14ac:dyDescent="0.35">
      <c r="D14" s="4">
        <v>1</v>
      </c>
      <c r="H14" s="4">
        <v>0</v>
      </c>
      <c r="L14" s="4">
        <v>0</v>
      </c>
    </row>
    <row r="15" spans="1:12" x14ac:dyDescent="0.35">
      <c r="D15" s="4"/>
      <c r="H15" s="4"/>
      <c r="L15" s="4"/>
    </row>
    <row r="16" spans="1:12" x14ac:dyDescent="0.35">
      <c r="B16" s="4" t="s">
        <v>130</v>
      </c>
      <c r="D16" s="4">
        <v>0</v>
      </c>
      <c r="F16" s="4" t="s">
        <v>130</v>
      </c>
      <c r="H16" s="4">
        <v>1</v>
      </c>
      <c r="J16" s="4" t="s">
        <v>130</v>
      </c>
      <c r="L16" s="4">
        <v>0</v>
      </c>
    </row>
    <row r="17" spans="2:12" x14ac:dyDescent="0.35">
      <c r="D17" s="4"/>
      <c r="H17" s="4"/>
      <c r="L17" s="4"/>
    </row>
    <row r="18" spans="2:12" x14ac:dyDescent="0.35">
      <c r="D18" s="4">
        <v>0</v>
      </c>
      <c r="H18" s="4">
        <v>0</v>
      </c>
      <c r="L18" s="4">
        <v>1</v>
      </c>
    </row>
    <row r="20" spans="2:12" ht="16.5" x14ac:dyDescent="0.45">
      <c r="B20" s="4" t="s">
        <v>121</v>
      </c>
      <c r="C20" s="41">
        <f>EXP(-B6*B7)</f>
        <v>0.90483741803595952</v>
      </c>
    </row>
    <row r="21" spans="2:12" ht="16.5" x14ac:dyDescent="0.45">
      <c r="B21" s="4" t="s">
        <v>138</v>
      </c>
      <c r="C21" s="41">
        <f>EXP(-B8*B7)</f>
        <v>0.81873075307798182</v>
      </c>
    </row>
    <row r="22" spans="2:12" x14ac:dyDescent="0.35">
      <c r="B22" s="4" t="s">
        <v>131</v>
      </c>
      <c r="C22" s="38">
        <f>(1/C20 - B5)/(B4-B5)</f>
        <v>0.67815759572366152</v>
      </c>
    </row>
    <row r="24" spans="2:12" x14ac:dyDescent="0.35">
      <c r="B24" s="6" t="s">
        <v>139</v>
      </c>
    </row>
    <row r="25" spans="2:12" ht="17.5" x14ac:dyDescent="0.45">
      <c r="B25" s="60" t="s">
        <v>140</v>
      </c>
      <c r="C25" s="64">
        <f>C22^2*C21</f>
        <v>0.37653241043147206</v>
      </c>
    </row>
    <row r="26" spans="2:12" ht="17.5" x14ac:dyDescent="0.45">
      <c r="B26" s="60" t="s">
        <v>141</v>
      </c>
      <c r="C26" s="64">
        <f>C22*(1-C22)*2*C21</f>
        <v>0.35739213724182967</v>
      </c>
    </row>
    <row r="27" spans="2:12" ht="17.5" x14ac:dyDescent="0.45">
      <c r="B27" s="62" t="s">
        <v>142</v>
      </c>
      <c r="C27" s="65">
        <f>(1-C22)^2*C21</f>
        <v>8.4806205404680035E-2</v>
      </c>
    </row>
    <row r="28" spans="2:12" ht="17.5" x14ac:dyDescent="0.45">
      <c r="B28" s="29" t="s">
        <v>132</v>
      </c>
      <c r="C28" s="41">
        <f>SUM(C25:C27)</f>
        <v>0.81873075307798171</v>
      </c>
      <c r="E28" s="9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J31"/>
  <sheetViews>
    <sheetView topLeftCell="A16" workbookViewId="0">
      <selection activeCell="C31" sqref="C31"/>
    </sheetView>
  </sheetViews>
  <sheetFormatPr defaultRowHeight="14.5" x14ac:dyDescent="0.35"/>
  <sheetData>
    <row r="3" spans="1:3" x14ac:dyDescent="0.35">
      <c r="A3" s="4" t="s">
        <v>1</v>
      </c>
      <c r="B3" s="26">
        <v>800</v>
      </c>
      <c r="C3" t="s">
        <v>2</v>
      </c>
    </row>
    <row r="4" spans="1:3" x14ac:dyDescent="0.35">
      <c r="A4" s="4" t="s">
        <v>124</v>
      </c>
      <c r="B4" s="25">
        <v>1.25</v>
      </c>
    </row>
    <row r="5" spans="1:3" x14ac:dyDescent="0.35">
      <c r="A5" s="4" t="s">
        <v>125</v>
      </c>
      <c r="B5" s="25">
        <v>0.8</v>
      </c>
    </row>
    <row r="6" spans="1:3" x14ac:dyDescent="0.35">
      <c r="A6" s="61" t="s">
        <v>126</v>
      </c>
      <c r="B6" s="26">
        <v>0.5</v>
      </c>
      <c r="C6" t="s">
        <v>168</v>
      </c>
    </row>
    <row r="7" spans="1:3" ht="16.5" x14ac:dyDescent="0.45">
      <c r="A7" s="4" t="s">
        <v>127</v>
      </c>
      <c r="B7" s="25">
        <v>0.1</v>
      </c>
      <c r="C7" t="s">
        <v>128</v>
      </c>
    </row>
    <row r="9" spans="1:3" x14ac:dyDescent="0.35">
      <c r="A9" s="4" t="s">
        <v>158</v>
      </c>
      <c r="B9" s="26" t="s">
        <v>159</v>
      </c>
      <c r="C9" s="4" t="s">
        <v>160</v>
      </c>
    </row>
    <row r="10" spans="1:3" x14ac:dyDescent="0.35">
      <c r="A10" s="4" t="s">
        <v>164</v>
      </c>
      <c r="B10" s="26">
        <f>B3</f>
        <v>800</v>
      </c>
      <c r="C10" s="4"/>
    </row>
    <row r="11" spans="1:3" x14ac:dyDescent="0.35">
      <c r="A11" s="4" t="s">
        <v>33</v>
      </c>
      <c r="B11" s="26">
        <v>1</v>
      </c>
      <c r="C11" t="s">
        <v>168</v>
      </c>
    </row>
    <row r="12" spans="1:3" x14ac:dyDescent="0.35">
      <c r="A12" t="s">
        <v>161</v>
      </c>
      <c r="B12" s="26" t="s">
        <v>69</v>
      </c>
    </row>
    <row r="13" spans="1:3" x14ac:dyDescent="0.35">
      <c r="A13" t="s">
        <v>162</v>
      </c>
      <c r="B13" s="26">
        <v>20</v>
      </c>
    </row>
    <row r="14" spans="1:3" x14ac:dyDescent="0.35">
      <c r="A14" t="s">
        <v>163</v>
      </c>
      <c r="B14" s="26">
        <v>100</v>
      </c>
    </row>
    <row r="16" spans="1:3" ht="16.5" x14ac:dyDescent="0.45">
      <c r="B16" t="s">
        <v>171</v>
      </c>
      <c r="C16" s="41">
        <f>EXP(-B7*B6)</f>
        <v>0.95122942450071402</v>
      </c>
    </row>
    <row r="17" spans="2:10" x14ac:dyDescent="0.35">
      <c r="B17" t="s">
        <v>131</v>
      </c>
      <c r="C17" s="67">
        <f>(1/C16-B5)/(B4-B5)</f>
        <v>0.55838021416894246</v>
      </c>
    </row>
    <row r="19" spans="2:10" x14ac:dyDescent="0.35">
      <c r="B19" s="4" t="s">
        <v>169</v>
      </c>
      <c r="F19" t="s">
        <v>172</v>
      </c>
    </row>
    <row r="20" spans="2:10" x14ac:dyDescent="0.35">
      <c r="B20" s="4" t="s">
        <v>129</v>
      </c>
      <c r="C20" s="4" t="s">
        <v>170</v>
      </c>
      <c r="D20" s="4" t="s">
        <v>63</v>
      </c>
      <c r="F20" s="4" t="s">
        <v>129</v>
      </c>
      <c r="G20" s="4" t="s">
        <v>170</v>
      </c>
      <c r="H20" s="4" t="s">
        <v>63</v>
      </c>
    </row>
    <row r="21" spans="2:10" x14ac:dyDescent="0.35">
      <c r="B21" s="4"/>
      <c r="C21" s="4"/>
      <c r="D21" s="4">
        <f>C22*B4</f>
        <v>1250</v>
      </c>
      <c r="H21" s="4">
        <f>MAX(D21-$B$10,0)</f>
        <v>450</v>
      </c>
    </row>
    <row r="22" spans="2:10" x14ac:dyDescent="0.35">
      <c r="B22" s="4"/>
      <c r="C22" s="4">
        <f>B23*B4</f>
        <v>1000</v>
      </c>
      <c r="D22" s="4"/>
      <c r="G22" s="48">
        <f>H21*$C$17+H23*(1-$C$17)</f>
        <v>251.2710963760241</v>
      </c>
      <c r="H22" s="4"/>
    </row>
    <row r="23" spans="2:10" x14ac:dyDescent="0.35">
      <c r="B23" s="4">
        <f>B3</f>
        <v>800</v>
      </c>
      <c r="C23" s="4"/>
      <c r="D23" s="4">
        <f>C22*B5</f>
        <v>800</v>
      </c>
      <c r="F23" s="48">
        <f>G22*$C$17+G24*(1-$C$17)</f>
        <v>140.30480860890933</v>
      </c>
      <c r="H23" s="4">
        <f t="shared" ref="H23:H25" si="0">MAX(D23-$B$10,0)</f>
        <v>0</v>
      </c>
    </row>
    <row r="24" spans="2:10" x14ac:dyDescent="0.35">
      <c r="B24" s="4"/>
      <c r="C24" s="4">
        <f>B23*B5</f>
        <v>640</v>
      </c>
      <c r="D24" s="4"/>
      <c r="G24">
        <f>H23*$C$17+H25*(1-$C$17)</f>
        <v>0</v>
      </c>
      <c r="H24" s="4"/>
    </row>
    <row r="25" spans="2:10" x14ac:dyDescent="0.35">
      <c r="B25" s="4"/>
      <c r="C25" s="4"/>
      <c r="D25" s="4">
        <f>C24*B5</f>
        <v>512</v>
      </c>
      <c r="H25" s="4">
        <f t="shared" si="0"/>
        <v>0</v>
      </c>
    </row>
    <row r="27" spans="2:10" x14ac:dyDescent="0.35">
      <c r="B27" t="s">
        <v>173</v>
      </c>
      <c r="E27" s="6" t="s">
        <v>176</v>
      </c>
    </row>
    <row r="28" spans="2:10" x14ac:dyDescent="0.35">
      <c r="B28" s="61" t="s">
        <v>174</v>
      </c>
      <c r="C28" s="66">
        <f>(G22-G24)/(C22-C24)</f>
        <v>0.69797526771117802</v>
      </c>
      <c r="E28" s="54" t="s">
        <v>177</v>
      </c>
      <c r="F28" s="53"/>
      <c r="G28" s="53"/>
      <c r="H28" s="53"/>
      <c r="I28" s="53"/>
      <c r="J28" s="53"/>
    </row>
    <row r="29" spans="2:10" x14ac:dyDescent="0.35">
      <c r="E29" s="54" t="s">
        <v>178</v>
      </c>
      <c r="F29" s="53"/>
      <c r="G29" s="53"/>
      <c r="H29" s="53"/>
      <c r="I29" s="53"/>
      <c r="J29" s="53"/>
    </row>
    <row r="30" spans="2:10" x14ac:dyDescent="0.35">
      <c r="B30" t="s">
        <v>175</v>
      </c>
    </row>
    <row r="31" spans="2:10" x14ac:dyDescent="0.35">
      <c r="B31" s="61" t="s">
        <v>174</v>
      </c>
      <c r="C31" s="68">
        <f>C28*B13*B14</f>
        <v>1395.9505354223561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C9"/>
  <sheetViews>
    <sheetView workbookViewId="0">
      <selection activeCell="E9" sqref="E9"/>
    </sheetView>
  </sheetViews>
  <sheetFormatPr defaultRowHeight="14.5" x14ac:dyDescent="0.35"/>
  <sheetData>
    <row r="3" spans="1:3" x14ac:dyDescent="0.35">
      <c r="A3" s="4" t="s">
        <v>179</v>
      </c>
      <c r="B3" s="26">
        <v>30</v>
      </c>
    </row>
    <row r="4" spans="1:3" x14ac:dyDescent="0.35">
      <c r="A4" s="61" t="s">
        <v>180</v>
      </c>
      <c r="B4" s="26">
        <v>0.8</v>
      </c>
    </row>
    <row r="5" spans="1:3" x14ac:dyDescent="0.35">
      <c r="A5" s="61" t="s">
        <v>156</v>
      </c>
      <c r="B5" s="26">
        <v>16</v>
      </c>
    </row>
    <row r="6" spans="1:3" x14ac:dyDescent="0.35">
      <c r="A6" s="61" t="s">
        <v>33</v>
      </c>
      <c r="B6" s="26">
        <v>0.25</v>
      </c>
    </row>
    <row r="8" spans="1:3" x14ac:dyDescent="0.35">
      <c r="B8" s="6" t="s">
        <v>181</v>
      </c>
      <c r="C8" s="60">
        <f>B3+B4*B6</f>
        <v>30.2</v>
      </c>
    </row>
    <row r="9" spans="1:3" x14ac:dyDescent="0.35">
      <c r="B9" s="6" t="s">
        <v>182</v>
      </c>
      <c r="C9" s="60">
        <f>SQRT(B6*B5)</f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6"/>
  <sheetViews>
    <sheetView workbookViewId="0">
      <selection activeCell="B2" sqref="B2"/>
    </sheetView>
  </sheetViews>
  <sheetFormatPr defaultRowHeight="14.5" x14ac:dyDescent="0.35"/>
  <sheetData>
    <row r="2" spans="2:7" x14ac:dyDescent="0.35">
      <c r="B2" t="s">
        <v>144</v>
      </c>
    </row>
    <row r="3" spans="2:7" x14ac:dyDescent="0.35">
      <c r="B3" t="s">
        <v>149</v>
      </c>
      <c r="G3" t="s">
        <v>148</v>
      </c>
    </row>
    <row r="4" spans="2:7" x14ac:dyDescent="0.35">
      <c r="B4" t="s">
        <v>150</v>
      </c>
      <c r="G4" t="s">
        <v>148</v>
      </c>
    </row>
    <row r="5" spans="2:7" x14ac:dyDescent="0.35">
      <c r="B5" t="s">
        <v>145</v>
      </c>
      <c r="G5" t="s">
        <v>146</v>
      </c>
    </row>
    <row r="6" spans="2:7" x14ac:dyDescent="0.35">
      <c r="B6" t="s">
        <v>147</v>
      </c>
      <c r="G6" t="s">
        <v>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8"/>
  <sheetViews>
    <sheetView workbookViewId="0">
      <selection activeCell="G10" sqref="G10"/>
    </sheetView>
  </sheetViews>
  <sheetFormatPr defaultRowHeight="14.5" x14ac:dyDescent="0.35"/>
  <sheetData>
    <row r="2" spans="2:5" x14ac:dyDescent="0.35">
      <c r="B2" t="s">
        <v>144</v>
      </c>
    </row>
    <row r="3" spans="2:5" x14ac:dyDescent="0.35">
      <c r="B3" t="s">
        <v>154</v>
      </c>
    </row>
    <row r="5" spans="2:5" x14ac:dyDescent="0.35">
      <c r="B5" t="s">
        <v>152</v>
      </c>
      <c r="E5" t="s">
        <v>148</v>
      </c>
    </row>
    <row r="6" spans="2:5" x14ac:dyDescent="0.35">
      <c r="B6" t="s">
        <v>153</v>
      </c>
      <c r="E6" t="s">
        <v>148</v>
      </c>
    </row>
    <row r="7" spans="2:5" x14ac:dyDescent="0.35">
      <c r="B7" t="s">
        <v>151</v>
      </c>
      <c r="E7" t="s">
        <v>146</v>
      </c>
    </row>
    <row r="8" spans="2:5" x14ac:dyDescent="0.35">
      <c r="B8" t="s">
        <v>155</v>
      </c>
      <c r="E8" t="s">
        <v>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F16"/>
  <sheetViews>
    <sheetView workbookViewId="0">
      <selection activeCell="H20" sqref="H20"/>
    </sheetView>
  </sheetViews>
  <sheetFormatPr defaultRowHeight="14.5" x14ac:dyDescent="0.35"/>
  <sheetData>
    <row r="3" spans="1:6" x14ac:dyDescent="0.35">
      <c r="A3" s="4" t="s">
        <v>1</v>
      </c>
      <c r="B3" s="26">
        <v>200</v>
      </c>
      <c r="C3" t="s">
        <v>2</v>
      </c>
    </row>
    <row r="4" spans="1:6" x14ac:dyDescent="0.35">
      <c r="A4" s="61" t="s">
        <v>156</v>
      </c>
      <c r="B4" s="25">
        <v>0.3</v>
      </c>
    </row>
    <row r="5" spans="1:6" ht="16.5" x14ac:dyDescent="0.45">
      <c r="A5" s="4" t="s">
        <v>127</v>
      </c>
      <c r="B5" s="25">
        <v>0.08</v>
      </c>
      <c r="C5" t="s">
        <v>157</v>
      </c>
    </row>
    <row r="6" spans="1:6" x14ac:dyDescent="0.35">
      <c r="A6" s="4" t="s">
        <v>158</v>
      </c>
      <c r="B6" s="26" t="s">
        <v>159</v>
      </c>
      <c r="C6" s="4" t="s">
        <v>160</v>
      </c>
    </row>
    <row r="7" spans="1:6" x14ac:dyDescent="0.35">
      <c r="A7" s="4" t="s">
        <v>164</v>
      </c>
      <c r="B7" s="24">
        <v>190</v>
      </c>
      <c r="C7" t="s">
        <v>2</v>
      </c>
    </row>
    <row r="8" spans="1:6" x14ac:dyDescent="0.35">
      <c r="A8" t="s">
        <v>161</v>
      </c>
      <c r="B8" s="26" t="s">
        <v>69</v>
      </c>
    </row>
    <row r="9" spans="1:6" x14ac:dyDescent="0.35">
      <c r="A9" t="s">
        <v>162</v>
      </c>
      <c r="B9" s="26">
        <v>10</v>
      </c>
    </row>
    <row r="10" spans="1:6" x14ac:dyDescent="0.35">
      <c r="A10" t="s">
        <v>163</v>
      </c>
      <c r="B10" s="26">
        <v>100</v>
      </c>
    </row>
    <row r="12" spans="1:6" x14ac:dyDescent="0.35">
      <c r="A12" s="4" t="s">
        <v>158</v>
      </c>
      <c r="B12" s="26" t="s">
        <v>165</v>
      </c>
      <c r="C12" s="4" t="s">
        <v>160</v>
      </c>
    </row>
    <row r="13" spans="1:6" x14ac:dyDescent="0.35">
      <c r="A13" s="4" t="s">
        <v>164</v>
      </c>
      <c r="B13" s="24">
        <v>190</v>
      </c>
      <c r="C13" t="s">
        <v>2</v>
      </c>
    </row>
    <row r="15" spans="1:6" x14ac:dyDescent="0.35">
      <c r="B15" s="6" t="s">
        <v>166</v>
      </c>
    </row>
    <row r="16" spans="1:6" x14ac:dyDescent="0.35">
      <c r="B16" s="54" t="s">
        <v>167</v>
      </c>
      <c r="C16" s="53"/>
      <c r="D16" s="53"/>
      <c r="E16" s="53"/>
      <c r="F16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18</vt:i4>
      </vt:variant>
    </vt:vector>
  </HeadingPairs>
  <TitlesOfParts>
    <vt:vector size="18" baseType="lpstr">
      <vt:lpstr>1.</vt:lpstr>
      <vt:lpstr>2.</vt:lpstr>
      <vt:lpstr>3. </vt:lpstr>
      <vt:lpstr>4.</vt:lpstr>
      <vt:lpstr>5.</vt:lpstr>
      <vt:lpstr>6. </vt:lpstr>
      <vt:lpstr>7.</vt:lpstr>
      <vt:lpstr>8.</vt:lpstr>
      <vt:lpstr>9.</vt:lpstr>
      <vt:lpstr>10.</vt:lpstr>
      <vt:lpstr>11.</vt:lpstr>
      <vt:lpstr>12. </vt:lpstr>
      <vt:lpstr>13.</vt:lpstr>
      <vt:lpstr>14.</vt:lpstr>
      <vt:lpstr>15.</vt:lpstr>
      <vt:lpstr>16.</vt:lpstr>
      <vt:lpstr>17.</vt:lpstr>
      <vt:lpstr>18.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Badics Milán Csaba</cp:lastModifiedBy>
  <dcterms:created xsi:type="dcterms:W3CDTF">2022-12-20T16:25:17Z</dcterms:created>
  <dcterms:modified xsi:type="dcterms:W3CDTF">2023-12-17T12:59:29Z</dcterms:modified>
</cp:coreProperties>
</file>