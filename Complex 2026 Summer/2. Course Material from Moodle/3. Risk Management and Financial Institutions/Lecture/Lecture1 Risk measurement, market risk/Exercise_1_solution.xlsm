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ocuments\dbarbar\Barbara_2020_11\phd\2024_tavasz\RMFI\1week\"/>
    </mc:Choice>
  </mc:AlternateContent>
  <xr:revisionPtr revIDLastSave="0" documentId="13_ncr:1_{6F21DE5F-BC04-4E91-B829-95F2D5E5C9B1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6" sheetId="9" r:id="rId1"/>
    <sheet name="7" sheetId="1" r:id="rId2"/>
    <sheet name="8" sheetId="8" r:id="rId3"/>
  </sheets>
  <definedNames>
    <definedName name="_xlnm._FilterDatabase" localSheetId="1" hidden="1">'7'!$S$1:$S$1244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41" i="8" l="1"/>
  <c r="AD40" i="8"/>
  <c r="AE41" i="8"/>
  <c r="AE40" i="8"/>
  <c r="AA10" i="1"/>
  <c r="Z6" i="1"/>
  <c r="Z5" i="1"/>
  <c r="Z4" i="1"/>
  <c r="T1245" i="1" s="1"/>
  <c r="Z3" i="1"/>
  <c r="X1245" i="1"/>
  <c r="X1246" i="1"/>
  <c r="X1247" i="1"/>
  <c r="X1248" i="1"/>
  <c r="X1249" i="1"/>
  <c r="X1250" i="1"/>
  <c r="X1251" i="1"/>
  <c r="X125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W1245" i="1"/>
  <c r="W1246" i="1"/>
  <c r="W1247" i="1"/>
  <c r="W1248" i="1"/>
  <c r="W1249" i="1"/>
  <c r="W1250" i="1"/>
  <c r="W1251" i="1"/>
  <c r="W1252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V1245" i="1"/>
  <c r="V1246" i="1"/>
  <c r="V1247" i="1"/>
  <c r="V1248" i="1"/>
  <c r="V1249" i="1"/>
  <c r="V1250" i="1"/>
  <c r="V1251" i="1"/>
  <c r="V1252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3" i="1"/>
  <c r="U1245" i="1"/>
  <c r="U1246" i="1"/>
  <c r="U1247" i="1"/>
  <c r="U1248" i="1"/>
  <c r="U1249" i="1"/>
  <c r="U1250" i="1"/>
  <c r="U1251" i="1"/>
  <c r="U125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2" i="1"/>
  <c r="T1255" i="1"/>
  <c r="T1252" i="1"/>
  <c r="I30" i="1" a="1"/>
  <c r="I30" i="1" s="1"/>
  <c r="F27" i="1"/>
  <c r="F26" i="1"/>
  <c r="F14" i="1"/>
  <c r="F4" i="1"/>
  <c r="C1247" i="1"/>
  <c r="C1248" i="1"/>
  <c r="C1249" i="1"/>
  <c r="C1250" i="1"/>
  <c r="C1251" i="1"/>
  <c r="C1252" i="1"/>
  <c r="C1253" i="1"/>
  <c r="C1254" i="1"/>
  <c r="F3" i="8"/>
  <c r="F2" i="8"/>
  <c r="T1251" i="1" l="1"/>
  <c r="T1249" i="1"/>
  <c r="T1246" i="1"/>
  <c r="T1250" i="1"/>
  <c r="T1248" i="1"/>
  <c r="T1247" i="1"/>
  <c r="I41" i="1"/>
  <c r="I40" i="1"/>
  <c r="I39" i="1"/>
  <c r="I38" i="1"/>
  <c r="I37" i="1"/>
  <c r="I36" i="1"/>
  <c r="I35" i="1"/>
  <c r="I34" i="1"/>
  <c r="I33" i="1"/>
  <c r="I32" i="1"/>
  <c r="I31" i="1"/>
  <c r="V42" i="8" l="1"/>
  <c r="C13" i="9"/>
  <c r="D4" i="9"/>
  <c r="D5" i="9"/>
  <c r="C8" i="9"/>
  <c r="D6" i="9" s="1"/>
  <c r="D3" i="9" l="1"/>
  <c r="D2" i="9"/>
  <c r="C9" i="9" s="1"/>
  <c r="C14" i="9" s="1"/>
  <c r="W2" i="1"/>
  <c r="AA12" i="1"/>
  <c r="X2" i="1"/>
  <c r="W3" i="1"/>
  <c r="T3" i="1" l="1"/>
  <c r="T4" i="1"/>
  <c r="T5" i="1"/>
  <c r="T13" i="1"/>
  <c r="T21" i="1"/>
  <c r="T29" i="1"/>
  <c r="T37" i="1"/>
  <c r="T45" i="1"/>
  <c r="T53" i="1"/>
  <c r="T61" i="1"/>
  <c r="T69" i="1"/>
  <c r="T77" i="1"/>
  <c r="T85" i="1"/>
  <c r="T93" i="1"/>
  <c r="T101" i="1"/>
  <c r="T109" i="1"/>
  <c r="T117" i="1"/>
  <c r="T125" i="1"/>
  <c r="T133" i="1"/>
  <c r="T141" i="1"/>
  <c r="T149" i="1"/>
  <c r="T157" i="1"/>
  <c r="T165" i="1"/>
  <c r="T173" i="1"/>
  <c r="T181" i="1"/>
  <c r="T189" i="1"/>
  <c r="T197" i="1"/>
  <c r="T205" i="1"/>
  <c r="T213" i="1"/>
  <c r="T221" i="1"/>
  <c r="T229" i="1"/>
  <c r="T237" i="1"/>
  <c r="T245" i="1"/>
  <c r="T253" i="1"/>
  <c r="T261" i="1"/>
  <c r="T269" i="1"/>
  <c r="T277" i="1"/>
  <c r="T285" i="1"/>
  <c r="T293" i="1"/>
  <c r="T301" i="1"/>
  <c r="T309" i="1"/>
  <c r="T317" i="1"/>
  <c r="T325" i="1"/>
  <c r="T333" i="1"/>
  <c r="T341" i="1"/>
  <c r="T349" i="1"/>
  <c r="T357" i="1"/>
  <c r="T365" i="1"/>
  <c r="T373" i="1"/>
  <c r="T381" i="1"/>
  <c r="T389" i="1"/>
  <c r="T397" i="1"/>
  <c r="T405" i="1"/>
  <c r="T413" i="1"/>
  <c r="T421" i="1"/>
  <c r="T429" i="1"/>
  <c r="T437" i="1"/>
  <c r="T445" i="1"/>
  <c r="T453" i="1"/>
  <c r="T461" i="1"/>
  <c r="T469" i="1"/>
  <c r="T477" i="1"/>
  <c r="T485" i="1"/>
  <c r="T493" i="1"/>
  <c r="T501" i="1"/>
  <c r="T509" i="1"/>
  <c r="T517" i="1"/>
  <c r="T525" i="1"/>
  <c r="T533" i="1"/>
  <c r="T6" i="1"/>
  <c r="T14" i="1"/>
  <c r="T22" i="1"/>
  <c r="T30" i="1"/>
  <c r="T38" i="1"/>
  <c r="T46" i="1"/>
  <c r="T54" i="1"/>
  <c r="T62" i="1"/>
  <c r="T70" i="1"/>
  <c r="T78" i="1"/>
  <c r="T86" i="1"/>
  <c r="T94" i="1"/>
  <c r="T102" i="1"/>
  <c r="T110" i="1"/>
  <c r="T118" i="1"/>
  <c r="T126" i="1"/>
  <c r="T134" i="1"/>
  <c r="T142" i="1"/>
  <c r="T150" i="1"/>
  <c r="T158" i="1"/>
  <c r="T166" i="1"/>
  <c r="T174" i="1"/>
  <c r="T182" i="1"/>
  <c r="T190" i="1"/>
  <c r="T198" i="1"/>
  <c r="T206" i="1"/>
  <c r="T214" i="1"/>
  <c r="T222" i="1"/>
  <c r="T230" i="1"/>
  <c r="T238" i="1"/>
  <c r="T246" i="1"/>
  <c r="T254" i="1"/>
  <c r="T262" i="1"/>
  <c r="T270" i="1"/>
  <c r="T278" i="1"/>
  <c r="T286" i="1"/>
  <c r="T294" i="1"/>
  <c r="T302" i="1"/>
  <c r="T310" i="1"/>
  <c r="T318" i="1"/>
  <c r="T326" i="1"/>
  <c r="T334" i="1"/>
  <c r="T342" i="1"/>
  <c r="T350" i="1"/>
  <c r="T358" i="1"/>
  <c r="T366" i="1"/>
  <c r="T374" i="1"/>
  <c r="T382" i="1"/>
  <c r="T390" i="1"/>
  <c r="T398" i="1"/>
  <c r="T406" i="1"/>
  <c r="T414" i="1"/>
  <c r="T422" i="1"/>
  <c r="T430" i="1"/>
  <c r="T438" i="1"/>
  <c r="T446" i="1"/>
  <c r="T454" i="1"/>
  <c r="T462" i="1"/>
  <c r="T470" i="1"/>
  <c r="T478" i="1"/>
  <c r="T486" i="1"/>
  <c r="T494" i="1"/>
  <c r="T502" i="1"/>
  <c r="T510" i="1"/>
  <c r="T518" i="1"/>
  <c r="T526" i="1"/>
  <c r="T534" i="1"/>
  <c r="T542" i="1"/>
  <c r="T550" i="1"/>
  <c r="T558" i="1"/>
  <c r="T566" i="1"/>
  <c r="T574" i="1"/>
  <c r="T582" i="1"/>
  <c r="T590" i="1"/>
  <c r="T598" i="1"/>
  <c r="T606" i="1"/>
  <c r="T614" i="1"/>
  <c r="T622" i="1"/>
  <c r="T630" i="1"/>
  <c r="T638" i="1"/>
  <c r="T646" i="1"/>
  <c r="T654" i="1"/>
  <c r="T662" i="1"/>
  <c r="T670" i="1"/>
  <c r="T678" i="1"/>
  <c r="T7" i="1"/>
  <c r="T17" i="1"/>
  <c r="T27" i="1"/>
  <c r="T39" i="1"/>
  <c r="T49" i="1"/>
  <c r="T59" i="1"/>
  <c r="T71" i="1"/>
  <c r="T81" i="1"/>
  <c r="T91" i="1"/>
  <c r="T103" i="1"/>
  <c r="T113" i="1"/>
  <c r="T123" i="1"/>
  <c r="T135" i="1"/>
  <c r="T145" i="1"/>
  <c r="T155" i="1"/>
  <c r="T167" i="1"/>
  <c r="T177" i="1"/>
  <c r="T187" i="1"/>
  <c r="T199" i="1"/>
  <c r="T209" i="1"/>
  <c r="T219" i="1"/>
  <c r="T231" i="1"/>
  <c r="T241" i="1"/>
  <c r="T251" i="1"/>
  <c r="T263" i="1"/>
  <c r="T273" i="1"/>
  <c r="T283" i="1"/>
  <c r="T295" i="1"/>
  <c r="T305" i="1"/>
  <c r="T315" i="1"/>
  <c r="T327" i="1"/>
  <c r="T337" i="1"/>
  <c r="T347" i="1"/>
  <c r="T359" i="1"/>
  <c r="T369" i="1"/>
  <c r="T379" i="1"/>
  <c r="T391" i="1"/>
  <c r="T401" i="1"/>
  <c r="T411" i="1"/>
  <c r="T423" i="1"/>
  <c r="T433" i="1"/>
  <c r="T443" i="1"/>
  <c r="T455" i="1"/>
  <c r="T465" i="1"/>
  <c r="T475" i="1"/>
  <c r="T487" i="1"/>
  <c r="T497" i="1"/>
  <c r="T507" i="1"/>
  <c r="T519" i="1"/>
  <c r="T529" i="1"/>
  <c r="T8" i="1"/>
  <c r="T18" i="1"/>
  <c r="T28" i="1"/>
  <c r="T40" i="1"/>
  <c r="T50" i="1"/>
  <c r="T60" i="1"/>
  <c r="T72" i="1"/>
  <c r="T82" i="1"/>
  <c r="T92" i="1"/>
  <c r="T104" i="1"/>
  <c r="T114" i="1"/>
  <c r="T124" i="1"/>
  <c r="T136" i="1"/>
  <c r="T146" i="1"/>
  <c r="T156" i="1"/>
  <c r="T168" i="1"/>
  <c r="T178" i="1"/>
  <c r="T188" i="1"/>
  <c r="T200" i="1"/>
  <c r="T210" i="1"/>
  <c r="T220" i="1"/>
  <c r="T232" i="1"/>
  <c r="T242" i="1"/>
  <c r="T252" i="1"/>
  <c r="T264" i="1"/>
  <c r="T274" i="1"/>
  <c r="T284" i="1"/>
  <c r="T296" i="1"/>
  <c r="T306" i="1"/>
  <c r="T316" i="1"/>
  <c r="T328" i="1"/>
  <c r="T338" i="1"/>
  <c r="T348" i="1"/>
  <c r="T360" i="1"/>
  <c r="T370" i="1"/>
  <c r="T380" i="1"/>
  <c r="T392" i="1"/>
  <c r="T402" i="1"/>
  <c r="T412" i="1"/>
  <c r="T424" i="1"/>
  <c r="T434" i="1"/>
  <c r="T444" i="1"/>
  <c r="T456" i="1"/>
  <c r="T466" i="1"/>
  <c r="T476" i="1"/>
  <c r="T488" i="1"/>
  <c r="T498" i="1"/>
  <c r="T508" i="1"/>
  <c r="T520" i="1"/>
  <c r="T530" i="1"/>
  <c r="T540" i="1"/>
  <c r="T549" i="1"/>
  <c r="T559" i="1"/>
  <c r="T568" i="1"/>
  <c r="T577" i="1"/>
  <c r="T586" i="1"/>
  <c r="T595" i="1"/>
  <c r="T11" i="1"/>
  <c r="T23" i="1"/>
  <c r="T33" i="1"/>
  <c r="T43" i="1"/>
  <c r="T55" i="1"/>
  <c r="T65" i="1"/>
  <c r="T75" i="1"/>
  <c r="T87" i="1"/>
  <c r="T97" i="1"/>
  <c r="T107" i="1"/>
  <c r="T119" i="1"/>
  <c r="T129" i="1"/>
  <c r="T139" i="1"/>
  <c r="T151" i="1"/>
  <c r="T161" i="1"/>
  <c r="T171" i="1"/>
  <c r="T183" i="1"/>
  <c r="T193" i="1"/>
  <c r="T203" i="1"/>
  <c r="T215" i="1"/>
  <c r="T225" i="1"/>
  <c r="T235" i="1"/>
  <c r="T247" i="1"/>
  <c r="T257" i="1"/>
  <c r="T267" i="1"/>
  <c r="T279" i="1"/>
  <c r="T289" i="1"/>
  <c r="T299" i="1"/>
  <c r="T311" i="1"/>
  <c r="T321" i="1"/>
  <c r="T331" i="1"/>
  <c r="T343" i="1"/>
  <c r="T353" i="1"/>
  <c r="T363" i="1"/>
  <c r="T375" i="1"/>
  <c r="T385" i="1"/>
  <c r="T395" i="1"/>
  <c r="T407" i="1"/>
  <c r="T417" i="1"/>
  <c r="T427" i="1"/>
  <c r="T439" i="1"/>
  <c r="T449" i="1"/>
  <c r="T459" i="1"/>
  <c r="T471" i="1"/>
  <c r="T481" i="1"/>
  <c r="T491" i="1"/>
  <c r="T503" i="1"/>
  <c r="T513" i="1"/>
  <c r="T523" i="1"/>
  <c r="T535" i="1"/>
  <c r="T544" i="1"/>
  <c r="T553" i="1"/>
  <c r="T562" i="1"/>
  <c r="T571" i="1"/>
  <c r="T580" i="1"/>
  <c r="T589" i="1"/>
  <c r="T599" i="1"/>
  <c r="T608" i="1"/>
  <c r="T617" i="1"/>
  <c r="T626" i="1"/>
  <c r="T635" i="1"/>
  <c r="T644" i="1"/>
  <c r="T653" i="1"/>
  <c r="T663" i="1"/>
  <c r="T672" i="1"/>
  <c r="T681" i="1"/>
  <c r="T689" i="1"/>
  <c r="T697" i="1"/>
  <c r="T705" i="1"/>
  <c r="T713" i="1"/>
  <c r="T721" i="1"/>
  <c r="T729" i="1"/>
  <c r="T737" i="1"/>
  <c r="T745" i="1"/>
  <c r="T753" i="1"/>
  <c r="T761" i="1"/>
  <c r="T769" i="1"/>
  <c r="T777" i="1"/>
  <c r="T785" i="1"/>
  <c r="T793" i="1"/>
  <c r="T801" i="1"/>
  <c r="T809" i="1"/>
  <c r="T817" i="1"/>
  <c r="T825" i="1"/>
  <c r="T833" i="1"/>
  <c r="T12" i="1"/>
  <c r="T24" i="1"/>
  <c r="T34" i="1"/>
  <c r="T44" i="1"/>
  <c r="T56" i="1"/>
  <c r="T66" i="1"/>
  <c r="T76" i="1"/>
  <c r="T88" i="1"/>
  <c r="T98" i="1"/>
  <c r="T108" i="1"/>
  <c r="T120" i="1"/>
  <c r="T130" i="1"/>
  <c r="T140" i="1"/>
  <c r="T152" i="1"/>
  <c r="T162" i="1"/>
  <c r="T172" i="1"/>
  <c r="T184" i="1"/>
  <c r="T194" i="1"/>
  <c r="T204" i="1"/>
  <c r="T216" i="1"/>
  <c r="T226" i="1"/>
  <c r="T236" i="1"/>
  <c r="T248" i="1"/>
  <c r="T258" i="1"/>
  <c r="T268" i="1"/>
  <c r="T280" i="1"/>
  <c r="T290" i="1"/>
  <c r="T300" i="1"/>
  <c r="T312" i="1"/>
  <c r="T322" i="1"/>
  <c r="T332" i="1"/>
  <c r="T344" i="1"/>
  <c r="T354" i="1"/>
  <c r="T364" i="1"/>
  <c r="T376" i="1"/>
  <c r="T386" i="1"/>
  <c r="T396" i="1"/>
  <c r="T408" i="1"/>
  <c r="T418" i="1"/>
  <c r="T428" i="1"/>
  <c r="T440" i="1"/>
  <c r="T450" i="1"/>
  <c r="T460" i="1"/>
  <c r="T472" i="1"/>
  <c r="T482" i="1"/>
  <c r="T492" i="1"/>
  <c r="T504" i="1"/>
  <c r="T514" i="1"/>
  <c r="T524" i="1"/>
  <c r="T536" i="1"/>
  <c r="T545" i="1"/>
  <c r="T554" i="1"/>
  <c r="T563" i="1"/>
  <c r="T572" i="1"/>
  <c r="T581" i="1"/>
  <c r="T591" i="1"/>
  <c r="T600" i="1"/>
  <c r="T609" i="1"/>
  <c r="T618" i="1"/>
  <c r="T627" i="1"/>
  <c r="T636" i="1"/>
  <c r="T645" i="1"/>
  <c r="T655" i="1"/>
  <c r="T664" i="1"/>
  <c r="T673" i="1"/>
  <c r="T682" i="1"/>
  <c r="T690" i="1"/>
  <c r="T698" i="1"/>
  <c r="T706" i="1"/>
  <c r="T714" i="1"/>
  <c r="T722" i="1"/>
  <c r="T730" i="1"/>
  <c r="T738" i="1"/>
  <c r="T746" i="1"/>
  <c r="T754" i="1"/>
  <c r="T762" i="1"/>
  <c r="T770" i="1"/>
  <c r="T778" i="1"/>
  <c r="T786" i="1"/>
  <c r="T794" i="1"/>
  <c r="T802" i="1"/>
  <c r="T810" i="1"/>
  <c r="T818" i="1"/>
  <c r="T826" i="1"/>
  <c r="T834" i="1"/>
  <c r="T26" i="1"/>
  <c r="T48" i="1"/>
  <c r="T68" i="1"/>
  <c r="T90" i="1"/>
  <c r="T112" i="1"/>
  <c r="T132" i="1"/>
  <c r="T154" i="1"/>
  <c r="T176" i="1"/>
  <c r="T196" i="1"/>
  <c r="T218" i="1"/>
  <c r="T240" i="1"/>
  <c r="T260" i="1"/>
  <c r="T282" i="1"/>
  <c r="T304" i="1"/>
  <c r="T324" i="1"/>
  <c r="T346" i="1"/>
  <c r="T368" i="1"/>
  <c r="T388" i="1"/>
  <c r="T410" i="1"/>
  <c r="T432" i="1"/>
  <c r="T452" i="1"/>
  <c r="T474" i="1"/>
  <c r="T496" i="1"/>
  <c r="T516" i="1"/>
  <c r="T538" i="1"/>
  <c r="T552" i="1"/>
  <c r="T567" i="1"/>
  <c r="T583" i="1"/>
  <c r="T596" i="1"/>
  <c r="T610" i="1"/>
  <c r="T621" i="1"/>
  <c r="T633" i="1"/>
  <c r="T647" i="1"/>
  <c r="T658" i="1"/>
  <c r="T669" i="1"/>
  <c r="T683" i="1"/>
  <c r="T693" i="1"/>
  <c r="T703" i="1"/>
  <c r="T715" i="1"/>
  <c r="T725" i="1"/>
  <c r="T735" i="1"/>
  <c r="T747" i="1"/>
  <c r="T757" i="1"/>
  <c r="T767" i="1"/>
  <c r="T779" i="1"/>
  <c r="T789" i="1"/>
  <c r="T799" i="1"/>
  <c r="T811" i="1"/>
  <c r="T821" i="1"/>
  <c r="T831" i="1"/>
  <c r="T841" i="1"/>
  <c r="T849" i="1"/>
  <c r="T857" i="1"/>
  <c r="T865" i="1"/>
  <c r="T873" i="1"/>
  <c r="T881" i="1"/>
  <c r="T889" i="1"/>
  <c r="T897" i="1"/>
  <c r="T905" i="1"/>
  <c r="T913" i="1"/>
  <c r="T921" i="1"/>
  <c r="T929" i="1"/>
  <c r="T937" i="1"/>
  <c r="T945" i="1"/>
  <c r="T953" i="1"/>
  <c r="T961" i="1"/>
  <c r="T969" i="1"/>
  <c r="T977" i="1"/>
  <c r="T985" i="1"/>
  <c r="T993" i="1"/>
  <c r="T1001" i="1"/>
  <c r="T1009" i="1"/>
  <c r="T1017" i="1"/>
  <c r="T1025" i="1"/>
  <c r="T1033" i="1"/>
  <c r="T1041" i="1"/>
  <c r="T1049" i="1"/>
  <c r="T1057" i="1"/>
  <c r="T1065" i="1"/>
  <c r="T1073" i="1"/>
  <c r="T1081" i="1"/>
  <c r="T1089" i="1"/>
  <c r="T1097" i="1"/>
  <c r="T1105" i="1"/>
  <c r="T1113" i="1"/>
  <c r="T9" i="1"/>
  <c r="T31" i="1"/>
  <c r="T51" i="1"/>
  <c r="T73" i="1"/>
  <c r="T95" i="1"/>
  <c r="T115" i="1"/>
  <c r="T137" i="1"/>
  <c r="T159" i="1"/>
  <c r="T179" i="1"/>
  <c r="T201" i="1"/>
  <c r="T223" i="1"/>
  <c r="T243" i="1"/>
  <c r="T265" i="1"/>
  <c r="T287" i="1"/>
  <c r="T307" i="1"/>
  <c r="T329" i="1"/>
  <c r="T351" i="1"/>
  <c r="T371" i="1"/>
  <c r="T393" i="1"/>
  <c r="T415" i="1"/>
  <c r="T435" i="1"/>
  <c r="T457" i="1"/>
  <c r="T479" i="1"/>
  <c r="T499" i="1"/>
  <c r="T521" i="1"/>
  <c r="T539" i="1"/>
  <c r="T555" i="1"/>
  <c r="T569" i="1"/>
  <c r="T584" i="1"/>
  <c r="T597" i="1"/>
  <c r="T611" i="1"/>
  <c r="T623" i="1"/>
  <c r="T634" i="1"/>
  <c r="T648" i="1"/>
  <c r="T659" i="1"/>
  <c r="T671" i="1"/>
  <c r="T684" i="1"/>
  <c r="T694" i="1"/>
  <c r="T704" i="1"/>
  <c r="T716" i="1"/>
  <c r="T726" i="1"/>
  <c r="T736" i="1"/>
  <c r="T748" i="1"/>
  <c r="T758" i="1"/>
  <c r="T768" i="1"/>
  <c r="T780" i="1"/>
  <c r="T790" i="1"/>
  <c r="T800" i="1"/>
  <c r="T812" i="1"/>
  <c r="T822" i="1"/>
  <c r="T832" i="1"/>
  <c r="T842" i="1"/>
  <c r="T850" i="1"/>
  <c r="T858" i="1"/>
  <c r="T866" i="1"/>
  <c r="T874" i="1"/>
  <c r="T882" i="1"/>
  <c r="T890" i="1"/>
  <c r="T898" i="1"/>
  <c r="T906" i="1"/>
  <c r="T914" i="1"/>
  <c r="T922" i="1"/>
  <c r="T930" i="1"/>
  <c r="T938" i="1"/>
  <c r="T946" i="1"/>
  <c r="T954" i="1"/>
  <c r="T962" i="1"/>
  <c r="T970" i="1"/>
  <c r="T978" i="1"/>
  <c r="T986" i="1"/>
  <c r="T994" i="1"/>
  <c r="T1002" i="1"/>
  <c r="T1010" i="1"/>
  <c r="T1018" i="1"/>
  <c r="T1026" i="1"/>
  <c r="T10" i="1"/>
  <c r="T32" i="1"/>
  <c r="T52" i="1"/>
  <c r="T74" i="1"/>
  <c r="T96" i="1"/>
  <c r="T116" i="1"/>
  <c r="T138" i="1"/>
  <c r="T160" i="1"/>
  <c r="T180" i="1"/>
  <c r="T202" i="1"/>
  <c r="T224" i="1"/>
  <c r="T244" i="1"/>
  <c r="T266" i="1"/>
  <c r="T288" i="1"/>
  <c r="T308" i="1"/>
  <c r="T330" i="1"/>
  <c r="T352" i="1"/>
  <c r="T372" i="1"/>
  <c r="T394" i="1"/>
  <c r="T416" i="1"/>
  <c r="T436" i="1"/>
  <c r="T458" i="1"/>
  <c r="T480" i="1"/>
  <c r="T500" i="1"/>
  <c r="T522" i="1"/>
  <c r="T541" i="1"/>
  <c r="T556" i="1"/>
  <c r="T570" i="1"/>
  <c r="T585" i="1"/>
  <c r="T601" i="1"/>
  <c r="T612" i="1"/>
  <c r="T624" i="1"/>
  <c r="T637" i="1"/>
  <c r="T649" i="1"/>
  <c r="T660" i="1"/>
  <c r="T674" i="1"/>
  <c r="T685" i="1"/>
  <c r="T695" i="1"/>
  <c r="T707" i="1"/>
  <c r="T717" i="1"/>
  <c r="T727" i="1"/>
  <c r="T739" i="1"/>
  <c r="T749" i="1"/>
  <c r="T759" i="1"/>
  <c r="T771" i="1"/>
  <c r="T781" i="1"/>
  <c r="T791" i="1"/>
  <c r="T803" i="1"/>
  <c r="T813" i="1"/>
  <c r="T823" i="1"/>
  <c r="T835" i="1"/>
  <c r="T843" i="1"/>
  <c r="T851" i="1"/>
  <c r="T859" i="1"/>
  <c r="T867" i="1"/>
  <c r="T875" i="1"/>
  <c r="T883" i="1"/>
  <c r="T891" i="1"/>
  <c r="T899" i="1"/>
  <c r="T907" i="1"/>
  <c r="T915" i="1"/>
  <c r="T923" i="1"/>
  <c r="T931" i="1"/>
  <c r="T939" i="1"/>
  <c r="T947" i="1"/>
  <c r="T955" i="1"/>
  <c r="T963" i="1"/>
  <c r="T971" i="1"/>
  <c r="T979" i="1"/>
  <c r="T987" i="1"/>
  <c r="T995" i="1"/>
  <c r="T1003" i="1"/>
  <c r="T1011" i="1"/>
  <c r="T1019" i="1"/>
  <c r="T16" i="1"/>
  <c r="T36" i="1"/>
  <c r="T58" i="1"/>
  <c r="T80" i="1"/>
  <c r="T100" i="1"/>
  <c r="T122" i="1"/>
  <c r="T144" i="1"/>
  <c r="T164" i="1"/>
  <c r="T186" i="1"/>
  <c r="T208" i="1"/>
  <c r="T228" i="1"/>
  <c r="T250" i="1"/>
  <c r="T272" i="1"/>
  <c r="T292" i="1"/>
  <c r="T314" i="1"/>
  <c r="T336" i="1"/>
  <c r="T356" i="1"/>
  <c r="T378" i="1"/>
  <c r="T400" i="1"/>
  <c r="T420" i="1"/>
  <c r="T442" i="1"/>
  <c r="T464" i="1"/>
  <c r="T484" i="1"/>
  <c r="T506" i="1"/>
  <c r="T528" i="1"/>
  <c r="T546" i="1"/>
  <c r="T560" i="1"/>
  <c r="T575" i="1"/>
  <c r="T588" i="1"/>
  <c r="T603" i="1"/>
  <c r="T615" i="1"/>
  <c r="T628" i="1"/>
  <c r="T640" i="1"/>
  <c r="T651" i="1"/>
  <c r="T665" i="1"/>
  <c r="T676" i="1"/>
  <c r="T687" i="1"/>
  <c r="T699" i="1"/>
  <c r="T709" i="1"/>
  <c r="T719" i="1"/>
  <c r="T731" i="1"/>
  <c r="T741" i="1"/>
  <c r="T751" i="1"/>
  <c r="T763" i="1"/>
  <c r="T773" i="1"/>
  <c r="T783" i="1"/>
  <c r="T795" i="1"/>
  <c r="T805" i="1"/>
  <c r="T815" i="1"/>
  <c r="T827" i="1"/>
  <c r="T837" i="1"/>
  <c r="T845" i="1"/>
  <c r="T853" i="1"/>
  <c r="T861" i="1"/>
  <c r="T869" i="1"/>
  <c r="T877" i="1"/>
  <c r="T885" i="1"/>
  <c r="T893" i="1"/>
  <c r="T901" i="1"/>
  <c r="T909" i="1"/>
  <c r="T917" i="1"/>
  <c r="T925" i="1"/>
  <c r="T933" i="1"/>
  <c r="T941" i="1"/>
  <c r="T949" i="1"/>
  <c r="T957" i="1"/>
  <c r="T965" i="1"/>
  <c r="T973" i="1"/>
  <c r="T981" i="1"/>
  <c r="T989" i="1"/>
  <c r="T997" i="1"/>
  <c r="T1005" i="1"/>
  <c r="T1013" i="1"/>
  <c r="T1021" i="1"/>
  <c r="T1029" i="1"/>
  <c r="T1037" i="1"/>
  <c r="T1045" i="1"/>
  <c r="T1053" i="1"/>
  <c r="T1061" i="1"/>
  <c r="T1069" i="1"/>
  <c r="T1077" i="1"/>
  <c r="T1085" i="1"/>
  <c r="T1093" i="1"/>
  <c r="T1101" i="1"/>
  <c r="T1109" i="1"/>
  <c r="T1117" i="1"/>
  <c r="T19" i="1"/>
  <c r="T41" i="1"/>
  <c r="T63" i="1"/>
  <c r="T83" i="1"/>
  <c r="T105" i="1"/>
  <c r="T127" i="1"/>
  <c r="T147" i="1"/>
  <c r="T169" i="1"/>
  <c r="T191" i="1"/>
  <c r="T211" i="1"/>
  <c r="T233" i="1"/>
  <c r="T255" i="1"/>
  <c r="T275" i="1"/>
  <c r="T297" i="1"/>
  <c r="T319" i="1"/>
  <c r="T339" i="1"/>
  <c r="T361" i="1"/>
  <c r="T383" i="1"/>
  <c r="T403" i="1"/>
  <c r="T425" i="1"/>
  <c r="T447" i="1"/>
  <c r="T467" i="1"/>
  <c r="T489" i="1"/>
  <c r="T511" i="1"/>
  <c r="T531" i="1"/>
  <c r="T547" i="1"/>
  <c r="T561" i="1"/>
  <c r="T576" i="1"/>
  <c r="T592" i="1"/>
  <c r="T604" i="1"/>
  <c r="T616" i="1"/>
  <c r="T629" i="1"/>
  <c r="T641" i="1"/>
  <c r="T652" i="1"/>
  <c r="T666" i="1"/>
  <c r="T677" i="1"/>
  <c r="T688" i="1"/>
  <c r="T700" i="1"/>
  <c r="T710" i="1"/>
  <c r="T720" i="1"/>
  <c r="T732" i="1"/>
  <c r="T742" i="1"/>
  <c r="T752" i="1"/>
  <c r="T764" i="1"/>
  <c r="T774" i="1"/>
  <c r="T784" i="1"/>
  <c r="T796" i="1"/>
  <c r="T806" i="1"/>
  <c r="T816" i="1"/>
  <c r="T828" i="1"/>
  <c r="T838" i="1"/>
  <c r="T846" i="1"/>
  <c r="T854" i="1"/>
  <c r="T862" i="1"/>
  <c r="T870" i="1"/>
  <c r="T878" i="1"/>
  <c r="T886" i="1"/>
  <c r="T894" i="1"/>
  <c r="T902" i="1"/>
  <c r="T910" i="1"/>
  <c r="T918" i="1"/>
  <c r="T926" i="1"/>
  <c r="T934" i="1"/>
  <c r="T942" i="1"/>
  <c r="T950" i="1"/>
  <c r="T958" i="1"/>
  <c r="T966" i="1"/>
  <c r="T974" i="1"/>
  <c r="T64" i="1"/>
  <c r="T121" i="1"/>
  <c r="T175" i="1"/>
  <c r="T234" i="1"/>
  <c r="T291" i="1"/>
  <c r="T345" i="1"/>
  <c r="T404" i="1"/>
  <c r="T463" i="1"/>
  <c r="T515" i="1"/>
  <c r="T564" i="1"/>
  <c r="T602" i="1"/>
  <c r="T632" i="1"/>
  <c r="T667" i="1"/>
  <c r="T696" i="1"/>
  <c r="T724" i="1"/>
  <c r="T755" i="1"/>
  <c r="T782" i="1"/>
  <c r="T808" i="1"/>
  <c r="T839" i="1"/>
  <c r="T860" i="1"/>
  <c r="T880" i="1"/>
  <c r="T903" i="1"/>
  <c r="T924" i="1"/>
  <c r="T944" i="1"/>
  <c r="T967" i="1"/>
  <c r="T984" i="1"/>
  <c r="T1000" i="1"/>
  <c r="T1016" i="1"/>
  <c r="T1031" i="1"/>
  <c r="T1042" i="1"/>
  <c r="T1052" i="1"/>
  <c r="T1063" i="1"/>
  <c r="T1074" i="1"/>
  <c r="T1084" i="1"/>
  <c r="T1095" i="1"/>
  <c r="T1106" i="1"/>
  <c r="T1116" i="1"/>
  <c r="T1125" i="1"/>
  <c r="T1133" i="1"/>
  <c r="T1141" i="1"/>
  <c r="T1149" i="1"/>
  <c r="T1157" i="1"/>
  <c r="T1165" i="1"/>
  <c r="T1173" i="1"/>
  <c r="T1181" i="1"/>
  <c r="T1189" i="1"/>
  <c r="T1197" i="1"/>
  <c r="T1205" i="1"/>
  <c r="T1213" i="1"/>
  <c r="T1221" i="1"/>
  <c r="T1229" i="1"/>
  <c r="T1237" i="1"/>
  <c r="T2" i="1"/>
  <c r="T25" i="1"/>
  <c r="T84" i="1"/>
  <c r="T143" i="1"/>
  <c r="T195" i="1"/>
  <c r="T256" i="1"/>
  <c r="T313" i="1"/>
  <c r="T367" i="1"/>
  <c r="T426" i="1"/>
  <c r="T483" i="1"/>
  <c r="T537" i="1"/>
  <c r="T578" i="1"/>
  <c r="T613" i="1"/>
  <c r="T643" i="1"/>
  <c r="T679" i="1"/>
  <c r="T708" i="1"/>
  <c r="T734" i="1"/>
  <c r="T765" i="1"/>
  <c r="T792" i="1"/>
  <c r="T820" i="1"/>
  <c r="T847" i="1"/>
  <c r="T868" i="1"/>
  <c r="T888" i="1"/>
  <c r="T911" i="1"/>
  <c r="T932" i="1"/>
  <c r="T952" i="1"/>
  <c r="T15" i="1"/>
  <c r="T67" i="1"/>
  <c r="T128" i="1"/>
  <c r="T185" i="1"/>
  <c r="T239" i="1"/>
  <c r="T298" i="1"/>
  <c r="T355" i="1"/>
  <c r="T409" i="1"/>
  <c r="T468" i="1"/>
  <c r="T527" i="1"/>
  <c r="T565" i="1"/>
  <c r="T605" i="1"/>
  <c r="T639" i="1"/>
  <c r="T668" i="1"/>
  <c r="T701" i="1"/>
  <c r="T728" i="1"/>
  <c r="T756" i="1"/>
  <c r="T787" i="1"/>
  <c r="T814" i="1"/>
  <c r="T840" i="1"/>
  <c r="T863" i="1"/>
  <c r="T884" i="1"/>
  <c r="T904" i="1"/>
  <c r="T927" i="1"/>
  <c r="T948" i="1"/>
  <c r="T968" i="1"/>
  <c r="T988" i="1"/>
  <c r="T1004" i="1"/>
  <c r="T1020" i="1"/>
  <c r="T1032" i="1"/>
  <c r="T1043" i="1"/>
  <c r="T1054" i="1"/>
  <c r="T1064" i="1"/>
  <c r="T1075" i="1"/>
  <c r="T1086" i="1"/>
  <c r="T1096" i="1"/>
  <c r="T1107" i="1"/>
  <c r="T1118" i="1"/>
  <c r="T1126" i="1"/>
  <c r="T1134" i="1"/>
  <c r="T1142" i="1"/>
  <c r="T1150" i="1"/>
  <c r="T1158" i="1"/>
  <c r="T1166" i="1"/>
  <c r="T1174" i="1"/>
  <c r="T1182" i="1"/>
  <c r="T1190" i="1"/>
  <c r="T1198" i="1"/>
  <c r="T1206" i="1"/>
  <c r="T1214" i="1"/>
  <c r="T1222" i="1"/>
  <c r="T1230" i="1"/>
  <c r="T1238" i="1"/>
  <c r="T20" i="1"/>
  <c r="T79" i="1"/>
  <c r="T131" i="1"/>
  <c r="T192" i="1"/>
  <c r="T249" i="1"/>
  <c r="T303" i="1"/>
  <c r="T362" i="1"/>
  <c r="T419" i="1"/>
  <c r="T473" i="1"/>
  <c r="T532" i="1"/>
  <c r="T573" i="1"/>
  <c r="T607" i="1"/>
  <c r="T642" i="1"/>
  <c r="T675" i="1"/>
  <c r="T702" i="1"/>
  <c r="T733" i="1"/>
  <c r="T760" i="1"/>
  <c r="T788" i="1"/>
  <c r="T819" i="1"/>
  <c r="T844" i="1"/>
  <c r="T864" i="1"/>
  <c r="T887" i="1"/>
  <c r="T908" i="1"/>
  <c r="T928" i="1"/>
  <c r="T951" i="1"/>
  <c r="T972" i="1"/>
  <c r="T990" i="1"/>
  <c r="T1006" i="1"/>
  <c r="T1022" i="1"/>
  <c r="T1034" i="1"/>
  <c r="T1044" i="1"/>
  <c r="T1055" i="1"/>
  <c r="T1066" i="1"/>
  <c r="T1076" i="1"/>
  <c r="T1087" i="1"/>
  <c r="T1098" i="1"/>
  <c r="T1108" i="1"/>
  <c r="T1119" i="1"/>
  <c r="T1127" i="1"/>
  <c r="T1135" i="1"/>
  <c r="T1143" i="1"/>
  <c r="T1151" i="1"/>
  <c r="T1159" i="1"/>
  <c r="T1167" i="1"/>
  <c r="T1175" i="1"/>
  <c r="T1183" i="1"/>
  <c r="T1191" i="1"/>
  <c r="T1199" i="1"/>
  <c r="T1207" i="1"/>
  <c r="T1215" i="1"/>
  <c r="T1223" i="1"/>
  <c r="T1231" i="1"/>
  <c r="T1239" i="1"/>
  <c r="T35" i="1"/>
  <c r="T89" i="1"/>
  <c r="T148" i="1"/>
  <c r="T207" i="1"/>
  <c r="T259" i="1"/>
  <c r="T320" i="1"/>
  <c r="T377" i="1"/>
  <c r="T431" i="1"/>
  <c r="T490" i="1"/>
  <c r="T543" i="1"/>
  <c r="T579" i="1"/>
  <c r="T619" i="1"/>
  <c r="T650" i="1"/>
  <c r="T680" i="1"/>
  <c r="T711" i="1"/>
  <c r="T740" i="1"/>
  <c r="T766" i="1"/>
  <c r="T797" i="1"/>
  <c r="T824" i="1"/>
  <c r="T848" i="1"/>
  <c r="T871" i="1"/>
  <c r="T892" i="1"/>
  <c r="T912" i="1"/>
  <c r="T935" i="1"/>
  <c r="T956" i="1"/>
  <c r="T976" i="1"/>
  <c r="T992" i="1"/>
  <c r="T1008" i="1"/>
  <c r="T1024" i="1"/>
  <c r="T1036" i="1"/>
  <c r="T1047" i="1"/>
  <c r="T1058" i="1"/>
  <c r="T1068" i="1"/>
  <c r="T1079" i="1"/>
  <c r="T1090" i="1"/>
  <c r="T1100" i="1"/>
  <c r="T1111" i="1"/>
  <c r="T1121" i="1"/>
  <c r="T1129" i="1"/>
  <c r="T1137" i="1"/>
  <c r="T1145" i="1"/>
  <c r="T1153" i="1"/>
  <c r="T1161" i="1"/>
  <c r="T1169" i="1"/>
  <c r="T1177" i="1"/>
  <c r="T1185" i="1"/>
  <c r="T1193" i="1"/>
  <c r="T1201" i="1"/>
  <c r="T1209" i="1"/>
  <c r="T1217" i="1"/>
  <c r="T1225" i="1"/>
  <c r="T1233" i="1"/>
  <c r="T1241" i="1"/>
  <c r="T42" i="1"/>
  <c r="T99" i="1"/>
  <c r="T153" i="1"/>
  <c r="T212" i="1"/>
  <c r="T271" i="1"/>
  <c r="T323" i="1"/>
  <c r="T384" i="1"/>
  <c r="T441" i="1"/>
  <c r="T495" i="1"/>
  <c r="T548" i="1"/>
  <c r="T587" i="1"/>
  <c r="T620" i="1"/>
  <c r="T656" i="1"/>
  <c r="T686" i="1"/>
  <c r="T712" i="1"/>
  <c r="T743" i="1"/>
  <c r="T772" i="1"/>
  <c r="T798" i="1"/>
  <c r="T829" i="1"/>
  <c r="T852" i="1"/>
  <c r="T872" i="1"/>
  <c r="T895" i="1"/>
  <c r="T916" i="1"/>
  <c r="T936" i="1"/>
  <c r="T959" i="1"/>
  <c r="T980" i="1"/>
  <c r="T996" i="1"/>
  <c r="T1012" i="1"/>
  <c r="T1027" i="1"/>
  <c r="T1038" i="1"/>
  <c r="T1048" i="1"/>
  <c r="T1059" i="1"/>
  <c r="T1070" i="1"/>
  <c r="T1080" i="1"/>
  <c r="T1091" i="1"/>
  <c r="T1102" i="1"/>
  <c r="T1112" i="1"/>
  <c r="T1122" i="1"/>
  <c r="T1130" i="1"/>
  <c r="T1138" i="1"/>
  <c r="T1146" i="1"/>
  <c r="T1154" i="1"/>
  <c r="T1162" i="1"/>
  <c r="T1170" i="1"/>
  <c r="T1178" i="1"/>
  <c r="T1186" i="1"/>
  <c r="T1194" i="1"/>
  <c r="T1202" i="1"/>
  <c r="T1210" i="1"/>
  <c r="T1218" i="1"/>
  <c r="T1226" i="1"/>
  <c r="T1234" i="1"/>
  <c r="T1242" i="1"/>
  <c r="T47" i="1"/>
  <c r="T106" i="1"/>
  <c r="T163" i="1"/>
  <c r="T217" i="1"/>
  <c r="T276" i="1"/>
  <c r="T335" i="1"/>
  <c r="T387" i="1"/>
  <c r="T448" i="1"/>
  <c r="T505" i="1"/>
  <c r="T551" i="1"/>
  <c r="T593" i="1"/>
  <c r="T625" i="1"/>
  <c r="T657" i="1"/>
  <c r="T691" i="1"/>
  <c r="T718" i="1"/>
  <c r="T744" i="1"/>
  <c r="T775" i="1"/>
  <c r="T804" i="1"/>
  <c r="T830" i="1"/>
  <c r="T855" i="1"/>
  <c r="T876" i="1"/>
  <c r="T896" i="1"/>
  <c r="T919" i="1"/>
  <c r="T940" i="1"/>
  <c r="T960" i="1"/>
  <c r="T982" i="1"/>
  <c r="T998" i="1"/>
  <c r="T1014" i="1"/>
  <c r="T1028" i="1"/>
  <c r="T1039" i="1"/>
  <c r="T1050" i="1"/>
  <c r="T451" i="1"/>
  <c r="T750" i="1"/>
  <c r="T943" i="1"/>
  <c r="T1023" i="1"/>
  <c r="T1062" i="1"/>
  <c r="T1092" i="1"/>
  <c r="T1120" i="1"/>
  <c r="T1140" i="1"/>
  <c r="T1163" i="1"/>
  <c r="T1184" i="1"/>
  <c r="T1204" i="1"/>
  <c r="T1227" i="1"/>
  <c r="T1123" i="1"/>
  <c r="T1144" i="1"/>
  <c r="T1187" i="1"/>
  <c r="T1208" i="1"/>
  <c r="T1228" i="1"/>
  <c r="T836" i="1"/>
  <c r="T1103" i="1"/>
  <c r="T1171" i="1"/>
  <c r="T1212" i="1"/>
  <c r="T879" i="1"/>
  <c r="T1110" i="1"/>
  <c r="T1176" i="1"/>
  <c r="T1240" i="1"/>
  <c r="T692" i="1"/>
  <c r="T1083" i="1"/>
  <c r="T1156" i="1"/>
  <c r="T1220" i="1"/>
  <c r="T920" i="1"/>
  <c r="T1088" i="1"/>
  <c r="T1203" i="1"/>
  <c r="T57" i="1"/>
  <c r="T512" i="1"/>
  <c r="T776" i="1"/>
  <c r="T964" i="1"/>
  <c r="T1030" i="1"/>
  <c r="T1067" i="1"/>
  <c r="T1094" i="1"/>
  <c r="T1164" i="1"/>
  <c r="T1232" i="1"/>
  <c r="T170" i="1"/>
  <c r="T1040" i="1"/>
  <c r="T1148" i="1"/>
  <c r="T1235" i="1"/>
  <c r="T1051" i="1"/>
  <c r="T1132" i="1"/>
  <c r="T1219" i="1"/>
  <c r="T900" i="1"/>
  <c r="T1114" i="1"/>
  <c r="T1200" i="1"/>
  <c r="T723" i="1"/>
  <c r="T1139" i="1"/>
  <c r="T1224" i="1"/>
  <c r="T111" i="1"/>
  <c r="T557" i="1"/>
  <c r="T807" i="1"/>
  <c r="T975" i="1"/>
  <c r="T1035" i="1"/>
  <c r="T1071" i="1"/>
  <c r="T1099" i="1"/>
  <c r="T1124" i="1"/>
  <c r="T1147" i="1"/>
  <c r="T1168" i="1"/>
  <c r="T1188" i="1"/>
  <c r="T1211" i="1"/>
  <c r="T594" i="1"/>
  <c r="T983" i="1"/>
  <c r="T1072" i="1"/>
  <c r="T1128" i="1"/>
  <c r="T1192" i="1"/>
  <c r="T1007" i="1"/>
  <c r="T1179" i="1"/>
  <c r="T1015" i="1"/>
  <c r="T1115" i="1"/>
  <c r="T1160" i="1"/>
  <c r="T1244" i="1"/>
  <c r="T227" i="1"/>
  <c r="T631" i="1"/>
  <c r="T856" i="1"/>
  <c r="T991" i="1"/>
  <c r="T1046" i="1"/>
  <c r="T1078" i="1"/>
  <c r="T1104" i="1"/>
  <c r="T1131" i="1"/>
  <c r="T1152" i="1"/>
  <c r="T1172" i="1"/>
  <c r="T1195" i="1"/>
  <c r="T1216" i="1"/>
  <c r="T1236" i="1"/>
  <c r="T281" i="1"/>
  <c r="T661" i="1"/>
  <c r="T999" i="1"/>
  <c r="T1082" i="1"/>
  <c r="T1155" i="1"/>
  <c r="T1196" i="1"/>
  <c r="T340" i="1"/>
  <c r="T1056" i="1"/>
  <c r="T1136" i="1"/>
  <c r="T1243" i="1"/>
  <c r="T399" i="1"/>
  <c r="T1060" i="1"/>
  <c r="T1180" i="1"/>
  <c r="C1245" i="1"/>
  <c r="C1246" i="1"/>
  <c r="T1253" i="1" l="1"/>
  <c r="T1254" i="1" s="1"/>
  <c r="X42" i="8"/>
  <c r="Y42" i="8"/>
  <c r="Y41" i="8"/>
  <c r="X41" i="8"/>
  <c r="V41" i="8"/>
  <c r="C1243" i="1"/>
  <c r="C1244" i="1"/>
  <c r="W16" i="8" l="1"/>
  <c r="W6" i="8"/>
  <c r="E3" i="8"/>
  <c r="E2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4" i="8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  <c r="B109" i="8"/>
  <c r="C109" i="8" s="1"/>
  <c r="B110" i="8"/>
  <c r="C110" i="8" s="1"/>
  <c r="B111" i="8"/>
  <c r="C111" i="8" s="1"/>
  <c r="B112" i="8"/>
  <c r="C112" i="8" s="1"/>
  <c r="B113" i="8"/>
  <c r="C113" i="8" s="1"/>
  <c r="B114" i="8"/>
  <c r="C114" i="8" s="1"/>
  <c r="B115" i="8"/>
  <c r="C115" i="8" s="1"/>
  <c r="B116" i="8"/>
  <c r="C116" i="8" s="1"/>
  <c r="B117" i="8"/>
  <c r="C117" i="8" s="1"/>
  <c r="B118" i="8"/>
  <c r="C118" i="8" s="1"/>
  <c r="B119" i="8"/>
  <c r="C119" i="8" s="1"/>
  <c r="B120" i="8"/>
  <c r="C120" i="8" s="1"/>
  <c r="B121" i="8"/>
  <c r="C121" i="8" s="1"/>
  <c r="B122" i="8"/>
  <c r="C122" i="8" s="1"/>
  <c r="B123" i="8"/>
  <c r="C123" i="8" s="1"/>
  <c r="B124" i="8"/>
  <c r="C124" i="8" s="1"/>
  <c r="B125" i="8"/>
  <c r="C125" i="8" s="1"/>
  <c r="B126" i="8"/>
  <c r="C126" i="8" s="1"/>
  <c r="B127" i="8"/>
  <c r="C127" i="8" s="1"/>
  <c r="B128" i="8"/>
  <c r="C128" i="8" s="1"/>
  <c r="B129" i="8"/>
  <c r="C129" i="8" s="1"/>
  <c r="B130" i="8"/>
  <c r="C130" i="8" s="1"/>
  <c r="B131" i="8"/>
  <c r="C131" i="8" s="1"/>
  <c r="B132" i="8"/>
  <c r="C132" i="8" s="1"/>
  <c r="B133" i="8"/>
  <c r="C133" i="8" s="1"/>
  <c r="B134" i="8"/>
  <c r="C134" i="8" s="1"/>
  <c r="B135" i="8"/>
  <c r="C135" i="8" s="1"/>
  <c r="B136" i="8"/>
  <c r="C136" i="8" s="1"/>
  <c r="B137" i="8"/>
  <c r="C137" i="8" s="1"/>
  <c r="B138" i="8"/>
  <c r="C138" i="8" s="1"/>
  <c r="B139" i="8"/>
  <c r="C139" i="8" s="1"/>
  <c r="B140" i="8"/>
  <c r="C140" i="8" s="1"/>
  <c r="B141" i="8"/>
  <c r="C141" i="8" s="1"/>
  <c r="B142" i="8"/>
  <c r="C142" i="8" s="1"/>
  <c r="B143" i="8"/>
  <c r="C143" i="8" s="1"/>
  <c r="B144" i="8"/>
  <c r="C144" i="8" s="1"/>
  <c r="B145" i="8"/>
  <c r="C145" i="8" s="1"/>
  <c r="B146" i="8"/>
  <c r="C146" i="8" s="1"/>
  <c r="B147" i="8"/>
  <c r="C147" i="8" s="1"/>
  <c r="B148" i="8"/>
  <c r="C148" i="8" s="1"/>
  <c r="B149" i="8"/>
  <c r="C149" i="8" s="1"/>
  <c r="B150" i="8"/>
  <c r="C150" i="8" s="1"/>
  <c r="B151" i="8"/>
  <c r="C151" i="8" s="1"/>
  <c r="B152" i="8"/>
  <c r="C152" i="8" s="1"/>
  <c r="B153" i="8"/>
  <c r="C153" i="8" s="1"/>
  <c r="B154" i="8"/>
  <c r="C154" i="8" s="1"/>
  <c r="B155" i="8"/>
  <c r="C155" i="8" s="1"/>
  <c r="B156" i="8"/>
  <c r="C156" i="8" s="1"/>
  <c r="B157" i="8"/>
  <c r="C157" i="8" s="1"/>
  <c r="B158" i="8"/>
  <c r="C158" i="8" s="1"/>
  <c r="B159" i="8"/>
  <c r="C159" i="8" s="1"/>
  <c r="B160" i="8"/>
  <c r="C160" i="8" s="1"/>
  <c r="B161" i="8"/>
  <c r="C161" i="8" s="1"/>
  <c r="B162" i="8"/>
  <c r="C162" i="8" s="1"/>
  <c r="B163" i="8"/>
  <c r="C163" i="8" s="1"/>
  <c r="B164" i="8"/>
  <c r="C164" i="8" s="1"/>
  <c r="B165" i="8"/>
  <c r="C165" i="8" s="1"/>
  <c r="B166" i="8"/>
  <c r="C166" i="8" s="1"/>
  <c r="B167" i="8"/>
  <c r="C167" i="8" s="1"/>
  <c r="B168" i="8"/>
  <c r="C168" i="8" s="1"/>
  <c r="B169" i="8"/>
  <c r="C169" i="8" s="1"/>
  <c r="B170" i="8"/>
  <c r="C170" i="8" s="1"/>
  <c r="B171" i="8"/>
  <c r="C171" i="8" s="1"/>
  <c r="B172" i="8"/>
  <c r="C172" i="8" s="1"/>
  <c r="B173" i="8"/>
  <c r="C173" i="8" s="1"/>
  <c r="B174" i="8"/>
  <c r="C174" i="8" s="1"/>
  <c r="B175" i="8"/>
  <c r="C175" i="8" s="1"/>
  <c r="B176" i="8"/>
  <c r="C176" i="8" s="1"/>
  <c r="B177" i="8"/>
  <c r="C177" i="8" s="1"/>
  <c r="B178" i="8"/>
  <c r="C178" i="8" s="1"/>
  <c r="B179" i="8"/>
  <c r="C179" i="8" s="1"/>
  <c r="B180" i="8"/>
  <c r="C180" i="8" s="1"/>
  <c r="B181" i="8"/>
  <c r="C181" i="8" s="1"/>
  <c r="B182" i="8"/>
  <c r="C182" i="8" s="1"/>
  <c r="B183" i="8"/>
  <c r="C183" i="8" s="1"/>
  <c r="B184" i="8"/>
  <c r="C184" i="8" s="1"/>
  <c r="B185" i="8"/>
  <c r="C185" i="8" s="1"/>
  <c r="B186" i="8"/>
  <c r="C186" i="8" s="1"/>
  <c r="B187" i="8"/>
  <c r="C187" i="8" s="1"/>
  <c r="B188" i="8"/>
  <c r="C188" i="8" s="1"/>
  <c r="B189" i="8"/>
  <c r="C189" i="8" s="1"/>
  <c r="B190" i="8"/>
  <c r="C190" i="8" s="1"/>
  <c r="B191" i="8"/>
  <c r="C191" i="8" s="1"/>
  <c r="B192" i="8"/>
  <c r="C192" i="8" s="1"/>
  <c r="B193" i="8"/>
  <c r="C193" i="8" s="1"/>
  <c r="B194" i="8"/>
  <c r="C194" i="8" s="1"/>
  <c r="B195" i="8"/>
  <c r="C195" i="8" s="1"/>
  <c r="B196" i="8"/>
  <c r="C196" i="8" s="1"/>
  <c r="B197" i="8"/>
  <c r="C197" i="8" s="1"/>
  <c r="B198" i="8"/>
  <c r="C198" i="8" s="1"/>
  <c r="B199" i="8"/>
  <c r="C199" i="8" s="1"/>
  <c r="B200" i="8"/>
  <c r="C200" i="8" s="1"/>
  <c r="B201" i="8"/>
  <c r="C201" i="8" s="1"/>
  <c r="B202" i="8"/>
  <c r="C202" i="8" s="1"/>
  <c r="B203" i="8"/>
  <c r="C203" i="8" s="1"/>
  <c r="B204" i="8"/>
  <c r="C204" i="8" s="1"/>
  <c r="B205" i="8"/>
  <c r="C205" i="8" s="1"/>
  <c r="B206" i="8"/>
  <c r="C206" i="8" s="1"/>
  <c r="B207" i="8"/>
  <c r="C207" i="8" s="1"/>
  <c r="B208" i="8"/>
  <c r="C208" i="8" s="1"/>
  <c r="B209" i="8"/>
  <c r="C209" i="8" s="1"/>
  <c r="B210" i="8"/>
  <c r="C210" i="8" s="1"/>
  <c r="B211" i="8"/>
  <c r="C211" i="8" s="1"/>
  <c r="B212" i="8"/>
  <c r="C212" i="8" s="1"/>
  <c r="B213" i="8"/>
  <c r="C213" i="8" s="1"/>
  <c r="B214" i="8"/>
  <c r="C214" i="8" s="1"/>
  <c r="B215" i="8"/>
  <c r="C215" i="8" s="1"/>
  <c r="B216" i="8"/>
  <c r="C216" i="8" s="1"/>
  <c r="B217" i="8"/>
  <c r="C217" i="8" s="1"/>
  <c r="B218" i="8"/>
  <c r="C218" i="8" s="1"/>
  <c r="B219" i="8"/>
  <c r="C219" i="8" s="1"/>
  <c r="B220" i="8"/>
  <c r="C220" i="8" s="1"/>
  <c r="B221" i="8"/>
  <c r="C221" i="8" s="1"/>
  <c r="B222" i="8"/>
  <c r="C222" i="8" s="1"/>
  <c r="B223" i="8"/>
  <c r="C223" i="8" s="1"/>
  <c r="B224" i="8"/>
  <c r="C224" i="8" s="1"/>
  <c r="B225" i="8"/>
  <c r="C225" i="8" s="1"/>
  <c r="B226" i="8"/>
  <c r="C226" i="8" s="1"/>
  <c r="B227" i="8"/>
  <c r="C227" i="8" s="1"/>
  <c r="B228" i="8"/>
  <c r="C228" i="8" s="1"/>
  <c r="B229" i="8"/>
  <c r="C229" i="8" s="1"/>
  <c r="B230" i="8"/>
  <c r="C230" i="8" s="1"/>
  <c r="B231" i="8"/>
  <c r="C231" i="8" s="1"/>
  <c r="B232" i="8"/>
  <c r="C232" i="8" s="1"/>
  <c r="B233" i="8"/>
  <c r="C233" i="8" s="1"/>
  <c r="B234" i="8"/>
  <c r="C234" i="8" s="1"/>
  <c r="B235" i="8"/>
  <c r="C235" i="8" s="1"/>
  <c r="B236" i="8"/>
  <c r="C236" i="8" s="1"/>
  <c r="B237" i="8"/>
  <c r="C237" i="8" s="1"/>
  <c r="B238" i="8"/>
  <c r="C238" i="8" s="1"/>
  <c r="B239" i="8"/>
  <c r="C239" i="8" s="1"/>
  <c r="B240" i="8"/>
  <c r="C240" i="8" s="1"/>
  <c r="B241" i="8"/>
  <c r="C241" i="8" s="1"/>
  <c r="B242" i="8"/>
  <c r="C242" i="8" s="1"/>
  <c r="B243" i="8"/>
  <c r="C243" i="8" s="1"/>
  <c r="B244" i="8"/>
  <c r="C244" i="8" s="1"/>
  <c r="B245" i="8"/>
  <c r="C245" i="8" s="1"/>
  <c r="B246" i="8"/>
  <c r="C246" i="8" s="1"/>
  <c r="B247" i="8"/>
  <c r="C247" i="8" s="1"/>
  <c r="B248" i="8"/>
  <c r="C248" i="8" s="1"/>
  <c r="B249" i="8"/>
  <c r="C249" i="8" s="1"/>
  <c r="B250" i="8"/>
  <c r="C250" i="8" s="1"/>
  <c r="B251" i="8"/>
  <c r="C251" i="8" s="1"/>
  <c r="B252" i="8"/>
  <c r="C252" i="8" s="1"/>
  <c r="B253" i="8"/>
  <c r="C253" i="8" s="1"/>
  <c r="B254" i="8"/>
  <c r="C254" i="8" s="1"/>
  <c r="B255" i="8"/>
  <c r="C255" i="8" s="1"/>
  <c r="B256" i="8"/>
  <c r="C256" i="8" s="1"/>
  <c r="B257" i="8"/>
  <c r="C257" i="8" s="1"/>
  <c r="B258" i="8"/>
  <c r="C258" i="8" s="1"/>
  <c r="B259" i="8"/>
  <c r="C259" i="8" s="1"/>
  <c r="B260" i="8"/>
  <c r="C260" i="8" s="1"/>
  <c r="B261" i="8"/>
  <c r="C261" i="8" s="1"/>
  <c r="B262" i="8"/>
  <c r="C262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D59" i="8" s="1"/>
  <c r="B60" i="8"/>
  <c r="C60" i="8" s="1"/>
  <c r="B61" i="8"/>
  <c r="C61" i="8" s="1"/>
  <c r="B62" i="8"/>
  <c r="C62" i="8" s="1"/>
  <c r="E10" i="8"/>
  <c r="B5" i="8"/>
  <c r="B11" i="8"/>
  <c r="C11" i="8" s="1"/>
  <c r="D55" i="8" l="1"/>
  <c r="D51" i="8"/>
  <c r="D58" i="8"/>
  <c r="D50" i="8"/>
  <c r="D42" i="8"/>
  <c r="D34" i="8"/>
  <c r="D30" i="8"/>
  <c r="D22" i="8"/>
  <c r="D14" i="8"/>
  <c r="D257" i="8"/>
  <c r="D249" i="8"/>
  <c r="D11" i="8"/>
  <c r="D61" i="8"/>
  <c r="D57" i="8"/>
  <c r="D53" i="8"/>
  <c r="D49" i="8"/>
  <c r="D45" i="8"/>
  <c r="D41" i="8"/>
  <c r="D37" i="8"/>
  <c r="D33" i="8"/>
  <c r="D62" i="8"/>
  <c r="D54" i="8"/>
  <c r="D46" i="8"/>
  <c r="D38" i="8"/>
  <c r="D26" i="8"/>
  <c r="D18" i="8"/>
  <c r="D261" i="8"/>
  <c r="D253" i="8"/>
  <c r="D245" i="8"/>
  <c r="AA16" i="8"/>
  <c r="W41" i="8"/>
  <c r="W42" i="8"/>
  <c r="D60" i="8"/>
  <c r="D56" i="8"/>
  <c r="D52" i="8"/>
  <c r="D48" i="8"/>
  <c r="D44" i="8"/>
  <c r="D40" i="8"/>
  <c r="D36" i="8"/>
  <c r="D32" i="8"/>
  <c r="D28" i="8"/>
  <c r="D24" i="8"/>
  <c r="D20" i="8"/>
  <c r="D16" i="8"/>
  <c r="D12" i="8"/>
  <c r="D259" i="8"/>
  <c r="D255" i="8"/>
  <c r="D251" i="8"/>
  <c r="D247" i="8"/>
  <c r="D243" i="8"/>
  <c r="D239" i="8"/>
  <c r="D235" i="8"/>
  <c r="D231" i="8"/>
  <c r="D227" i="8"/>
  <c r="D223" i="8"/>
  <c r="D219" i="8"/>
  <c r="D215" i="8"/>
  <c r="D211" i="8"/>
  <c r="D207" i="8"/>
  <c r="D203" i="8"/>
  <c r="D199" i="8"/>
  <c r="D195" i="8"/>
  <c r="D191" i="8"/>
  <c r="D187" i="8"/>
  <c r="D183" i="8"/>
  <c r="D179" i="8"/>
  <c r="D175" i="8"/>
  <c r="D171" i="8"/>
  <c r="D167" i="8"/>
  <c r="D163" i="8"/>
  <c r="D159" i="8"/>
  <c r="D155" i="8"/>
  <c r="D151" i="8"/>
  <c r="D147" i="8"/>
  <c r="D143" i="8"/>
  <c r="D139" i="8"/>
  <c r="D135" i="8"/>
  <c r="D131" i="8"/>
  <c r="D127" i="8"/>
  <c r="D123" i="8"/>
  <c r="D119" i="8"/>
  <c r="D115" i="8"/>
  <c r="D111" i="8"/>
  <c r="D107" i="8"/>
  <c r="D103" i="8"/>
  <c r="D99" i="8"/>
  <c r="D95" i="8"/>
  <c r="D91" i="8"/>
  <c r="D87" i="8"/>
  <c r="D83" i="8"/>
  <c r="D79" i="8"/>
  <c r="D75" i="8"/>
  <c r="D71" i="8"/>
  <c r="D67" i="8"/>
  <c r="D63" i="8"/>
  <c r="AA6" i="8"/>
  <c r="D47" i="8"/>
  <c r="D43" i="8"/>
  <c r="D39" i="8"/>
  <c r="D35" i="8"/>
  <c r="D31" i="8"/>
  <c r="D27" i="8"/>
  <c r="D23" i="8"/>
  <c r="D19" i="8"/>
  <c r="D15" i="8"/>
  <c r="D262" i="8"/>
  <c r="D258" i="8"/>
  <c r="D254" i="8"/>
  <c r="D250" i="8"/>
  <c r="D246" i="8"/>
  <c r="D242" i="8"/>
  <c r="D238" i="8"/>
  <c r="D234" i="8"/>
  <c r="D230" i="8"/>
  <c r="D226" i="8"/>
  <c r="D222" i="8"/>
  <c r="D218" i="8"/>
  <c r="D214" i="8"/>
  <c r="D210" i="8"/>
  <c r="D206" i="8"/>
  <c r="D202" i="8"/>
  <c r="D198" i="8"/>
  <c r="D194" i="8"/>
  <c r="D190" i="8"/>
  <c r="D186" i="8"/>
  <c r="D182" i="8"/>
  <c r="D178" i="8"/>
  <c r="D174" i="8"/>
  <c r="D170" i="8"/>
  <c r="D166" i="8"/>
  <c r="D162" i="8"/>
  <c r="D158" i="8"/>
  <c r="D154" i="8"/>
  <c r="D150" i="8"/>
  <c r="D146" i="8"/>
  <c r="D142" i="8"/>
  <c r="D138" i="8"/>
  <c r="D134" i="8"/>
  <c r="D130" i="8"/>
  <c r="D126" i="8"/>
  <c r="D122" i="8"/>
  <c r="D118" i="8"/>
  <c r="D114" i="8"/>
  <c r="D110" i="8"/>
  <c r="D106" i="8"/>
  <c r="D102" i="8"/>
  <c r="D98" i="8"/>
  <c r="D94" i="8"/>
  <c r="D90" i="8"/>
  <c r="D86" i="8"/>
  <c r="D82" i="8"/>
  <c r="D78" i="8"/>
  <c r="D74" i="8"/>
  <c r="D70" i="8"/>
  <c r="D66" i="8"/>
  <c r="D241" i="8"/>
  <c r="D237" i="8"/>
  <c r="D233" i="8"/>
  <c r="D229" i="8"/>
  <c r="D225" i="8"/>
  <c r="D221" i="8"/>
  <c r="D217" i="8"/>
  <c r="D213" i="8"/>
  <c r="D209" i="8"/>
  <c r="D205" i="8"/>
  <c r="D201" i="8"/>
  <c r="D197" i="8"/>
  <c r="D193" i="8"/>
  <c r="D189" i="8"/>
  <c r="D185" i="8"/>
  <c r="D181" i="8"/>
  <c r="D177" i="8"/>
  <c r="D173" i="8"/>
  <c r="D169" i="8"/>
  <c r="D165" i="8"/>
  <c r="D161" i="8"/>
  <c r="D157" i="8"/>
  <c r="D153" i="8"/>
  <c r="D149" i="8"/>
  <c r="D145" i="8"/>
  <c r="D141" i="8"/>
  <c r="D137" i="8"/>
  <c r="D133" i="8"/>
  <c r="D129" i="8"/>
  <c r="D125" i="8"/>
  <c r="D121" i="8"/>
  <c r="D117" i="8"/>
  <c r="D113" i="8"/>
  <c r="D109" i="8"/>
  <c r="D105" i="8"/>
  <c r="D101" i="8"/>
  <c r="D97" i="8"/>
  <c r="D93" i="8"/>
  <c r="D89" i="8"/>
  <c r="D85" i="8"/>
  <c r="D81" i="8"/>
  <c r="D77" i="8"/>
  <c r="D73" i="8"/>
  <c r="D69" i="8"/>
  <c r="D65" i="8"/>
  <c r="D29" i="8"/>
  <c r="D25" i="8"/>
  <c r="D21" i="8"/>
  <c r="D17" i="8"/>
  <c r="D13" i="8"/>
  <c r="D260" i="8"/>
  <c r="D256" i="8"/>
  <c r="D252" i="8"/>
  <c r="D248" i="8"/>
  <c r="D244" i="8"/>
  <c r="D240" i="8"/>
  <c r="D236" i="8"/>
  <c r="D232" i="8"/>
  <c r="D228" i="8"/>
  <c r="D224" i="8"/>
  <c r="D220" i="8"/>
  <c r="D216" i="8"/>
  <c r="D212" i="8"/>
  <c r="D208" i="8"/>
  <c r="D204" i="8"/>
  <c r="D200" i="8"/>
  <c r="D196" i="8"/>
  <c r="D192" i="8"/>
  <c r="D188" i="8"/>
  <c r="D184" i="8"/>
  <c r="D180" i="8"/>
  <c r="D176" i="8"/>
  <c r="D172" i="8"/>
  <c r="D168" i="8"/>
  <c r="D164" i="8"/>
  <c r="D160" i="8"/>
  <c r="D156" i="8"/>
  <c r="D152" i="8"/>
  <c r="D148" i="8"/>
  <c r="D144" i="8"/>
  <c r="D140" i="8"/>
  <c r="D136" i="8"/>
  <c r="D132" i="8"/>
  <c r="D128" i="8"/>
  <c r="D124" i="8"/>
  <c r="D120" i="8"/>
  <c r="D116" i="8"/>
  <c r="D112" i="8"/>
  <c r="D108" i="8"/>
  <c r="D104" i="8"/>
  <c r="D100" i="8"/>
  <c r="D96" i="8"/>
  <c r="D92" i="8"/>
  <c r="D88" i="8"/>
  <c r="D84" i="8"/>
  <c r="D80" i="8"/>
  <c r="D76" i="8"/>
  <c r="D72" i="8"/>
  <c r="D68" i="8"/>
  <c r="D64" i="8"/>
  <c r="W7" i="8"/>
  <c r="W8" i="8" l="1"/>
  <c r="W9" i="8" s="1"/>
  <c r="W10" i="8" s="1"/>
  <c r="W11" i="8" s="1"/>
  <c r="W12" i="8" s="1"/>
  <c r="W13" i="8" s="1"/>
  <c r="W14" i="8" s="1"/>
  <c r="W15" i="8" s="1"/>
  <c r="AA7" i="8"/>
  <c r="AA8" i="8" s="1"/>
  <c r="AA9" i="8" s="1"/>
  <c r="AA10" i="8" s="1"/>
  <c r="AA11" i="8" s="1"/>
  <c r="AA12" i="8" s="1"/>
  <c r="AA13" i="8" s="1"/>
  <c r="AA14" i="8" s="1"/>
  <c r="AA15" i="8" s="1"/>
  <c r="E11" i="8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E24" i="8" s="1"/>
  <c r="E25" i="8" s="1"/>
  <c r="E26" i="8" s="1"/>
  <c r="E27" i="8" s="1"/>
  <c r="E28" i="8" s="1"/>
  <c r="E29" i="8" s="1"/>
  <c r="E30" i="8" s="1"/>
  <c r="E31" i="8" s="1"/>
  <c r="E32" i="8" s="1"/>
  <c r="E33" i="8" s="1"/>
  <c r="E34" i="8" s="1"/>
  <c r="E35" i="8" s="1"/>
  <c r="E36" i="8" s="1"/>
  <c r="E37" i="8" s="1"/>
  <c r="E38" i="8" s="1"/>
  <c r="E39" i="8" s="1"/>
  <c r="E40" i="8" s="1"/>
  <c r="E41" i="8" s="1"/>
  <c r="E42" i="8" s="1"/>
  <c r="E43" i="8" s="1"/>
  <c r="E44" i="8" s="1"/>
  <c r="E45" i="8" s="1"/>
  <c r="E46" i="8" s="1"/>
  <c r="E47" i="8" s="1"/>
  <c r="E48" i="8" s="1"/>
  <c r="E49" i="8" s="1"/>
  <c r="E50" i="8" s="1"/>
  <c r="E51" i="8" s="1"/>
  <c r="E52" i="8" s="1"/>
  <c r="E53" i="8" s="1"/>
  <c r="E54" i="8" s="1"/>
  <c r="E55" i="8" s="1"/>
  <c r="E56" i="8" s="1"/>
  <c r="E57" i="8" s="1"/>
  <c r="E58" i="8" s="1"/>
  <c r="E59" i="8" s="1"/>
  <c r="E60" i="8" s="1"/>
  <c r="E61" i="8" s="1"/>
  <c r="E62" i="8" s="1"/>
  <c r="E63" i="8" s="1"/>
  <c r="E64" i="8" s="1"/>
  <c r="E65" i="8" s="1"/>
  <c r="E66" i="8" s="1"/>
  <c r="E67" i="8" s="1"/>
  <c r="E68" i="8" s="1"/>
  <c r="E69" i="8" s="1"/>
  <c r="E70" i="8" s="1"/>
  <c r="E71" i="8" s="1"/>
  <c r="E72" i="8" s="1"/>
  <c r="E73" i="8" s="1"/>
  <c r="E74" i="8" s="1"/>
  <c r="E75" i="8" s="1"/>
  <c r="E76" i="8" s="1"/>
  <c r="E77" i="8" s="1"/>
  <c r="E78" i="8" s="1"/>
  <c r="E79" i="8" s="1"/>
  <c r="E80" i="8" s="1"/>
  <c r="E81" i="8" s="1"/>
  <c r="E82" i="8" s="1"/>
  <c r="E83" i="8" s="1"/>
  <c r="E84" i="8" s="1"/>
  <c r="E85" i="8" s="1"/>
  <c r="E86" i="8" s="1"/>
  <c r="E87" i="8" s="1"/>
  <c r="E88" i="8" s="1"/>
  <c r="E89" i="8" s="1"/>
  <c r="E90" i="8" s="1"/>
  <c r="E91" i="8" s="1"/>
  <c r="E92" i="8" s="1"/>
  <c r="E93" i="8" s="1"/>
  <c r="E94" i="8" s="1"/>
  <c r="E95" i="8" s="1"/>
  <c r="E96" i="8" s="1"/>
  <c r="E97" i="8" s="1"/>
  <c r="E98" i="8" s="1"/>
  <c r="E99" i="8" s="1"/>
  <c r="E100" i="8" s="1"/>
  <c r="E101" i="8" s="1"/>
  <c r="E102" i="8" s="1"/>
  <c r="E103" i="8" s="1"/>
  <c r="E104" i="8" s="1"/>
  <c r="E105" i="8" s="1"/>
  <c r="E106" i="8" s="1"/>
  <c r="E107" i="8" s="1"/>
  <c r="E108" i="8" s="1"/>
  <c r="E109" i="8" s="1"/>
  <c r="E110" i="8" s="1"/>
  <c r="E111" i="8" s="1"/>
  <c r="E112" i="8" s="1"/>
  <c r="E113" i="8" s="1"/>
  <c r="E114" i="8" s="1"/>
  <c r="E115" i="8" s="1"/>
  <c r="E116" i="8" s="1"/>
  <c r="E117" i="8" s="1"/>
  <c r="E118" i="8" s="1"/>
  <c r="E119" i="8" s="1"/>
  <c r="E120" i="8" s="1"/>
  <c r="E121" i="8" s="1"/>
  <c r="E122" i="8" s="1"/>
  <c r="E123" i="8" s="1"/>
  <c r="E124" i="8" s="1"/>
  <c r="E125" i="8" s="1"/>
  <c r="E126" i="8" s="1"/>
  <c r="E127" i="8" s="1"/>
  <c r="E128" i="8" s="1"/>
  <c r="E129" i="8" s="1"/>
  <c r="E130" i="8" s="1"/>
  <c r="E131" i="8" s="1"/>
  <c r="E132" i="8" s="1"/>
  <c r="E133" i="8" s="1"/>
  <c r="E134" i="8" s="1"/>
  <c r="E135" i="8" s="1"/>
  <c r="E136" i="8" s="1"/>
  <c r="E137" i="8" s="1"/>
  <c r="E138" i="8" s="1"/>
  <c r="E139" i="8" s="1"/>
  <c r="E140" i="8" s="1"/>
  <c r="E141" i="8" s="1"/>
  <c r="E142" i="8" s="1"/>
  <c r="E143" i="8" s="1"/>
  <c r="E144" i="8" s="1"/>
  <c r="E145" i="8" s="1"/>
  <c r="E146" i="8" s="1"/>
  <c r="E147" i="8" s="1"/>
  <c r="E148" i="8" s="1"/>
  <c r="E149" i="8" s="1"/>
  <c r="E150" i="8" s="1"/>
  <c r="E151" i="8" s="1"/>
  <c r="E152" i="8" s="1"/>
  <c r="E153" i="8" s="1"/>
  <c r="E154" i="8" s="1"/>
  <c r="E155" i="8" s="1"/>
  <c r="E156" i="8" s="1"/>
  <c r="E157" i="8" s="1"/>
  <c r="E158" i="8" s="1"/>
  <c r="E159" i="8" s="1"/>
  <c r="E160" i="8" s="1"/>
  <c r="E161" i="8" s="1"/>
  <c r="E162" i="8" s="1"/>
  <c r="E163" i="8" s="1"/>
  <c r="E164" i="8" s="1"/>
  <c r="E165" i="8" s="1"/>
  <c r="E166" i="8" s="1"/>
  <c r="E167" i="8" s="1"/>
  <c r="E168" i="8" s="1"/>
  <c r="E169" i="8" s="1"/>
  <c r="E170" i="8" s="1"/>
  <c r="E171" i="8" s="1"/>
  <c r="E172" i="8" s="1"/>
  <c r="E173" i="8" s="1"/>
  <c r="E174" i="8" s="1"/>
  <c r="E175" i="8" s="1"/>
  <c r="E176" i="8" s="1"/>
  <c r="E177" i="8" s="1"/>
  <c r="E178" i="8" s="1"/>
  <c r="E179" i="8" s="1"/>
  <c r="E180" i="8" s="1"/>
  <c r="E181" i="8" s="1"/>
  <c r="E182" i="8" s="1"/>
  <c r="E183" i="8" s="1"/>
  <c r="E184" i="8" s="1"/>
  <c r="E185" i="8" s="1"/>
  <c r="E186" i="8" s="1"/>
  <c r="E187" i="8" s="1"/>
  <c r="E188" i="8" s="1"/>
  <c r="E189" i="8" s="1"/>
  <c r="E190" i="8" s="1"/>
  <c r="E191" i="8" s="1"/>
  <c r="E192" i="8" s="1"/>
  <c r="E193" i="8" s="1"/>
  <c r="E194" i="8" s="1"/>
  <c r="E195" i="8" s="1"/>
  <c r="E196" i="8" s="1"/>
  <c r="E197" i="8" s="1"/>
  <c r="E198" i="8" s="1"/>
  <c r="E199" i="8" s="1"/>
  <c r="E200" i="8" s="1"/>
  <c r="E201" i="8" s="1"/>
  <c r="E202" i="8" s="1"/>
  <c r="E203" i="8" s="1"/>
  <c r="E204" i="8" s="1"/>
  <c r="E205" i="8" s="1"/>
  <c r="E206" i="8" s="1"/>
  <c r="E207" i="8" s="1"/>
  <c r="E208" i="8" s="1"/>
  <c r="E209" i="8" s="1"/>
  <c r="E210" i="8" s="1"/>
  <c r="E211" i="8" s="1"/>
  <c r="E212" i="8" s="1"/>
  <c r="E213" i="8" s="1"/>
  <c r="E214" i="8" s="1"/>
  <c r="E215" i="8" s="1"/>
  <c r="E216" i="8" s="1"/>
  <c r="E217" i="8" s="1"/>
  <c r="E218" i="8" s="1"/>
  <c r="E219" i="8" s="1"/>
  <c r="E220" i="8" s="1"/>
  <c r="E221" i="8" s="1"/>
  <c r="E222" i="8" s="1"/>
  <c r="E223" i="8" s="1"/>
  <c r="E224" i="8" s="1"/>
  <c r="E225" i="8" s="1"/>
  <c r="E226" i="8" s="1"/>
  <c r="E227" i="8" s="1"/>
  <c r="E228" i="8" s="1"/>
  <c r="E229" i="8" s="1"/>
  <c r="E230" i="8" s="1"/>
  <c r="E231" i="8" s="1"/>
  <c r="E232" i="8" s="1"/>
  <c r="E233" i="8" s="1"/>
  <c r="E234" i="8" s="1"/>
  <c r="E235" i="8" s="1"/>
  <c r="E236" i="8" s="1"/>
  <c r="E237" i="8" s="1"/>
  <c r="E238" i="8" s="1"/>
  <c r="E239" i="8" s="1"/>
  <c r="E240" i="8" s="1"/>
  <c r="E241" i="8" s="1"/>
  <c r="E242" i="8" s="1"/>
  <c r="E243" i="8" s="1"/>
  <c r="E244" i="8" s="1"/>
  <c r="E245" i="8" s="1"/>
  <c r="E246" i="8" s="1"/>
  <c r="E247" i="8" s="1"/>
  <c r="E248" i="8" s="1"/>
  <c r="E249" i="8" s="1"/>
  <c r="E250" i="8" s="1"/>
  <c r="E251" i="8" s="1"/>
  <c r="E252" i="8" s="1"/>
  <c r="E253" i="8" s="1"/>
  <c r="E254" i="8" s="1"/>
  <c r="E255" i="8" s="1"/>
  <c r="E256" i="8" s="1"/>
  <c r="E257" i="8" s="1"/>
  <c r="E258" i="8" s="1"/>
  <c r="E259" i="8" s="1"/>
  <c r="E260" i="8" s="1"/>
  <c r="E261" i="8" s="1"/>
  <c r="E262" i="8" s="1"/>
  <c r="AB6" i="8" l="1" a="1"/>
  <c r="AB6" i="8" s="1"/>
  <c r="X6" i="8" a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4" i="1"/>
  <c r="G26" i="1" l="1"/>
  <c r="G27" i="1"/>
  <c r="AB17" i="8"/>
  <c r="AB8" i="8"/>
  <c r="AB12" i="8"/>
  <c r="AB13" i="8"/>
  <c r="AB14" i="8"/>
  <c r="AB7" i="8"/>
  <c r="AB10" i="8"/>
  <c r="AB11" i="8"/>
  <c r="AB9" i="8"/>
  <c r="AB15" i="8"/>
  <c r="AB16" i="8"/>
  <c r="X6" i="8"/>
  <c r="X17" i="8"/>
  <c r="X8" i="8"/>
  <c r="X7" i="8"/>
  <c r="X9" i="8"/>
  <c r="X13" i="8"/>
  <c r="X14" i="8"/>
  <c r="X12" i="8"/>
  <c r="X11" i="8"/>
  <c r="X16" i="8"/>
  <c r="X15" i="8"/>
  <c r="X10" i="8"/>
  <c r="H40" i="1" l="1"/>
  <c r="H30" i="1" l="1"/>
  <c r="F5" i="1"/>
  <c r="H31" i="1" l="1"/>
  <c r="F6" i="1"/>
  <c r="H32" i="1" l="1"/>
  <c r="F7" i="1"/>
  <c r="H33" i="1" l="1"/>
  <c r="F8" i="1"/>
  <c r="H34" i="1" l="1"/>
  <c r="F9" i="1"/>
  <c r="H35" i="1" l="1"/>
  <c r="F10" i="1"/>
  <c r="H36" i="1" l="1"/>
  <c r="F11" i="1"/>
  <c r="H37" i="1" l="1"/>
  <c r="F12" i="1"/>
  <c r="H38" i="1" l="1"/>
  <c r="F13" i="1"/>
  <c r="H39" i="1" s="1"/>
</calcChain>
</file>

<file path=xl/sharedStrings.xml><?xml version="1.0" encoding="utf-8"?>
<sst xmlns="http://schemas.openxmlformats.org/spreadsheetml/2006/main" count="78" uniqueCount="64">
  <si>
    <t>min:</t>
  </si>
  <si>
    <t>max:</t>
  </si>
  <si>
    <t>mű=</t>
  </si>
  <si>
    <t>m=</t>
  </si>
  <si>
    <t>szigma=</t>
  </si>
  <si>
    <t>s=</t>
  </si>
  <si>
    <t>rand</t>
  </si>
  <si>
    <t>N(0,1)</t>
  </si>
  <si>
    <t>t</t>
  </si>
  <si>
    <t>dt=</t>
  </si>
  <si>
    <t>S=</t>
  </si>
  <si>
    <t>S</t>
  </si>
  <si>
    <t>y</t>
  </si>
  <si>
    <t>min</t>
  </si>
  <si>
    <t>max</t>
  </si>
  <si>
    <t>F(x)</t>
  </si>
  <si>
    <t>x</t>
  </si>
  <si>
    <t>JB</t>
  </si>
  <si>
    <t>N-1(F(x))</t>
  </si>
  <si>
    <t>return</t>
  </si>
  <si>
    <t>probability</t>
  </si>
  <si>
    <t>Expected return</t>
  </si>
  <si>
    <t>Standard deviation</t>
  </si>
  <si>
    <t>Square of diff.</t>
  </si>
  <si>
    <t>Portfolio</t>
  </si>
  <si>
    <t>rho</t>
  </si>
  <si>
    <t>Date</t>
  </si>
  <si>
    <t>Closing price</t>
  </si>
  <si>
    <t>Logreturn</t>
  </si>
  <si>
    <t>Standard dev.</t>
  </si>
  <si>
    <t>Frequency</t>
  </si>
  <si>
    <t>Bin</t>
  </si>
  <si>
    <t>Further</t>
  </si>
  <si>
    <t>Daily</t>
  </si>
  <si>
    <t>Annual</t>
  </si>
  <si>
    <t>logreturn</t>
  </si>
  <si>
    <t>Stock price</t>
  </si>
  <si>
    <t>bin</t>
  </si>
  <si>
    <t>freq.</t>
  </si>
  <si>
    <t>Mean</t>
  </si>
  <si>
    <t>St. Dev</t>
  </si>
  <si>
    <t>Empirical</t>
  </si>
  <si>
    <t>Theoretical</t>
  </si>
  <si>
    <t>Chi quare crit. Value at 95%</t>
  </si>
  <si>
    <t>Oustanding</t>
  </si>
  <si>
    <t>Variance</t>
  </si>
  <si>
    <t>Skewness</t>
  </si>
  <si>
    <t>Kurtoisity</t>
  </si>
  <si>
    <t>Sum</t>
  </si>
  <si>
    <t>ratio</t>
  </si>
  <si>
    <t>Norm_outst</t>
  </si>
  <si>
    <t>annual</t>
  </si>
  <si>
    <t>daily</t>
  </si>
  <si>
    <t>Observation</t>
  </si>
  <si>
    <t>standardized x</t>
  </si>
  <si>
    <t>Simulation:</t>
  </si>
  <si>
    <t>a)</t>
  </si>
  <si>
    <t>b)</t>
  </si>
  <si>
    <t>MOL (09-04-2019  - 09-04-2024)</t>
  </si>
  <si>
    <t>VaR</t>
  </si>
  <si>
    <t>ES</t>
  </si>
  <si>
    <t>Historical simulation</t>
  </si>
  <si>
    <t>Delta-normal</t>
  </si>
  <si>
    <t>y ordered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</si>
</sst>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%"/>
    <numFmt numFmtId="166" formatCode="0.000%"/>
    <numFmt numFmtId="167" formatCode="0.0%"/>
    <numFmt numFmtId="168" formatCode="0.000000"/>
    <numFmt numFmtId="169" formatCode="#,###"/>
    <numFmt numFmtId="170" formatCode="#,##0.0000"/>
  </numFmts>
  <fonts count="8" x14ac:knownFonts="1">
    <font>
      <sz val="10"/>
      <name val="Arial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i/>
      <sz val="10"/>
      <name val="Arial"/>
      <family val="2"/>
      <charset val="238"/>
    </font>
    <font>
      <sz val="10"/>
      <color indexed="10"/>
      <name val="Arial"/>
      <family val="2"/>
      <charset val="238"/>
    </font>
    <font>
      <b/>
      <sz val="10"/>
      <color theme="3"/>
      <name val="Arial"/>
      <family val="2"/>
      <charset val="238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0" borderId="0"/>
    <xf numFmtId="0" fontId="7" fillId="0" borderId="0"/>
  </cellStyleXfs>
  <cellXfs count="63">
    <xf numFmtId="0" fontId="0" fillId="0" borderId="0" xfId="0"/>
    <xf numFmtId="10" fontId="0" fillId="0" borderId="0" xfId="1" applyNumberFormat="1" applyFont="1"/>
    <xf numFmtId="0" fontId="0" fillId="0" borderId="0" xfId="0" applyFill="1" applyBorder="1" applyAlignment="1"/>
    <xf numFmtId="0" fontId="0" fillId="0" borderId="0" xfId="0" applyBorder="1"/>
    <xf numFmtId="2" fontId="0" fillId="0" borderId="0" xfId="0" applyNumberFormat="1"/>
    <xf numFmtId="10" fontId="0" fillId="0" borderId="0" xfId="0" applyNumberFormat="1"/>
    <xf numFmtId="1" fontId="0" fillId="0" borderId="0" xfId="0" applyNumberFormat="1"/>
    <xf numFmtId="0" fontId="4" fillId="0" borderId="2" xfId="0" applyFont="1" applyFill="1" applyBorder="1" applyAlignment="1">
      <alignment horizontal="center"/>
    </xf>
    <xf numFmtId="164" fontId="0" fillId="0" borderId="0" xfId="0" applyNumberFormat="1"/>
    <xf numFmtId="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9" fontId="0" fillId="0" borderId="0" xfId="1" applyFont="1" applyAlignment="1">
      <alignment horizontal="center"/>
    </xf>
    <xf numFmtId="167" fontId="0" fillId="0" borderId="0" xfId="1" applyNumberFormat="1" applyFont="1" applyAlignment="1">
      <alignment horizontal="center"/>
    </xf>
    <xf numFmtId="0" fontId="5" fillId="0" borderId="0" xfId="0" applyFont="1"/>
    <xf numFmtId="0" fontId="6" fillId="0" borderId="0" xfId="0" applyFont="1"/>
    <xf numFmtId="9" fontId="6" fillId="0" borderId="0" xfId="0" applyNumberFormat="1" applyFont="1"/>
    <xf numFmtId="9" fontId="0" fillId="0" borderId="0" xfId="1" applyFont="1"/>
    <xf numFmtId="167" fontId="0" fillId="0" borderId="0" xfId="1" applyNumberFormat="1" applyFont="1"/>
    <xf numFmtId="0" fontId="1" fillId="0" borderId="4" xfId="0" applyFont="1" applyBorder="1" applyAlignment="1">
      <alignment horizontal="center"/>
    </xf>
    <xf numFmtId="167" fontId="0" fillId="0" borderId="0" xfId="0" applyNumberFormat="1"/>
    <xf numFmtId="0" fontId="0" fillId="0" borderId="6" xfId="0" applyBorder="1"/>
    <xf numFmtId="0" fontId="1" fillId="0" borderId="6" xfId="0" applyFont="1" applyBorder="1"/>
    <xf numFmtId="10" fontId="0" fillId="0" borderId="6" xfId="1" applyNumberFormat="1" applyFont="1" applyBorder="1"/>
    <xf numFmtId="1" fontId="0" fillId="0" borderId="6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167" fontId="1" fillId="0" borderId="0" xfId="1" applyNumberFormat="1" applyFont="1" applyAlignment="1">
      <alignment horizontal="center"/>
    </xf>
    <xf numFmtId="2" fontId="1" fillId="0" borderId="0" xfId="0" applyNumberFormat="1" applyFont="1"/>
    <xf numFmtId="168" fontId="0" fillId="0" borderId="0" xfId="1" applyNumberFormat="1" applyFont="1" applyAlignment="1">
      <alignment horizontal="center"/>
    </xf>
    <xf numFmtId="2" fontId="0" fillId="0" borderId="0" xfId="1" applyNumberFormat="1" applyFont="1"/>
    <xf numFmtId="9" fontId="0" fillId="0" borderId="0" xfId="0" applyNumberFormat="1" applyAlignment="1">
      <alignment horizontal="center"/>
    </xf>
    <xf numFmtId="167" fontId="2" fillId="0" borderId="0" xfId="1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1" fillId="0" borderId="3" xfId="0" applyFont="1" applyFill="1" applyBorder="1" applyAlignment="1"/>
    <xf numFmtId="0" fontId="0" fillId="0" borderId="4" xfId="0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5" xfId="0" applyNumberFormat="1" applyFill="1" applyBorder="1" applyAlignment="1">
      <alignment horizontal="center"/>
    </xf>
    <xf numFmtId="1" fontId="0" fillId="0" borderId="0" xfId="1" applyNumberFormat="1" applyFont="1" applyAlignment="1">
      <alignment horizontal="center"/>
    </xf>
    <xf numFmtId="0" fontId="1" fillId="0" borderId="7" xfId="0" applyFon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1" fillId="0" borderId="9" xfId="0" applyFont="1" applyBorder="1" applyAlignment="1">
      <alignment horizontal="center"/>
    </xf>
    <xf numFmtId="10" fontId="0" fillId="0" borderId="10" xfId="1" applyNumberFormat="1" applyFont="1" applyBorder="1" applyAlignment="1">
      <alignment horizontal="center"/>
    </xf>
    <xf numFmtId="10" fontId="0" fillId="0" borderId="12" xfId="1" applyNumberFormat="1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9" fontId="7" fillId="0" borderId="0" xfId="2" applyNumberFormat="1"/>
    <xf numFmtId="170" fontId="7" fillId="0" borderId="0" xfId="2" applyNumberFormat="1"/>
    <xf numFmtId="14" fontId="7" fillId="0" borderId="0" xfId="2" applyNumberFormat="1"/>
    <xf numFmtId="169" fontId="7" fillId="0" borderId="0" xfId="3" applyNumberFormat="1"/>
    <xf numFmtId="14" fontId="7" fillId="0" borderId="0" xfId="3" applyNumberFormat="1"/>
    <xf numFmtId="10" fontId="0" fillId="0" borderId="0" xfId="0" applyNumberFormat="1" applyAlignment="1">
      <alignment horizontal="center"/>
    </xf>
    <xf numFmtId="0" fontId="0" fillId="0" borderId="6" xfId="0" applyBorder="1" applyAlignment="1">
      <alignment horizontal="center" wrapText="1"/>
    </xf>
    <xf numFmtId="9" fontId="0" fillId="0" borderId="6" xfId="1" applyFont="1" applyBorder="1" applyAlignment="1">
      <alignment horizontal="center"/>
    </xf>
    <xf numFmtId="9" fontId="0" fillId="0" borderId="6" xfId="0" applyNumberFormat="1" applyBorder="1" applyAlignment="1">
      <alignment horizontal="center"/>
    </xf>
    <xf numFmtId="167" fontId="0" fillId="0" borderId="6" xfId="1" applyNumberFormat="1" applyFont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0" fontId="1" fillId="0" borderId="0" xfId="0" applyFont="1" applyBorder="1"/>
    <xf numFmtId="10" fontId="0" fillId="0" borderId="0" xfId="1" applyNumberFormat="1" applyFont="1" applyBorder="1"/>
    <xf numFmtId="9" fontId="0" fillId="0" borderId="0" xfId="0" applyNumberFormat="1" applyBorder="1"/>
    <xf numFmtId="0" fontId="0" fillId="0" borderId="0" xfId="0" applyAlignment="1">
      <alignment horizontal="center" vertical="center"/>
    </xf>
  </cellXfs>
  <cellStyles count="4">
    <cellStyle name="Normal" xfId="0" builtinId="0"/>
    <cellStyle name="Normal 2" xfId="3" xr:uid="{C608B47B-442D-48B7-87C3-A0EDA382993F}"/>
    <cellStyle name="Normál 2" xfId="2" xr:uid="{BF6152CA-F16D-436B-A9D6-D45ABFAFD2C3}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16162989829701"/>
          <c:y val="6.2650676123254104E-2"/>
          <c:w val="0.85945140493377437"/>
          <c:h val="0.7204827754174221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'7'!$A$4:$A$1246</c:f>
              <c:numCache>
                <c:formatCode>m/d/yyyy</c:formatCode>
                <c:ptCount val="1243"/>
                <c:pt idx="0">
                  <c:v>45391</c:v>
                </c:pt>
                <c:pt idx="1">
                  <c:v>45390</c:v>
                </c:pt>
                <c:pt idx="2">
                  <c:v>45387</c:v>
                </c:pt>
                <c:pt idx="3">
                  <c:v>45386</c:v>
                </c:pt>
                <c:pt idx="4">
                  <c:v>45385</c:v>
                </c:pt>
                <c:pt idx="5">
                  <c:v>45384</c:v>
                </c:pt>
                <c:pt idx="6">
                  <c:v>45379</c:v>
                </c:pt>
                <c:pt idx="7">
                  <c:v>45378</c:v>
                </c:pt>
                <c:pt idx="8">
                  <c:v>45377</c:v>
                </c:pt>
                <c:pt idx="9">
                  <c:v>45376</c:v>
                </c:pt>
                <c:pt idx="10">
                  <c:v>45373</c:v>
                </c:pt>
                <c:pt idx="11">
                  <c:v>45372</c:v>
                </c:pt>
                <c:pt idx="12">
                  <c:v>45371</c:v>
                </c:pt>
                <c:pt idx="13">
                  <c:v>45370</c:v>
                </c:pt>
                <c:pt idx="14">
                  <c:v>45369</c:v>
                </c:pt>
                <c:pt idx="15">
                  <c:v>45365</c:v>
                </c:pt>
                <c:pt idx="16">
                  <c:v>45364</c:v>
                </c:pt>
                <c:pt idx="17">
                  <c:v>45363</c:v>
                </c:pt>
                <c:pt idx="18">
                  <c:v>45362</c:v>
                </c:pt>
                <c:pt idx="19">
                  <c:v>45359</c:v>
                </c:pt>
                <c:pt idx="20">
                  <c:v>45358</c:v>
                </c:pt>
                <c:pt idx="21">
                  <c:v>45357</c:v>
                </c:pt>
                <c:pt idx="22">
                  <c:v>45356</c:v>
                </c:pt>
                <c:pt idx="23">
                  <c:v>45355</c:v>
                </c:pt>
                <c:pt idx="24">
                  <c:v>45352</c:v>
                </c:pt>
                <c:pt idx="25">
                  <c:v>45351</c:v>
                </c:pt>
                <c:pt idx="26">
                  <c:v>45350</c:v>
                </c:pt>
                <c:pt idx="27">
                  <c:v>45349</c:v>
                </c:pt>
                <c:pt idx="28">
                  <c:v>45348</c:v>
                </c:pt>
                <c:pt idx="29">
                  <c:v>45345</c:v>
                </c:pt>
                <c:pt idx="30">
                  <c:v>45344</c:v>
                </c:pt>
                <c:pt idx="31">
                  <c:v>45343</c:v>
                </c:pt>
                <c:pt idx="32">
                  <c:v>45342</c:v>
                </c:pt>
                <c:pt idx="33">
                  <c:v>45341</c:v>
                </c:pt>
                <c:pt idx="34">
                  <c:v>45338</c:v>
                </c:pt>
                <c:pt idx="35">
                  <c:v>45337</c:v>
                </c:pt>
                <c:pt idx="36">
                  <c:v>45336</c:v>
                </c:pt>
                <c:pt idx="37">
                  <c:v>45335</c:v>
                </c:pt>
                <c:pt idx="38">
                  <c:v>45334</c:v>
                </c:pt>
                <c:pt idx="39">
                  <c:v>45331</c:v>
                </c:pt>
                <c:pt idx="40">
                  <c:v>45330</c:v>
                </c:pt>
                <c:pt idx="41">
                  <c:v>45329</c:v>
                </c:pt>
                <c:pt idx="42">
                  <c:v>45328</c:v>
                </c:pt>
                <c:pt idx="43">
                  <c:v>45327</c:v>
                </c:pt>
                <c:pt idx="44">
                  <c:v>45324</c:v>
                </c:pt>
                <c:pt idx="45">
                  <c:v>45323</c:v>
                </c:pt>
                <c:pt idx="46">
                  <c:v>45322</c:v>
                </c:pt>
                <c:pt idx="47">
                  <c:v>45321</c:v>
                </c:pt>
                <c:pt idx="48">
                  <c:v>45320</c:v>
                </c:pt>
                <c:pt idx="49">
                  <c:v>45317</c:v>
                </c:pt>
                <c:pt idx="50">
                  <c:v>45316</c:v>
                </c:pt>
                <c:pt idx="51">
                  <c:v>45315</c:v>
                </c:pt>
                <c:pt idx="52">
                  <c:v>45314</c:v>
                </c:pt>
                <c:pt idx="53">
                  <c:v>45313</c:v>
                </c:pt>
                <c:pt idx="54">
                  <c:v>45310</c:v>
                </c:pt>
                <c:pt idx="55">
                  <c:v>45309</c:v>
                </c:pt>
                <c:pt idx="56">
                  <c:v>45308</c:v>
                </c:pt>
                <c:pt idx="57">
                  <c:v>45307</c:v>
                </c:pt>
                <c:pt idx="58">
                  <c:v>45306</c:v>
                </c:pt>
                <c:pt idx="59">
                  <c:v>45303</c:v>
                </c:pt>
                <c:pt idx="60">
                  <c:v>45302</c:v>
                </c:pt>
                <c:pt idx="61">
                  <c:v>45301</c:v>
                </c:pt>
                <c:pt idx="62">
                  <c:v>45300</c:v>
                </c:pt>
                <c:pt idx="63">
                  <c:v>45299</c:v>
                </c:pt>
                <c:pt idx="64">
                  <c:v>45296</c:v>
                </c:pt>
                <c:pt idx="65">
                  <c:v>45295</c:v>
                </c:pt>
                <c:pt idx="66">
                  <c:v>45294</c:v>
                </c:pt>
                <c:pt idx="67">
                  <c:v>45293</c:v>
                </c:pt>
                <c:pt idx="68">
                  <c:v>45289</c:v>
                </c:pt>
                <c:pt idx="69">
                  <c:v>45288</c:v>
                </c:pt>
                <c:pt idx="70">
                  <c:v>45287</c:v>
                </c:pt>
                <c:pt idx="71">
                  <c:v>45282</c:v>
                </c:pt>
                <c:pt idx="72">
                  <c:v>45281</c:v>
                </c:pt>
                <c:pt idx="73">
                  <c:v>45280</c:v>
                </c:pt>
                <c:pt idx="74">
                  <c:v>45279</c:v>
                </c:pt>
                <c:pt idx="75">
                  <c:v>45278</c:v>
                </c:pt>
                <c:pt idx="76">
                  <c:v>45275</c:v>
                </c:pt>
                <c:pt idx="77">
                  <c:v>45274</c:v>
                </c:pt>
                <c:pt idx="78">
                  <c:v>45273</c:v>
                </c:pt>
                <c:pt idx="79">
                  <c:v>45272</c:v>
                </c:pt>
                <c:pt idx="80">
                  <c:v>45271</c:v>
                </c:pt>
                <c:pt idx="81">
                  <c:v>45268</c:v>
                </c:pt>
                <c:pt idx="82">
                  <c:v>45267</c:v>
                </c:pt>
                <c:pt idx="83">
                  <c:v>45266</c:v>
                </c:pt>
                <c:pt idx="84">
                  <c:v>45265</c:v>
                </c:pt>
                <c:pt idx="85">
                  <c:v>45264</c:v>
                </c:pt>
                <c:pt idx="86">
                  <c:v>45261</c:v>
                </c:pt>
                <c:pt idx="87">
                  <c:v>45260</c:v>
                </c:pt>
                <c:pt idx="88">
                  <c:v>45259</c:v>
                </c:pt>
                <c:pt idx="89">
                  <c:v>45258</c:v>
                </c:pt>
                <c:pt idx="90">
                  <c:v>45257</c:v>
                </c:pt>
                <c:pt idx="91">
                  <c:v>45254</c:v>
                </c:pt>
                <c:pt idx="92">
                  <c:v>45253</c:v>
                </c:pt>
                <c:pt idx="93">
                  <c:v>45252</c:v>
                </c:pt>
                <c:pt idx="94">
                  <c:v>45251</c:v>
                </c:pt>
                <c:pt idx="95">
                  <c:v>45250</c:v>
                </c:pt>
                <c:pt idx="96">
                  <c:v>45247</c:v>
                </c:pt>
                <c:pt idx="97">
                  <c:v>45246</c:v>
                </c:pt>
                <c:pt idx="98">
                  <c:v>45245</c:v>
                </c:pt>
                <c:pt idx="99">
                  <c:v>45244</c:v>
                </c:pt>
                <c:pt idx="100">
                  <c:v>45243</c:v>
                </c:pt>
                <c:pt idx="101">
                  <c:v>45240</c:v>
                </c:pt>
                <c:pt idx="102">
                  <c:v>45239</c:v>
                </c:pt>
                <c:pt idx="103">
                  <c:v>45238</c:v>
                </c:pt>
                <c:pt idx="104">
                  <c:v>45237</c:v>
                </c:pt>
                <c:pt idx="105">
                  <c:v>45236</c:v>
                </c:pt>
                <c:pt idx="106">
                  <c:v>45233</c:v>
                </c:pt>
                <c:pt idx="107">
                  <c:v>45232</c:v>
                </c:pt>
                <c:pt idx="108">
                  <c:v>45230</c:v>
                </c:pt>
                <c:pt idx="109">
                  <c:v>45229</c:v>
                </c:pt>
                <c:pt idx="110">
                  <c:v>45226</c:v>
                </c:pt>
                <c:pt idx="111">
                  <c:v>45225</c:v>
                </c:pt>
                <c:pt idx="112">
                  <c:v>45224</c:v>
                </c:pt>
                <c:pt idx="113">
                  <c:v>45223</c:v>
                </c:pt>
                <c:pt idx="114">
                  <c:v>45219</c:v>
                </c:pt>
                <c:pt idx="115">
                  <c:v>45218</c:v>
                </c:pt>
                <c:pt idx="116">
                  <c:v>45217</c:v>
                </c:pt>
                <c:pt idx="117">
                  <c:v>45216</c:v>
                </c:pt>
                <c:pt idx="118">
                  <c:v>45215</c:v>
                </c:pt>
                <c:pt idx="119">
                  <c:v>45212</c:v>
                </c:pt>
                <c:pt idx="120">
                  <c:v>45211</c:v>
                </c:pt>
                <c:pt idx="121">
                  <c:v>45210</c:v>
                </c:pt>
                <c:pt idx="122">
                  <c:v>45209</c:v>
                </c:pt>
                <c:pt idx="123">
                  <c:v>45208</c:v>
                </c:pt>
                <c:pt idx="124">
                  <c:v>45205</c:v>
                </c:pt>
                <c:pt idx="125">
                  <c:v>45204</c:v>
                </c:pt>
                <c:pt idx="126">
                  <c:v>45203</c:v>
                </c:pt>
                <c:pt idx="127">
                  <c:v>45202</c:v>
                </c:pt>
                <c:pt idx="128">
                  <c:v>45201</c:v>
                </c:pt>
                <c:pt idx="129">
                  <c:v>45198</c:v>
                </c:pt>
                <c:pt idx="130">
                  <c:v>45197</c:v>
                </c:pt>
                <c:pt idx="131">
                  <c:v>45196</c:v>
                </c:pt>
                <c:pt idx="132">
                  <c:v>45195</c:v>
                </c:pt>
                <c:pt idx="133">
                  <c:v>45194</c:v>
                </c:pt>
                <c:pt idx="134">
                  <c:v>45191</c:v>
                </c:pt>
                <c:pt idx="135">
                  <c:v>45190</c:v>
                </c:pt>
                <c:pt idx="136">
                  <c:v>45189</c:v>
                </c:pt>
                <c:pt idx="137">
                  <c:v>45188</c:v>
                </c:pt>
                <c:pt idx="138">
                  <c:v>45187</c:v>
                </c:pt>
                <c:pt idx="139">
                  <c:v>45184</c:v>
                </c:pt>
                <c:pt idx="140">
                  <c:v>45183</c:v>
                </c:pt>
                <c:pt idx="141">
                  <c:v>45182</c:v>
                </c:pt>
                <c:pt idx="142">
                  <c:v>45181</c:v>
                </c:pt>
                <c:pt idx="143">
                  <c:v>45180</c:v>
                </c:pt>
                <c:pt idx="144">
                  <c:v>45177</c:v>
                </c:pt>
                <c:pt idx="145">
                  <c:v>45176</c:v>
                </c:pt>
                <c:pt idx="146">
                  <c:v>45175</c:v>
                </c:pt>
                <c:pt idx="147">
                  <c:v>45174</c:v>
                </c:pt>
                <c:pt idx="148">
                  <c:v>45173</c:v>
                </c:pt>
                <c:pt idx="149">
                  <c:v>45170</c:v>
                </c:pt>
                <c:pt idx="150">
                  <c:v>45169</c:v>
                </c:pt>
                <c:pt idx="151">
                  <c:v>45168</c:v>
                </c:pt>
                <c:pt idx="152">
                  <c:v>45167</c:v>
                </c:pt>
                <c:pt idx="153">
                  <c:v>45166</c:v>
                </c:pt>
                <c:pt idx="154">
                  <c:v>45163</c:v>
                </c:pt>
                <c:pt idx="155">
                  <c:v>45162</c:v>
                </c:pt>
                <c:pt idx="156">
                  <c:v>45161</c:v>
                </c:pt>
                <c:pt idx="157">
                  <c:v>45160</c:v>
                </c:pt>
                <c:pt idx="158">
                  <c:v>45159</c:v>
                </c:pt>
                <c:pt idx="159">
                  <c:v>45156</c:v>
                </c:pt>
                <c:pt idx="160">
                  <c:v>45155</c:v>
                </c:pt>
                <c:pt idx="161">
                  <c:v>45154</c:v>
                </c:pt>
                <c:pt idx="162">
                  <c:v>45153</c:v>
                </c:pt>
                <c:pt idx="163">
                  <c:v>45152</c:v>
                </c:pt>
                <c:pt idx="164">
                  <c:v>45149</c:v>
                </c:pt>
                <c:pt idx="165">
                  <c:v>45148</c:v>
                </c:pt>
                <c:pt idx="166">
                  <c:v>45147</c:v>
                </c:pt>
                <c:pt idx="167">
                  <c:v>45146</c:v>
                </c:pt>
                <c:pt idx="168">
                  <c:v>45145</c:v>
                </c:pt>
                <c:pt idx="169">
                  <c:v>45142</c:v>
                </c:pt>
                <c:pt idx="170">
                  <c:v>45141</c:v>
                </c:pt>
                <c:pt idx="171">
                  <c:v>45140</c:v>
                </c:pt>
                <c:pt idx="172">
                  <c:v>45139</c:v>
                </c:pt>
                <c:pt idx="173">
                  <c:v>45138</c:v>
                </c:pt>
                <c:pt idx="174">
                  <c:v>45135</c:v>
                </c:pt>
                <c:pt idx="175">
                  <c:v>45134</c:v>
                </c:pt>
                <c:pt idx="176">
                  <c:v>45133</c:v>
                </c:pt>
                <c:pt idx="177">
                  <c:v>45132</c:v>
                </c:pt>
                <c:pt idx="178">
                  <c:v>45131</c:v>
                </c:pt>
                <c:pt idx="179">
                  <c:v>45128</c:v>
                </c:pt>
                <c:pt idx="180">
                  <c:v>45127</c:v>
                </c:pt>
                <c:pt idx="181">
                  <c:v>45126</c:v>
                </c:pt>
                <c:pt idx="182">
                  <c:v>45125</c:v>
                </c:pt>
                <c:pt idx="183">
                  <c:v>45124</c:v>
                </c:pt>
                <c:pt idx="184">
                  <c:v>45121</c:v>
                </c:pt>
                <c:pt idx="185">
                  <c:v>45120</c:v>
                </c:pt>
                <c:pt idx="186">
                  <c:v>45119</c:v>
                </c:pt>
                <c:pt idx="187">
                  <c:v>45118</c:v>
                </c:pt>
                <c:pt idx="188">
                  <c:v>45117</c:v>
                </c:pt>
                <c:pt idx="189">
                  <c:v>45114</c:v>
                </c:pt>
                <c:pt idx="190">
                  <c:v>45113</c:v>
                </c:pt>
                <c:pt idx="191">
                  <c:v>45112</c:v>
                </c:pt>
                <c:pt idx="192">
                  <c:v>45111</c:v>
                </c:pt>
                <c:pt idx="193">
                  <c:v>45110</c:v>
                </c:pt>
                <c:pt idx="194">
                  <c:v>45107</c:v>
                </c:pt>
                <c:pt idx="195">
                  <c:v>45106</c:v>
                </c:pt>
                <c:pt idx="196">
                  <c:v>45105</c:v>
                </c:pt>
                <c:pt idx="197">
                  <c:v>45104</c:v>
                </c:pt>
                <c:pt idx="198">
                  <c:v>45103</c:v>
                </c:pt>
                <c:pt idx="199">
                  <c:v>45100</c:v>
                </c:pt>
                <c:pt idx="200">
                  <c:v>45099</c:v>
                </c:pt>
                <c:pt idx="201">
                  <c:v>45098</c:v>
                </c:pt>
                <c:pt idx="202">
                  <c:v>45097</c:v>
                </c:pt>
                <c:pt idx="203">
                  <c:v>45096</c:v>
                </c:pt>
                <c:pt idx="204">
                  <c:v>45093</c:v>
                </c:pt>
                <c:pt idx="205">
                  <c:v>45092</c:v>
                </c:pt>
                <c:pt idx="206">
                  <c:v>45091</c:v>
                </c:pt>
                <c:pt idx="207">
                  <c:v>45090</c:v>
                </c:pt>
                <c:pt idx="208">
                  <c:v>45089</c:v>
                </c:pt>
                <c:pt idx="209">
                  <c:v>45086</c:v>
                </c:pt>
                <c:pt idx="210">
                  <c:v>45085</c:v>
                </c:pt>
                <c:pt idx="211">
                  <c:v>45084</c:v>
                </c:pt>
                <c:pt idx="212">
                  <c:v>45083</c:v>
                </c:pt>
                <c:pt idx="213">
                  <c:v>45082</c:v>
                </c:pt>
                <c:pt idx="214">
                  <c:v>45079</c:v>
                </c:pt>
                <c:pt idx="215">
                  <c:v>45078</c:v>
                </c:pt>
                <c:pt idx="216">
                  <c:v>45077</c:v>
                </c:pt>
                <c:pt idx="217">
                  <c:v>45076</c:v>
                </c:pt>
                <c:pt idx="218">
                  <c:v>45072</c:v>
                </c:pt>
                <c:pt idx="219">
                  <c:v>45071</c:v>
                </c:pt>
                <c:pt idx="220">
                  <c:v>45070</c:v>
                </c:pt>
                <c:pt idx="221">
                  <c:v>45069</c:v>
                </c:pt>
                <c:pt idx="222">
                  <c:v>45068</c:v>
                </c:pt>
                <c:pt idx="223">
                  <c:v>45065</c:v>
                </c:pt>
                <c:pt idx="224">
                  <c:v>45064</c:v>
                </c:pt>
                <c:pt idx="225">
                  <c:v>45063</c:v>
                </c:pt>
                <c:pt idx="226">
                  <c:v>45062</c:v>
                </c:pt>
                <c:pt idx="227">
                  <c:v>45061</c:v>
                </c:pt>
                <c:pt idx="228">
                  <c:v>45058</c:v>
                </c:pt>
                <c:pt idx="229">
                  <c:v>45057</c:v>
                </c:pt>
                <c:pt idx="230">
                  <c:v>45056</c:v>
                </c:pt>
                <c:pt idx="231">
                  <c:v>45055</c:v>
                </c:pt>
                <c:pt idx="232">
                  <c:v>45054</c:v>
                </c:pt>
                <c:pt idx="233">
                  <c:v>45051</c:v>
                </c:pt>
                <c:pt idx="234">
                  <c:v>45050</c:v>
                </c:pt>
                <c:pt idx="235">
                  <c:v>45049</c:v>
                </c:pt>
                <c:pt idx="236">
                  <c:v>45048</c:v>
                </c:pt>
                <c:pt idx="237">
                  <c:v>45044</c:v>
                </c:pt>
                <c:pt idx="238">
                  <c:v>45043</c:v>
                </c:pt>
                <c:pt idx="239">
                  <c:v>45042</c:v>
                </c:pt>
                <c:pt idx="240">
                  <c:v>45041</c:v>
                </c:pt>
                <c:pt idx="241">
                  <c:v>45040</c:v>
                </c:pt>
                <c:pt idx="242">
                  <c:v>45037</c:v>
                </c:pt>
                <c:pt idx="243">
                  <c:v>45036</c:v>
                </c:pt>
                <c:pt idx="244">
                  <c:v>45035</c:v>
                </c:pt>
                <c:pt idx="245">
                  <c:v>45034</c:v>
                </c:pt>
                <c:pt idx="246">
                  <c:v>45033</c:v>
                </c:pt>
                <c:pt idx="247">
                  <c:v>45030</c:v>
                </c:pt>
                <c:pt idx="248">
                  <c:v>45029</c:v>
                </c:pt>
                <c:pt idx="249">
                  <c:v>45028</c:v>
                </c:pt>
                <c:pt idx="250">
                  <c:v>45027</c:v>
                </c:pt>
                <c:pt idx="251">
                  <c:v>45022</c:v>
                </c:pt>
                <c:pt idx="252">
                  <c:v>45021</c:v>
                </c:pt>
                <c:pt idx="253">
                  <c:v>45020</c:v>
                </c:pt>
                <c:pt idx="254">
                  <c:v>45019</c:v>
                </c:pt>
                <c:pt idx="255">
                  <c:v>45016</c:v>
                </c:pt>
                <c:pt idx="256">
                  <c:v>45015</c:v>
                </c:pt>
                <c:pt idx="257">
                  <c:v>45014</c:v>
                </c:pt>
                <c:pt idx="258">
                  <c:v>45013</c:v>
                </c:pt>
                <c:pt idx="259">
                  <c:v>45012</c:v>
                </c:pt>
                <c:pt idx="260">
                  <c:v>45009</c:v>
                </c:pt>
                <c:pt idx="261">
                  <c:v>45008</c:v>
                </c:pt>
                <c:pt idx="262">
                  <c:v>45007</c:v>
                </c:pt>
                <c:pt idx="263">
                  <c:v>45006</c:v>
                </c:pt>
                <c:pt idx="264">
                  <c:v>45005</c:v>
                </c:pt>
                <c:pt idx="265">
                  <c:v>45002</c:v>
                </c:pt>
                <c:pt idx="266">
                  <c:v>45001</c:v>
                </c:pt>
                <c:pt idx="267">
                  <c:v>44999</c:v>
                </c:pt>
                <c:pt idx="268">
                  <c:v>44998</c:v>
                </c:pt>
                <c:pt idx="269">
                  <c:v>44995</c:v>
                </c:pt>
                <c:pt idx="270">
                  <c:v>44994</c:v>
                </c:pt>
                <c:pt idx="271">
                  <c:v>44993</c:v>
                </c:pt>
                <c:pt idx="272">
                  <c:v>44992</c:v>
                </c:pt>
                <c:pt idx="273">
                  <c:v>44991</c:v>
                </c:pt>
                <c:pt idx="274">
                  <c:v>44988</c:v>
                </c:pt>
                <c:pt idx="275">
                  <c:v>44987</c:v>
                </c:pt>
                <c:pt idx="276">
                  <c:v>44986</c:v>
                </c:pt>
                <c:pt idx="277">
                  <c:v>44985</c:v>
                </c:pt>
                <c:pt idx="278">
                  <c:v>44984</c:v>
                </c:pt>
                <c:pt idx="279">
                  <c:v>44981</c:v>
                </c:pt>
                <c:pt idx="280">
                  <c:v>44980</c:v>
                </c:pt>
                <c:pt idx="281">
                  <c:v>44979</c:v>
                </c:pt>
                <c:pt idx="282">
                  <c:v>44978</c:v>
                </c:pt>
                <c:pt idx="283">
                  <c:v>44977</c:v>
                </c:pt>
                <c:pt idx="284">
                  <c:v>44974</c:v>
                </c:pt>
                <c:pt idx="285">
                  <c:v>44973</c:v>
                </c:pt>
                <c:pt idx="286">
                  <c:v>44972</c:v>
                </c:pt>
                <c:pt idx="287">
                  <c:v>44971</c:v>
                </c:pt>
                <c:pt idx="288">
                  <c:v>44970</c:v>
                </c:pt>
                <c:pt idx="289">
                  <c:v>44967</c:v>
                </c:pt>
                <c:pt idx="290">
                  <c:v>44966</c:v>
                </c:pt>
                <c:pt idx="291">
                  <c:v>44965</c:v>
                </c:pt>
                <c:pt idx="292">
                  <c:v>44964</c:v>
                </c:pt>
                <c:pt idx="293">
                  <c:v>44963</c:v>
                </c:pt>
                <c:pt idx="294">
                  <c:v>44960</c:v>
                </c:pt>
                <c:pt idx="295">
                  <c:v>44959</c:v>
                </c:pt>
                <c:pt idx="296">
                  <c:v>44958</c:v>
                </c:pt>
                <c:pt idx="297">
                  <c:v>44957</c:v>
                </c:pt>
                <c:pt idx="298">
                  <c:v>44956</c:v>
                </c:pt>
                <c:pt idx="299">
                  <c:v>44953</c:v>
                </c:pt>
                <c:pt idx="300">
                  <c:v>44952</c:v>
                </c:pt>
                <c:pt idx="301">
                  <c:v>44951</c:v>
                </c:pt>
                <c:pt idx="302">
                  <c:v>44950</c:v>
                </c:pt>
                <c:pt idx="303">
                  <c:v>44949</c:v>
                </c:pt>
                <c:pt idx="304">
                  <c:v>44946</c:v>
                </c:pt>
                <c:pt idx="305">
                  <c:v>44945</c:v>
                </c:pt>
                <c:pt idx="306">
                  <c:v>44944</c:v>
                </c:pt>
                <c:pt idx="307">
                  <c:v>44943</c:v>
                </c:pt>
                <c:pt idx="308">
                  <c:v>44942</c:v>
                </c:pt>
                <c:pt idx="309">
                  <c:v>44939</c:v>
                </c:pt>
                <c:pt idx="310">
                  <c:v>44938</c:v>
                </c:pt>
                <c:pt idx="311">
                  <c:v>44937</c:v>
                </c:pt>
                <c:pt idx="312">
                  <c:v>44936</c:v>
                </c:pt>
                <c:pt idx="313">
                  <c:v>44935</c:v>
                </c:pt>
                <c:pt idx="314">
                  <c:v>44932</c:v>
                </c:pt>
                <c:pt idx="315">
                  <c:v>44931</c:v>
                </c:pt>
                <c:pt idx="316">
                  <c:v>44930</c:v>
                </c:pt>
                <c:pt idx="317">
                  <c:v>44929</c:v>
                </c:pt>
                <c:pt idx="318">
                  <c:v>44928</c:v>
                </c:pt>
                <c:pt idx="319">
                  <c:v>44925</c:v>
                </c:pt>
                <c:pt idx="320">
                  <c:v>44924</c:v>
                </c:pt>
                <c:pt idx="321">
                  <c:v>44923</c:v>
                </c:pt>
                <c:pt idx="322">
                  <c:v>44922</c:v>
                </c:pt>
                <c:pt idx="323">
                  <c:v>44918</c:v>
                </c:pt>
                <c:pt idx="324">
                  <c:v>44917</c:v>
                </c:pt>
                <c:pt idx="325">
                  <c:v>44916</c:v>
                </c:pt>
                <c:pt idx="326">
                  <c:v>44915</c:v>
                </c:pt>
                <c:pt idx="327">
                  <c:v>44914</c:v>
                </c:pt>
                <c:pt idx="328">
                  <c:v>44911</c:v>
                </c:pt>
                <c:pt idx="329">
                  <c:v>44910</c:v>
                </c:pt>
                <c:pt idx="330">
                  <c:v>44909</c:v>
                </c:pt>
                <c:pt idx="331">
                  <c:v>44908</c:v>
                </c:pt>
                <c:pt idx="332">
                  <c:v>44907</c:v>
                </c:pt>
                <c:pt idx="333">
                  <c:v>44904</c:v>
                </c:pt>
                <c:pt idx="334">
                  <c:v>44903</c:v>
                </c:pt>
                <c:pt idx="335">
                  <c:v>44902</c:v>
                </c:pt>
                <c:pt idx="336">
                  <c:v>44901</c:v>
                </c:pt>
                <c:pt idx="337">
                  <c:v>44900</c:v>
                </c:pt>
                <c:pt idx="338">
                  <c:v>44897</c:v>
                </c:pt>
                <c:pt idx="339">
                  <c:v>44896</c:v>
                </c:pt>
                <c:pt idx="340">
                  <c:v>44895</c:v>
                </c:pt>
                <c:pt idx="341">
                  <c:v>44894</c:v>
                </c:pt>
                <c:pt idx="342">
                  <c:v>44893</c:v>
                </c:pt>
                <c:pt idx="343">
                  <c:v>44890</c:v>
                </c:pt>
                <c:pt idx="344">
                  <c:v>44889</c:v>
                </c:pt>
                <c:pt idx="345">
                  <c:v>44888</c:v>
                </c:pt>
                <c:pt idx="346">
                  <c:v>44887</c:v>
                </c:pt>
                <c:pt idx="347">
                  <c:v>44886</c:v>
                </c:pt>
                <c:pt idx="348">
                  <c:v>44883</c:v>
                </c:pt>
                <c:pt idx="349">
                  <c:v>44882</c:v>
                </c:pt>
                <c:pt idx="350">
                  <c:v>44881</c:v>
                </c:pt>
                <c:pt idx="351">
                  <c:v>44880</c:v>
                </c:pt>
                <c:pt idx="352">
                  <c:v>44879</c:v>
                </c:pt>
                <c:pt idx="353">
                  <c:v>44876</c:v>
                </c:pt>
                <c:pt idx="354">
                  <c:v>44875</c:v>
                </c:pt>
                <c:pt idx="355">
                  <c:v>44874</c:v>
                </c:pt>
                <c:pt idx="356">
                  <c:v>44873</c:v>
                </c:pt>
                <c:pt idx="357">
                  <c:v>44872</c:v>
                </c:pt>
                <c:pt idx="358">
                  <c:v>44869</c:v>
                </c:pt>
                <c:pt idx="359">
                  <c:v>44868</c:v>
                </c:pt>
                <c:pt idx="360">
                  <c:v>44867</c:v>
                </c:pt>
                <c:pt idx="361">
                  <c:v>44862</c:v>
                </c:pt>
                <c:pt idx="362">
                  <c:v>44861</c:v>
                </c:pt>
                <c:pt idx="363">
                  <c:v>44860</c:v>
                </c:pt>
                <c:pt idx="364">
                  <c:v>44859</c:v>
                </c:pt>
                <c:pt idx="365">
                  <c:v>44858</c:v>
                </c:pt>
                <c:pt idx="366">
                  <c:v>44855</c:v>
                </c:pt>
                <c:pt idx="367">
                  <c:v>44854</c:v>
                </c:pt>
                <c:pt idx="368">
                  <c:v>44853</c:v>
                </c:pt>
                <c:pt idx="369">
                  <c:v>44852</c:v>
                </c:pt>
                <c:pt idx="370">
                  <c:v>44851</c:v>
                </c:pt>
                <c:pt idx="371">
                  <c:v>44848</c:v>
                </c:pt>
                <c:pt idx="372">
                  <c:v>44847</c:v>
                </c:pt>
                <c:pt idx="373">
                  <c:v>44846</c:v>
                </c:pt>
                <c:pt idx="374">
                  <c:v>44845</c:v>
                </c:pt>
                <c:pt idx="375">
                  <c:v>44844</c:v>
                </c:pt>
                <c:pt idx="376">
                  <c:v>44841</c:v>
                </c:pt>
                <c:pt idx="377">
                  <c:v>44840</c:v>
                </c:pt>
                <c:pt idx="378">
                  <c:v>44839</c:v>
                </c:pt>
                <c:pt idx="379">
                  <c:v>44838</c:v>
                </c:pt>
                <c:pt idx="380">
                  <c:v>44837</c:v>
                </c:pt>
                <c:pt idx="381">
                  <c:v>44834</c:v>
                </c:pt>
                <c:pt idx="382">
                  <c:v>44833</c:v>
                </c:pt>
                <c:pt idx="383">
                  <c:v>44832</c:v>
                </c:pt>
                <c:pt idx="384">
                  <c:v>44831</c:v>
                </c:pt>
                <c:pt idx="385">
                  <c:v>44830</c:v>
                </c:pt>
                <c:pt idx="386">
                  <c:v>44827</c:v>
                </c:pt>
                <c:pt idx="387">
                  <c:v>44826</c:v>
                </c:pt>
                <c:pt idx="388">
                  <c:v>44825</c:v>
                </c:pt>
                <c:pt idx="389">
                  <c:v>44824</c:v>
                </c:pt>
                <c:pt idx="390">
                  <c:v>44823</c:v>
                </c:pt>
                <c:pt idx="391">
                  <c:v>44820</c:v>
                </c:pt>
                <c:pt idx="392">
                  <c:v>44819</c:v>
                </c:pt>
                <c:pt idx="393">
                  <c:v>44818</c:v>
                </c:pt>
                <c:pt idx="394">
                  <c:v>44817</c:v>
                </c:pt>
                <c:pt idx="395">
                  <c:v>44816</c:v>
                </c:pt>
                <c:pt idx="396">
                  <c:v>44813</c:v>
                </c:pt>
                <c:pt idx="397">
                  <c:v>44812</c:v>
                </c:pt>
                <c:pt idx="398">
                  <c:v>44811</c:v>
                </c:pt>
                <c:pt idx="399">
                  <c:v>44810</c:v>
                </c:pt>
                <c:pt idx="400">
                  <c:v>44809</c:v>
                </c:pt>
                <c:pt idx="401">
                  <c:v>44806</c:v>
                </c:pt>
                <c:pt idx="402">
                  <c:v>44805</c:v>
                </c:pt>
                <c:pt idx="403">
                  <c:v>44804</c:v>
                </c:pt>
                <c:pt idx="404">
                  <c:v>44803</c:v>
                </c:pt>
                <c:pt idx="405">
                  <c:v>44802</c:v>
                </c:pt>
                <c:pt idx="406">
                  <c:v>44799</c:v>
                </c:pt>
                <c:pt idx="407">
                  <c:v>44798</c:v>
                </c:pt>
                <c:pt idx="408">
                  <c:v>44797</c:v>
                </c:pt>
                <c:pt idx="409">
                  <c:v>44796</c:v>
                </c:pt>
                <c:pt idx="410">
                  <c:v>44795</c:v>
                </c:pt>
                <c:pt idx="411">
                  <c:v>44792</c:v>
                </c:pt>
                <c:pt idx="412">
                  <c:v>44791</c:v>
                </c:pt>
                <c:pt idx="413">
                  <c:v>44790</c:v>
                </c:pt>
                <c:pt idx="414">
                  <c:v>44789</c:v>
                </c:pt>
                <c:pt idx="415">
                  <c:v>44788</c:v>
                </c:pt>
                <c:pt idx="416">
                  <c:v>44785</c:v>
                </c:pt>
                <c:pt idx="417">
                  <c:v>44784</c:v>
                </c:pt>
                <c:pt idx="418">
                  <c:v>44783</c:v>
                </c:pt>
                <c:pt idx="419">
                  <c:v>44782</c:v>
                </c:pt>
                <c:pt idx="420">
                  <c:v>44781</c:v>
                </c:pt>
                <c:pt idx="421">
                  <c:v>44778</c:v>
                </c:pt>
                <c:pt idx="422">
                  <c:v>44777</c:v>
                </c:pt>
                <c:pt idx="423">
                  <c:v>44776</c:v>
                </c:pt>
                <c:pt idx="424">
                  <c:v>44775</c:v>
                </c:pt>
                <c:pt idx="425">
                  <c:v>44774</c:v>
                </c:pt>
                <c:pt idx="426">
                  <c:v>44771</c:v>
                </c:pt>
                <c:pt idx="427">
                  <c:v>44770</c:v>
                </c:pt>
                <c:pt idx="428">
                  <c:v>44769</c:v>
                </c:pt>
                <c:pt idx="429">
                  <c:v>44768</c:v>
                </c:pt>
                <c:pt idx="430">
                  <c:v>44767</c:v>
                </c:pt>
                <c:pt idx="431">
                  <c:v>44764</c:v>
                </c:pt>
                <c:pt idx="432">
                  <c:v>44763</c:v>
                </c:pt>
                <c:pt idx="433">
                  <c:v>44762</c:v>
                </c:pt>
                <c:pt idx="434">
                  <c:v>44761</c:v>
                </c:pt>
                <c:pt idx="435">
                  <c:v>44760</c:v>
                </c:pt>
                <c:pt idx="436">
                  <c:v>44757</c:v>
                </c:pt>
                <c:pt idx="437">
                  <c:v>44756</c:v>
                </c:pt>
                <c:pt idx="438">
                  <c:v>44755</c:v>
                </c:pt>
                <c:pt idx="439">
                  <c:v>44754</c:v>
                </c:pt>
                <c:pt idx="440">
                  <c:v>44753</c:v>
                </c:pt>
                <c:pt idx="441">
                  <c:v>44750</c:v>
                </c:pt>
                <c:pt idx="442">
                  <c:v>44749</c:v>
                </c:pt>
                <c:pt idx="443">
                  <c:v>44748</c:v>
                </c:pt>
                <c:pt idx="444">
                  <c:v>44747</c:v>
                </c:pt>
                <c:pt idx="445">
                  <c:v>44746</c:v>
                </c:pt>
                <c:pt idx="446">
                  <c:v>44743</c:v>
                </c:pt>
                <c:pt idx="447">
                  <c:v>44742</c:v>
                </c:pt>
                <c:pt idx="448">
                  <c:v>44741</c:v>
                </c:pt>
                <c:pt idx="449">
                  <c:v>44740</c:v>
                </c:pt>
                <c:pt idx="450">
                  <c:v>44739</c:v>
                </c:pt>
                <c:pt idx="451">
                  <c:v>44736</c:v>
                </c:pt>
                <c:pt idx="452">
                  <c:v>44735</c:v>
                </c:pt>
                <c:pt idx="453">
                  <c:v>44734</c:v>
                </c:pt>
                <c:pt idx="454">
                  <c:v>44733</c:v>
                </c:pt>
                <c:pt idx="455">
                  <c:v>44732</c:v>
                </c:pt>
                <c:pt idx="456">
                  <c:v>44729</c:v>
                </c:pt>
                <c:pt idx="457">
                  <c:v>44728</c:v>
                </c:pt>
                <c:pt idx="458">
                  <c:v>44727</c:v>
                </c:pt>
                <c:pt idx="459">
                  <c:v>44726</c:v>
                </c:pt>
                <c:pt idx="460">
                  <c:v>44725</c:v>
                </c:pt>
                <c:pt idx="461">
                  <c:v>44722</c:v>
                </c:pt>
                <c:pt idx="462">
                  <c:v>44721</c:v>
                </c:pt>
                <c:pt idx="463">
                  <c:v>44720</c:v>
                </c:pt>
                <c:pt idx="464">
                  <c:v>44719</c:v>
                </c:pt>
                <c:pt idx="465">
                  <c:v>44715</c:v>
                </c:pt>
                <c:pt idx="466">
                  <c:v>44714</c:v>
                </c:pt>
                <c:pt idx="467">
                  <c:v>44713</c:v>
                </c:pt>
                <c:pt idx="468">
                  <c:v>44712</c:v>
                </c:pt>
                <c:pt idx="469">
                  <c:v>44711</c:v>
                </c:pt>
                <c:pt idx="470">
                  <c:v>44708</c:v>
                </c:pt>
                <c:pt idx="471">
                  <c:v>44707</c:v>
                </c:pt>
                <c:pt idx="472">
                  <c:v>44706</c:v>
                </c:pt>
                <c:pt idx="473">
                  <c:v>44705</c:v>
                </c:pt>
                <c:pt idx="474">
                  <c:v>44704</c:v>
                </c:pt>
                <c:pt idx="475">
                  <c:v>44701</c:v>
                </c:pt>
                <c:pt idx="476">
                  <c:v>44700</c:v>
                </c:pt>
                <c:pt idx="477">
                  <c:v>44699</c:v>
                </c:pt>
                <c:pt idx="478">
                  <c:v>44698</c:v>
                </c:pt>
                <c:pt idx="479">
                  <c:v>44697</c:v>
                </c:pt>
                <c:pt idx="480">
                  <c:v>44694</c:v>
                </c:pt>
                <c:pt idx="481">
                  <c:v>44693</c:v>
                </c:pt>
                <c:pt idx="482">
                  <c:v>44692</c:v>
                </c:pt>
                <c:pt idx="483">
                  <c:v>44691</c:v>
                </c:pt>
                <c:pt idx="484">
                  <c:v>44690</c:v>
                </c:pt>
                <c:pt idx="485">
                  <c:v>44687</c:v>
                </c:pt>
                <c:pt idx="486">
                  <c:v>44686</c:v>
                </c:pt>
                <c:pt idx="487">
                  <c:v>44685</c:v>
                </c:pt>
                <c:pt idx="488">
                  <c:v>44684</c:v>
                </c:pt>
                <c:pt idx="489">
                  <c:v>44683</c:v>
                </c:pt>
                <c:pt idx="490">
                  <c:v>44680</c:v>
                </c:pt>
                <c:pt idx="491">
                  <c:v>44679</c:v>
                </c:pt>
                <c:pt idx="492">
                  <c:v>44678</c:v>
                </c:pt>
                <c:pt idx="493">
                  <c:v>44677</c:v>
                </c:pt>
                <c:pt idx="494">
                  <c:v>44676</c:v>
                </c:pt>
                <c:pt idx="495">
                  <c:v>44673</c:v>
                </c:pt>
                <c:pt idx="496">
                  <c:v>44672</c:v>
                </c:pt>
                <c:pt idx="497">
                  <c:v>44671</c:v>
                </c:pt>
                <c:pt idx="498">
                  <c:v>44670</c:v>
                </c:pt>
                <c:pt idx="499">
                  <c:v>44665</c:v>
                </c:pt>
                <c:pt idx="500">
                  <c:v>44664</c:v>
                </c:pt>
                <c:pt idx="501">
                  <c:v>44663</c:v>
                </c:pt>
                <c:pt idx="502">
                  <c:v>44662</c:v>
                </c:pt>
                <c:pt idx="503">
                  <c:v>44659</c:v>
                </c:pt>
                <c:pt idx="504">
                  <c:v>44658</c:v>
                </c:pt>
                <c:pt idx="505">
                  <c:v>44657</c:v>
                </c:pt>
                <c:pt idx="506">
                  <c:v>44656</c:v>
                </c:pt>
                <c:pt idx="507">
                  <c:v>44655</c:v>
                </c:pt>
                <c:pt idx="508">
                  <c:v>44652</c:v>
                </c:pt>
                <c:pt idx="509">
                  <c:v>44651</c:v>
                </c:pt>
                <c:pt idx="510">
                  <c:v>44650</c:v>
                </c:pt>
                <c:pt idx="511">
                  <c:v>44649</c:v>
                </c:pt>
                <c:pt idx="512">
                  <c:v>44648</c:v>
                </c:pt>
                <c:pt idx="513">
                  <c:v>44645</c:v>
                </c:pt>
                <c:pt idx="514">
                  <c:v>44644</c:v>
                </c:pt>
                <c:pt idx="515">
                  <c:v>44643</c:v>
                </c:pt>
                <c:pt idx="516">
                  <c:v>44642</c:v>
                </c:pt>
                <c:pt idx="517">
                  <c:v>44641</c:v>
                </c:pt>
                <c:pt idx="518">
                  <c:v>44638</c:v>
                </c:pt>
                <c:pt idx="519">
                  <c:v>44637</c:v>
                </c:pt>
                <c:pt idx="520">
                  <c:v>44636</c:v>
                </c:pt>
                <c:pt idx="521">
                  <c:v>44631</c:v>
                </c:pt>
                <c:pt idx="522">
                  <c:v>44630</c:v>
                </c:pt>
                <c:pt idx="523">
                  <c:v>44629</c:v>
                </c:pt>
                <c:pt idx="524">
                  <c:v>44628</c:v>
                </c:pt>
                <c:pt idx="525">
                  <c:v>44627</c:v>
                </c:pt>
                <c:pt idx="526">
                  <c:v>44624</c:v>
                </c:pt>
                <c:pt idx="527">
                  <c:v>44623</c:v>
                </c:pt>
                <c:pt idx="528">
                  <c:v>44622</c:v>
                </c:pt>
                <c:pt idx="529">
                  <c:v>44621</c:v>
                </c:pt>
                <c:pt idx="530">
                  <c:v>44620</c:v>
                </c:pt>
                <c:pt idx="531">
                  <c:v>44617</c:v>
                </c:pt>
                <c:pt idx="532">
                  <c:v>44616</c:v>
                </c:pt>
                <c:pt idx="533">
                  <c:v>44615</c:v>
                </c:pt>
                <c:pt idx="534">
                  <c:v>44614</c:v>
                </c:pt>
                <c:pt idx="535">
                  <c:v>44613</c:v>
                </c:pt>
                <c:pt idx="536">
                  <c:v>44610</c:v>
                </c:pt>
                <c:pt idx="537">
                  <c:v>44609</c:v>
                </c:pt>
                <c:pt idx="538">
                  <c:v>44608</c:v>
                </c:pt>
                <c:pt idx="539">
                  <c:v>44607</c:v>
                </c:pt>
                <c:pt idx="540">
                  <c:v>44606</c:v>
                </c:pt>
                <c:pt idx="541">
                  <c:v>44603</c:v>
                </c:pt>
                <c:pt idx="542">
                  <c:v>44602</c:v>
                </c:pt>
                <c:pt idx="543">
                  <c:v>44601</c:v>
                </c:pt>
                <c:pt idx="544">
                  <c:v>44600</c:v>
                </c:pt>
                <c:pt idx="545">
                  <c:v>44599</c:v>
                </c:pt>
                <c:pt idx="546">
                  <c:v>44596</c:v>
                </c:pt>
                <c:pt idx="547">
                  <c:v>44595</c:v>
                </c:pt>
                <c:pt idx="548">
                  <c:v>44594</c:v>
                </c:pt>
                <c:pt idx="549">
                  <c:v>44593</c:v>
                </c:pt>
                <c:pt idx="550">
                  <c:v>44592</c:v>
                </c:pt>
                <c:pt idx="551">
                  <c:v>44589</c:v>
                </c:pt>
                <c:pt idx="552">
                  <c:v>44588</c:v>
                </c:pt>
                <c:pt idx="553">
                  <c:v>44587</c:v>
                </c:pt>
                <c:pt idx="554">
                  <c:v>44586</c:v>
                </c:pt>
                <c:pt idx="555">
                  <c:v>44585</c:v>
                </c:pt>
                <c:pt idx="556">
                  <c:v>44582</c:v>
                </c:pt>
                <c:pt idx="557">
                  <c:v>44581</c:v>
                </c:pt>
                <c:pt idx="558">
                  <c:v>44580</c:v>
                </c:pt>
                <c:pt idx="559">
                  <c:v>44579</c:v>
                </c:pt>
                <c:pt idx="560">
                  <c:v>44578</c:v>
                </c:pt>
                <c:pt idx="561">
                  <c:v>44575</c:v>
                </c:pt>
                <c:pt idx="562">
                  <c:v>44574</c:v>
                </c:pt>
                <c:pt idx="563">
                  <c:v>44573</c:v>
                </c:pt>
                <c:pt idx="564">
                  <c:v>44572</c:v>
                </c:pt>
                <c:pt idx="565">
                  <c:v>44571</c:v>
                </c:pt>
                <c:pt idx="566">
                  <c:v>44568</c:v>
                </c:pt>
                <c:pt idx="567">
                  <c:v>44567</c:v>
                </c:pt>
                <c:pt idx="568">
                  <c:v>44566</c:v>
                </c:pt>
                <c:pt idx="569">
                  <c:v>44565</c:v>
                </c:pt>
                <c:pt idx="570">
                  <c:v>44564</c:v>
                </c:pt>
                <c:pt idx="571">
                  <c:v>44560</c:v>
                </c:pt>
                <c:pt idx="572">
                  <c:v>44559</c:v>
                </c:pt>
                <c:pt idx="573">
                  <c:v>44558</c:v>
                </c:pt>
                <c:pt idx="574">
                  <c:v>44557</c:v>
                </c:pt>
                <c:pt idx="575">
                  <c:v>44553</c:v>
                </c:pt>
                <c:pt idx="576">
                  <c:v>44552</c:v>
                </c:pt>
                <c:pt idx="577">
                  <c:v>44551</c:v>
                </c:pt>
                <c:pt idx="578">
                  <c:v>44550</c:v>
                </c:pt>
                <c:pt idx="579">
                  <c:v>44547</c:v>
                </c:pt>
                <c:pt idx="580">
                  <c:v>44546</c:v>
                </c:pt>
                <c:pt idx="581">
                  <c:v>44545</c:v>
                </c:pt>
                <c:pt idx="582">
                  <c:v>44544</c:v>
                </c:pt>
                <c:pt idx="583">
                  <c:v>44543</c:v>
                </c:pt>
                <c:pt idx="584">
                  <c:v>44540</c:v>
                </c:pt>
                <c:pt idx="585">
                  <c:v>44539</c:v>
                </c:pt>
                <c:pt idx="586">
                  <c:v>44538</c:v>
                </c:pt>
                <c:pt idx="587">
                  <c:v>44537</c:v>
                </c:pt>
                <c:pt idx="588">
                  <c:v>44536</c:v>
                </c:pt>
                <c:pt idx="589">
                  <c:v>44533</c:v>
                </c:pt>
                <c:pt idx="590">
                  <c:v>44532</c:v>
                </c:pt>
                <c:pt idx="591">
                  <c:v>44531</c:v>
                </c:pt>
                <c:pt idx="592">
                  <c:v>44530</c:v>
                </c:pt>
                <c:pt idx="593">
                  <c:v>44529</c:v>
                </c:pt>
                <c:pt idx="594">
                  <c:v>44526</c:v>
                </c:pt>
                <c:pt idx="595">
                  <c:v>44525</c:v>
                </c:pt>
                <c:pt idx="596">
                  <c:v>44524</c:v>
                </c:pt>
                <c:pt idx="597">
                  <c:v>44523</c:v>
                </c:pt>
                <c:pt idx="598">
                  <c:v>44522</c:v>
                </c:pt>
                <c:pt idx="599">
                  <c:v>44519</c:v>
                </c:pt>
                <c:pt idx="600">
                  <c:v>44518</c:v>
                </c:pt>
                <c:pt idx="601">
                  <c:v>44517</c:v>
                </c:pt>
                <c:pt idx="602">
                  <c:v>44516</c:v>
                </c:pt>
                <c:pt idx="603">
                  <c:v>44515</c:v>
                </c:pt>
                <c:pt idx="604">
                  <c:v>44512</c:v>
                </c:pt>
                <c:pt idx="605">
                  <c:v>44511</c:v>
                </c:pt>
                <c:pt idx="606">
                  <c:v>44510</c:v>
                </c:pt>
                <c:pt idx="607">
                  <c:v>44509</c:v>
                </c:pt>
                <c:pt idx="608">
                  <c:v>44508</c:v>
                </c:pt>
                <c:pt idx="609">
                  <c:v>44505</c:v>
                </c:pt>
                <c:pt idx="610">
                  <c:v>44504</c:v>
                </c:pt>
                <c:pt idx="611">
                  <c:v>44503</c:v>
                </c:pt>
                <c:pt idx="612">
                  <c:v>44502</c:v>
                </c:pt>
                <c:pt idx="613">
                  <c:v>44498</c:v>
                </c:pt>
                <c:pt idx="614">
                  <c:v>44497</c:v>
                </c:pt>
                <c:pt idx="615">
                  <c:v>44496</c:v>
                </c:pt>
                <c:pt idx="616">
                  <c:v>44495</c:v>
                </c:pt>
                <c:pt idx="617">
                  <c:v>44494</c:v>
                </c:pt>
                <c:pt idx="618">
                  <c:v>44491</c:v>
                </c:pt>
                <c:pt idx="619">
                  <c:v>44490</c:v>
                </c:pt>
                <c:pt idx="620">
                  <c:v>44489</c:v>
                </c:pt>
                <c:pt idx="621">
                  <c:v>44488</c:v>
                </c:pt>
                <c:pt idx="622">
                  <c:v>44487</c:v>
                </c:pt>
                <c:pt idx="623">
                  <c:v>44484</c:v>
                </c:pt>
                <c:pt idx="624">
                  <c:v>44483</c:v>
                </c:pt>
                <c:pt idx="625">
                  <c:v>44482</c:v>
                </c:pt>
                <c:pt idx="626">
                  <c:v>44481</c:v>
                </c:pt>
                <c:pt idx="627">
                  <c:v>44480</c:v>
                </c:pt>
                <c:pt idx="628">
                  <c:v>44477</c:v>
                </c:pt>
                <c:pt idx="629">
                  <c:v>44476</c:v>
                </c:pt>
                <c:pt idx="630">
                  <c:v>44475</c:v>
                </c:pt>
                <c:pt idx="631">
                  <c:v>44474</c:v>
                </c:pt>
                <c:pt idx="632">
                  <c:v>44473</c:v>
                </c:pt>
                <c:pt idx="633">
                  <c:v>44470</c:v>
                </c:pt>
                <c:pt idx="634">
                  <c:v>44469</c:v>
                </c:pt>
                <c:pt idx="635">
                  <c:v>44468</c:v>
                </c:pt>
                <c:pt idx="636">
                  <c:v>44467</c:v>
                </c:pt>
                <c:pt idx="637">
                  <c:v>44466</c:v>
                </c:pt>
                <c:pt idx="638">
                  <c:v>44463</c:v>
                </c:pt>
                <c:pt idx="639">
                  <c:v>44462</c:v>
                </c:pt>
                <c:pt idx="640">
                  <c:v>44461</c:v>
                </c:pt>
                <c:pt idx="641">
                  <c:v>44460</c:v>
                </c:pt>
                <c:pt idx="642">
                  <c:v>44459</c:v>
                </c:pt>
                <c:pt idx="643">
                  <c:v>44456</c:v>
                </c:pt>
                <c:pt idx="644">
                  <c:v>44455</c:v>
                </c:pt>
                <c:pt idx="645">
                  <c:v>44454</c:v>
                </c:pt>
                <c:pt idx="646">
                  <c:v>44453</c:v>
                </c:pt>
                <c:pt idx="647">
                  <c:v>44452</c:v>
                </c:pt>
                <c:pt idx="648">
                  <c:v>44449</c:v>
                </c:pt>
                <c:pt idx="649">
                  <c:v>44448</c:v>
                </c:pt>
                <c:pt idx="650">
                  <c:v>44447</c:v>
                </c:pt>
                <c:pt idx="651">
                  <c:v>44446</c:v>
                </c:pt>
                <c:pt idx="652">
                  <c:v>44445</c:v>
                </c:pt>
                <c:pt idx="653">
                  <c:v>44442</c:v>
                </c:pt>
                <c:pt idx="654">
                  <c:v>44441</c:v>
                </c:pt>
                <c:pt idx="655">
                  <c:v>44440</c:v>
                </c:pt>
                <c:pt idx="656">
                  <c:v>44439</c:v>
                </c:pt>
                <c:pt idx="657">
                  <c:v>44438</c:v>
                </c:pt>
                <c:pt idx="658">
                  <c:v>44435</c:v>
                </c:pt>
                <c:pt idx="659">
                  <c:v>44434</c:v>
                </c:pt>
                <c:pt idx="660">
                  <c:v>44433</c:v>
                </c:pt>
                <c:pt idx="661">
                  <c:v>44432</c:v>
                </c:pt>
                <c:pt idx="662">
                  <c:v>44431</c:v>
                </c:pt>
                <c:pt idx="663">
                  <c:v>44427</c:v>
                </c:pt>
                <c:pt idx="664">
                  <c:v>44426</c:v>
                </c:pt>
                <c:pt idx="665">
                  <c:v>44425</c:v>
                </c:pt>
                <c:pt idx="666">
                  <c:v>44424</c:v>
                </c:pt>
                <c:pt idx="667">
                  <c:v>44421</c:v>
                </c:pt>
                <c:pt idx="668">
                  <c:v>44420</c:v>
                </c:pt>
                <c:pt idx="669">
                  <c:v>44419</c:v>
                </c:pt>
                <c:pt idx="670">
                  <c:v>44418</c:v>
                </c:pt>
                <c:pt idx="671">
                  <c:v>44417</c:v>
                </c:pt>
                <c:pt idx="672">
                  <c:v>44414</c:v>
                </c:pt>
                <c:pt idx="673">
                  <c:v>44413</c:v>
                </c:pt>
                <c:pt idx="674">
                  <c:v>44412</c:v>
                </c:pt>
                <c:pt idx="675">
                  <c:v>44411</c:v>
                </c:pt>
                <c:pt idx="676">
                  <c:v>44410</c:v>
                </c:pt>
                <c:pt idx="677">
                  <c:v>44407</c:v>
                </c:pt>
                <c:pt idx="678">
                  <c:v>44406</c:v>
                </c:pt>
                <c:pt idx="679">
                  <c:v>44405</c:v>
                </c:pt>
                <c:pt idx="680">
                  <c:v>44404</c:v>
                </c:pt>
                <c:pt idx="681">
                  <c:v>44403</c:v>
                </c:pt>
                <c:pt idx="682">
                  <c:v>44400</c:v>
                </c:pt>
                <c:pt idx="683">
                  <c:v>44399</c:v>
                </c:pt>
                <c:pt idx="684">
                  <c:v>44398</c:v>
                </c:pt>
                <c:pt idx="685">
                  <c:v>44397</c:v>
                </c:pt>
                <c:pt idx="686">
                  <c:v>44396</c:v>
                </c:pt>
                <c:pt idx="687">
                  <c:v>44393</c:v>
                </c:pt>
                <c:pt idx="688">
                  <c:v>44392</c:v>
                </c:pt>
                <c:pt idx="689">
                  <c:v>44391</c:v>
                </c:pt>
                <c:pt idx="690">
                  <c:v>44390</c:v>
                </c:pt>
                <c:pt idx="691">
                  <c:v>44389</c:v>
                </c:pt>
                <c:pt idx="692">
                  <c:v>44386</c:v>
                </c:pt>
                <c:pt idx="693">
                  <c:v>44385</c:v>
                </c:pt>
                <c:pt idx="694">
                  <c:v>44384</c:v>
                </c:pt>
                <c:pt idx="695">
                  <c:v>44383</c:v>
                </c:pt>
                <c:pt idx="696">
                  <c:v>44382</c:v>
                </c:pt>
                <c:pt idx="697">
                  <c:v>44379</c:v>
                </c:pt>
                <c:pt idx="698">
                  <c:v>44378</c:v>
                </c:pt>
                <c:pt idx="699">
                  <c:v>44377</c:v>
                </c:pt>
                <c:pt idx="700">
                  <c:v>44376</c:v>
                </c:pt>
                <c:pt idx="701">
                  <c:v>44375</c:v>
                </c:pt>
                <c:pt idx="702">
                  <c:v>44372</c:v>
                </c:pt>
                <c:pt idx="703">
                  <c:v>44371</c:v>
                </c:pt>
                <c:pt idx="704">
                  <c:v>44370</c:v>
                </c:pt>
                <c:pt idx="705">
                  <c:v>44369</c:v>
                </c:pt>
                <c:pt idx="706">
                  <c:v>44368</c:v>
                </c:pt>
                <c:pt idx="707">
                  <c:v>44365</c:v>
                </c:pt>
                <c:pt idx="708">
                  <c:v>44364</c:v>
                </c:pt>
                <c:pt idx="709">
                  <c:v>44363</c:v>
                </c:pt>
                <c:pt idx="710">
                  <c:v>44362</c:v>
                </c:pt>
                <c:pt idx="711">
                  <c:v>44361</c:v>
                </c:pt>
                <c:pt idx="712">
                  <c:v>44358</c:v>
                </c:pt>
                <c:pt idx="713">
                  <c:v>44357</c:v>
                </c:pt>
                <c:pt idx="714">
                  <c:v>44356</c:v>
                </c:pt>
                <c:pt idx="715">
                  <c:v>44355</c:v>
                </c:pt>
                <c:pt idx="716">
                  <c:v>44354</c:v>
                </c:pt>
                <c:pt idx="717">
                  <c:v>44351</c:v>
                </c:pt>
                <c:pt idx="718">
                  <c:v>44350</c:v>
                </c:pt>
                <c:pt idx="719">
                  <c:v>44349</c:v>
                </c:pt>
                <c:pt idx="720">
                  <c:v>44348</c:v>
                </c:pt>
                <c:pt idx="721">
                  <c:v>44347</c:v>
                </c:pt>
                <c:pt idx="722">
                  <c:v>44344</c:v>
                </c:pt>
                <c:pt idx="723">
                  <c:v>44343</c:v>
                </c:pt>
                <c:pt idx="724">
                  <c:v>44342</c:v>
                </c:pt>
                <c:pt idx="725">
                  <c:v>44341</c:v>
                </c:pt>
                <c:pt idx="726">
                  <c:v>44337</c:v>
                </c:pt>
                <c:pt idx="727">
                  <c:v>44336</c:v>
                </c:pt>
                <c:pt idx="728">
                  <c:v>44335</c:v>
                </c:pt>
                <c:pt idx="729">
                  <c:v>44334</c:v>
                </c:pt>
                <c:pt idx="730">
                  <c:v>44333</c:v>
                </c:pt>
                <c:pt idx="731">
                  <c:v>44330</c:v>
                </c:pt>
                <c:pt idx="732">
                  <c:v>44329</c:v>
                </c:pt>
                <c:pt idx="733">
                  <c:v>44328</c:v>
                </c:pt>
                <c:pt idx="734">
                  <c:v>44327</c:v>
                </c:pt>
                <c:pt idx="735">
                  <c:v>44326</c:v>
                </c:pt>
                <c:pt idx="736">
                  <c:v>44323</c:v>
                </c:pt>
                <c:pt idx="737">
                  <c:v>44322</c:v>
                </c:pt>
                <c:pt idx="738">
                  <c:v>44321</c:v>
                </c:pt>
                <c:pt idx="739">
                  <c:v>44320</c:v>
                </c:pt>
                <c:pt idx="740">
                  <c:v>44319</c:v>
                </c:pt>
                <c:pt idx="741">
                  <c:v>44316</c:v>
                </c:pt>
                <c:pt idx="742">
                  <c:v>44315</c:v>
                </c:pt>
                <c:pt idx="743">
                  <c:v>44314</c:v>
                </c:pt>
                <c:pt idx="744">
                  <c:v>44313</c:v>
                </c:pt>
                <c:pt idx="745">
                  <c:v>44312</c:v>
                </c:pt>
                <c:pt idx="746">
                  <c:v>44309</c:v>
                </c:pt>
                <c:pt idx="747">
                  <c:v>44308</c:v>
                </c:pt>
                <c:pt idx="748">
                  <c:v>44307</c:v>
                </c:pt>
                <c:pt idx="749">
                  <c:v>44306</c:v>
                </c:pt>
                <c:pt idx="750">
                  <c:v>44305</c:v>
                </c:pt>
                <c:pt idx="751">
                  <c:v>44302</c:v>
                </c:pt>
                <c:pt idx="752">
                  <c:v>44301</c:v>
                </c:pt>
                <c:pt idx="753">
                  <c:v>44300</c:v>
                </c:pt>
                <c:pt idx="754">
                  <c:v>44299</c:v>
                </c:pt>
                <c:pt idx="755">
                  <c:v>44298</c:v>
                </c:pt>
                <c:pt idx="756">
                  <c:v>44295</c:v>
                </c:pt>
                <c:pt idx="757">
                  <c:v>44294</c:v>
                </c:pt>
                <c:pt idx="758">
                  <c:v>44293</c:v>
                </c:pt>
                <c:pt idx="759">
                  <c:v>44292</c:v>
                </c:pt>
                <c:pt idx="760">
                  <c:v>44287</c:v>
                </c:pt>
                <c:pt idx="761">
                  <c:v>44286</c:v>
                </c:pt>
                <c:pt idx="762">
                  <c:v>44285</c:v>
                </c:pt>
                <c:pt idx="763">
                  <c:v>44284</c:v>
                </c:pt>
                <c:pt idx="764">
                  <c:v>44281</c:v>
                </c:pt>
                <c:pt idx="765">
                  <c:v>44280</c:v>
                </c:pt>
                <c:pt idx="766">
                  <c:v>44279</c:v>
                </c:pt>
                <c:pt idx="767">
                  <c:v>44278</c:v>
                </c:pt>
                <c:pt idx="768">
                  <c:v>44277</c:v>
                </c:pt>
                <c:pt idx="769">
                  <c:v>44274</c:v>
                </c:pt>
                <c:pt idx="770">
                  <c:v>44273</c:v>
                </c:pt>
                <c:pt idx="771">
                  <c:v>44272</c:v>
                </c:pt>
                <c:pt idx="772">
                  <c:v>44271</c:v>
                </c:pt>
                <c:pt idx="773">
                  <c:v>44267</c:v>
                </c:pt>
                <c:pt idx="774">
                  <c:v>44266</c:v>
                </c:pt>
                <c:pt idx="775">
                  <c:v>44265</c:v>
                </c:pt>
                <c:pt idx="776">
                  <c:v>44264</c:v>
                </c:pt>
                <c:pt idx="777">
                  <c:v>44263</c:v>
                </c:pt>
                <c:pt idx="778">
                  <c:v>44260</c:v>
                </c:pt>
                <c:pt idx="779">
                  <c:v>44259</c:v>
                </c:pt>
                <c:pt idx="780">
                  <c:v>44258</c:v>
                </c:pt>
                <c:pt idx="781">
                  <c:v>44257</c:v>
                </c:pt>
                <c:pt idx="782">
                  <c:v>44256</c:v>
                </c:pt>
                <c:pt idx="783">
                  <c:v>44253</c:v>
                </c:pt>
                <c:pt idx="784">
                  <c:v>44252</c:v>
                </c:pt>
                <c:pt idx="785">
                  <c:v>44251</c:v>
                </c:pt>
                <c:pt idx="786">
                  <c:v>44250</c:v>
                </c:pt>
                <c:pt idx="787">
                  <c:v>44249</c:v>
                </c:pt>
                <c:pt idx="788">
                  <c:v>44246</c:v>
                </c:pt>
                <c:pt idx="789">
                  <c:v>44245</c:v>
                </c:pt>
                <c:pt idx="790">
                  <c:v>44244</c:v>
                </c:pt>
                <c:pt idx="791">
                  <c:v>44243</c:v>
                </c:pt>
                <c:pt idx="792">
                  <c:v>44242</c:v>
                </c:pt>
                <c:pt idx="793">
                  <c:v>44239</c:v>
                </c:pt>
                <c:pt idx="794">
                  <c:v>44238</c:v>
                </c:pt>
                <c:pt idx="795">
                  <c:v>44237</c:v>
                </c:pt>
                <c:pt idx="796">
                  <c:v>44236</c:v>
                </c:pt>
                <c:pt idx="797">
                  <c:v>44235</c:v>
                </c:pt>
                <c:pt idx="798">
                  <c:v>44232</c:v>
                </c:pt>
                <c:pt idx="799">
                  <c:v>44231</c:v>
                </c:pt>
                <c:pt idx="800">
                  <c:v>44230</c:v>
                </c:pt>
                <c:pt idx="801">
                  <c:v>44229</c:v>
                </c:pt>
                <c:pt idx="802">
                  <c:v>44228</c:v>
                </c:pt>
                <c:pt idx="803">
                  <c:v>44225</c:v>
                </c:pt>
                <c:pt idx="804">
                  <c:v>44224</c:v>
                </c:pt>
                <c:pt idx="805">
                  <c:v>44223</c:v>
                </c:pt>
                <c:pt idx="806">
                  <c:v>44222</c:v>
                </c:pt>
                <c:pt idx="807">
                  <c:v>44221</c:v>
                </c:pt>
                <c:pt idx="808">
                  <c:v>44218</c:v>
                </c:pt>
                <c:pt idx="809">
                  <c:v>44217</c:v>
                </c:pt>
                <c:pt idx="810">
                  <c:v>44216</c:v>
                </c:pt>
                <c:pt idx="811">
                  <c:v>44215</c:v>
                </c:pt>
                <c:pt idx="812">
                  <c:v>44214</c:v>
                </c:pt>
                <c:pt idx="813">
                  <c:v>44211</c:v>
                </c:pt>
                <c:pt idx="814">
                  <c:v>44210</c:v>
                </c:pt>
                <c:pt idx="815">
                  <c:v>44209</c:v>
                </c:pt>
                <c:pt idx="816">
                  <c:v>44208</c:v>
                </c:pt>
                <c:pt idx="817">
                  <c:v>44207</c:v>
                </c:pt>
                <c:pt idx="818">
                  <c:v>44204</c:v>
                </c:pt>
                <c:pt idx="819">
                  <c:v>44203</c:v>
                </c:pt>
                <c:pt idx="820">
                  <c:v>44202</c:v>
                </c:pt>
                <c:pt idx="821">
                  <c:v>44201</c:v>
                </c:pt>
                <c:pt idx="822">
                  <c:v>44200</c:v>
                </c:pt>
                <c:pt idx="823">
                  <c:v>44195</c:v>
                </c:pt>
                <c:pt idx="824">
                  <c:v>44194</c:v>
                </c:pt>
                <c:pt idx="825">
                  <c:v>44193</c:v>
                </c:pt>
                <c:pt idx="826">
                  <c:v>44188</c:v>
                </c:pt>
                <c:pt idx="827">
                  <c:v>44187</c:v>
                </c:pt>
                <c:pt idx="828">
                  <c:v>44186</c:v>
                </c:pt>
                <c:pt idx="829">
                  <c:v>44183</c:v>
                </c:pt>
                <c:pt idx="830">
                  <c:v>44182</c:v>
                </c:pt>
                <c:pt idx="831">
                  <c:v>44181</c:v>
                </c:pt>
                <c:pt idx="832">
                  <c:v>44180</c:v>
                </c:pt>
                <c:pt idx="833">
                  <c:v>44179</c:v>
                </c:pt>
                <c:pt idx="834">
                  <c:v>44176</c:v>
                </c:pt>
                <c:pt idx="835">
                  <c:v>44175</c:v>
                </c:pt>
                <c:pt idx="836">
                  <c:v>44174</c:v>
                </c:pt>
                <c:pt idx="837">
                  <c:v>44173</c:v>
                </c:pt>
                <c:pt idx="838">
                  <c:v>44172</c:v>
                </c:pt>
                <c:pt idx="839">
                  <c:v>44169</c:v>
                </c:pt>
                <c:pt idx="840">
                  <c:v>44168</c:v>
                </c:pt>
                <c:pt idx="841">
                  <c:v>44167</c:v>
                </c:pt>
                <c:pt idx="842">
                  <c:v>44166</c:v>
                </c:pt>
                <c:pt idx="843">
                  <c:v>44165</c:v>
                </c:pt>
                <c:pt idx="844">
                  <c:v>44162</c:v>
                </c:pt>
                <c:pt idx="845">
                  <c:v>44161</c:v>
                </c:pt>
                <c:pt idx="846">
                  <c:v>44160</c:v>
                </c:pt>
                <c:pt idx="847">
                  <c:v>44159</c:v>
                </c:pt>
                <c:pt idx="848">
                  <c:v>44158</c:v>
                </c:pt>
                <c:pt idx="849">
                  <c:v>44155</c:v>
                </c:pt>
                <c:pt idx="850">
                  <c:v>44154</c:v>
                </c:pt>
                <c:pt idx="851">
                  <c:v>44153</c:v>
                </c:pt>
                <c:pt idx="852">
                  <c:v>44152</c:v>
                </c:pt>
                <c:pt idx="853">
                  <c:v>44151</c:v>
                </c:pt>
                <c:pt idx="854">
                  <c:v>44148</c:v>
                </c:pt>
                <c:pt idx="855">
                  <c:v>44147</c:v>
                </c:pt>
                <c:pt idx="856">
                  <c:v>44146</c:v>
                </c:pt>
                <c:pt idx="857">
                  <c:v>44145</c:v>
                </c:pt>
                <c:pt idx="858">
                  <c:v>44144</c:v>
                </c:pt>
                <c:pt idx="859">
                  <c:v>44141</c:v>
                </c:pt>
                <c:pt idx="860">
                  <c:v>44140</c:v>
                </c:pt>
                <c:pt idx="861">
                  <c:v>44139</c:v>
                </c:pt>
                <c:pt idx="862">
                  <c:v>44138</c:v>
                </c:pt>
                <c:pt idx="863">
                  <c:v>44137</c:v>
                </c:pt>
                <c:pt idx="864">
                  <c:v>44134</c:v>
                </c:pt>
                <c:pt idx="865">
                  <c:v>44133</c:v>
                </c:pt>
                <c:pt idx="866">
                  <c:v>44132</c:v>
                </c:pt>
                <c:pt idx="867">
                  <c:v>44131</c:v>
                </c:pt>
                <c:pt idx="868">
                  <c:v>44130</c:v>
                </c:pt>
                <c:pt idx="869">
                  <c:v>44126</c:v>
                </c:pt>
                <c:pt idx="870">
                  <c:v>44125</c:v>
                </c:pt>
                <c:pt idx="871">
                  <c:v>44124</c:v>
                </c:pt>
                <c:pt idx="872">
                  <c:v>44123</c:v>
                </c:pt>
                <c:pt idx="873">
                  <c:v>44120</c:v>
                </c:pt>
                <c:pt idx="874">
                  <c:v>44119</c:v>
                </c:pt>
                <c:pt idx="875">
                  <c:v>44118</c:v>
                </c:pt>
                <c:pt idx="876">
                  <c:v>44117</c:v>
                </c:pt>
                <c:pt idx="877">
                  <c:v>44116</c:v>
                </c:pt>
                <c:pt idx="878">
                  <c:v>44113</c:v>
                </c:pt>
                <c:pt idx="879">
                  <c:v>44112</c:v>
                </c:pt>
                <c:pt idx="880">
                  <c:v>44111</c:v>
                </c:pt>
                <c:pt idx="881">
                  <c:v>44110</c:v>
                </c:pt>
                <c:pt idx="882">
                  <c:v>44109</c:v>
                </c:pt>
                <c:pt idx="883">
                  <c:v>44106</c:v>
                </c:pt>
                <c:pt idx="884">
                  <c:v>44105</c:v>
                </c:pt>
                <c:pt idx="885">
                  <c:v>44104</c:v>
                </c:pt>
                <c:pt idx="886">
                  <c:v>44103</c:v>
                </c:pt>
                <c:pt idx="887">
                  <c:v>44102</c:v>
                </c:pt>
                <c:pt idx="888">
                  <c:v>44099</c:v>
                </c:pt>
                <c:pt idx="889">
                  <c:v>44098</c:v>
                </c:pt>
                <c:pt idx="890">
                  <c:v>44097</c:v>
                </c:pt>
                <c:pt idx="891">
                  <c:v>44096</c:v>
                </c:pt>
                <c:pt idx="892">
                  <c:v>44095</c:v>
                </c:pt>
                <c:pt idx="893">
                  <c:v>44092</c:v>
                </c:pt>
                <c:pt idx="894">
                  <c:v>44091</c:v>
                </c:pt>
                <c:pt idx="895">
                  <c:v>44090</c:v>
                </c:pt>
                <c:pt idx="896">
                  <c:v>44089</c:v>
                </c:pt>
                <c:pt idx="897">
                  <c:v>44088</c:v>
                </c:pt>
                <c:pt idx="898">
                  <c:v>44085</c:v>
                </c:pt>
                <c:pt idx="899">
                  <c:v>44084</c:v>
                </c:pt>
                <c:pt idx="900">
                  <c:v>44083</c:v>
                </c:pt>
                <c:pt idx="901">
                  <c:v>44082</c:v>
                </c:pt>
                <c:pt idx="902">
                  <c:v>44081</c:v>
                </c:pt>
                <c:pt idx="903">
                  <c:v>44078</c:v>
                </c:pt>
                <c:pt idx="904">
                  <c:v>44077</c:v>
                </c:pt>
                <c:pt idx="905">
                  <c:v>44076</c:v>
                </c:pt>
                <c:pt idx="906">
                  <c:v>44075</c:v>
                </c:pt>
                <c:pt idx="907">
                  <c:v>44074</c:v>
                </c:pt>
                <c:pt idx="908">
                  <c:v>44071</c:v>
                </c:pt>
                <c:pt idx="909">
                  <c:v>44070</c:v>
                </c:pt>
                <c:pt idx="910">
                  <c:v>44069</c:v>
                </c:pt>
                <c:pt idx="911">
                  <c:v>44068</c:v>
                </c:pt>
                <c:pt idx="912">
                  <c:v>44067</c:v>
                </c:pt>
                <c:pt idx="913">
                  <c:v>44062</c:v>
                </c:pt>
                <c:pt idx="914">
                  <c:v>44061</c:v>
                </c:pt>
                <c:pt idx="915">
                  <c:v>44060</c:v>
                </c:pt>
                <c:pt idx="916">
                  <c:v>44057</c:v>
                </c:pt>
                <c:pt idx="917">
                  <c:v>44056</c:v>
                </c:pt>
                <c:pt idx="918">
                  <c:v>44055</c:v>
                </c:pt>
                <c:pt idx="919">
                  <c:v>44054</c:v>
                </c:pt>
                <c:pt idx="920">
                  <c:v>44053</c:v>
                </c:pt>
                <c:pt idx="921">
                  <c:v>44050</c:v>
                </c:pt>
                <c:pt idx="922">
                  <c:v>44049</c:v>
                </c:pt>
                <c:pt idx="923">
                  <c:v>44048</c:v>
                </c:pt>
                <c:pt idx="924">
                  <c:v>44047</c:v>
                </c:pt>
                <c:pt idx="925">
                  <c:v>44046</c:v>
                </c:pt>
                <c:pt idx="926">
                  <c:v>44043</c:v>
                </c:pt>
                <c:pt idx="927">
                  <c:v>44042</c:v>
                </c:pt>
                <c:pt idx="928">
                  <c:v>44041</c:v>
                </c:pt>
                <c:pt idx="929">
                  <c:v>44040</c:v>
                </c:pt>
                <c:pt idx="930">
                  <c:v>44039</c:v>
                </c:pt>
                <c:pt idx="931">
                  <c:v>44036</c:v>
                </c:pt>
                <c:pt idx="932">
                  <c:v>44035</c:v>
                </c:pt>
                <c:pt idx="933">
                  <c:v>44034</c:v>
                </c:pt>
                <c:pt idx="934">
                  <c:v>44033</c:v>
                </c:pt>
                <c:pt idx="935">
                  <c:v>44032</c:v>
                </c:pt>
                <c:pt idx="936">
                  <c:v>44029</c:v>
                </c:pt>
                <c:pt idx="937">
                  <c:v>44028</c:v>
                </c:pt>
                <c:pt idx="938">
                  <c:v>44027</c:v>
                </c:pt>
                <c:pt idx="939">
                  <c:v>44026</c:v>
                </c:pt>
                <c:pt idx="940">
                  <c:v>44025</c:v>
                </c:pt>
                <c:pt idx="941">
                  <c:v>44022</c:v>
                </c:pt>
                <c:pt idx="942">
                  <c:v>44021</c:v>
                </c:pt>
                <c:pt idx="943">
                  <c:v>44020</c:v>
                </c:pt>
                <c:pt idx="944">
                  <c:v>44019</c:v>
                </c:pt>
                <c:pt idx="945">
                  <c:v>44018</c:v>
                </c:pt>
                <c:pt idx="946">
                  <c:v>44015</c:v>
                </c:pt>
                <c:pt idx="947">
                  <c:v>44014</c:v>
                </c:pt>
                <c:pt idx="948">
                  <c:v>44013</c:v>
                </c:pt>
                <c:pt idx="949">
                  <c:v>44012</c:v>
                </c:pt>
                <c:pt idx="950">
                  <c:v>44011</c:v>
                </c:pt>
                <c:pt idx="951">
                  <c:v>44008</c:v>
                </c:pt>
                <c:pt idx="952">
                  <c:v>44007</c:v>
                </c:pt>
                <c:pt idx="953">
                  <c:v>44006</c:v>
                </c:pt>
                <c:pt idx="954">
                  <c:v>44005</c:v>
                </c:pt>
                <c:pt idx="955">
                  <c:v>44004</c:v>
                </c:pt>
                <c:pt idx="956">
                  <c:v>44001</c:v>
                </c:pt>
                <c:pt idx="957">
                  <c:v>44000</c:v>
                </c:pt>
                <c:pt idx="958">
                  <c:v>43999</c:v>
                </c:pt>
                <c:pt idx="959">
                  <c:v>43998</c:v>
                </c:pt>
                <c:pt idx="960">
                  <c:v>43997</c:v>
                </c:pt>
                <c:pt idx="961">
                  <c:v>43994</c:v>
                </c:pt>
                <c:pt idx="962">
                  <c:v>43993</c:v>
                </c:pt>
                <c:pt idx="963">
                  <c:v>43992</c:v>
                </c:pt>
                <c:pt idx="964">
                  <c:v>43991</c:v>
                </c:pt>
                <c:pt idx="965">
                  <c:v>43990</c:v>
                </c:pt>
                <c:pt idx="966">
                  <c:v>43987</c:v>
                </c:pt>
                <c:pt idx="967">
                  <c:v>43986</c:v>
                </c:pt>
                <c:pt idx="968">
                  <c:v>43985</c:v>
                </c:pt>
                <c:pt idx="969">
                  <c:v>43984</c:v>
                </c:pt>
                <c:pt idx="970">
                  <c:v>43980</c:v>
                </c:pt>
                <c:pt idx="971">
                  <c:v>43979</c:v>
                </c:pt>
                <c:pt idx="972">
                  <c:v>43978</c:v>
                </c:pt>
                <c:pt idx="973">
                  <c:v>43977</c:v>
                </c:pt>
                <c:pt idx="974">
                  <c:v>43976</c:v>
                </c:pt>
                <c:pt idx="975">
                  <c:v>43973</c:v>
                </c:pt>
                <c:pt idx="976">
                  <c:v>43972</c:v>
                </c:pt>
                <c:pt idx="977">
                  <c:v>43971</c:v>
                </c:pt>
                <c:pt idx="978">
                  <c:v>43970</c:v>
                </c:pt>
                <c:pt idx="979">
                  <c:v>43969</c:v>
                </c:pt>
                <c:pt idx="980">
                  <c:v>43966</c:v>
                </c:pt>
                <c:pt idx="981">
                  <c:v>43965</c:v>
                </c:pt>
                <c:pt idx="982">
                  <c:v>43964</c:v>
                </c:pt>
                <c:pt idx="983">
                  <c:v>43963</c:v>
                </c:pt>
                <c:pt idx="984">
                  <c:v>43962</c:v>
                </c:pt>
                <c:pt idx="985">
                  <c:v>43959</c:v>
                </c:pt>
                <c:pt idx="986">
                  <c:v>43958</c:v>
                </c:pt>
                <c:pt idx="987">
                  <c:v>43957</c:v>
                </c:pt>
                <c:pt idx="988">
                  <c:v>43956</c:v>
                </c:pt>
                <c:pt idx="989">
                  <c:v>43955</c:v>
                </c:pt>
                <c:pt idx="990">
                  <c:v>43951</c:v>
                </c:pt>
                <c:pt idx="991">
                  <c:v>43950</c:v>
                </c:pt>
                <c:pt idx="992">
                  <c:v>43949</c:v>
                </c:pt>
                <c:pt idx="993">
                  <c:v>43948</c:v>
                </c:pt>
                <c:pt idx="994">
                  <c:v>43945</c:v>
                </c:pt>
                <c:pt idx="995">
                  <c:v>43944</c:v>
                </c:pt>
                <c:pt idx="996">
                  <c:v>43943</c:v>
                </c:pt>
                <c:pt idx="997">
                  <c:v>43942</c:v>
                </c:pt>
                <c:pt idx="998">
                  <c:v>43941</c:v>
                </c:pt>
                <c:pt idx="999">
                  <c:v>43938</c:v>
                </c:pt>
                <c:pt idx="1000">
                  <c:v>43937</c:v>
                </c:pt>
                <c:pt idx="1001">
                  <c:v>43936</c:v>
                </c:pt>
                <c:pt idx="1002">
                  <c:v>43935</c:v>
                </c:pt>
                <c:pt idx="1003">
                  <c:v>43930</c:v>
                </c:pt>
                <c:pt idx="1004">
                  <c:v>43929</c:v>
                </c:pt>
                <c:pt idx="1005">
                  <c:v>43928</c:v>
                </c:pt>
                <c:pt idx="1006">
                  <c:v>43927</c:v>
                </c:pt>
                <c:pt idx="1007">
                  <c:v>43924</c:v>
                </c:pt>
                <c:pt idx="1008">
                  <c:v>43923</c:v>
                </c:pt>
                <c:pt idx="1009">
                  <c:v>43922</c:v>
                </c:pt>
                <c:pt idx="1010">
                  <c:v>43921</c:v>
                </c:pt>
                <c:pt idx="1011">
                  <c:v>43920</c:v>
                </c:pt>
                <c:pt idx="1012">
                  <c:v>43917</c:v>
                </c:pt>
                <c:pt idx="1013">
                  <c:v>43916</c:v>
                </c:pt>
                <c:pt idx="1014">
                  <c:v>43915</c:v>
                </c:pt>
                <c:pt idx="1015">
                  <c:v>43914</c:v>
                </c:pt>
                <c:pt idx="1016">
                  <c:v>43913</c:v>
                </c:pt>
                <c:pt idx="1017">
                  <c:v>43910</c:v>
                </c:pt>
                <c:pt idx="1018">
                  <c:v>43909</c:v>
                </c:pt>
                <c:pt idx="1019">
                  <c:v>43908</c:v>
                </c:pt>
                <c:pt idx="1020">
                  <c:v>43907</c:v>
                </c:pt>
                <c:pt idx="1021">
                  <c:v>43906</c:v>
                </c:pt>
                <c:pt idx="1022">
                  <c:v>43903</c:v>
                </c:pt>
                <c:pt idx="1023">
                  <c:v>43902</c:v>
                </c:pt>
                <c:pt idx="1024">
                  <c:v>43901</c:v>
                </c:pt>
                <c:pt idx="1025">
                  <c:v>43900</c:v>
                </c:pt>
                <c:pt idx="1026">
                  <c:v>43899</c:v>
                </c:pt>
                <c:pt idx="1027">
                  <c:v>43896</c:v>
                </c:pt>
                <c:pt idx="1028">
                  <c:v>43895</c:v>
                </c:pt>
                <c:pt idx="1029">
                  <c:v>43894</c:v>
                </c:pt>
                <c:pt idx="1030">
                  <c:v>43893</c:v>
                </c:pt>
                <c:pt idx="1031">
                  <c:v>43892</c:v>
                </c:pt>
                <c:pt idx="1032">
                  <c:v>43889</c:v>
                </c:pt>
                <c:pt idx="1033">
                  <c:v>43888</c:v>
                </c:pt>
                <c:pt idx="1034">
                  <c:v>43887</c:v>
                </c:pt>
                <c:pt idx="1035">
                  <c:v>43886</c:v>
                </c:pt>
                <c:pt idx="1036">
                  <c:v>43885</c:v>
                </c:pt>
                <c:pt idx="1037">
                  <c:v>43882</c:v>
                </c:pt>
                <c:pt idx="1038">
                  <c:v>43881</c:v>
                </c:pt>
                <c:pt idx="1039">
                  <c:v>43880</c:v>
                </c:pt>
                <c:pt idx="1040">
                  <c:v>43879</c:v>
                </c:pt>
                <c:pt idx="1041">
                  <c:v>43878</c:v>
                </c:pt>
                <c:pt idx="1042">
                  <c:v>43875</c:v>
                </c:pt>
                <c:pt idx="1043">
                  <c:v>43874</c:v>
                </c:pt>
                <c:pt idx="1044">
                  <c:v>43873</c:v>
                </c:pt>
                <c:pt idx="1045">
                  <c:v>43872</c:v>
                </c:pt>
                <c:pt idx="1046">
                  <c:v>43871</c:v>
                </c:pt>
                <c:pt idx="1047">
                  <c:v>43868</c:v>
                </c:pt>
                <c:pt idx="1048">
                  <c:v>43867</c:v>
                </c:pt>
                <c:pt idx="1049">
                  <c:v>43866</c:v>
                </c:pt>
                <c:pt idx="1050">
                  <c:v>43865</c:v>
                </c:pt>
                <c:pt idx="1051">
                  <c:v>43864</c:v>
                </c:pt>
                <c:pt idx="1052">
                  <c:v>43861</c:v>
                </c:pt>
                <c:pt idx="1053">
                  <c:v>43860</c:v>
                </c:pt>
                <c:pt idx="1054">
                  <c:v>43859</c:v>
                </c:pt>
                <c:pt idx="1055">
                  <c:v>43858</c:v>
                </c:pt>
                <c:pt idx="1056">
                  <c:v>43857</c:v>
                </c:pt>
                <c:pt idx="1057">
                  <c:v>43854</c:v>
                </c:pt>
                <c:pt idx="1058">
                  <c:v>43853</c:v>
                </c:pt>
                <c:pt idx="1059">
                  <c:v>43852</c:v>
                </c:pt>
                <c:pt idx="1060">
                  <c:v>43851</c:v>
                </c:pt>
                <c:pt idx="1061">
                  <c:v>43850</c:v>
                </c:pt>
                <c:pt idx="1062">
                  <c:v>43847</c:v>
                </c:pt>
                <c:pt idx="1063">
                  <c:v>43846</c:v>
                </c:pt>
                <c:pt idx="1064">
                  <c:v>43845</c:v>
                </c:pt>
                <c:pt idx="1065">
                  <c:v>43844</c:v>
                </c:pt>
                <c:pt idx="1066">
                  <c:v>43843</c:v>
                </c:pt>
                <c:pt idx="1067">
                  <c:v>43840</c:v>
                </c:pt>
                <c:pt idx="1068">
                  <c:v>43839</c:v>
                </c:pt>
                <c:pt idx="1069">
                  <c:v>43838</c:v>
                </c:pt>
                <c:pt idx="1070">
                  <c:v>43837</c:v>
                </c:pt>
                <c:pt idx="1071">
                  <c:v>43836</c:v>
                </c:pt>
                <c:pt idx="1072">
                  <c:v>43833</c:v>
                </c:pt>
                <c:pt idx="1073">
                  <c:v>43832</c:v>
                </c:pt>
                <c:pt idx="1074">
                  <c:v>43829</c:v>
                </c:pt>
                <c:pt idx="1075">
                  <c:v>43822</c:v>
                </c:pt>
                <c:pt idx="1076">
                  <c:v>43819</c:v>
                </c:pt>
                <c:pt idx="1077">
                  <c:v>43818</c:v>
                </c:pt>
                <c:pt idx="1078">
                  <c:v>43817</c:v>
                </c:pt>
                <c:pt idx="1079">
                  <c:v>43816</c:v>
                </c:pt>
                <c:pt idx="1080">
                  <c:v>43815</c:v>
                </c:pt>
                <c:pt idx="1081">
                  <c:v>43812</c:v>
                </c:pt>
                <c:pt idx="1082">
                  <c:v>43811</c:v>
                </c:pt>
                <c:pt idx="1083">
                  <c:v>43810</c:v>
                </c:pt>
                <c:pt idx="1084">
                  <c:v>43809</c:v>
                </c:pt>
                <c:pt idx="1085">
                  <c:v>43808</c:v>
                </c:pt>
                <c:pt idx="1086">
                  <c:v>43805</c:v>
                </c:pt>
                <c:pt idx="1087">
                  <c:v>43804</c:v>
                </c:pt>
                <c:pt idx="1088">
                  <c:v>43803</c:v>
                </c:pt>
                <c:pt idx="1089">
                  <c:v>43802</c:v>
                </c:pt>
                <c:pt idx="1090">
                  <c:v>43801</c:v>
                </c:pt>
                <c:pt idx="1091">
                  <c:v>43798</c:v>
                </c:pt>
                <c:pt idx="1092">
                  <c:v>43797</c:v>
                </c:pt>
                <c:pt idx="1093">
                  <c:v>43796</c:v>
                </c:pt>
                <c:pt idx="1094">
                  <c:v>43795</c:v>
                </c:pt>
                <c:pt idx="1095">
                  <c:v>43794</c:v>
                </c:pt>
                <c:pt idx="1096">
                  <c:v>43791</c:v>
                </c:pt>
                <c:pt idx="1097">
                  <c:v>43790</c:v>
                </c:pt>
                <c:pt idx="1098">
                  <c:v>43789</c:v>
                </c:pt>
                <c:pt idx="1099">
                  <c:v>43788</c:v>
                </c:pt>
                <c:pt idx="1100">
                  <c:v>43787</c:v>
                </c:pt>
                <c:pt idx="1101">
                  <c:v>43784</c:v>
                </c:pt>
                <c:pt idx="1102">
                  <c:v>43783</c:v>
                </c:pt>
                <c:pt idx="1103">
                  <c:v>43782</c:v>
                </c:pt>
                <c:pt idx="1104">
                  <c:v>43781</c:v>
                </c:pt>
                <c:pt idx="1105">
                  <c:v>43780</c:v>
                </c:pt>
                <c:pt idx="1106">
                  <c:v>43777</c:v>
                </c:pt>
                <c:pt idx="1107">
                  <c:v>43776</c:v>
                </c:pt>
                <c:pt idx="1108">
                  <c:v>43775</c:v>
                </c:pt>
                <c:pt idx="1109">
                  <c:v>43774</c:v>
                </c:pt>
                <c:pt idx="1110">
                  <c:v>43773</c:v>
                </c:pt>
                <c:pt idx="1111">
                  <c:v>43769</c:v>
                </c:pt>
                <c:pt idx="1112">
                  <c:v>43768</c:v>
                </c:pt>
                <c:pt idx="1113">
                  <c:v>43767</c:v>
                </c:pt>
                <c:pt idx="1114">
                  <c:v>43766</c:v>
                </c:pt>
                <c:pt idx="1115">
                  <c:v>43763</c:v>
                </c:pt>
                <c:pt idx="1116">
                  <c:v>43762</c:v>
                </c:pt>
                <c:pt idx="1117">
                  <c:v>43760</c:v>
                </c:pt>
                <c:pt idx="1118">
                  <c:v>43759</c:v>
                </c:pt>
                <c:pt idx="1119">
                  <c:v>43756</c:v>
                </c:pt>
                <c:pt idx="1120">
                  <c:v>43755</c:v>
                </c:pt>
                <c:pt idx="1121">
                  <c:v>43754</c:v>
                </c:pt>
                <c:pt idx="1122">
                  <c:v>43753</c:v>
                </c:pt>
                <c:pt idx="1123">
                  <c:v>43752</c:v>
                </c:pt>
                <c:pt idx="1124">
                  <c:v>43749</c:v>
                </c:pt>
                <c:pt idx="1125">
                  <c:v>43748</c:v>
                </c:pt>
                <c:pt idx="1126">
                  <c:v>43747</c:v>
                </c:pt>
                <c:pt idx="1127">
                  <c:v>43746</c:v>
                </c:pt>
                <c:pt idx="1128">
                  <c:v>43745</c:v>
                </c:pt>
                <c:pt idx="1129">
                  <c:v>43742</c:v>
                </c:pt>
                <c:pt idx="1130">
                  <c:v>43741</c:v>
                </c:pt>
                <c:pt idx="1131">
                  <c:v>43740</c:v>
                </c:pt>
                <c:pt idx="1132">
                  <c:v>43739</c:v>
                </c:pt>
                <c:pt idx="1133">
                  <c:v>43738</c:v>
                </c:pt>
                <c:pt idx="1134">
                  <c:v>43735</c:v>
                </c:pt>
                <c:pt idx="1135">
                  <c:v>43734</c:v>
                </c:pt>
                <c:pt idx="1136">
                  <c:v>43733</c:v>
                </c:pt>
                <c:pt idx="1137">
                  <c:v>43732</c:v>
                </c:pt>
                <c:pt idx="1138">
                  <c:v>43731</c:v>
                </c:pt>
                <c:pt idx="1139">
                  <c:v>43728</c:v>
                </c:pt>
                <c:pt idx="1140">
                  <c:v>43727</c:v>
                </c:pt>
                <c:pt idx="1141">
                  <c:v>43726</c:v>
                </c:pt>
                <c:pt idx="1142">
                  <c:v>43725</c:v>
                </c:pt>
                <c:pt idx="1143">
                  <c:v>43724</c:v>
                </c:pt>
                <c:pt idx="1144">
                  <c:v>43721</c:v>
                </c:pt>
                <c:pt idx="1145">
                  <c:v>43720</c:v>
                </c:pt>
                <c:pt idx="1146">
                  <c:v>43719</c:v>
                </c:pt>
                <c:pt idx="1147">
                  <c:v>43718</c:v>
                </c:pt>
                <c:pt idx="1148">
                  <c:v>43717</c:v>
                </c:pt>
                <c:pt idx="1149">
                  <c:v>43714</c:v>
                </c:pt>
                <c:pt idx="1150">
                  <c:v>43713</c:v>
                </c:pt>
                <c:pt idx="1151">
                  <c:v>43712</c:v>
                </c:pt>
                <c:pt idx="1152">
                  <c:v>43711</c:v>
                </c:pt>
                <c:pt idx="1153">
                  <c:v>43710</c:v>
                </c:pt>
                <c:pt idx="1154">
                  <c:v>43707</c:v>
                </c:pt>
                <c:pt idx="1155">
                  <c:v>43706</c:v>
                </c:pt>
                <c:pt idx="1156">
                  <c:v>43705</c:v>
                </c:pt>
                <c:pt idx="1157">
                  <c:v>43704</c:v>
                </c:pt>
                <c:pt idx="1158">
                  <c:v>43703</c:v>
                </c:pt>
                <c:pt idx="1159">
                  <c:v>43700</c:v>
                </c:pt>
                <c:pt idx="1160">
                  <c:v>43699</c:v>
                </c:pt>
                <c:pt idx="1161">
                  <c:v>43698</c:v>
                </c:pt>
                <c:pt idx="1162">
                  <c:v>43693</c:v>
                </c:pt>
                <c:pt idx="1163">
                  <c:v>43692</c:v>
                </c:pt>
                <c:pt idx="1164">
                  <c:v>43691</c:v>
                </c:pt>
                <c:pt idx="1165">
                  <c:v>43690</c:v>
                </c:pt>
                <c:pt idx="1166">
                  <c:v>43689</c:v>
                </c:pt>
                <c:pt idx="1167">
                  <c:v>43686</c:v>
                </c:pt>
                <c:pt idx="1168">
                  <c:v>43685</c:v>
                </c:pt>
                <c:pt idx="1169">
                  <c:v>43684</c:v>
                </c:pt>
                <c:pt idx="1170">
                  <c:v>43683</c:v>
                </c:pt>
                <c:pt idx="1171">
                  <c:v>43682</c:v>
                </c:pt>
                <c:pt idx="1172">
                  <c:v>43679</c:v>
                </c:pt>
                <c:pt idx="1173">
                  <c:v>43678</c:v>
                </c:pt>
                <c:pt idx="1174">
                  <c:v>43677</c:v>
                </c:pt>
                <c:pt idx="1175">
                  <c:v>43676</c:v>
                </c:pt>
                <c:pt idx="1176">
                  <c:v>43675</c:v>
                </c:pt>
                <c:pt idx="1177">
                  <c:v>43672</c:v>
                </c:pt>
                <c:pt idx="1178">
                  <c:v>43671</c:v>
                </c:pt>
                <c:pt idx="1179">
                  <c:v>43670</c:v>
                </c:pt>
                <c:pt idx="1180">
                  <c:v>43669</c:v>
                </c:pt>
                <c:pt idx="1181">
                  <c:v>43668</c:v>
                </c:pt>
                <c:pt idx="1182">
                  <c:v>43665</c:v>
                </c:pt>
                <c:pt idx="1183">
                  <c:v>43664</c:v>
                </c:pt>
                <c:pt idx="1184">
                  <c:v>43663</c:v>
                </c:pt>
                <c:pt idx="1185">
                  <c:v>43662</c:v>
                </c:pt>
                <c:pt idx="1186">
                  <c:v>43661</c:v>
                </c:pt>
                <c:pt idx="1187">
                  <c:v>43658</c:v>
                </c:pt>
                <c:pt idx="1188">
                  <c:v>43657</c:v>
                </c:pt>
                <c:pt idx="1189">
                  <c:v>43656</c:v>
                </c:pt>
                <c:pt idx="1190">
                  <c:v>43655</c:v>
                </c:pt>
                <c:pt idx="1191">
                  <c:v>43654</c:v>
                </c:pt>
                <c:pt idx="1192">
                  <c:v>43651</c:v>
                </c:pt>
                <c:pt idx="1193">
                  <c:v>43650</c:v>
                </c:pt>
                <c:pt idx="1194">
                  <c:v>43649</c:v>
                </c:pt>
                <c:pt idx="1195">
                  <c:v>43648</c:v>
                </c:pt>
                <c:pt idx="1196">
                  <c:v>43647</c:v>
                </c:pt>
                <c:pt idx="1197">
                  <c:v>43644</c:v>
                </c:pt>
                <c:pt idx="1198">
                  <c:v>43643</c:v>
                </c:pt>
                <c:pt idx="1199">
                  <c:v>43642</c:v>
                </c:pt>
                <c:pt idx="1200">
                  <c:v>43641</c:v>
                </c:pt>
                <c:pt idx="1201">
                  <c:v>43640</c:v>
                </c:pt>
                <c:pt idx="1202">
                  <c:v>43637</c:v>
                </c:pt>
                <c:pt idx="1203">
                  <c:v>43636</c:v>
                </c:pt>
                <c:pt idx="1204">
                  <c:v>43635</c:v>
                </c:pt>
                <c:pt idx="1205">
                  <c:v>43634</c:v>
                </c:pt>
                <c:pt idx="1206">
                  <c:v>43633</c:v>
                </c:pt>
                <c:pt idx="1207">
                  <c:v>43630</c:v>
                </c:pt>
                <c:pt idx="1208">
                  <c:v>43629</c:v>
                </c:pt>
                <c:pt idx="1209">
                  <c:v>43628</c:v>
                </c:pt>
                <c:pt idx="1210">
                  <c:v>43627</c:v>
                </c:pt>
                <c:pt idx="1211">
                  <c:v>43623</c:v>
                </c:pt>
                <c:pt idx="1212">
                  <c:v>43622</c:v>
                </c:pt>
                <c:pt idx="1213">
                  <c:v>43621</c:v>
                </c:pt>
                <c:pt idx="1214">
                  <c:v>43620</c:v>
                </c:pt>
                <c:pt idx="1215">
                  <c:v>43619</c:v>
                </c:pt>
                <c:pt idx="1216">
                  <c:v>43616</c:v>
                </c:pt>
                <c:pt idx="1217">
                  <c:v>43615</c:v>
                </c:pt>
                <c:pt idx="1218">
                  <c:v>43614</c:v>
                </c:pt>
                <c:pt idx="1219">
                  <c:v>43613</c:v>
                </c:pt>
                <c:pt idx="1220">
                  <c:v>43612</c:v>
                </c:pt>
                <c:pt idx="1221">
                  <c:v>43609</c:v>
                </c:pt>
                <c:pt idx="1222">
                  <c:v>43608</c:v>
                </c:pt>
                <c:pt idx="1223">
                  <c:v>43607</c:v>
                </c:pt>
                <c:pt idx="1224">
                  <c:v>43606</c:v>
                </c:pt>
                <c:pt idx="1225">
                  <c:v>43605</c:v>
                </c:pt>
                <c:pt idx="1226">
                  <c:v>43602</c:v>
                </c:pt>
                <c:pt idx="1227">
                  <c:v>43601</c:v>
                </c:pt>
                <c:pt idx="1228">
                  <c:v>43600</c:v>
                </c:pt>
                <c:pt idx="1229">
                  <c:v>43599</c:v>
                </c:pt>
                <c:pt idx="1230">
                  <c:v>43598</c:v>
                </c:pt>
                <c:pt idx="1231">
                  <c:v>43595</c:v>
                </c:pt>
                <c:pt idx="1232">
                  <c:v>43594</c:v>
                </c:pt>
                <c:pt idx="1233">
                  <c:v>43593</c:v>
                </c:pt>
                <c:pt idx="1234">
                  <c:v>43592</c:v>
                </c:pt>
                <c:pt idx="1235">
                  <c:v>43591</c:v>
                </c:pt>
                <c:pt idx="1236">
                  <c:v>43588</c:v>
                </c:pt>
                <c:pt idx="1237">
                  <c:v>43587</c:v>
                </c:pt>
                <c:pt idx="1238">
                  <c:v>43585</c:v>
                </c:pt>
                <c:pt idx="1239">
                  <c:v>43584</c:v>
                </c:pt>
                <c:pt idx="1240">
                  <c:v>43581</c:v>
                </c:pt>
                <c:pt idx="1241">
                  <c:v>43580</c:v>
                </c:pt>
                <c:pt idx="1242">
                  <c:v>43579</c:v>
                </c:pt>
              </c:numCache>
            </c:numRef>
          </c:cat>
          <c:val>
            <c:numRef>
              <c:f>'7'!$B$4:$B$1246</c:f>
              <c:numCache>
                <c:formatCode>#\ ###</c:formatCode>
                <c:ptCount val="1243"/>
                <c:pt idx="0">
                  <c:v>3054</c:v>
                </c:pt>
                <c:pt idx="1">
                  <c:v>3066</c:v>
                </c:pt>
                <c:pt idx="2">
                  <c:v>3050</c:v>
                </c:pt>
                <c:pt idx="3">
                  <c:v>3024</c:v>
                </c:pt>
                <c:pt idx="4">
                  <c:v>3014</c:v>
                </c:pt>
                <c:pt idx="5">
                  <c:v>2964</c:v>
                </c:pt>
                <c:pt idx="6">
                  <c:v>2960</c:v>
                </c:pt>
                <c:pt idx="7">
                  <c:v>2920</c:v>
                </c:pt>
                <c:pt idx="8">
                  <c:v>2924</c:v>
                </c:pt>
                <c:pt idx="9">
                  <c:v>2918</c:v>
                </c:pt>
                <c:pt idx="10">
                  <c:v>2932</c:v>
                </c:pt>
                <c:pt idx="11">
                  <c:v>2940</c:v>
                </c:pt>
                <c:pt idx="12">
                  <c:v>2970</c:v>
                </c:pt>
                <c:pt idx="13">
                  <c:v>2964</c:v>
                </c:pt>
                <c:pt idx="14">
                  <c:v>2972</c:v>
                </c:pt>
                <c:pt idx="15">
                  <c:v>2928</c:v>
                </c:pt>
                <c:pt idx="16">
                  <c:v>2918</c:v>
                </c:pt>
                <c:pt idx="17">
                  <c:v>2942</c:v>
                </c:pt>
                <c:pt idx="18">
                  <c:v>2926</c:v>
                </c:pt>
                <c:pt idx="19">
                  <c:v>2938</c:v>
                </c:pt>
                <c:pt idx="20">
                  <c:v>2940</c:v>
                </c:pt>
                <c:pt idx="21">
                  <c:v>2906</c:v>
                </c:pt>
                <c:pt idx="22">
                  <c:v>2904</c:v>
                </c:pt>
                <c:pt idx="23">
                  <c:v>2918</c:v>
                </c:pt>
                <c:pt idx="24">
                  <c:v>2926</c:v>
                </c:pt>
                <c:pt idx="25">
                  <c:v>2890</c:v>
                </c:pt>
                <c:pt idx="26">
                  <c:v>2900</c:v>
                </c:pt>
                <c:pt idx="27">
                  <c:v>2892</c:v>
                </c:pt>
                <c:pt idx="28">
                  <c:v>2946</c:v>
                </c:pt>
                <c:pt idx="29">
                  <c:v>2932</c:v>
                </c:pt>
                <c:pt idx="30">
                  <c:v>2922</c:v>
                </c:pt>
                <c:pt idx="31">
                  <c:v>2950</c:v>
                </c:pt>
                <c:pt idx="32">
                  <c:v>2934</c:v>
                </c:pt>
                <c:pt idx="33">
                  <c:v>2968</c:v>
                </c:pt>
                <c:pt idx="34">
                  <c:v>2960</c:v>
                </c:pt>
                <c:pt idx="35">
                  <c:v>2942</c:v>
                </c:pt>
                <c:pt idx="36">
                  <c:v>2916</c:v>
                </c:pt>
                <c:pt idx="37">
                  <c:v>2880</c:v>
                </c:pt>
                <c:pt idx="38">
                  <c:v>2900</c:v>
                </c:pt>
                <c:pt idx="39">
                  <c:v>2900</c:v>
                </c:pt>
                <c:pt idx="40">
                  <c:v>2894</c:v>
                </c:pt>
                <c:pt idx="41">
                  <c:v>2894</c:v>
                </c:pt>
                <c:pt idx="42">
                  <c:v>2916</c:v>
                </c:pt>
                <c:pt idx="43">
                  <c:v>2888</c:v>
                </c:pt>
                <c:pt idx="44">
                  <c:v>2928</c:v>
                </c:pt>
                <c:pt idx="45">
                  <c:v>2928</c:v>
                </c:pt>
                <c:pt idx="46">
                  <c:v>2910</c:v>
                </c:pt>
                <c:pt idx="47">
                  <c:v>2888</c:v>
                </c:pt>
                <c:pt idx="48">
                  <c:v>2854</c:v>
                </c:pt>
                <c:pt idx="49">
                  <c:v>2848</c:v>
                </c:pt>
                <c:pt idx="50">
                  <c:v>2858</c:v>
                </c:pt>
                <c:pt idx="51">
                  <c:v>2858</c:v>
                </c:pt>
                <c:pt idx="52">
                  <c:v>2820</c:v>
                </c:pt>
                <c:pt idx="53">
                  <c:v>2838</c:v>
                </c:pt>
                <c:pt idx="54">
                  <c:v>2838</c:v>
                </c:pt>
                <c:pt idx="55">
                  <c:v>2810</c:v>
                </c:pt>
                <c:pt idx="56">
                  <c:v>2802</c:v>
                </c:pt>
                <c:pt idx="57">
                  <c:v>2806</c:v>
                </c:pt>
                <c:pt idx="58">
                  <c:v>2832</c:v>
                </c:pt>
                <c:pt idx="59">
                  <c:v>2838</c:v>
                </c:pt>
                <c:pt idx="60">
                  <c:v>2806</c:v>
                </c:pt>
                <c:pt idx="61">
                  <c:v>2814</c:v>
                </c:pt>
                <c:pt idx="62">
                  <c:v>2832</c:v>
                </c:pt>
                <c:pt idx="63">
                  <c:v>2836</c:v>
                </c:pt>
                <c:pt idx="64">
                  <c:v>2838</c:v>
                </c:pt>
                <c:pt idx="65">
                  <c:v>2820</c:v>
                </c:pt>
                <c:pt idx="66">
                  <c:v>2828</c:v>
                </c:pt>
                <c:pt idx="67">
                  <c:v>2820</c:v>
                </c:pt>
                <c:pt idx="68">
                  <c:v>2826</c:v>
                </c:pt>
                <c:pt idx="69">
                  <c:v>2826</c:v>
                </c:pt>
                <c:pt idx="70">
                  <c:v>2818</c:v>
                </c:pt>
                <c:pt idx="71">
                  <c:v>2822</c:v>
                </c:pt>
                <c:pt idx="72">
                  <c:v>2830</c:v>
                </c:pt>
                <c:pt idx="73">
                  <c:v>2834</c:v>
                </c:pt>
                <c:pt idx="74">
                  <c:v>2830</c:v>
                </c:pt>
                <c:pt idx="75">
                  <c:v>2818</c:v>
                </c:pt>
                <c:pt idx="76">
                  <c:v>2832</c:v>
                </c:pt>
                <c:pt idx="77">
                  <c:v>2816</c:v>
                </c:pt>
                <c:pt idx="78">
                  <c:v>2796</c:v>
                </c:pt>
                <c:pt idx="79">
                  <c:v>2804</c:v>
                </c:pt>
                <c:pt idx="80">
                  <c:v>2756</c:v>
                </c:pt>
                <c:pt idx="81">
                  <c:v>2766</c:v>
                </c:pt>
                <c:pt idx="82">
                  <c:v>2804</c:v>
                </c:pt>
                <c:pt idx="83">
                  <c:v>2810</c:v>
                </c:pt>
                <c:pt idx="84">
                  <c:v>2820</c:v>
                </c:pt>
                <c:pt idx="85">
                  <c:v>2792</c:v>
                </c:pt>
                <c:pt idx="86">
                  <c:v>2780</c:v>
                </c:pt>
                <c:pt idx="87">
                  <c:v>2780</c:v>
                </c:pt>
                <c:pt idx="88">
                  <c:v>2780</c:v>
                </c:pt>
                <c:pt idx="89">
                  <c:v>2796</c:v>
                </c:pt>
                <c:pt idx="90">
                  <c:v>2770</c:v>
                </c:pt>
                <c:pt idx="91">
                  <c:v>2730</c:v>
                </c:pt>
                <c:pt idx="92">
                  <c:v>2748</c:v>
                </c:pt>
                <c:pt idx="93">
                  <c:v>2792</c:v>
                </c:pt>
                <c:pt idx="94">
                  <c:v>2780</c:v>
                </c:pt>
                <c:pt idx="95">
                  <c:v>2810</c:v>
                </c:pt>
                <c:pt idx="96">
                  <c:v>2812</c:v>
                </c:pt>
                <c:pt idx="97">
                  <c:v>2862</c:v>
                </c:pt>
                <c:pt idx="98">
                  <c:v>2876</c:v>
                </c:pt>
                <c:pt idx="99">
                  <c:v>2840</c:v>
                </c:pt>
                <c:pt idx="100">
                  <c:v>2834</c:v>
                </c:pt>
                <c:pt idx="101">
                  <c:v>2844</c:v>
                </c:pt>
                <c:pt idx="102">
                  <c:v>2856</c:v>
                </c:pt>
                <c:pt idx="103">
                  <c:v>2874</c:v>
                </c:pt>
                <c:pt idx="104">
                  <c:v>2924</c:v>
                </c:pt>
                <c:pt idx="105">
                  <c:v>2914</c:v>
                </c:pt>
                <c:pt idx="106">
                  <c:v>2900</c:v>
                </c:pt>
                <c:pt idx="107">
                  <c:v>2892</c:v>
                </c:pt>
                <c:pt idx="108">
                  <c:v>2876</c:v>
                </c:pt>
                <c:pt idx="109">
                  <c:v>2896</c:v>
                </c:pt>
                <c:pt idx="110">
                  <c:v>2874</c:v>
                </c:pt>
                <c:pt idx="111">
                  <c:v>2882</c:v>
                </c:pt>
                <c:pt idx="112">
                  <c:v>2870</c:v>
                </c:pt>
                <c:pt idx="113">
                  <c:v>2868</c:v>
                </c:pt>
                <c:pt idx="114">
                  <c:v>2900</c:v>
                </c:pt>
                <c:pt idx="115">
                  <c:v>2892</c:v>
                </c:pt>
                <c:pt idx="116">
                  <c:v>2898</c:v>
                </c:pt>
                <c:pt idx="117">
                  <c:v>2930</c:v>
                </c:pt>
                <c:pt idx="118">
                  <c:v>2842</c:v>
                </c:pt>
                <c:pt idx="119">
                  <c:v>2800</c:v>
                </c:pt>
                <c:pt idx="120">
                  <c:v>2766</c:v>
                </c:pt>
                <c:pt idx="121">
                  <c:v>2780</c:v>
                </c:pt>
                <c:pt idx="122">
                  <c:v>2800</c:v>
                </c:pt>
                <c:pt idx="123">
                  <c:v>2774</c:v>
                </c:pt>
                <c:pt idx="124">
                  <c:v>2744</c:v>
                </c:pt>
                <c:pt idx="125">
                  <c:v>2790</c:v>
                </c:pt>
                <c:pt idx="126">
                  <c:v>2764</c:v>
                </c:pt>
                <c:pt idx="127">
                  <c:v>2766</c:v>
                </c:pt>
                <c:pt idx="128">
                  <c:v>2764</c:v>
                </c:pt>
                <c:pt idx="129">
                  <c:v>2794</c:v>
                </c:pt>
                <c:pt idx="130">
                  <c:v>2780</c:v>
                </c:pt>
                <c:pt idx="131">
                  <c:v>2794</c:v>
                </c:pt>
                <c:pt idx="132">
                  <c:v>2760</c:v>
                </c:pt>
                <c:pt idx="133">
                  <c:v>2774</c:v>
                </c:pt>
                <c:pt idx="134">
                  <c:v>2786</c:v>
                </c:pt>
                <c:pt idx="135">
                  <c:v>2790</c:v>
                </c:pt>
                <c:pt idx="136">
                  <c:v>2814</c:v>
                </c:pt>
                <c:pt idx="137">
                  <c:v>2760</c:v>
                </c:pt>
                <c:pt idx="138">
                  <c:v>2746</c:v>
                </c:pt>
                <c:pt idx="139">
                  <c:v>2762</c:v>
                </c:pt>
                <c:pt idx="140">
                  <c:v>2728</c:v>
                </c:pt>
                <c:pt idx="141">
                  <c:v>2708</c:v>
                </c:pt>
                <c:pt idx="142">
                  <c:v>2704</c:v>
                </c:pt>
                <c:pt idx="143">
                  <c:v>2678</c:v>
                </c:pt>
                <c:pt idx="144">
                  <c:v>2668</c:v>
                </c:pt>
                <c:pt idx="145">
                  <c:v>2680</c:v>
                </c:pt>
                <c:pt idx="146">
                  <c:v>2660</c:v>
                </c:pt>
                <c:pt idx="147">
                  <c:v>2702</c:v>
                </c:pt>
                <c:pt idx="148">
                  <c:v>2668</c:v>
                </c:pt>
                <c:pt idx="149">
                  <c:v>2662</c:v>
                </c:pt>
                <c:pt idx="150">
                  <c:v>2662</c:v>
                </c:pt>
                <c:pt idx="151">
                  <c:v>2682</c:v>
                </c:pt>
                <c:pt idx="152">
                  <c:v>2730</c:v>
                </c:pt>
                <c:pt idx="153">
                  <c:v>2722</c:v>
                </c:pt>
                <c:pt idx="154">
                  <c:v>2746</c:v>
                </c:pt>
                <c:pt idx="155">
                  <c:v>2744</c:v>
                </c:pt>
                <c:pt idx="156">
                  <c:v>2734</c:v>
                </c:pt>
                <c:pt idx="157">
                  <c:v>2698</c:v>
                </c:pt>
                <c:pt idx="158">
                  <c:v>2708</c:v>
                </c:pt>
                <c:pt idx="159">
                  <c:v>2652</c:v>
                </c:pt>
                <c:pt idx="160">
                  <c:v>2696</c:v>
                </c:pt>
                <c:pt idx="161">
                  <c:v>2662</c:v>
                </c:pt>
                <c:pt idx="162">
                  <c:v>2668</c:v>
                </c:pt>
                <c:pt idx="163">
                  <c:v>2692</c:v>
                </c:pt>
                <c:pt idx="164">
                  <c:v>2670</c:v>
                </c:pt>
                <c:pt idx="165">
                  <c:v>2680</c:v>
                </c:pt>
                <c:pt idx="166">
                  <c:v>2698</c:v>
                </c:pt>
                <c:pt idx="167">
                  <c:v>2656</c:v>
                </c:pt>
                <c:pt idx="168">
                  <c:v>2710</c:v>
                </c:pt>
                <c:pt idx="169">
                  <c:v>2738</c:v>
                </c:pt>
                <c:pt idx="170">
                  <c:v>2780</c:v>
                </c:pt>
                <c:pt idx="171">
                  <c:v>2804</c:v>
                </c:pt>
                <c:pt idx="172">
                  <c:v>2792</c:v>
                </c:pt>
                <c:pt idx="173">
                  <c:v>2780</c:v>
                </c:pt>
                <c:pt idx="174">
                  <c:v>2778</c:v>
                </c:pt>
                <c:pt idx="175">
                  <c:v>2766</c:v>
                </c:pt>
                <c:pt idx="176">
                  <c:v>2806</c:v>
                </c:pt>
                <c:pt idx="177">
                  <c:v>2834</c:v>
                </c:pt>
                <c:pt idx="178">
                  <c:v>2816</c:v>
                </c:pt>
                <c:pt idx="179">
                  <c:v>2880</c:v>
                </c:pt>
                <c:pt idx="180">
                  <c:v>2870</c:v>
                </c:pt>
                <c:pt idx="181">
                  <c:v>3190</c:v>
                </c:pt>
                <c:pt idx="182">
                  <c:v>3140</c:v>
                </c:pt>
                <c:pt idx="183">
                  <c:v>3120</c:v>
                </c:pt>
                <c:pt idx="184">
                  <c:v>3096</c:v>
                </c:pt>
                <c:pt idx="185">
                  <c:v>3080</c:v>
                </c:pt>
                <c:pt idx="186">
                  <c:v>3072</c:v>
                </c:pt>
                <c:pt idx="187">
                  <c:v>3026</c:v>
                </c:pt>
                <c:pt idx="188">
                  <c:v>3004</c:v>
                </c:pt>
                <c:pt idx="189">
                  <c:v>3004</c:v>
                </c:pt>
                <c:pt idx="190">
                  <c:v>3006</c:v>
                </c:pt>
                <c:pt idx="191">
                  <c:v>3040</c:v>
                </c:pt>
                <c:pt idx="192">
                  <c:v>3004</c:v>
                </c:pt>
                <c:pt idx="193">
                  <c:v>2998</c:v>
                </c:pt>
                <c:pt idx="194">
                  <c:v>2988</c:v>
                </c:pt>
                <c:pt idx="195">
                  <c:v>2998</c:v>
                </c:pt>
                <c:pt idx="196">
                  <c:v>2986</c:v>
                </c:pt>
                <c:pt idx="197">
                  <c:v>2952</c:v>
                </c:pt>
                <c:pt idx="198">
                  <c:v>2986</c:v>
                </c:pt>
                <c:pt idx="199">
                  <c:v>3018</c:v>
                </c:pt>
                <c:pt idx="200">
                  <c:v>2996</c:v>
                </c:pt>
                <c:pt idx="201">
                  <c:v>3002</c:v>
                </c:pt>
                <c:pt idx="202">
                  <c:v>2992</c:v>
                </c:pt>
                <c:pt idx="203">
                  <c:v>2956</c:v>
                </c:pt>
                <c:pt idx="204">
                  <c:v>2960</c:v>
                </c:pt>
                <c:pt idx="205">
                  <c:v>2976</c:v>
                </c:pt>
                <c:pt idx="206">
                  <c:v>3000</c:v>
                </c:pt>
                <c:pt idx="207">
                  <c:v>3040</c:v>
                </c:pt>
                <c:pt idx="208">
                  <c:v>3040</c:v>
                </c:pt>
                <c:pt idx="209">
                  <c:v>3000</c:v>
                </c:pt>
                <c:pt idx="210">
                  <c:v>3010</c:v>
                </c:pt>
                <c:pt idx="211">
                  <c:v>2986</c:v>
                </c:pt>
                <c:pt idx="212">
                  <c:v>2972</c:v>
                </c:pt>
                <c:pt idx="213">
                  <c:v>2956</c:v>
                </c:pt>
                <c:pt idx="214">
                  <c:v>2906</c:v>
                </c:pt>
                <c:pt idx="215">
                  <c:v>2830</c:v>
                </c:pt>
                <c:pt idx="216">
                  <c:v>2820</c:v>
                </c:pt>
                <c:pt idx="217">
                  <c:v>2836</c:v>
                </c:pt>
                <c:pt idx="218">
                  <c:v>2866</c:v>
                </c:pt>
                <c:pt idx="219">
                  <c:v>2830</c:v>
                </c:pt>
                <c:pt idx="220">
                  <c:v>2772</c:v>
                </c:pt>
                <c:pt idx="221">
                  <c:v>2778</c:v>
                </c:pt>
                <c:pt idx="222">
                  <c:v>2802</c:v>
                </c:pt>
                <c:pt idx="223">
                  <c:v>2782</c:v>
                </c:pt>
                <c:pt idx="224">
                  <c:v>2808</c:v>
                </c:pt>
                <c:pt idx="225">
                  <c:v>2784</c:v>
                </c:pt>
                <c:pt idx="226">
                  <c:v>2756</c:v>
                </c:pt>
                <c:pt idx="227">
                  <c:v>2742</c:v>
                </c:pt>
                <c:pt idx="228">
                  <c:v>2748</c:v>
                </c:pt>
                <c:pt idx="229">
                  <c:v>2766</c:v>
                </c:pt>
                <c:pt idx="230">
                  <c:v>2804</c:v>
                </c:pt>
                <c:pt idx="231">
                  <c:v>2796</c:v>
                </c:pt>
                <c:pt idx="232">
                  <c:v>2766</c:v>
                </c:pt>
                <c:pt idx="233">
                  <c:v>2780</c:v>
                </c:pt>
                <c:pt idx="234">
                  <c:v>2800</c:v>
                </c:pt>
                <c:pt idx="235">
                  <c:v>2806</c:v>
                </c:pt>
                <c:pt idx="236">
                  <c:v>2750</c:v>
                </c:pt>
                <c:pt idx="237">
                  <c:v>2742</c:v>
                </c:pt>
                <c:pt idx="238">
                  <c:v>2734</c:v>
                </c:pt>
                <c:pt idx="239">
                  <c:v>2628</c:v>
                </c:pt>
                <c:pt idx="240">
                  <c:v>2616</c:v>
                </c:pt>
                <c:pt idx="241">
                  <c:v>2648</c:v>
                </c:pt>
                <c:pt idx="242">
                  <c:v>2708</c:v>
                </c:pt>
                <c:pt idx="243">
                  <c:v>2680</c:v>
                </c:pt>
                <c:pt idx="244">
                  <c:v>2670</c:v>
                </c:pt>
                <c:pt idx="245">
                  <c:v>2714</c:v>
                </c:pt>
                <c:pt idx="246">
                  <c:v>2714</c:v>
                </c:pt>
                <c:pt idx="247">
                  <c:v>2698</c:v>
                </c:pt>
                <c:pt idx="248">
                  <c:v>2612</c:v>
                </c:pt>
                <c:pt idx="249">
                  <c:v>2658</c:v>
                </c:pt>
                <c:pt idx="250">
                  <c:v>2710</c:v>
                </c:pt>
                <c:pt idx="251">
                  <c:v>2714</c:v>
                </c:pt>
                <c:pt idx="252">
                  <c:v>2704</c:v>
                </c:pt>
                <c:pt idx="253">
                  <c:v>2678</c:v>
                </c:pt>
                <c:pt idx="254">
                  <c:v>2602</c:v>
                </c:pt>
                <c:pt idx="255">
                  <c:v>2564</c:v>
                </c:pt>
                <c:pt idx="256">
                  <c:v>2500</c:v>
                </c:pt>
                <c:pt idx="257">
                  <c:v>2554</c:v>
                </c:pt>
                <c:pt idx="258">
                  <c:v>2542</c:v>
                </c:pt>
                <c:pt idx="259">
                  <c:v>2492</c:v>
                </c:pt>
                <c:pt idx="260">
                  <c:v>2474</c:v>
                </c:pt>
                <c:pt idx="261">
                  <c:v>2546</c:v>
                </c:pt>
                <c:pt idx="262">
                  <c:v>2460</c:v>
                </c:pt>
                <c:pt idx="263">
                  <c:v>2500</c:v>
                </c:pt>
                <c:pt idx="264">
                  <c:v>2500</c:v>
                </c:pt>
                <c:pt idx="265">
                  <c:v>2418</c:v>
                </c:pt>
                <c:pt idx="266">
                  <c:v>2398</c:v>
                </c:pt>
                <c:pt idx="267">
                  <c:v>2460</c:v>
                </c:pt>
                <c:pt idx="268">
                  <c:v>2538</c:v>
                </c:pt>
                <c:pt idx="269">
                  <c:v>2564</c:v>
                </c:pt>
                <c:pt idx="270">
                  <c:v>2580</c:v>
                </c:pt>
                <c:pt idx="271">
                  <c:v>2620</c:v>
                </c:pt>
                <c:pt idx="272">
                  <c:v>2634</c:v>
                </c:pt>
                <c:pt idx="273">
                  <c:v>2690</c:v>
                </c:pt>
                <c:pt idx="274">
                  <c:v>2662</c:v>
                </c:pt>
                <c:pt idx="275">
                  <c:v>2672</c:v>
                </c:pt>
                <c:pt idx="276">
                  <c:v>2714</c:v>
                </c:pt>
                <c:pt idx="277">
                  <c:v>2722</c:v>
                </c:pt>
                <c:pt idx="278">
                  <c:v>2788</c:v>
                </c:pt>
                <c:pt idx="279">
                  <c:v>2778</c:v>
                </c:pt>
                <c:pt idx="280">
                  <c:v>2778</c:v>
                </c:pt>
                <c:pt idx="281">
                  <c:v>2704</c:v>
                </c:pt>
                <c:pt idx="282">
                  <c:v>2722</c:v>
                </c:pt>
                <c:pt idx="283">
                  <c:v>2700</c:v>
                </c:pt>
                <c:pt idx="284">
                  <c:v>2748</c:v>
                </c:pt>
                <c:pt idx="285">
                  <c:v>2792</c:v>
                </c:pt>
                <c:pt idx="286">
                  <c:v>2796</c:v>
                </c:pt>
                <c:pt idx="287">
                  <c:v>2804</c:v>
                </c:pt>
                <c:pt idx="288">
                  <c:v>2820</c:v>
                </c:pt>
                <c:pt idx="289">
                  <c:v>2796</c:v>
                </c:pt>
                <c:pt idx="290">
                  <c:v>2764</c:v>
                </c:pt>
                <c:pt idx="291">
                  <c:v>2762</c:v>
                </c:pt>
                <c:pt idx="292">
                  <c:v>2736</c:v>
                </c:pt>
                <c:pt idx="293">
                  <c:v>2682</c:v>
                </c:pt>
                <c:pt idx="294">
                  <c:v>2740</c:v>
                </c:pt>
                <c:pt idx="295">
                  <c:v>2750</c:v>
                </c:pt>
                <c:pt idx="296">
                  <c:v>2710</c:v>
                </c:pt>
                <c:pt idx="297">
                  <c:v>2682</c:v>
                </c:pt>
                <c:pt idx="298">
                  <c:v>2702</c:v>
                </c:pt>
                <c:pt idx="299">
                  <c:v>2788</c:v>
                </c:pt>
                <c:pt idx="300">
                  <c:v>2748</c:v>
                </c:pt>
                <c:pt idx="301">
                  <c:v>2670</c:v>
                </c:pt>
                <c:pt idx="302">
                  <c:v>2658</c:v>
                </c:pt>
                <c:pt idx="303">
                  <c:v>2676</c:v>
                </c:pt>
                <c:pt idx="304">
                  <c:v>2690</c:v>
                </c:pt>
                <c:pt idx="305">
                  <c:v>2700</c:v>
                </c:pt>
                <c:pt idx="306">
                  <c:v>2688</c:v>
                </c:pt>
                <c:pt idx="307">
                  <c:v>2686</c:v>
                </c:pt>
                <c:pt idx="308">
                  <c:v>2708</c:v>
                </c:pt>
                <c:pt idx="309">
                  <c:v>2688</c:v>
                </c:pt>
                <c:pt idx="310">
                  <c:v>2690</c:v>
                </c:pt>
                <c:pt idx="311">
                  <c:v>2702</c:v>
                </c:pt>
                <c:pt idx="312">
                  <c:v>2680</c:v>
                </c:pt>
                <c:pt idx="313">
                  <c:v>2678</c:v>
                </c:pt>
                <c:pt idx="314">
                  <c:v>2648</c:v>
                </c:pt>
                <c:pt idx="315">
                  <c:v>2618</c:v>
                </c:pt>
                <c:pt idx="316">
                  <c:v>2612</c:v>
                </c:pt>
                <c:pt idx="317">
                  <c:v>2650</c:v>
                </c:pt>
                <c:pt idx="318">
                  <c:v>2608</c:v>
                </c:pt>
                <c:pt idx="319">
                  <c:v>2602</c:v>
                </c:pt>
                <c:pt idx="320">
                  <c:v>2630</c:v>
                </c:pt>
                <c:pt idx="321">
                  <c:v>2616</c:v>
                </c:pt>
                <c:pt idx="322">
                  <c:v>2632</c:v>
                </c:pt>
                <c:pt idx="323">
                  <c:v>2640</c:v>
                </c:pt>
                <c:pt idx="324">
                  <c:v>2640</c:v>
                </c:pt>
                <c:pt idx="325">
                  <c:v>2632</c:v>
                </c:pt>
                <c:pt idx="326">
                  <c:v>2648</c:v>
                </c:pt>
                <c:pt idx="327">
                  <c:v>2644</c:v>
                </c:pt>
                <c:pt idx="328">
                  <c:v>2616</c:v>
                </c:pt>
                <c:pt idx="329">
                  <c:v>2608</c:v>
                </c:pt>
                <c:pt idx="330">
                  <c:v>2642</c:v>
                </c:pt>
                <c:pt idx="331">
                  <c:v>2608</c:v>
                </c:pt>
                <c:pt idx="332">
                  <c:v>2580</c:v>
                </c:pt>
                <c:pt idx="333">
                  <c:v>2600</c:v>
                </c:pt>
                <c:pt idx="334">
                  <c:v>2598</c:v>
                </c:pt>
                <c:pt idx="335">
                  <c:v>2746</c:v>
                </c:pt>
                <c:pt idx="336">
                  <c:v>2818</c:v>
                </c:pt>
                <c:pt idx="337">
                  <c:v>2760</c:v>
                </c:pt>
                <c:pt idx="338">
                  <c:v>2844</c:v>
                </c:pt>
                <c:pt idx="339">
                  <c:v>2836</c:v>
                </c:pt>
                <c:pt idx="340">
                  <c:v>2820</c:v>
                </c:pt>
                <c:pt idx="341">
                  <c:v>2790</c:v>
                </c:pt>
                <c:pt idx="342">
                  <c:v>2720</c:v>
                </c:pt>
                <c:pt idx="343">
                  <c:v>2768</c:v>
                </c:pt>
                <c:pt idx="344">
                  <c:v>2762</c:v>
                </c:pt>
                <c:pt idx="345">
                  <c:v>2740</c:v>
                </c:pt>
                <c:pt idx="346">
                  <c:v>2770</c:v>
                </c:pt>
                <c:pt idx="347">
                  <c:v>2698</c:v>
                </c:pt>
                <c:pt idx="348">
                  <c:v>2680</c:v>
                </c:pt>
                <c:pt idx="349">
                  <c:v>2652</c:v>
                </c:pt>
                <c:pt idx="350">
                  <c:v>2606</c:v>
                </c:pt>
                <c:pt idx="351">
                  <c:v>2618</c:v>
                </c:pt>
                <c:pt idx="352">
                  <c:v>2644</c:v>
                </c:pt>
                <c:pt idx="353">
                  <c:v>2622</c:v>
                </c:pt>
                <c:pt idx="354">
                  <c:v>2624</c:v>
                </c:pt>
                <c:pt idx="355">
                  <c:v>2652</c:v>
                </c:pt>
                <c:pt idx="356">
                  <c:v>2628</c:v>
                </c:pt>
                <c:pt idx="357">
                  <c:v>2690</c:v>
                </c:pt>
                <c:pt idx="358">
                  <c:v>2634</c:v>
                </c:pt>
                <c:pt idx="359">
                  <c:v>2582</c:v>
                </c:pt>
                <c:pt idx="360">
                  <c:v>2484</c:v>
                </c:pt>
                <c:pt idx="361">
                  <c:v>2484</c:v>
                </c:pt>
                <c:pt idx="362">
                  <c:v>2480</c:v>
                </c:pt>
                <c:pt idx="363">
                  <c:v>2464</c:v>
                </c:pt>
                <c:pt idx="364">
                  <c:v>2470</c:v>
                </c:pt>
                <c:pt idx="365">
                  <c:v>2450</c:v>
                </c:pt>
                <c:pt idx="366">
                  <c:v>2446</c:v>
                </c:pt>
                <c:pt idx="367">
                  <c:v>2438</c:v>
                </c:pt>
                <c:pt idx="368">
                  <c:v>2434</c:v>
                </c:pt>
                <c:pt idx="369">
                  <c:v>2468</c:v>
                </c:pt>
                <c:pt idx="370">
                  <c:v>2458</c:v>
                </c:pt>
                <c:pt idx="371">
                  <c:v>2450</c:v>
                </c:pt>
                <c:pt idx="372">
                  <c:v>2402</c:v>
                </c:pt>
                <c:pt idx="373">
                  <c:v>2438</c:v>
                </c:pt>
                <c:pt idx="374">
                  <c:v>2454</c:v>
                </c:pt>
                <c:pt idx="375">
                  <c:v>2470</c:v>
                </c:pt>
                <c:pt idx="376">
                  <c:v>2570</c:v>
                </c:pt>
                <c:pt idx="377">
                  <c:v>2642</c:v>
                </c:pt>
                <c:pt idx="378">
                  <c:v>2648</c:v>
                </c:pt>
                <c:pt idx="379">
                  <c:v>2624</c:v>
                </c:pt>
                <c:pt idx="380">
                  <c:v>2466</c:v>
                </c:pt>
                <c:pt idx="381">
                  <c:v>2406</c:v>
                </c:pt>
                <c:pt idx="382">
                  <c:v>2326</c:v>
                </c:pt>
                <c:pt idx="383">
                  <c:v>2366</c:v>
                </c:pt>
                <c:pt idx="384">
                  <c:v>2416</c:v>
                </c:pt>
                <c:pt idx="385">
                  <c:v>2428</c:v>
                </c:pt>
                <c:pt idx="386">
                  <c:v>2410</c:v>
                </c:pt>
                <c:pt idx="387">
                  <c:v>2476</c:v>
                </c:pt>
                <c:pt idx="388">
                  <c:v>2500</c:v>
                </c:pt>
                <c:pt idx="389">
                  <c:v>2500</c:v>
                </c:pt>
                <c:pt idx="390">
                  <c:v>2516</c:v>
                </c:pt>
                <c:pt idx="391">
                  <c:v>2516</c:v>
                </c:pt>
                <c:pt idx="392">
                  <c:v>2600</c:v>
                </c:pt>
                <c:pt idx="393">
                  <c:v>2678</c:v>
                </c:pt>
                <c:pt idx="394">
                  <c:v>2686</c:v>
                </c:pt>
                <c:pt idx="395">
                  <c:v>2650</c:v>
                </c:pt>
                <c:pt idx="396">
                  <c:v>2650</c:v>
                </c:pt>
                <c:pt idx="397">
                  <c:v>2666</c:v>
                </c:pt>
                <c:pt idx="398">
                  <c:v>2684</c:v>
                </c:pt>
                <c:pt idx="399">
                  <c:v>2700</c:v>
                </c:pt>
                <c:pt idx="400">
                  <c:v>2694</c:v>
                </c:pt>
                <c:pt idx="401">
                  <c:v>2754</c:v>
                </c:pt>
                <c:pt idx="402">
                  <c:v>2724</c:v>
                </c:pt>
                <c:pt idx="403">
                  <c:v>2750</c:v>
                </c:pt>
                <c:pt idx="404">
                  <c:v>2794</c:v>
                </c:pt>
                <c:pt idx="405">
                  <c:v>2760</c:v>
                </c:pt>
                <c:pt idx="406">
                  <c:v>2808</c:v>
                </c:pt>
                <c:pt idx="407">
                  <c:v>2832</c:v>
                </c:pt>
                <c:pt idx="408">
                  <c:v>2800</c:v>
                </c:pt>
                <c:pt idx="409">
                  <c:v>2802</c:v>
                </c:pt>
                <c:pt idx="410">
                  <c:v>2804</c:v>
                </c:pt>
                <c:pt idx="411">
                  <c:v>2834</c:v>
                </c:pt>
                <c:pt idx="412">
                  <c:v>2810</c:v>
                </c:pt>
                <c:pt idx="413">
                  <c:v>2862</c:v>
                </c:pt>
                <c:pt idx="414">
                  <c:v>2916</c:v>
                </c:pt>
                <c:pt idx="415">
                  <c:v>2886</c:v>
                </c:pt>
                <c:pt idx="416">
                  <c:v>2886</c:v>
                </c:pt>
                <c:pt idx="417">
                  <c:v>2954</c:v>
                </c:pt>
                <c:pt idx="418">
                  <c:v>2948</c:v>
                </c:pt>
                <c:pt idx="419">
                  <c:v>2814</c:v>
                </c:pt>
                <c:pt idx="420">
                  <c:v>2936</c:v>
                </c:pt>
                <c:pt idx="421">
                  <c:v>2900</c:v>
                </c:pt>
                <c:pt idx="422">
                  <c:v>3000</c:v>
                </c:pt>
                <c:pt idx="423">
                  <c:v>2936</c:v>
                </c:pt>
                <c:pt idx="424">
                  <c:v>2888</c:v>
                </c:pt>
                <c:pt idx="425">
                  <c:v>2910</c:v>
                </c:pt>
                <c:pt idx="426">
                  <c:v>2906</c:v>
                </c:pt>
                <c:pt idx="427">
                  <c:v>2880</c:v>
                </c:pt>
                <c:pt idx="428">
                  <c:v>2830</c:v>
                </c:pt>
                <c:pt idx="429">
                  <c:v>2794</c:v>
                </c:pt>
                <c:pt idx="430">
                  <c:v>2840</c:v>
                </c:pt>
                <c:pt idx="431">
                  <c:v>2928</c:v>
                </c:pt>
                <c:pt idx="432">
                  <c:v>2888</c:v>
                </c:pt>
                <c:pt idx="433">
                  <c:v>2784</c:v>
                </c:pt>
                <c:pt idx="434">
                  <c:v>3042</c:v>
                </c:pt>
                <c:pt idx="435">
                  <c:v>3020</c:v>
                </c:pt>
                <c:pt idx="436">
                  <c:v>2944</c:v>
                </c:pt>
                <c:pt idx="437">
                  <c:v>2900</c:v>
                </c:pt>
                <c:pt idx="438">
                  <c:v>2838</c:v>
                </c:pt>
                <c:pt idx="439">
                  <c:v>2846</c:v>
                </c:pt>
                <c:pt idx="440">
                  <c:v>2872</c:v>
                </c:pt>
                <c:pt idx="441">
                  <c:v>2914</c:v>
                </c:pt>
                <c:pt idx="442">
                  <c:v>2888</c:v>
                </c:pt>
                <c:pt idx="443">
                  <c:v>2902</c:v>
                </c:pt>
                <c:pt idx="444">
                  <c:v>2932</c:v>
                </c:pt>
                <c:pt idx="445">
                  <c:v>2950</c:v>
                </c:pt>
                <c:pt idx="446">
                  <c:v>2912</c:v>
                </c:pt>
                <c:pt idx="447">
                  <c:v>2918</c:v>
                </c:pt>
                <c:pt idx="448">
                  <c:v>2970</c:v>
                </c:pt>
                <c:pt idx="449">
                  <c:v>2992</c:v>
                </c:pt>
                <c:pt idx="450">
                  <c:v>2912</c:v>
                </c:pt>
                <c:pt idx="451">
                  <c:v>2926</c:v>
                </c:pt>
                <c:pt idx="452">
                  <c:v>2930</c:v>
                </c:pt>
                <c:pt idx="453">
                  <c:v>2914</c:v>
                </c:pt>
                <c:pt idx="454">
                  <c:v>3030</c:v>
                </c:pt>
                <c:pt idx="455">
                  <c:v>2900</c:v>
                </c:pt>
                <c:pt idx="456">
                  <c:v>2892</c:v>
                </c:pt>
                <c:pt idx="457">
                  <c:v>2900</c:v>
                </c:pt>
                <c:pt idx="458">
                  <c:v>2900</c:v>
                </c:pt>
                <c:pt idx="459">
                  <c:v>2794</c:v>
                </c:pt>
                <c:pt idx="460">
                  <c:v>2622</c:v>
                </c:pt>
                <c:pt idx="461">
                  <c:v>2662</c:v>
                </c:pt>
                <c:pt idx="462">
                  <c:v>2746</c:v>
                </c:pt>
                <c:pt idx="463">
                  <c:v>2802</c:v>
                </c:pt>
                <c:pt idx="464">
                  <c:v>2798</c:v>
                </c:pt>
                <c:pt idx="465">
                  <c:v>2842</c:v>
                </c:pt>
                <c:pt idx="466">
                  <c:v>2798</c:v>
                </c:pt>
                <c:pt idx="467">
                  <c:v>2770</c:v>
                </c:pt>
                <c:pt idx="468">
                  <c:v>2658</c:v>
                </c:pt>
                <c:pt idx="469">
                  <c:v>2516</c:v>
                </c:pt>
                <c:pt idx="470">
                  <c:v>2560</c:v>
                </c:pt>
                <c:pt idx="471">
                  <c:v>2504</c:v>
                </c:pt>
                <c:pt idx="472">
                  <c:v>2756</c:v>
                </c:pt>
                <c:pt idx="473">
                  <c:v>2872</c:v>
                </c:pt>
                <c:pt idx="474">
                  <c:v>2842</c:v>
                </c:pt>
                <c:pt idx="475">
                  <c:v>2700</c:v>
                </c:pt>
                <c:pt idx="476">
                  <c:v>2716</c:v>
                </c:pt>
                <c:pt idx="477">
                  <c:v>2870</c:v>
                </c:pt>
                <c:pt idx="478">
                  <c:v>2834</c:v>
                </c:pt>
                <c:pt idx="479">
                  <c:v>2800</c:v>
                </c:pt>
                <c:pt idx="480">
                  <c:v>2828</c:v>
                </c:pt>
                <c:pt idx="481">
                  <c:v>2740</c:v>
                </c:pt>
                <c:pt idx="482">
                  <c:v>2792</c:v>
                </c:pt>
                <c:pt idx="483">
                  <c:v>2770</c:v>
                </c:pt>
                <c:pt idx="484">
                  <c:v>2878</c:v>
                </c:pt>
                <c:pt idx="485">
                  <c:v>2928</c:v>
                </c:pt>
                <c:pt idx="486">
                  <c:v>2990</c:v>
                </c:pt>
                <c:pt idx="487">
                  <c:v>3028</c:v>
                </c:pt>
                <c:pt idx="488">
                  <c:v>3032</c:v>
                </c:pt>
                <c:pt idx="489">
                  <c:v>2910</c:v>
                </c:pt>
                <c:pt idx="490">
                  <c:v>3058</c:v>
                </c:pt>
                <c:pt idx="491">
                  <c:v>3070</c:v>
                </c:pt>
                <c:pt idx="492">
                  <c:v>2980</c:v>
                </c:pt>
                <c:pt idx="493">
                  <c:v>3000</c:v>
                </c:pt>
                <c:pt idx="494">
                  <c:v>3010</c:v>
                </c:pt>
                <c:pt idx="495">
                  <c:v>3060</c:v>
                </c:pt>
                <c:pt idx="496">
                  <c:v>3104</c:v>
                </c:pt>
                <c:pt idx="497">
                  <c:v>3156</c:v>
                </c:pt>
                <c:pt idx="498">
                  <c:v>3072</c:v>
                </c:pt>
                <c:pt idx="499">
                  <c:v>3000</c:v>
                </c:pt>
                <c:pt idx="500">
                  <c:v>2888</c:v>
                </c:pt>
                <c:pt idx="501">
                  <c:v>2800</c:v>
                </c:pt>
                <c:pt idx="502">
                  <c:v>2800</c:v>
                </c:pt>
                <c:pt idx="503">
                  <c:v>2784</c:v>
                </c:pt>
                <c:pt idx="504">
                  <c:v>2750</c:v>
                </c:pt>
                <c:pt idx="505">
                  <c:v>2744</c:v>
                </c:pt>
                <c:pt idx="506">
                  <c:v>2850</c:v>
                </c:pt>
                <c:pt idx="507">
                  <c:v>2940</c:v>
                </c:pt>
                <c:pt idx="508">
                  <c:v>2908</c:v>
                </c:pt>
                <c:pt idx="509">
                  <c:v>2930</c:v>
                </c:pt>
                <c:pt idx="510">
                  <c:v>2950</c:v>
                </c:pt>
                <c:pt idx="511">
                  <c:v>2894</c:v>
                </c:pt>
                <c:pt idx="512">
                  <c:v>2802</c:v>
                </c:pt>
                <c:pt idx="513">
                  <c:v>2810</c:v>
                </c:pt>
                <c:pt idx="514">
                  <c:v>2790</c:v>
                </c:pt>
                <c:pt idx="515">
                  <c:v>2800</c:v>
                </c:pt>
                <c:pt idx="516">
                  <c:v>2650</c:v>
                </c:pt>
                <c:pt idx="517">
                  <c:v>2634</c:v>
                </c:pt>
                <c:pt idx="518">
                  <c:v>2560</c:v>
                </c:pt>
                <c:pt idx="519">
                  <c:v>2646</c:v>
                </c:pt>
                <c:pt idx="520">
                  <c:v>2640</c:v>
                </c:pt>
                <c:pt idx="521">
                  <c:v>2590</c:v>
                </c:pt>
                <c:pt idx="522">
                  <c:v>2554</c:v>
                </c:pt>
                <c:pt idx="523">
                  <c:v>2644</c:v>
                </c:pt>
                <c:pt idx="524">
                  <c:v>2640</c:v>
                </c:pt>
                <c:pt idx="525">
                  <c:v>2604</c:v>
                </c:pt>
                <c:pt idx="526">
                  <c:v>2512</c:v>
                </c:pt>
                <c:pt idx="527">
                  <c:v>2500</c:v>
                </c:pt>
                <c:pt idx="528">
                  <c:v>2448</c:v>
                </c:pt>
                <c:pt idx="529">
                  <c:v>2444</c:v>
                </c:pt>
                <c:pt idx="530">
                  <c:v>2590</c:v>
                </c:pt>
                <c:pt idx="531">
                  <c:v>2460</c:v>
                </c:pt>
                <c:pt idx="532">
                  <c:v>2340</c:v>
                </c:pt>
                <c:pt idx="533">
                  <c:v>2522</c:v>
                </c:pt>
                <c:pt idx="534">
                  <c:v>2562</c:v>
                </c:pt>
                <c:pt idx="535">
                  <c:v>2558</c:v>
                </c:pt>
                <c:pt idx="536">
                  <c:v>2614</c:v>
                </c:pt>
                <c:pt idx="537">
                  <c:v>2652</c:v>
                </c:pt>
                <c:pt idx="538">
                  <c:v>2662</c:v>
                </c:pt>
                <c:pt idx="539">
                  <c:v>2648</c:v>
                </c:pt>
                <c:pt idx="540">
                  <c:v>2648</c:v>
                </c:pt>
                <c:pt idx="541">
                  <c:v>2670</c:v>
                </c:pt>
                <c:pt idx="542">
                  <c:v>2670</c:v>
                </c:pt>
                <c:pt idx="543">
                  <c:v>2702</c:v>
                </c:pt>
                <c:pt idx="544">
                  <c:v>2710</c:v>
                </c:pt>
                <c:pt idx="545">
                  <c:v>2662</c:v>
                </c:pt>
                <c:pt idx="546">
                  <c:v>2678</c:v>
                </c:pt>
                <c:pt idx="547">
                  <c:v>2682</c:v>
                </c:pt>
                <c:pt idx="548">
                  <c:v>2710</c:v>
                </c:pt>
                <c:pt idx="549">
                  <c:v>2700</c:v>
                </c:pt>
                <c:pt idx="550">
                  <c:v>2750</c:v>
                </c:pt>
                <c:pt idx="551">
                  <c:v>2728</c:v>
                </c:pt>
                <c:pt idx="552">
                  <c:v>2750</c:v>
                </c:pt>
                <c:pt idx="553">
                  <c:v>2670</c:v>
                </c:pt>
                <c:pt idx="554">
                  <c:v>2660</c:v>
                </c:pt>
                <c:pt idx="555">
                  <c:v>2620</c:v>
                </c:pt>
                <c:pt idx="556">
                  <c:v>2684</c:v>
                </c:pt>
                <c:pt idx="557">
                  <c:v>2652</c:v>
                </c:pt>
                <c:pt idx="558">
                  <c:v>2660</c:v>
                </c:pt>
                <c:pt idx="559">
                  <c:v>2624</c:v>
                </c:pt>
                <c:pt idx="560">
                  <c:v>2668</c:v>
                </c:pt>
                <c:pt idx="561">
                  <c:v>2652</c:v>
                </c:pt>
                <c:pt idx="562">
                  <c:v>2686</c:v>
                </c:pt>
                <c:pt idx="563">
                  <c:v>2690</c:v>
                </c:pt>
                <c:pt idx="564">
                  <c:v>2648</c:v>
                </c:pt>
                <c:pt idx="565">
                  <c:v>2636</c:v>
                </c:pt>
                <c:pt idx="566">
                  <c:v>2600</c:v>
                </c:pt>
                <c:pt idx="567">
                  <c:v>2610</c:v>
                </c:pt>
                <c:pt idx="568">
                  <c:v>2618</c:v>
                </c:pt>
                <c:pt idx="569">
                  <c:v>2600</c:v>
                </c:pt>
                <c:pt idx="570">
                  <c:v>2584</c:v>
                </c:pt>
                <c:pt idx="571">
                  <c:v>2520</c:v>
                </c:pt>
                <c:pt idx="572">
                  <c:v>2500</c:v>
                </c:pt>
                <c:pt idx="573">
                  <c:v>2440</c:v>
                </c:pt>
                <c:pt idx="574">
                  <c:v>2454</c:v>
                </c:pt>
                <c:pt idx="575">
                  <c:v>2470</c:v>
                </c:pt>
                <c:pt idx="576">
                  <c:v>2470</c:v>
                </c:pt>
                <c:pt idx="577">
                  <c:v>2440</c:v>
                </c:pt>
                <c:pt idx="578">
                  <c:v>2438</c:v>
                </c:pt>
                <c:pt idx="579">
                  <c:v>2450</c:v>
                </c:pt>
                <c:pt idx="580">
                  <c:v>2440</c:v>
                </c:pt>
                <c:pt idx="581">
                  <c:v>2420</c:v>
                </c:pt>
                <c:pt idx="582">
                  <c:v>2430</c:v>
                </c:pt>
                <c:pt idx="583">
                  <c:v>2422</c:v>
                </c:pt>
                <c:pt idx="584">
                  <c:v>2446</c:v>
                </c:pt>
                <c:pt idx="585">
                  <c:v>2456</c:v>
                </c:pt>
                <c:pt idx="586">
                  <c:v>2454</c:v>
                </c:pt>
                <c:pt idx="587">
                  <c:v>2456</c:v>
                </c:pt>
                <c:pt idx="588">
                  <c:v>2434</c:v>
                </c:pt>
                <c:pt idx="589">
                  <c:v>2410</c:v>
                </c:pt>
                <c:pt idx="590">
                  <c:v>2434</c:v>
                </c:pt>
                <c:pt idx="591">
                  <c:v>2446</c:v>
                </c:pt>
                <c:pt idx="592">
                  <c:v>2416</c:v>
                </c:pt>
                <c:pt idx="593">
                  <c:v>2440</c:v>
                </c:pt>
                <c:pt idx="594">
                  <c:v>2450</c:v>
                </c:pt>
                <c:pt idx="595">
                  <c:v>2474</c:v>
                </c:pt>
                <c:pt idx="596">
                  <c:v>2538</c:v>
                </c:pt>
                <c:pt idx="597">
                  <c:v>2546</c:v>
                </c:pt>
                <c:pt idx="598">
                  <c:v>2430</c:v>
                </c:pt>
                <c:pt idx="599">
                  <c:v>2436</c:v>
                </c:pt>
                <c:pt idx="600">
                  <c:v>2518</c:v>
                </c:pt>
                <c:pt idx="601">
                  <c:v>2508</c:v>
                </c:pt>
                <c:pt idx="602">
                  <c:v>2502</c:v>
                </c:pt>
                <c:pt idx="603">
                  <c:v>2516</c:v>
                </c:pt>
                <c:pt idx="604">
                  <c:v>2468</c:v>
                </c:pt>
                <c:pt idx="605">
                  <c:v>2550</c:v>
                </c:pt>
                <c:pt idx="606">
                  <c:v>2678</c:v>
                </c:pt>
                <c:pt idx="607">
                  <c:v>2724</c:v>
                </c:pt>
                <c:pt idx="608">
                  <c:v>2700</c:v>
                </c:pt>
                <c:pt idx="609">
                  <c:v>2756</c:v>
                </c:pt>
                <c:pt idx="610">
                  <c:v>2794</c:v>
                </c:pt>
                <c:pt idx="611">
                  <c:v>2730</c:v>
                </c:pt>
                <c:pt idx="612">
                  <c:v>2676</c:v>
                </c:pt>
                <c:pt idx="613">
                  <c:v>2660</c:v>
                </c:pt>
                <c:pt idx="614">
                  <c:v>2654</c:v>
                </c:pt>
                <c:pt idx="615">
                  <c:v>2730</c:v>
                </c:pt>
                <c:pt idx="616">
                  <c:v>2746</c:v>
                </c:pt>
                <c:pt idx="617">
                  <c:v>2748</c:v>
                </c:pt>
                <c:pt idx="618">
                  <c:v>2770</c:v>
                </c:pt>
                <c:pt idx="619">
                  <c:v>2760</c:v>
                </c:pt>
                <c:pt idx="620">
                  <c:v>2720</c:v>
                </c:pt>
                <c:pt idx="621">
                  <c:v>2728</c:v>
                </c:pt>
                <c:pt idx="622">
                  <c:v>2720</c:v>
                </c:pt>
                <c:pt idx="623">
                  <c:v>2738</c:v>
                </c:pt>
                <c:pt idx="624">
                  <c:v>2768</c:v>
                </c:pt>
                <c:pt idx="625">
                  <c:v>2694</c:v>
                </c:pt>
                <c:pt idx="626">
                  <c:v>2740</c:v>
                </c:pt>
                <c:pt idx="627">
                  <c:v>2708</c:v>
                </c:pt>
                <c:pt idx="628">
                  <c:v>2684</c:v>
                </c:pt>
                <c:pt idx="629">
                  <c:v>2680</c:v>
                </c:pt>
                <c:pt idx="630">
                  <c:v>2688</c:v>
                </c:pt>
                <c:pt idx="631">
                  <c:v>2660</c:v>
                </c:pt>
                <c:pt idx="632">
                  <c:v>2606</c:v>
                </c:pt>
                <c:pt idx="633">
                  <c:v>2594</c:v>
                </c:pt>
                <c:pt idx="634">
                  <c:v>2584</c:v>
                </c:pt>
                <c:pt idx="635">
                  <c:v>2538</c:v>
                </c:pt>
                <c:pt idx="636">
                  <c:v>2476</c:v>
                </c:pt>
                <c:pt idx="637">
                  <c:v>2462</c:v>
                </c:pt>
                <c:pt idx="638">
                  <c:v>2460</c:v>
                </c:pt>
                <c:pt idx="639">
                  <c:v>2446</c:v>
                </c:pt>
                <c:pt idx="640">
                  <c:v>2410</c:v>
                </c:pt>
                <c:pt idx="641">
                  <c:v>2364</c:v>
                </c:pt>
                <c:pt idx="642">
                  <c:v>2378</c:v>
                </c:pt>
                <c:pt idx="643">
                  <c:v>2436</c:v>
                </c:pt>
                <c:pt idx="644">
                  <c:v>2438</c:v>
                </c:pt>
                <c:pt idx="645">
                  <c:v>2444</c:v>
                </c:pt>
                <c:pt idx="646">
                  <c:v>2396</c:v>
                </c:pt>
                <c:pt idx="647">
                  <c:v>2398</c:v>
                </c:pt>
                <c:pt idx="648">
                  <c:v>2400</c:v>
                </c:pt>
                <c:pt idx="649">
                  <c:v>2400</c:v>
                </c:pt>
                <c:pt idx="650">
                  <c:v>2408</c:v>
                </c:pt>
                <c:pt idx="651">
                  <c:v>2400</c:v>
                </c:pt>
                <c:pt idx="652">
                  <c:v>2410</c:v>
                </c:pt>
                <c:pt idx="653">
                  <c:v>2420</c:v>
                </c:pt>
                <c:pt idx="654">
                  <c:v>2410</c:v>
                </c:pt>
                <c:pt idx="655">
                  <c:v>2424</c:v>
                </c:pt>
                <c:pt idx="656">
                  <c:v>2424</c:v>
                </c:pt>
                <c:pt idx="657">
                  <c:v>2420</c:v>
                </c:pt>
                <c:pt idx="658">
                  <c:v>2398</c:v>
                </c:pt>
                <c:pt idx="659">
                  <c:v>2372</c:v>
                </c:pt>
                <c:pt idx="660">
                  <c:v>2406</c:v>
                </c:pt>
                <c:pt idx="661">
                  <c:v>2400</c:v>
                </c:pt>
                <c:pt idx="662">
                  <c:v>2406</c:v>
                </c:pt>
                <c:pt idx="663">
                  <c:v>2362</c:v>
                </c:pt>
                <c:pt idx="664">
                  <c:v>2408</c:v>
                </c:pt>
                <c:pt idx="665">
                  <c:v>2414</c:v>
                </c:pt>
                <c:pt idx="666">
                  <c:v>2390</c:v>
                </c:pt>
                <c:pt idx="667">
                  <c:v>2430</c:v>
                </c:pt>
                <c:pt idx="668">
                  <c:v>2430</c:v>
                </c:pt>
                <c:pt idx="669">
                  <c:v>2446</c:v>
                </c:pt>
                <c:pt idx="670">
                  <c:v>2402</c:v>
                </c:pt>
                <c:pt idx="671">
                  <c:v>2498</c:v>
                </c:pt>
                <c:pt idx="672">
                  <c:v>2528</c:v>
                </c:pt>
                <c:pt idx="673">
                  <c:v>2490</c:v>
                </c:pt>
                <c:pt idx="674">
                  <c:v>2490</c:v>
                </c:pt>
                <c:pt idx="675">
                  <c:v>2422</c:v>
                </c:pt>
                <c:pt idx="676">
                  <c:v>2404</c:v>
                </c:pt>
                <c:pt idx="677">
                  <c:v>2410</c:v>
                </c:pt>
                <c:pt idx="678">
                  <c:v>2384</c:v>
                </c:pt>
                <c:pt idx="679">
                  <c:v>2386</c:v>
                </c:pt>
                <c:pt idx="680">
                  <c:v>2338</c:v>
                </c:pt>
                <c:pt idx="681">
                  <c:v>2348</c:v>
                </c:pt>
                <c:pt idx="682">
                  <c:v>2370</c:v>
                </c:pt>
                <c:pt idx="683">
                  <c:v>2388</c:v>
                </c:pt>
                <c:pt idx="684">
                  <c:v>2356</c:v>
                </c:pt>
                <c:pt idx="685">
                  <c:v>2308</c:v>
                </c:pt>
                <c:pt idx="686">
                  <c:v>2302</c:v>
                </c:pt>
                <c:pt idx="687">
                  <c:v>2394</c:v>
                </c:pt>
                <c:pt idx="688">
                  <c:v>2390</c:v>
                </c:pt>
                <c:pt idx="689">
                  <c:v>2402</c:v>
                </c:pt>
                <c:pt idx="690">
                  <c:v>2416</c:v>
                </c:pt>
                <c:pt idx="691">
                  <c:v>2364</c:v>
                </c:pt>
                <c:pt idx="692">
                  <c:v>2378</c:v>
                </c:pt>
                <c:pt idx="693">
                  <c:v>2368</c:v>
                </c:pt>
                <c:pt idx="694">
                  <c:v>2402</c:v>
                </c:pt>
                <c:pt idx="695">
                  <c:v>2398</c:v>
                </c:pt>
                <c:pt idx="696">
                  <c:v>2378</c:v>
                </c:pt>
                <c:pt idx="697">
                  <c:v>2380</c:v>
                </c:pt>
                <c:pt idx="698">
                  <c:v>2374</c:v>
                </c:pt>
                <c:pt idx="699">
                  <c:v>2358</c:v>
                </c:pt>
                <c:pt idx="700">
                  <c:v>2376</c:v>
                </c:pt>
                <c:pt idx="701">
                  <c:v>2400</c:v>
                </c:pt>
                <c:pt idx="702">
                  <c:v>2398</c:v>
                </c:pt>
                <c:pt idx="703">
                  <c:v>2400</c:v>
                </c:pt>
                <c:pt idx="704">
                  <c:v>2404</c:v>
                </c:pt>
                <c:pt idx="705">
                  <c:v>2378</c:v>
                </c:pt>
                <c:pt idx="706">
                  <c:v>2340</c:v>
                </c:pt>
                <c:pt idx="707">
                  <c:v>2320</c:v>
                </c:pt>
                <c:pt idx="708">
                  <c:v>2394</c:v>
                </c:pt>
                <c:pt idx="709">
                  <c:v>2414</c:v>
                </c:pt>
                <c:pt idx="710">
                  <c:v>2444</c:v>
                </c:pt>
                <c:pt idx="711">
                  <c:v>2426</c:v>
                </c:pt>
                <c:pt idx="712">
                  <c:v>2438</c:v>
                </c:pt>
                <c:pt idx="713">
                  <c:v>2388</c:v>
                </c:pt>
                <c:pt idx="714">
                  <c:v>2392</c:v>
                </c:pt>
                <c:pt idx="715">
                  <c:v>2388</c:v>
                </c:pt>
                <c:pt idx="716">
                  <c:v>2390</c:v>
                </c:pt>
                <c:pt idx="717">
                  <c:v>2420</c:v>
                </c:pt>
                <c:pt idx="718">
                  <c:v>2394</c:v>
                </c:pt>
                <c:pt idx="719">
                  <c:v>2380</c:v>
                </c:pt>
                <c:pt idx="720">
                  <c:v>2330</c:v>
                </c:pt>
                <c:pt idx="721">
                  <c:v>2310</c:v>
                </c:pt>
                <c:pt idx="722">
                  <c:v>2294</c:v>
                </c:pt>
                <c:pt idx="723">
                  <c:v>2264</c:v>
                </c:pt>
                <c:pt idx="724">
                  <c:v>2270</c:v>
                </c:pt>
                <c:pt idx="725">
                  <c:v>2254</c:v>
                </c:pt>
                <c:pt idx="726">
                  <c:v>2274</c:v>
                </c:pt>
                <c:pt idx="727">
                  <c:v>2286</c:v>
                </c:pt>
                <c:pt idx="728">
                  <c:v>2250</c:v>
                </c:pt>
                <c:pt idx="729">
                  <c:v>2278</c:v>
                </c:pt>
                <c:pt idx="730">
                  <c:v>2278</c:v>
                </c:pt>
                <c:pt idx="731">
                  <c:v>2284</c:v>
                </c:pt>
                <c:pt idx="732">
                  <c:v>2260</c:v>
                </c:pt>
                <c:pt idx="733">
                  <c:v>2200</c:v>
                </c:pt>
                <c:pt idx="734">
                  <c:v>2208</c:v>
                </c:pt>
                <c:pt idx="735">
                  <c:v>2244</c:v>
                </c:pt>
                <c:pt idx="736">
                  <c:v>2198</c:v>
                </c:pt>
                <c:pt idx="737">
                  <c:v>2154</c:v>
                </c:pt>
                <c:pt idx="738">
                  <c:v>2160</c:v>
                </c:pt>
                <c:pt idx="739">
                  <c:v>2140</c:v>
                </c:pt>
                <c:pt idx="740">
                  <c:v>2066</c:v>
                </c:pt>
                <c:pt idx="741">
                  <c:v>2070</c:v>
                </c:pt>
                <c:pt idx="742">
                  <c:v>2112</c:v>
                </c:pt>
                <c:pt idx="743">
                  <c:v>2104</c:v>
                </c:pt>
                <c:pt idx="744">
                  <c:v>2056</c:v>
                </c:pt>
                <c:pt idx="745">
                  <c:v>2060</c:v>
                </c:pt>
                <c:pt idx="746">
                  <c:v>2024</c:v>
                </c:pt>
                <c:pt idx="747">
                  <c:v>2046</c:v>
                </c:pt>
                <c:pt idx="748">
                  <c:v>2046</c:v>
                </c:pt>
                <c:pt idx="749">
                  <c:v>2044</c:v>
                </c:pt>
                <c:pt idx="750">
                  <c:v>2030</c:v>
                </c:pt>
                <c:pt idx="751">
                  <c:v>2072</c:v>
                </c:pt>
                <c:pt idx="752">
                  <c:v>2070</c:v>
                </c:pt>
                <c:pt idx="753">
                  <c:v>2046</c:v>
                </c:pt>
                <c:pt idx="754">
                  <c:v>2080</c:v>
                </c:pt>
                <c:pt idx="755">
                  <c:v>2124</c:v>
                </c:pt>
                <c:pt idx="756">
                  <c:v>2146</c:v>
                </c:pt>
                <c:pt idx="757">
                  <c:v>2150</c:v>
                </c:pt>
                <c:pt idx="758">
                  <c:v>2172</c:v>
                </c:pt>
                <c:pt idx="759">
                  <c:v>2164</c:v>
                </c:pt>
                <c:pt idx="760">
                  <c:v>2130</c:v>
                </c:pt>
                <c:pt idx="761">
                  <c:v>2236</c:v>
                </c:pt>
                <c:pt idx="762">
                  <c:v>2274</c:v>
                </c:pt>
                <c:pt idx="763">
                  <c:v>2260</c:v>
                </c:pt>
                <c:pt idx="764">
                  <c:v>2222</c:v>
                </c:pt>
                <c:pt idx="765">
                  <c:v>2200</c:v>
                </c:pt>
                <c:pt idx="766">
                  <c:v>2184</c:v>
                </c:pt>
                <c:pt idx="767">
                  <c:v>2122</c:v>
                </c:pt>
                <c:pt idx="768">
                  <c:v>2146</c:v>
                </c:pt>
                <c:pt idx="769">
                  <c:v>2160</c:v>
                </c:pt>
                <c:pt idx="770">
                  <c:v>2200</c:v>
                </c:pt>
                <c:pt idx="771">
                  <c:v>2152</c:v>
                </c:pt>
                <c:pt idx="772">
                  <c:v>2192</c:v>
                </c:pt>
                <c:pt idx="773">
                  <c:v>2220</c:v>
                </c:pt>
                <c:pt idx="774">
                  <c:v>2214</c:v>
                </c:pt>
                <c:pt idx="775">
                  <c:v>2212</c:v>
                </c:pt>
                <c:pt idx="776">
                  <c:v>2230</c:v>
                </c:pt>
                <c:pt idx="777">
                  <c:v>2276</c:v>
                </c:pt>
                <c:pt idx="778">
                  <c:v>2210</c:v>
                </c:pt>
                <c:pt idx="779">
                  <c:v>2162</c:v>
                </c:pt>
                <c:pt idx="780">
                  <c:v>2210</c:v>
                </c:pt>
                <c:pt idx="781">
                  <c:v>2272</c:v>
                </c:pt>
                <c:pt idx="782">
                  <c:v>2270</c:v>
                </c:pt>
                <c:pt idx="783">
                  <c:v>2156</c:v>
                </c:pt>
                <c:pt idx="784">
                  <c:v>2198</c:v>
                </c:pt>
                <c:pt idx="785">
                  <c:v>2162</c:v>
                </c:pt>
                <c:pt idx="786">
                  <c:v>2150</c:v>
                </c:pt>
                <c:pt idx="787">
                  <c:v>2176</c:v>
                </c:pt>
                <c:pt idx="788">
                  <c:v>2226</c:v>
                </c:pt>
                <c:pt idx="789">
                  <c:v>2240</c:v>
                </c:pt>
                <c:pt idx="790">
                  <c:v>2240</c:v>
                </c:pt>
                <c:pt idx="791">
                  <c:v>2290</c:v>
                </c:pt>
                <c:pt idx="792">
                  <c:v>2256</c:v>
                </c:pt>
                <c:pt idx="793">
                  <c:v>2234</c:v>
                </c:pt>
                <c:pt idx="794">
                  <c:v>2216</c:v>
                </c:pt>
                <c:pt idx="795">
                  <c:v>2290</c:v>
                </c:pt>
                <c:pt idx="796">
                  <c:v>2332</c:v>
                </c:pt>
                <c:pt idx="797">
                  <c:v>2278</c:v>
                </c:pt>
                <c:pt idx="798">
                  <c:v>2260</c:v>
                </c:pt>
                <c:pt idx="799">
                  <c:v>2260</c:v>
                </c:pt>
                <c:pt idx="800">
                  <c:v>2230</c:v>
                </c:pt>
                <c:pt idx="801">
                  <c:v>2250</c:v>
                </c:pt>
                <c:pt idx="802">
                  <c:v>2220</c:v>
                </c:pt>
                <c:pt idx="803">
                  <c:v>2220</c:v>
                </c:pt>
                <c:pt idx="804">
                  <c:v>2246</c:v>
                </c:pt>
                <c:pt idx="805">
                  <c:v>2208</c:v>
                </c:pt>
                <c:pt idx="806">
                  <c:v>2240</c:v>
                </c:pt>
                <c:pt idx="807">
                  <c:v>2222</c:v>
                </c:pt>
                <c:pt idx="808">
                  <c:v>2238</c:v>
                </c:pt>
                <c:pt idx="809">
                  <c:v>2292</c:v>
                </c:pt>
                <c:pt idx="810">
                  <c:v>2302</c:v>
                </c:pt>
                <c:pt idx="811">
                  <c:v>2328</c:v>
                </c:pt>
                <c:pt idx="812">
                  <c:v>2380</c:v>
                </c:pt>
                <c:pt idx="813">
                  <c:v>2354</c:v>
                </c:pt>
                <c:pt idx="814">
                  <c:v>2414</c:v>
                </c:pt>
                <c:pt idx="815">
                  <c:v>2420</c:v>
                </c:pt>
                <c:pt idx="816">
                  <c:v>2412</c:v>
                </c:pt>
                <c:pt idx="817">
                  <c:v>2444</c:v>
                </c:pt>
                <c:pt idx="818">
                  <c:v>2446</c:v>
                </c:pt>
                <c:pt idx="819">
                  <c:v>2426</c:v>
                </c:pt>
                <c:pt idx="820">
                  <c:v>2328</c:v>
                </c:pt>
                <c:pt idx="821">
                  <c:v>2220</c:v>
                </c:pt>
                <c:pt idx="822">
                  <c:v>2218</c:v>
                </c:pt>
                <c:pt idx="823">
                  <c:v>2190</c:v>
                </c:pt>
                <c:pt idx="824">
                  <c:v>2188</c:v>
                </c:pt>
                <c:pt idx="825">
                  <c:v>2194</c:v>
                </c:pt>
                <c:pt idx="826">
                  <c:v>2140</c:v>
                </c:pt>
                <c:pt idx="827">
                  <c:v>2100</c:v>
                </c:pt>
                <c:pt idx="828">
                  <c:v>2060</c:v>
                </c:pt>
                <c:pt idx="829">
                  <c:v>2120</c:v>
                </c:pt>
                <c:pt idx="830">
                  <c:v>2172</c:v>
                </c:pt>
                <c:pt idx="831">
                  <c:v>2172</c:v>
                </c:pt>
                <c:pt idx="832">
                  <c:v>2182</c:v>
                </c:pt>
                <c:pt idx="833">
                  <c:v>2206</c:v>
                </c:pt>
                <c:pt idx="834">
                  <c:v>2140</c:v>
                </c:pt>
                <c:pt idx="835">
                  <c:v>2106</c:v>
                </c:pt>
                <c:pt idx="836">
                  <c:v>2066</c:v>
                </c:pt>
                <c:pt idx="837">
                  <c:v>1998</c:v>
                </c:pt>
                <c:pt idx="838">
                  <c:v>2002</c:v>
                </c:pt>
                <c:pt idx="839">
                  <c:v>2016</c:v>
                </c:pt>
                <c:pt idx="840">
                  <c:v>1980</c:v>
                </c:pt>
                <c:pt idx="841">
                  <c:v>2036</c:v>
                </c:pt>
                <c:pt idx="842">
                  <c:v>2012</c:v>
                </c:pt>
                <c:pt idx="843">
                  <c:v>2014</c:v>
                </c:pt>
                <c:pt idx="844">
                  <c:v>2084</c:v>
                </c:pt>
                <c:pt idx="845">
                  <c:v>2050</c:v>
                </c:pt>
                <c:pt idx="846">
                  <c:v>2068</c:v>
                </c:pt>
                <c:pt idx="847">
                  <c:v>2070</c:v>
                </c:pt>
                <c:pt idx="848">
                  <c:v>2012</c:v>
                </c:pt>
                <c:pt idx="849">
                  <c:v>1999</c:v>
                </c:pt>
                <c:pt idx="850">
                  <c:v>1979</c:v>
                </c:pt>
                <c:pt idx="851">
                  <c:v>2012</c:v>
                </c:pt>
                <c:pt idx="852">
                  <c:v>1974</c:v>
                </c:pt>
                <c:pt idx="853">
                  <c:v>1917</c:v>
                </c:pt>
                <c:pt idx="854">
                  <c:v>1895</c:v>
                </c:pt>
                <c:pt idx="855">
                  <c:v>1875</c:v>
                </c:pt>
                <c:pt idx="856">
                  <c:v>1896</c:v>
                </c:pt>
                <c:pt idx="857">
                  <c:v>1848</c:v>
                </c:pt>
                <c:pt idx="858">
                  <c:v>1720</c:v>
                </c:pt>
                <c:pt idx="859">
                  <c:v>1646</c:v>
                </c:pt>
                <c:pt idx="860">
                  <c:v>1623</c:v>
                </c:pt>
                <c:pt idx="861">
                  <c:v>1618</c:v>
                </c:pt>
                <c:pt idx="862">
                  <c:v>1560</c:v>
                </c:pt>
                <c:pt idx="863">
                  <c:v>1520</c:v>
                </c:pt>
                <c:pt idx="864">
                  <c:v>1527</c:v>
                </c:pt>
                <c:pt idx="865">
                  <c:v>1514</c:v>
                </c:pt>
                <c:pt idx="866">
                  <c:v>1538</c:v>
                </c:pt>
                <c:pt idx="867">
                  <c:v>1575</c:v>
                </c:pt>
                <c:pt idx="868">
                  <c:v>1561</c:v>
                </c:pt>
                <c:pt idx="869">
                  <c:v>1620</c:v>
                </c:pt>
                <c:pt idx="870">
                  <c:v>1629</c:v>
                </c:pt>
                <c:pt idx="871">
                  <c:v>1636</c:v>
                </c:pt>
                <c:pt idx="872">
                  <c:v>1674</c:v>
                </c:pt>
                <c:pt idx="873">
                  <c:v>1665</c:v>
                </c:pt>
                <c:pt idx="874">
                  <c:v>1656</c:v>
                </c:pt>
                <c:pt idx="875">
                  <c:v>1654</c:v>
                </c:pt>
                <c:pt idx="876">
                  <c:v>1640</c:v>
                </c:pt>
                <c:pt idx="877">
                  <c:v>1605</c:v>
                </c:pt>
                <c:pt idx="878">
                  <c:v>1670</c:v>
                </c:pt>
                <c:pt idx="879">
                  <c:v>1670</c:v>
                </c:pt>
                <c:pt idx="880">
                  <c:v>1640</c:v>
                </c:pt>
                <c:pt idx="881">
                  <c:v>1671</c:v>
                </c:pt>
                <c:pt idx="882">
                  <c:v>1675</c:v>
                </c:pt>
                <c:pt idx="883">
                  <c:v>1666</c:v>
                </c:pt>
                <c:pt idx="884">
                  <c:v>1690</c:v>
                </c:pt>
                <c:pt idx="885">
                  <c:v>1691</c:v>
                </c:pt>
                <c:pt idx="886">
                  <c:v>1653</c:v>
                </c:pt>
                <c:pt idx="887">
                  <c:v>1664</c:v>
                </c:pt>
                <c:pt idx="888">
                  <c:v>1559</c:v>
                </c:pt>
                <c:pt idx="889">
                  <c:v>1552</c:v>
                </c:pt>
                <c:pt idx="890">
                  <c:v>1618</c:v>
                </c:pt>
                <c:pt idx="891">
                  <c:v>1635</c:v>
                </c:pt>
                <c:pt idx="892">
                  <c:v>1599</c:v>
                </c:pt>
                <c:pt idx="893">
                  <c:v>1630</c:v>
                </c:pt>
                <c:pt idx="894">
                  <c:v>1620</c:v>
                </c:pt>
                <c:pt idx="895">
                  <c:v>1620</c:v>
                </c:pt>
                <c:pt idx="896">
                  <c:v>1615</c:v>
                </c:pt>
                <c:pt idx="897">
                  <c:v>1647</c:v>
                </c:pt>
                <c:pt idx="898">
                  <c:v>1669</c:v>
                </c:pt>
                <c:pt idx="899">
                  <c:v>1677</c:v>
                </c:pt>
                <c:pt idx="900">
                  <c:v>1664</c:v>
                </c:pt>
                <c:pt idx="901">
                  <c:v>1644</c:v>
                </c:pt>
                <c:pt idx="902">
                  <c:v>1703</c:v>
                </c:pt>
                <c:pt idx="903">
                  <c:v>1691</c:v>
                </c:pt>
                <c:pt idx="904">
                  <c:v>1675</c:v>
                </c:pt>
                <c:pt idx="905">
                  <c:v>1657</c:v>
                </c:pt>
                <c:pt idx="906">
                  <c:v>1686</c:v>
                </c:pt>
                <c:pt idx="907">
                  <c:v>1676</c:v>
                </c:pt>
                <c:pt idx="908">
                  <c:v>1670</c:v>
                </c:pt>
                <c:pt idx="909">
                  <c:v>1690</c:v>
                </c:pt>
                <c:pt idx="910">
                  <c:v>1726</c:v>
                </c:pt>
                <c:pt idx="911">
                  <c:v>1713</c:v>
                </c:pt>
                <c:pt idx="912">
                  <c:v>1710</c:v>
                </c:pt>
                <c:pt idx="913">
                  <c:v>1719</c:v>
                </c:pt>
                <c:pt idx="914">
                  <c:v>1728</c:v>
                </c:pt>
                <c:pt idx="915">
                  <c:v>1779</c:v>
                </c:pt>
                <c:pt idx="916">
                  <c:v>1770</c:v>
                </c:pt>
                <c:pt idx="917">
                  <c:v>1785</c:v>
                </c:pt>
                <c:pt idx="918">
                  <c:v>1808</c:v>
                </c:pt>
                <c:pt idx="919">
                  <c:v>1795</c:v>
                </c:pt>
                <c:pt idx="920">
                  <c:v>1810</c:v>
                </c:pt>
                <c:pt idx="921">
                  <c:v>1840</c:v>
                </c:pt>
                <c:pt idx="922">
                  <c:v>1793</c:v>
                </c:pt>
                <c:pt idx="923">
                  <c:v>1794</c:v>
                </c:pt>
                <c:pt idx="924">
                  <c:v>1707</c:v>
                </c:pt>
                <c:pt idx="925">
                  <c:v>1722</c:v>
                </c:pt>
                <c:pt idx="926">
                  <c:v>1717</c:v>
                </c:pt>
                <c:pt idx="927">
                  <c:v>1805</c:v>
                </c:pt>
                <c:pt idx="928">
                  <c:v>1770</c:v>
                </c:pt>
                <c:pt idx="929">
                  <c:v>1728</c:v>
                </c:pt>
                <c:pt idx="930">
                  <c:v>1740</c:v>
                </c:pt>
                <c:pt idx="931">
                  <c:v>1729</c:v>
                </c:pt>
                <c:pt idx="932">
                  <c:v>1774</c:v>
                </c:pt>
                <c:pt idx="933">
                  <c:v>1751</c:v>
                </c:pt>
                <c:pt idx="934">
                  <c:v>1760</c:v>
                </c:pt>
                <c:pt idx="935">
                  <c:v>1750</c:v>
                </c:pt>
                <c:pt idx="936">
                  <c:v>1775</c:v>
                </c:pt>
                <c:pt idx="937">
                  <c:v>1791</c:v>
                </c:pt>
                <c:pt idx="938">
                  <c:v>1810</c:v>
                </c:pt>
                <c:pt idx="939">
                  <c:v>1796</c:v>
                </c:pt>
                <c:pt idx="940">
                  <c:v>1794</c:v>
                </c:pt>
                <c:pt idx="941">
                  <c:v>1834</c:v>
                </c:pt>
                <c:pt idx="942">
                  <c:v>1865</c:v>
                </c:pt>
                <c:pt idx="943">
                  <c:v>1866</c:v>
                </c:pt>
                <c:pt idx="944">
                  <c:v>1822</c:v>
                </c:pt>
                <c:pt idx="945">
                  <c:v>1859</c:v>
                </c:pt>
                <c:pt idx="946">
                  <c:v>1858</c:v>
                </c:pt>
                <c:pt idx="947">
                  <c:v>1860</c:v>
                </c:pt>
                <c:pt idx="948">
                  <c:v>1821</c:v>
                </c:pt>
                <c:pt idx="949">
                  <c:v>1858</c:v>
                </c:pt>
                <c:pt idx="950">
                  <c:v>1866</c:v>
                </c:pt>
                <c:pt idx="951">
                  <c:v>1879</c:v>
                </c:pt>
                <c:pt idx="952">
                  <c:v>1903</c:v>
                </c:pt>
                <c:pt idx="953">
                  <c:v>1912</c:v>
                </c:pt>
                <c:pt idx="954">
                  <c:v>1933</c:v>
                </c:pt>
                <c:pt idx="955">
                  <c:v>1892</c:v>
                </c:pt>
                <c:pt idx="956">
                  <c:v>1914</c:v>
                </c:pt>
                <c:pt idx="957">
                  <c:v>1905</c:v>
                </c:pt>
                <c:pt idx="958">
                  <c:v>1928</c:v>
                </c:pt>
                <c:pt idx="959">
                  <c:v>1955</c:v>
                </c:pt>
                <c:pt idx="960">
                  <c:v>1941</c:v>
                </c:pt>
                <c:pt idx="961">
                  <c:v>1962</c:v>
                </c:pt>
                <c:pt idx="962">
                  <c:v>1950</c:v>
                </c:pt>
                <c:pt idx="963">
                  <c:v>1972</c:v>
                </c:pt>
                <c:pt idx="964">
                  <c:v>2012</c:v>
                </c:pt>
                <c:pt idx="965">
                  <c:v>2040</c:v>
                </c:pt>
                <c:pt idx="966">
                  <c:v>2000</c:v>
                </c:pt>
                <c:pt idx="967">
                  <c:v>1967</c:v>
                </c:pt>
                <c:pt idx="968">
                  <c:v>2012</c:v>
                </c:pt>
                <c:pt idx="969">
                  <c:v>1916</c:v>
                </c:pt>
                <c:pt idx="970">
                  <c:v>1970</c:v>
                </c:pt>
                <c:pt idx="971">
                  <c:v>1987</c:v>
                </c:pt>
                <c:pt idx="972">
                  <c:v>1993</c:v>
                </c:pt>
                <c:pt idx="973">
                  <c:v>2014</c:v>
                </c:pt>
                <c:pt idx="974">
                  <c:v>2000</c:v>
                </c:pt>
                <c:pt idx="975">
                  <c:v>2000</c:v>
                </c:pt>
                <c:pt idx="976">
                  <c:v>2040</c:v>
                </c:pt>
                <c:pt idx="977">
                  <c:v>2056</c:v>
                </c:pt>
                <c:pt idx="978">
                  <c:v>2056</c:v>
                </c:pt>
                <c:pt idx="979">
                  <c:v>2080</c:v>
                </c:pt>
                <c:pt idx="980">
                  <c:v>1995</c:v>
                </c:pt>
                <c:pt idx="981">
                  <c:v>1992</c:v>
                </c:pt>
                <c:pt idx="982">
                  <c:v>2000</c:v>
                </c:pt>
                <c:pt idx="983">
                  <c:v>2050</c:v>
                </c:pt>
                <c:pt idx="984">
                  <c:v>2048</c:v>
                </c:pt>
                <c:pt idx="985">
                  <c:v>2042</c:v>
                </c:pt>
                <c:pt idx="986">
                  <c:v>2046</c:v>
                </c:pt>
                <c:pt idx="987">
                  <c:v>2040</c:v>
                </c:pt>
                <c:pt idx="988">
                  <c:v>2050</c:v>
                </c:pt>
                <c:pt idx="989">
                  <c:v>2032</c:v>
                </c:pt>
                <c:pt idx="990">
                  <c:v>2042</c:v>
                </c:pt>
                <c:pt idx="991">
                  <c:v>2050</c:v>
                </c:pt>
                <c:pt idx="992">
                  <c:v>1979</c:v>
                </c:pt>
                <c:pt idx="993">
                  <c:v>2004</c:v>
                </c:pt>
                <c:pt idx="994">
                  <c:v>2010</c:v>
                </c:pt>
                <c:pt idx="995">
                  <c:v>2010</c:v>
                </c:pt>
                <c:pt idx="996">
                  <c:v>1990</c:v>
                </c:pt>
                <c:pt idx="997">
                  <c:v>1903</c:v>
                </c:pt>
                <c:pt idx="998">
                  <c:v>2010</c:v>
                </c:pt>
                <c:pt idx="999">
                  <c:v>2076</c:v>
                </c:pt>
                <c:pt idx="1000">
                  <c:v>2020</c:v>
                </c:pt>
                <c:pt idx="1001">
                  <c:v>2030</c:v>
                </c:pt>
                <c:pt idx="1002">
                  <c:v>2190</c:v>
                </c:pt>
                <c:pt idx="1003">
                  <c:v>2044</c:v>
                </c:pt>
                <c:pt idx="1004">
                  <c:v>1941</c:v>
                </c:pt>
                <c:pt idx="1005">
                  <c:v>1910</c:v>
                </c:pt>
                <c:pt idx="1006">
                  <c:v>1968</c:v>
                </c:pt>
                <c:pt idx="1007">
                  <c:v>1885</c:v>
                </c:pt>
                <c:pt idx="1008">
                  <c:v>2000</c:v>
                </c:pt>
                <c:pt idx="1009">
                  <c:v>1889</c:v>
                </c:pt>
                <c:pt idx="1010">
                  <c:v>1930</c:v>
                </c:pt>
                <c:pt idx="1011">
                  <c:v>1849</c:v>
                </c:pt>
                <c:pt idx="1012">
                  <c:v>1885</c:v>
                </c:pt>
                <c:pt idx="1013">
                  <c:v>1867</c:v>
                </c:pt>
                <c:pt idx="1014">
                  <c:v>1908</c:v>
                </c:pt>
                <c:pt idx="1015">
                  <c:v>2000</c:v>
                </c:pt>
                <c:pt idx="1016">
                  <c:v>1871</c:v>
                </c:pt>
                <c:pt idx="1017">
                  <c:v>1842</c:v>
                </c:pt>
                <c:pt idx="1018">
                  <c:v>1625</c:v>
                </c:pt>
                <c:pt idx="1019">
                  <c:v>1502</c:v>
                </c:pt>
                <c:pt idx="1020">
                  <c:v>1690</c:v>
                </c:pt>
                <c:pt idx="1021">
                  <c:v>1720</c:v>
                </c:pt>
                <c:pt idx="1022">
                  <c:v>1850</c:v>
                </c:pt>
                <c:pt idx="1023">
                  <c:v>1796</c:v>
                </c:pt>
                <c:pt idx="1024">
                  <c:v>1916</c:v>
                </c:pt>
                <c:pt idx="1025">
                  <c:v>2022</c:v>
                </c:pt>
                <c:pt idx="1026">
                  <c:v>2000</c:v>
                </c:pt>
                <c:pt idx="1027">
                  <c:v>2268</c:v>
                </c:pt>
                <c:pt idx="1028">
                  <c:v>2360</c:v>
                </c:pt>
                <c:pt idx="1029">
                  <c:v>2472</c:v>
                </c:pt>
                <c:pt idx="1030">
                  <c:v>2530</c:v>
                </c:pt>
                <c:pt idx="1031">
                  <c:v>2438</c:v>
                </c:pt>
                <c:pt idx="1032">
                  <c:v>2364</c:v>
                </c:pt>
                <c:pt idx="1033">
                  <c:v>2458</c:v>
                </c:pt>
                <c:pt idx="1034">
                  <c:v>2520</c:v>
                </c:pt>
                <c:pt idx="1035">
                  <c:v>2488</c:v>
                </c:pt>
                <c:pt idx="1036">
                  <c:v>2550</c:v>
                </c:pt>
                <c:pt idx="1037">
                  <c:v>2696</c:v>
                </c:pt>
                <c:pt idx="1038">
                  <c:v>2656</c:v>
                </c:pt>
                <c:pt idx="1039">
                  <c:v>2668</c:v>
                </c:pt>
                <c:pt idx="1040">
                  <c:v>2640</c:v>
                </c:pt>
                <c:pt idx="1041">
                  <c:v>2602</c:v>
                </c:pt>
                <c:pt idx="1042">
                  <c:v>2556</c:v>
                </c:pt>
                <c:pt idx="1043">
                  <c:v>2560</c:v>
                </c:pt>
                <c:pt idx="1044">
                  <c:v>2560</c:v>
                </c:pt>
                <c:pt idx="1045">
                  <c:v>2600</c:v>
                </c:pt>
                <c:pt idx="1046">
                  <c:v>2634</c:v>
                </c:pt>
                <c:pt idx="1047">
                  <c:v>2644</c:v>
                </c:pt>
                <c:pt idx="1048">
                  <c:v>2652</c:v>
                </c:pt>
                <c:pt idx="1049">
                  <c:v>2618</c:v>
                </c:pt>
                <c:pt idx="1050">
                  <c:v>2618</c:v>
                </c:pt>
                <c:pt idx="1051">
                  <c:v>2570</c:v>
                </c:pt>
                <c:pt idx="1052">
                  <c:v>2580</c:v>
                </c:pt>
                <c:pt idx="1053">
                  <c:v>2608</c:v>
                </c:pt>
                <c:pt idx="1054">
                  <c:v>2650</c:v>
                </c:pt>
                <c:pt idx="1055">
                  <c:v>2668</c:v>
                </c:pt>
                <c:pt idx="1056">
                  <c:v>2662</c:v>
                </c:pt>
                <c:pt idx="1057">
                  <c:v>2710</c:v>
                </c:pt>
                <c:pt idx="1058">
                  <c:v>2722</c:v>
                </c:pt>
                <c:pt idx="1059">
                  <c:v>2748</c:v>
                </c:pt>
                <c:pt idx="1060">
                  <c:v>2700</c:v>
                </c:pt>
                <c:pt idx="1061">
                  <c:v>2802</c:v>
                </c:pt>
                <c:pt idx="1062">
                  <c:v>2854</c:v>
                </c:pt>
                <c:pt idx="1063">
                  <c:v>2820</c:v>
                </c:pt>
                <c:pt idx="1064">
                  <c:v>2824</c:v>
                </c:pt>
                <c:pt idx="1065">
                  <c:v>2850</c:v>
                </c:pt>
                <c:pt idx="1066">
                  <c:v>2884</c:v>
                </c:pt>
                <c:pt idx="1067">
                  <c:v>2882</c:v>
                </c:pt>
                <c:pt idx="1068">
                  <c:v>2890</c:v>
                </c:pt>
                <c:pt idx="1069">
                  <c:v>2888</c:v>
                </c:pt>
                <c:pt idx="1070">
                  <c:v>2872</c:v>
                </c:pt>
                <c:pt idx="1071">
                  <c:v>2882</c:v>
                </c:pt>
                <c:pt idx="1072">
                  <c:v>2950</c:v>
                </c:pt>
                <c:pt idx="1073">
                  <c:v>2960</c:v>
                </c:pt>
                <c:pt idx="1074">
                  <c:v>2940</c:v>
                </c:pt>
                <c:pt idx="1075">
                  <c:v>2940</c:v>
                </c:pt>
                <c:pt idx="1076">
                  <c:v>2924</c:v>
                </c:pt>
                <c:pt idx="1077">
                  <c:v>2914</c:v>
                </c:pt>
                <c:pt idx="1078">
                  <c:v>2884</c:v>
                </c:pt>
                <c:pt idx="1079">
                  <c:v>2872</c:v>
                </c:pt>
                <c:pt idx="1080">
                  <c:v>2882</c:v>
                </c:pt>
                <c:pt idx="1081">
                  <c:v>2906</c:v>
                </c:pt>
                <c:pt idx="1082">
                  <c:v>2900</c:v>
                </c:pt>
                <c:pt idx="1083">
                  <c:v>2880</c:v>
                </c:pt>
                <c:pt idx="1084">
                  <c:v>2880</c:v>
                </c:pt>
                <c:pt idx="1085">
                  <c:v>2892</c:v>
                </c:pt>
                <c:pt idx="1086">
                  <c:v>2872</c:v>
                </c:pt>
                <c:pt idx="1087">
                  <c:v>2860</c:v>
                </c:pt>
                <c:pt idx="1088">
                  <c:v>2844</c:v>
                </c:pt>
                <c:pt idx="1089">
                  <c:v>2800</c:v>
                </c:pt>
                <c:pt idx="1090">
                  <c:v>2854</c:v>
                </c:pt>
                <c:pt idx="1091">
                  <c:v>2934</c:v>
                </c:pt>
                <c:pt idx="1092">
                  <c:v>2922</c:v>
                </c:pt>
                <c:pt idx="1093">
                  <c:v>2930</c:v>
                </c:pt>
                <c:pt idx="1094">
                  <c:v>2926</c:v>
                </c:pt>
                <c:pt idx="1095">
                  <c:v>3006</c:v>
                </c:pt>
                <c:pt idx="1096">
                  <c:v>2974</c:v>
                </c:pt>
                <c:pt idx="1097">
                  <c:v>2920</c:v>
                </c:pt>
                <c:pt idx="1098">
                  <c:v>3006</c:v>
                </c:pt>
                <c:pt idx="1099">
                  <c:v>3002</c:v>
                </c:pt>
                <c:pt idx="1100">
                  <c:v>3034</c:v>
                </c:pt>
                <c:pt idx="1101">
                  <c:v>2992</c:v>
                </c:pt>
                <c:pt idx="1102">
                  <c:v>3000</c:v>
                </c:pt>
                <c:pt idx="1103">
                  <c:v>3016</c:v>
                </c:pt>
                <c:pt idx="1104">
                  <c:v>3078</c:v>
                </c:pt>
                <c:pt idx="1105">
                  <c:v>3020</c:v>
                </c:pt>
                <c:pt idx="1106">
                  <c:v>3044</c:v>
                </c:pt>
                <c:pt idx="1107">
                  <c:v>3032</c:v>
                </c:pt>
                <c:pt idx="1108">
                  <c:v>3002</c:v>
                </c:pt>
                <c:pt idx="1109">
                  <c:v>3042</c:v>
                </c:pt>
                <c:pt idx="1110">
                  <c:v>3004</c:v>
                </c:pt>
                <c:pt idx="1111">
                  <c:v>2912</c:v>
                </c:pt>
                <c:pt idx="1112">
                  <c:v>2976</c:v>
                </c:pt>
                <c:pt idx="1113">
                  <c:v>2938</c:v>
                </c:pt>
                <c:pt idx="1114">
                  <c:v>2856</c:v>
                </c:pt>
                <c:pt idx="1115">
                  <c:v>2864</c:v>
                </c:pt>
                <c:pt idx="1116">
                  <c:v>2922</c:v>
                </c:pt>
                <c:pt idx="1117">
                  <c:v>2914</c:v>
                </c:pt>
                <c:pt idx="1118">
                  <c:v>2860</c:v>
                </c:pt>
                <c:pt idx="1119">
                  <c:v>2846</c:v>
                </c:pt>
                <c:pt idx="1120">
                  <c:v>2850</c:v>
                </c:pt>
                <c:pt idx="1121">
                  <c:v>2810</c:v>
                </c:pt>
                <c:pt idx="1122">
                  <c:v>2846</c:v>
                </c:pt>
                <c:pt idx="1123">
                  <c:v>2890</c:v>
                </c:pt>
                <c:pt idx="1124">
                  <c:v>2874</c:v>
                </c:pt>
                <c:pt idx="1125">
                  <c:v>2828</c:v>
                </c:pt>
                <c:pt idx="1126">
                  <c:v>2832</c:v>
                </c:pt>
                <c:pt idx="1127">
                  <c:v>2820</c:v>
                </c:pt>
                <c:pt idx="1128">
                  <c:v>2836</c:v>
                </c:pt>
                <c:pt idx="1129">
                  <c:v>2826</c:v>
                </c:pt>
                <c:pt idx="1130">
                  <c:v>2804</c:v>
                </c:pt>
                <c:pt idx="1131">
                  <c:v>2800</c:v>
                </c:pt>
                <c:pt idx="1132">
                  <c:v>2870</c:v>
                </c:pt>
                <c:pt idx="1133">
                  <c:v>2890</c:v>
                </c:pt>
                <c:pt idx="1134">
                  <c:v>2940</c:v>
                </c:pt>
                <c:pt idx="1135">
                  <c:v>2922</c:v>
                </c:pt>
                <c:pt idx="1136">
                  <c:v>2952</c:v>
                </c:pt>
                <c:pt idx="1137">
                  <c:v>2976</c:v>
                </c:pt>
                <c:pt idx="1138">
                  <c:v>2978</c:v>
                </c:pt>
                <c:pt idx="1139">
                  <c:v>3006</c:v>
                </c:pt>
                <c:pt idx="1140">
                  <c:v>3000</c:v>
                </c:pt>
                <c:pt idx="1141">
                  <c:v>3000</c:v>
                </c:pt>
                <c:pt idx="1142">
                  <c:v>2946</c:v>
                </c:pt>
                <c:pt idx="1143">
                  <c:v>2976</c:v>
                </c:pt>
                <c:pt idx="1144">
                  <c:v>2898</c:v>
                </c:pt>
                <c:pt idx="1145">
                  <c:v>2890</c:v>
                </c:pt>
                <c:pt idx="1146">
                  <c:v>2910</c:v>
                </c:pt>
                <c:pt idx="1147">
                  <c:v>2928</c:v>
                </c:pt>
                <c:pt idx="1148">
                  <c:v>2964</c:v>
                </c:pt>
                <c:pt idx="1149">
                  <c:v>2924</c:v>
                </c:pt>
                <c:pt idx="1150">
                  <c:v>2894</c:v>
                </c:pt>
                <c:pt idx="1151">
                  <c:v>2880</c:v>
                </c:pt>
                <c:pt idx="1152">
                  <c:v>2874</c:v>
                </c:pt>
                <c:pt idx="1153">
                  <c:v>2904</c:v>
                </c:pt>
                <c:pt idx="1154">
                  <c:v>2948</c:v>
                </c:pt>
                <c:pt idx="1155">
                  <c:v>2882</c:v>
                </c:pt>
                <c:pt idx="1156">
                  <c:v>2868</c:v>
                </c:pt>
                <c:pt idx="1157">
                  <c:v>2876</c:v>
                </c:pt>
                <c:pt idx="1158">
                  <c:v>2886</c:v>
                </c:pt>
                <c:pt idx="1159">
                  <c:v>2846</c:v>
                </c:pt>
                <c:pt idx="1160">
                  <c:v>2844</c:v>
                </c:pt>
                <c:pt idx="1161">
                  <c:v>2886</c:v>
                </c:pt>
                <c:pt idx="1162">
                  <c:v>2966</c:v>
                </c:pt>
                <c:pt idx="1163">
                  <c:v>2960</c:v>
                </c:pt>
                <c:pt idx="1164">
                  <c:v>2970</c:v>
                </c:pt>
                <c:pt idx="1165">
                  <c:v>3000</c:v>
                </c:pt>
                <c:pt idx="1166">
                  <c:v>3026</c:v>
                </c:pt>
                <c:pt idx="1167">
                  <c:v>2984</c:v>
                </c:pt>
                <c:pt idx="1168">
                  <c:v>2982</c:v>
                </c:pt>
                <c:pt idx="1169">
                  <c:v>2976</c:v>
                </c:pt>
                <c:pt idx="1170">
                  <c:v>2976</c:v>
                </c:pt>
                <c:pt idx="1171">
                  <c:v>2940</c:v>
                </c:pt>
                <c:pt idx="1172">
                  <c:v>2970</c:v>
                </c:pt>
                <c:pt idx="1173">
                  <c:v>3004</c:v>
                </c:pt>
                <c:pt idx="1174">
                  <c:v>3000</c:v>
                </c:pt>
                <c:pt idx="1175">
                  <c:v>3004</c:v>
                </c:pt>
                <c:pt idx="1176">
                  <c:v>3024</c:v>
                </c:pt>
                <c:pt idx="1177">
                  <c:v>3022</c:v>
                </c:pt>
                <c:pt idx="1178">
                  <c:v>3088</c:v>
                </c:pt>
                <c:pt idx="1179">
                  <c:v>3100</c:v>
                </c:pt>
                <c:pt idx="1180">
                  <c:v>3082</c:v>
                </c:pt>
                <c:pt idx="1181">
                  <c:v>3102</c:v>
                </c:pt>
                <c:pt idx="1182">
                  <c:v>3086</c:v>
                </c:pt>
                <c:pt idx="1183">
                  <c:v>3030</c:v>
                </c:pt>
                <c:pt idx="1184">
                  <c:v>3008</c:v>
                </c:pt>
                <c:pt idx="1185">
                  <c:v>3020</c:v>
                </c:pt>
                <c:pt idx="1186">
                  <c:v>2986</c:v>
                </c:pt>
                <c:pt idx="1187">
                  <c:v>2960</c:v>
                </c:pt>
                <c:pt idx="1188">
                  <c:v>2960</c:v>
                </c:pt>
                <c:pt idx="1189">
                  <c:v>2962</c:v>
                </c:pt>
                <c:pt idx="1190">
                  <c:v>2964</c:v>
                </c:pt>
                <c:pt idx="1191">
                  <c:v>3046</c:v>
                </c:pt>
                <c:pt idx="1192">
                  <c:v>3060</c:v>
                </c:pt>
                <c:pt idx="1193">
                  <c:v>3064</c:v>
                </c:pt>
                <c:pt idx="1194">
                  <c:v>3070</c:v>
                </c:pt>
                <c:pt idx="1195">
                  <c:v>3104</c:v>
                </c:pt>
                <c:pt idx="1196">
                  <c:v>3118</c:v>
                </c:pt>
                <c:pt idx="1197">
                  <c:v>3152</c:v>
                </c:pt>
                <c:pt idx="1198">
                  <c:v>3152</c:v>
                </c:pt>
                <c:pt idx="1199">
                  <c:v>3080</c:v>
                </c:pt>
                <c:pt idx="1200">
                  <c:v>3072</c:v>
                </c:pt>
                <c:pt idx="1201">
                  <c:v>3104</c:v>
                </c:pt>
                <c:pt idx="1202">
                  <c:v>3106</c:v>
                </c:pt>
                <c:pt idx="1203">
                  <c:v>3150</c:v>
                </c:pt>
                <c:pt idx="1204">
                  <c:v>3166</c:v>
                </c:pt>
                <c:pt idx="1205">
                  <c:v>3146</c:v>
                </c:pt>
                <c:pt idx="1206">
                  <c:v>3150</c:v>
                </c:pt>
                <c:pt idx="1207">
                  <c:v>3270</c:v>
                </c:pt>
                <c:pt idx="1208">
                  <c:v>3272</c:v>
                </c:pt>
                <c:pt idx="1209">
                  <c:v>3280</c:v>
                </c:pt>
                <c:pt idx="1210">
                  <c:v>3306</c:v>
                </c:pt>
                <c:pt idx="1211">
                  <c:v>3286</c:v>
                </c:pt>
                <c:pt idx="1212">
                  <c:v>3266</c:v>
                </c:pt>
                <c:pt idx="1213">
                  <c:v>3296</c:v>
                </c:pt>
                <c:pt idx="1214">
                  <c:v>3338</c:v>
                </c:pt>
                <c:pt idx="1215">
                  <c:v>3302</c:v>
                </c:pt>
                <c:pt idx="1216">
                  <c:v>3276</c:v>
                </c:pt>
                <c:pt idx="1217">
                  <c:v>3280</c:v>
                </c:pt>
                <c:pt idx="1218">
                  <c:v>3244</c:v>
                </c:pt>
                <c:pt idx="1219">
                  <c:v>3250</c:v>
                </c:pt>
                <c:pt idx="1220">
                  <c:v>3180</c:v>
                </c:pt>
                <c:pt idx="1221">
                  <c:v>3210</c:v>
                </c:pt>
                <c:pt idx="1222">
                  <c:v>3182</c:v>
                </c:pt>
                <c:pt idx="1223">
                  <c:v>3208</c:v>
                </c:pt>
                <c:pt idx="1224">
                  <c:v>3150</c:v>
                </c:pt>
                <c:pt idx="1225">
                  <c:v>3136</c:v>
                </c:pt>
                <c:pt idx="1226">
                  <c:v>3148</c:v>
                </c:pt>
                <c:pt idx="1227">
                  <c:v>3220</c:v>
                </c:pt>
                <c:pt idx="1228">
                  <c:v>3196</c:v>
                </c:pt>
                <c:pt idx="1229">
                  <c:v>3182</c:v>
                </c:pt>
                <c:pt idx="1230">
                  <c:v>3128</c:v>
                </c:pt>
                <c:pt idx="1231">
                  <c:v>3114</c:v>
                </c:pt>
                <c:pt idx="1232">
                  <c:v>3056</c:v>
                </c:pt>
                <c:pt idx="1233">
                  <c:v>3094</c:v>
                </c:pt>
                <c:pt idx="1234">
                  <c:v>3096</c:v>
                </c:pt>
                <c:pt idx="1235">
                  <c:v>3150</c:v>
                </c:pt>
                <c:pt idx="1236">
                  <c:v>3196</c:v>
                </c:pt>
                <c:pt idx="1237">
                  <c:v>3296</c:v>
                </c:pt>
                <c:pt idx="1238">
                  <c:v>3316</c:v>
                </c:pt>
                <c:pt idx="1239">
                  <c:v>3346</c:v>
                </c:pt>
                <c:pt idx="1240">
                  <c:v>3380</c:v>
                </c:pt>
                <c:pt idx="1241">
                  <c:v>3402</c:v>
                </c:pt>
                <c:pt idx="1242">
                  <c:v>3450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05-4FD9-8EFC-C826D81F1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1473408"/>
        <c:axId val="278643456"/>
      </c:lineChart>
      <c:dateAx>
        <c:axId val="221473408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278643456"/>
        <c:crosses val="autoZero"/>
        <c:auto val="1"/>
        <c:lblOffset val="100"/>
        <c:baseTimeUnit val="days"/>
        <c:majorUnit val="3"/>
        <c:majorTimeUnit val="months"/>
        <c:minorUnit val="1"/>
        <c:minorTimeUnit val="months"/>
      </c:dateAx>
      <c:valAx>
        <c:axId val="278643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\ ###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2214734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hu-HU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'7'!$H$30:$H$41</c:f>
              <c:strCache>
                <c:ptCount val="12"/>
                <c:pt idx="0">
                  <c:v>-12.58%</c:v>
                </c:pt>
                <c:pt idx="1">
                  <c:v>-10.06%</c:v>
                </c:pt>
                <c:pt idx="2">
                  <c:v>-7.55%</c:v>
                </c:pt>
                <c:pt idx="3">
                  <c:v>-5.04%</c:v>
                </c:pt>
                <c:pt idx="4">
                  <c:v>-2.53%</c:v>
                </c:pt>
                <c:pt idx="5">
                  <c:v>-0.02%</c:v>
                </c:pt>
                <c:pt idx="6">
                  <c:v>2.49%</c:v>
                </c:pt>
                <c:pt idx="7">
                  <c:v>5.00%</c:v>
                </c:pt>
                <c:pt idx="8">
                  <c:v>7.51%</c:v>
                </c:pt>
                <c:pt idx="9">
                  <c:v>10.02%</c:v>
                </c:pt>
                <c:pt idx="10">
                  <c:v>12.53%</c:v>
                </c:pt>
                <c:pt idx="11">
                  <c:v>Further</c:v>
                </c:pt>
              </c:strCache>
            </c:strRef>
          </c:cat>
          <c:val>
            <c:numRef>
              <c:f>'7'!$I$30:$I$41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10</c:v>
                </c:pt>
                <c:pt idx="4">
                  <c:v>59</c:v>
                </c:pt>
                <c:pt idx="5">
                  <c:v>526</c:v>
                </c:pt>
                <c:pt idx="6">
                  <c:v>569</c:v>
                </c:pt>
                <c:pt idx="7">
                  <c:v>66</c:v>
                </c:pt>
                <c:pt idx="8">
                  <c:v>13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B-4D24-B5D2-46AFC76EF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728704"/>
        <c:axId val="278730624"/>
      </c:barChart>
      <c:catAx>
        <c:axId val="278728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hu-HU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hu-HU"/>
          </a:p>
        </c:txPr>
        <c:crossAx val="278730624"/>
        <c:crosses val="autoZero"/>
        <c:auto val="1"/>
        <c:lblAlgn val="ctr"/>
        <c:lblOffset val="100"/>
        <c:noMultiLvlLbl val="0"/>
      </c:catAx>
      <c:valAx>
        <c:axId val="2787306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hu-HU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hu-HU"/>
          </a:p>
        </c:txPr>
        <c:crossAx val="27872870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Q-Q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'7'!$W$2:$W$1252</c:f>
              <c:numCache>
                <c:formatCode>0.00</c:formatCode>
                <c:ptCount val="1251"/>
                <c:pt idx="0">
                  <c:v>-7.9413453261709952</c:v>
                </c:pt>
                <c:pt idx="1">
                  <c:v>-3.1563730486655528</c:v>
                </c:pt>
                <c:pt idx="2">
                  <c:v>-2.9483367635585207</c:v>
                </c:pt>
                <c:pt idx="3">
                  <c:v>-2.8206710107576471</c:v>
                </c:pt>
                <c:pt idx="4">
                  <c:v>-2.7270788722062282</c:v>
                </c:pt>
                <c:pt idx="5">
                  <c:v>-2.6526095495605553</c:v>
                </c:pt>
                <c:pt idx="6">
                  <c:v>-2.5904640018645773</c:v>
                </c:pt>
                <c:pt idx="7">
                  <c:v>-2.5369557531286526</c:v>
                </c:pt>
                <c:pt idx="8">
                  <c:v>-2.4898541484898677</c:v>
                </c:pt>
                <c:pt idx="9">
                  <c:v>-2.4477033585225918</c:v>
                </c:pt>
                <c:pt idx="10">
                  <c:v>-2.4094989759606067</c:v>
                </c:pt>
                <c:pt idx="11">
                  <c:v>-2.3745178832011802</c:v>
                </c:pt>
                <c:pt idx="12">
                  <c:v>-2.342221606715253</c:v>
                </c:pt>
                <c:pt idx="13">
                  <c:v>-2.3121980235236075</c:v>
                </c:pt>
                <c:pt idx="14">
                  <c:v>-2.2841244631564783</c:v>
                </c:pt>
                <c:pt idx="15">
                  <c:v>-2.2577434068988094</c:v>
                </c:pt>
                <c:pt idx="16">
                  <c:v>-2.2328459423636926</c:v>
                </c:pt>
                <c:pt idx="17">
                  <c:v>-2.2092601751391063</c:v>
                </c:pt>
                <c:pt idx="18">
                  <c:v>-2.1868429121239132</c:v>
                </c:pt>
                <c:pt idx="19">
                  <c:v>-2.1654735648631602</c:v>
                </c:pt>
                <c:pt idx="20">
                  <c:v>-2.1450495961618947</c:v>
                </c:pt>
                <c:pt idx="21">
                  <c:v>-2.1254830626678305</c:v>
                </c:pt>
                <c:pt idx="22">
                  <c:v>-2.1066979506460028</c:v>
                </c:pt>
                <c:pt idx="23">
                  <c:v>-2.0886280956212326</c:v>
                </c:pt>
                <c:pt idx="24">
                  <c:v>-2.0712155384048128</c:v>
                </c:pt>
                <c:pt idx="25">
                  <c:v>-2.0544092118030792</c:v>
                </c:pt>
                <c:pt idx="26">
                  <c:v>-2.0381638810689928</c:v>
                </c:pt>
                <c:pt idx="27">
                  <c:v>-2.0224392812996594</c:v>
                </c:pt>
                <c:pt idx="28">
                  <c:v>-2.0071994093079599</c:v>
                </c:pt>
                <c:pt idx="29">
                  <c:v>-1.9924119378306833</c:v>
                </c:pt>
                <c:pt idx="30">
                  <c:v>-1.978047727488945</c:v>
                </c:pt>
                <c:pt idx="31">
                  <c:v>-1.9640804175042579</c:v>
                </c:pt>
                <c:pt idx="32">
                  <c:v>-1.950486080353641</c:v>
                </c:pt>
                <c:pt idx="33">
                  <c:v>-1.9372429287065134</c:v>
                </c:pt>
                <c:pt idx="34">
                  <c:v>-1.9243310653973646</c:v>
                </c:pt>
                <c:pt idx="35">
                  <c:v>-1.9117322690449208</c:v>
                </c:pt>
                <c:pt idx="36">
                  <c:v>-1.8994298093704896</c:v>
                </c:pt>
                <c:pt idx="37">
                  <c:v>-1.8874082873967688</c:v>
                </c:pt>
                <c:pt idx="38">
                  <c:v>-1.8756534965983558</c:v>
                </c:pt>
                <c:pt idx="39">
                  <c:v>-1.8641523017818853</c:v>
                </c:pt>
                <c:pt idx="40">
                  <c:v>-1.8528925330385324</c:v>
                </c:pt>
                <c:pt idx="41">
                  <c:v>-1.8418628925658975</c:v>
                </c:pt>
                <c:pt idx="42">
                  <c:v>-1.8310528725237958</c:v>
                </c:pt>
                <c:pt idx="43">
                  <c:v>-1.8204526823874192</c:v>
                </c:pt>
                <c:pt idx="44">
                  <c:v>-1.8100531845058558</c:v>
                </c:pt>
                <c:pt idx="45">
                  <c:v>-1.7998458367748733</c:v>
                </c:pt>
                <c:pt idx="46">
                  <c:v>-1.7898226414988636</c:v>
                </c:pt>
                <c:pt idx="47">
                  <c:v>-1.779976099654488</c:v>
                </c:pt>
                <c:pt idx="48">
                  <c:v>-1.7702991698832953</c:v>
                </c:pt>
                <c:pt idx="49">
                  <c:v>-1.7607852316365484</c:v>
                </c:pt>
                <c:pt idx="50">
                  <c:v>-1.7514280519761141</c:v>
                </c:pt>
                <c:pt idx="51">
                  <c:v>-1.7422217556032296</c:v>
                </c:pt>
                <c:pt idx="52">
                  <c:v>-1.7331607977444856</c:v>
                </c:pt>
                <c:pt idx="53">
                  <c:v>-1.7242399395731982</c:v>
                </c:pt>
                <c:pt idx="54">
                  <c:v>-1.715454225885938</c:v>
                </c:pt>
                <c:pt idx="55">
                  <c:v>-1.7067989647895709</c:v>
                </c:pt>
                <c:pt idx="56">
                  <c:v>-1.6982697091846284</c:v>
                </c:pt>
                <c:pt idx="57">
                  <c:v>-1.6898622398570504</c:v>
                </c:pt>
                <c:pt idx="58">
                  <c:v>-1.6815725500129504</c:v>
                </c:pt>
                <c:pt idx="59">
                  <c:v>-1.6733968311105887</c:v>
                </c:pt>
                <c:pt idx="60">
                  <c:v>-1.6653314598606914</c:v>
                </c:pt>
                <c:pt idx="61">
                  <c:v>-1.6573729862809796</c:v>
                </c:pt>
                <c:pt idx="62">
                  <c:v>-1.6495181227035915</c:v>
                </c:pt>
                <c:pt idx="63">
                  <c:v>-1.6417637336453093</c:v>
                </c:pt>
                <c:pt idx="64">
                  <c:v>-1.6341068264602854</c:v>
                </c:pt>
                <c:pt idx="65">
                  <c:v>-1.6265445427035894</c:v>
                </c:pt>
                <c:pt idx="66">
                  <c:v>-1.6190741501414481</c:v>
                </c:pt>
                <c:pt idx="67">
                  <c:v>-1.6116930353507253</c:v>
                </c:pt>
                <c:pt idx="68">
                  <c:v>-1.6043986968560602</c:v>
                </c:pt>
                <c:pt idx="69">
                  <c:v>-1.5971887387583001</c:v>
                </c:pt>
                <c:pt idx="70">
                  <c:v>-1.5900608648124666</c:v>
                </c:pt>
                <c:pt idx="71">
                  <c:v>-1.5830128729175834</c:v>
                </c:pt>
                <c:pt idx="72">
                  <c:v>-1.5760426499843485</c:v>
                </c:pt>
                <c:pt idx="73">
                  <c:v>-1.5691481671498611</c:v>
                </c:pt>
                <c:pt idx="74">
                  <c:v>-1.5623274753115115</c:v>
                </c:pt>
                <c:pt idx="75">
                  <c:v>-1.5555787009547493</c:v>
                </c:pt>
                <c:pt idx="76">
                  <c:v>-1.548900042251715</c:v>
                </c:pt>
                <c:pt idx="77">
                  <c:v>-1.5422897654098506</c:v>
                </c:pt>
                <c:pt idx="78">
                  <c:v>-1.5357462012514234</c:v>
                </c:pt>
                <c:pt idx="79">
                  <c:v>-1.5292677420066043</c:v>
                </c:pt>
                <c:pt idx="80">
                  <c:v>-1.5228528383042355</c:v>
                </c:pt>
                <c:pt idx="81">
                  <c:v>-1.5164999963457819</c:v>
                </c:pt>
                <c:pt idx="82">
                  <c:v>-1.510207775249208</c:v>
                </c:pt>
                <c:pt idx="83">
                  <c:v>-1.503974784550604</c:v>
                </c:pt>
                <c:pt idx="84">
                  <c:v>-1.4977996818524228</c:v>
                </c:pt>
                <c:pt idx="85">
                  <c:v>-1.4916811706080737</c:v>
                </c:pt>
                <c:pt idx="86">
                  <c:v>-1.4856179980334669</c:v>
                </c:pt>
                <c:pt idx="87">
                  <c:v>-1.4796089531368346</c:v>
                </c:pt>
                <c:pt idx="88">
                  <c:v>-1.4736528648588596</c:v>
                </c:pt>
                <c:pt idx="89">
                  <c:v>-1.4677486003157523</c:v>
                </c:pt>
                <c:pt idx="90">
                  <c:v>-1.4618950631384819</c:v>
                </c:pt>
                <c:pt idx="91">
                  <c:v>-1.4560911919018944</c:v>
                </c:pt>
                <c:pt idx="92">
                  <c:v>-1.4503359586379192</c:v>
                </c:pt>
                <c:pt idx="93">
                  <c:v>-1.4446283674274998</c:v>
                </c:pt>
                <c:pt idx="94">
                  <c:v>-1.4389674530662808</c:v>
                </c:pt>
                <c:pt idx="95">
                  <c:v>-1.4333522797994338</c:v>
                </c:pt>
                <c:pt idx="96">
                  <c:v>-1.427781940121386</c:v>
                </c:pt>
                <c:pt idx="97">
                  <c:v>-1.422255553636407</c:v>
                </c:pt>
                <c:pt idx="98">
                  <c:v>-1.4167722659764816</c:v>
                </c:pt>
                <c:pt idx="99">
                  <c:v>-1.4113312477729174</c:v>
                </c:pt>
                <c:pt idx="100">
                  <c:v>-1.4059316936786115</c:v>
                </c:pt>
                <c:pt idx="101">
                  <c:v>-1.4005728214379083</c:v>
                </c:pt>
                <c:pt idx="102">
                  <c:v>-1.3952538710013354</c:v>
                </c:pt>
                <c:pt idx="103">
                  <c:v>-1.3899741036826332</c:v>
                </c:pt>
                <c:pt idx="104">
                  <c:v>-1.3847328013556541</c:v>
                </c:pt>
                <c:pt idx="105">
                  <c:v>-1.3795292656888583</c:v>
                </c:pt>
                <c:pt idx="106">
                  <c:v>-1.374362817415375</c:v>
                </c:pt>
                <c:pt idx="107">
                  <c:v>-1.3692327956365586</c:v>
                </c:pt>
                <c:pt idx="108">
                  <c:v>-1.3641385571573073</c:v>
                </c:pt>
                <c:pt idx="109">
                  <c:v>-1.3590794758513209</c:v>
                </c:pt>
                <c:pt idx="110">
                  <c:v>-1.3540549420547721</c:v>
                </c:pt>
                <c:pt idx="111">
                  <c:v>-1.3490643619867906</c:v>
                </c:pt>
                <c:pt idx="112">
                  <c:v>-1.3441071571954248</c:v>
                </c:pt>
                <c:pt idx="113">
                  <c:v>-1.3391827640276721</c:v>
                </c:pt>
                <c:pt idx="114">
                  <c:v>-1.3342906331223829</c:v>
                </c:pt>
                <c:pt idx="115">
                  <c:v>-1.3294302289248148</c:v>
                </c:pt>
                <c:pt idx="116">
                  <c:v>-1.324601029221772</c:v>
                </c:pt>
                <c:pt idx="117">
                  <c:v>-1.319802524696265</c:v>
                </c:pt>
                <c:pt idx="118">
                  <c:v>-1.3150342185007076</c:v>
                </c:pt>
                <c:pt idx="119">
                  <c:v>-1.3102956258477445</c:v>
                </c:pt>
                <c:pt idx="120">
                  <c:v>-1.3055862736178254</c:v>
                </c:pt>
                <c:pt idx="121">
                  <c:v>-1.3009056999827218</c:v>
                </c:pt>
                <c:pt idx="122">
                  <c:v>-1.2962534540441892</c:v>
                </c:pt>
                <c:pt idx="123">
                  <c:v>-1.2916290954870733</c:v>
                </c:pt>
                <c:pt idx="124">
                  <c:v>-1.2870321942461491</c:v>
                </c:pt>
                <c:pt idx="125">
                  <c:v>-1.2824623301860549</c:v>
                </c:pt>
                <c:pt idx="126">
                  <c:v>-1.2779190927936899</c:v>
                </c:pt>
                <c:pt idx="127">
                  <c:v>-1.2734020808825297</c:v>
                </c:pt>
                <c:pt idx="128">
                  <c:v>-1.2689109023082601</c:v>
                </c:pt>
                <c:pt idx="129">
                  <c:v>-1.2644451736952516</c:v>
                </c:pt>
                <c:pt idx="130">
                  <c:v>-1.260004520173353</c:v>
                </c:pt>
                <c:pt idx="131">
                  <c:v>-1.255588575124565</c:v>
                </c:pt>
                <c:pt idx="132">
                  <c:v>-1.2511969799391169</c:v>
                </c:pt>
                <c:pt idx="133">
                  <c:v>-1.2468293837805569</c:v>
                </c:pt>
                <c:pt idx="134">
                  <c:v>-1.2424854433594503</c:v>
                </c:pt>
                <c:pt idx="135">
                  <c:v>-1.238164822715299</c:v>
                </c:pt>
                <c:pt idx="136">
                  <c:v>-1.2338671930063319</c:v>
                </c:pt>
                <c:pt idx="137">
                  <c:v>-1.2295922323068298</c:v>
                </c:pt>
                <c:pt idx="138">
                  <c:v>-1.2253396254116573</c:v>
                </c:pt>
                <c:pt idx="139">
                  <c:v>-1.2211090636476916</c:v>
                </c:pt>
                <c:pt idx="140">
                  <c:v>-1.2169002446918644</c:v>
                </c:pt>
                <c:pt idx="141">
                  <c:v>-1.2127128723955336</c:v>
                </c:pt>
                <c:pt idx="142">
                  <c:v>-1.2085466566149283</c:v>
                </c:pt>
                <c:pt idx="143">
                  <c:v>-1.2044013130474018</c:v>
                </c:pt>
                <c:pt idx="144">
                  <c:v>-1.2002765630732746</c:v>
                </c:pt>
                <c:pt idx="145">
                  <c:v>-1.1961721336030178</c:v>
                </c:pt>
                <c:pt idx="146">
                  <c:v>-1.1920877569295791</c:v>
                </c:pt>
                <c:pt idx="147">
                  <c:v>-1.1880231705856303</c:v>
                </c:pt>
                <c:pt idx="148">
                  <c:v>-1.1839781172055506</c:v>
                </c:pt>
                <c:pt idx="149">
                  <c:v>-1.1799523443919493</c:v>
                </c:pt>
                <c:pt idx="150">
                  <c:v>-1.1759456045865566</c:v>
                </c:pt>
                <c:pt idx="151">
                  <c:v>-1.1719576549453026</c:v>
                </c:pt>
                <c:pt idx="152">
                  <c:v>-1.1679882572174294</c:v>
                </c:pt>
                <c:pt idx="153">
                  <c:v>-1.1640371776284826</c:v>
                </c:pt>
                <c:pt idx="154">
                  <c:v>-1.1601041867670134</c:v>
                </c:pt>
                <c:pt idx="155">
                  <c:v>-1.1561890594748843</c:v>
                </c:pt>
                <c:pt idx="156">
                  <c:v>-1.1522915747410065</c:v>
                </c:pt>
                <c:pt idx="157">
                  <c:v>-1.1484115155984058</c:v>
                </c:pt>
                <c:pt idx="158">
                  <c:v>-1.1445486690244737</c:v>
                </c:pt>
                <c:pt idx="159">
                  <c:v>-1.1407028258443039</c:v>
                </c:pt>
                <c:pt idx="160">
                  <c:v>-1.1368737806369786</c:v>
                </c:pt>
                <c:pt idx="161">
                  <c:v>-1.1330613316447196</c:v>
                </c:pt>
                <c:pt idx="162">
                  <c:v>-1.1292652806847807</c:v>
                </c:pt>
                <c:pt idx="163">
                  <c:v>-1.1254854330639892</c:v>
                </c:pt>
                <c:pt idx="164">
                  <c:v>-1.121721597495849</c:v>
                </c:pt>
                <c:pt idx="165">
                  <c:v>-1.1179735860200952</c:v>
                </c:pt>
                <c:pt idx="166">
                  <c:v>-1.1142412139246307</c:v>
                </c:pt>
                <c:pt idx="167">
                  <c:v>-1.1105242996697522</c:v>
                </c:pt>
                <c:pt idx="168">
                  <c:v>-1.106822664814584</c:v>
                </c:pt>
                <c:pt idx="169">
                  <c:v>-1.1031361339456489</c:v>
                </c:pt>
                <c:pt idx="170">
                  <c:v>-1.0994645346074929</c:v>
                </c:pt>
                <c:pt idx="171">
                  <c:v>-1.0958076972353008</c:v>
                </c:pt>
                <c:pt idx="172">
                  <c:v>-1.0921654550894306</c:v>
                </c:pt>
                <c:pt idx="173">
                  <c:v>-1.0885376441918031</c:v>
                </c:pt>
                <c:pt idx="174">
                  <c:v>-1.0849241032640771</c:v>
                </c:pt>
                <c:pt idx="175">
                  <c:v>-1.0813246736675617</c:v>
                </c:pt>
                <c:pt idx="176">
                  <c:v>-1.0777391993447989</c:v>
                </c:pt>
                <c:pt idx="177">
                  <c:v>-1.0741675267627588</c:v>
                </c:pt>
                <c:pt idx="178">
                  <c:v>-1.0706095048576043</c:v>
                </c:pt>
                <c:pt idx="179">
                  <c:v>-1.0670649849809621</c:v>
                </c:pt>
                <c:pt idx="180">
                  <c:v>-1.0635338208476595</c:v>
                </c:pt>
                <c:pt idx="181">
                  <c:v>-1.0600158684848688</c:v>
                </c:pt>
                <c:pt idx="182">
                  <c:v>-1.0565109861826305</c:v>
                </c:pt>
                <c:pt idx="183">
                  <c:v>-1.0530190344456893</c:v>
                </c:pt>
                <c:pt idx="184">
                  <c:v>-1.0495398759466186</c:v>
                </c:pt>
                <c:pt idx="185">
                  <c:v>-1.046073375480189</c:v>
                </c:pt>
                <c:pt idx="186">
                  <c:v>-1.0426193999189224</c:v>
                </c:pt>
                <c:pt idx="187">
                  <c:v>-1.0391778181698266</c:v>
                </c:pt>
                <c:pt idx="188">
                  <c:v>-1.0357485011322511</c:v>
                </c:pt>
                <c:pt idx="189">
                  <c:v>-1.0323313216568444</c:v>
                </c:pt>
                <c:pt idx="190">
                  <c:v>-1.0289261545055295</c:v>
                </c:pt>
                <c:pt idx="191">
                  <c:v>-1.025532876312556</c:v>
                </c:pt>
                <c:pt idx="192">
                  <c:v>-1.0221513655465189</c:v>
                </c:pt>
                <c:pt idx="193">
                  <c:v>-1.0187815024733502</c:v>
                </c:pt>
                <c:pt idx="194">
                  <c:v>-1.0154231691202296</c:v>
                </c:pt>
                <c:pt idx="195">
                  <c:v>-1.0120762492404072</c:v>
                </c:pt>
                <c:pt idx="196">
                  <c:v>-1.0087406282789162</c:v>
                </c:pt>
                <c:pt idx="197">
                  <c:v>-1.0054161933391337</c:v>
                </c:pt>
                <c:pt idx="198">
                  <c:v>-1.00210283315015</c:v>
                </c:pt>
                <c:pt idx="199">
                  <c:v>-0.99880043803495266</c:v>
                </c:pt>
                <c:pt idx="200">
                  <c:v>-0.99550889987940594</c:v>
                </c:pt>
                <c:pt idx="201">
                  <c:v>-0.99222811210195694</c:v>
                </c:pt>
                <c:pt idx="202">
                  <c:v>-0.98895796962408855</c:v>
                </c:pt>
                <c:pt idx="203">
                  <c:v>-0.98569836884148365</c:v>
                </c:pt>
                <c:pt idx="204">
                  <c:v>-0.98244920759588783</c:v>
                </c:pt>
                <c:pt idx="205">
                  <c:v>-0.97921038514762337</c:v>
                </c:pt>
                <c:pt idx="206">
                  <c:v>-0.97598180214878272</c:v>
                </c:pt>
                <c:pt idx="207">
                  <c:v>-0.97276336061703761</c:v>
                </c:pt>
                <c:pt idx="208">
                  <c:v>-0.96955496391005969</c:v>
                </c:pt>
                <c:pt idx="209">
                  <c:v>-0.96635651670056555</c:v>
                </c:pt>
                <c:pt idx="210">
                  <c:v>-0.96316792495191172</c:v>
                </c:pt>
                <c:pt idx="211">
                  <c:v>-0.95998909589427739</c:v>
                </c:pt>
                <c:pt idx="212">
                  <c:v>-0.95681993800138099</c:v>
                </c:pt>
                <c:pt idx="213">
                  <c:v>-0.95366036096774787</c:v>
                </c:pt>
                <c:pt idx="214">
                  <c:v>-0.95051027568649282</c:v>
                </c:pt>
                <c:pt idx="215">
                  <c:v>-0.94736959422758116</c:v>
                </c:pt>
                <c:pt idx="216">
                  <c:v>-0.94423822981663508</c:v>
                </c:pt>
                <c:pt idx="217">
                  <c:v>-0.94111609681416231</c:v>
                </c:pt>
                <c:pt idx="218">
                  <c:v>-0.93800311069529396</c:v>
                </c:pt>
                <c:pt idx="219">
                  <c:v>-0.93489918802994199</c:v>
                </c:pt>
                <c:pt idx="220">
                  <c:v>-0.93180424646341864</c:v>
                </c:pt>
                <c:pt idx="221">
                  <c:v>-0.9287182046974809</c:v>
                </c:pt>
                <c:pt idx="222">
                  <c:v>-0.92564098247178539</c:v>
                </c:pt>
                <c:pt idx="223">
                  <c:v>-0.92257250054575202</c:v>
                </c:pt>
                <c:pt idx="224">
                  <c:v>-0.9195126806808277</c:v>
                </c:pt>
                <c:pt idx="225">
                  <c:v>-0.91646144562313392</c:v>
                </c:pt>
                <c:pt idx="226">
                  <c:v>-0.91341871908648442</c:v>
                </c:pt>
                <c:pt idx="227">
                  <c:v>-0.91038442573578204</c:v>
                </c:pt>
                <c:pt idx="228">
                  <c:v>-0.90735849117074663</c:v>
                </c:pt>
                <c:pt idx="229">
                  <c:v>-0.90434084191002306</c:v>
                </c:pt>
                <c:pt idx="230">
                  <c:v>-0.90133140537559198</c:v>
                </c:pt>
                <c:pt idx="231">
                  <c:v>-0.89833010987754269</c:v>
                </c:pt>
                <c:pt idx="232">
                  <c:v>-0.89533688459914473</c:v>
                </c:pt>
                <c:pt idx="233">
                  <c:v>-0.89235165958223872</c:v>
                </c:pt>
                <c:pt idx="234">
                  <c:v>-0.88937436571293493</c:v>
                </c:pt>
                <c:pt idx="235">
                  <c:v>-0.88640493470760906</c:v>
                </c:pt>
                <c:pt idx="236">
                  <c:v>-0.88344329909918407</c:v>
                </c:pt>
                <c:pt idx="237">
                  <c:v>-0.88048939222369371</c:v>
                </c:pt>
                <c:pt idx="238">
                  <c:v>-0.87754314820713331</c:v>
                </c:pt>
                <c:pt idx="239">
                  <c:v>-0.87460450195256456</c:v>
                </c:pt>
                <c:pt idx="240">
                  <c:v>-0.87167338912749059</c:v>
                </c:pt>
                <c:pt idx="241">
                  <c:v>-0.86874974615148604</c:v>
                </c:pt>
                <c:pt idx="242">
                  <c:v>-0.86583351018407173</c:v>
                </c:pt>
                <c:pt idx="243">
                  <c:v>-0.86292461911284923</c:v>
                </c:pt>
                <c:pt idx="244">
                  <c:v>-0.86002301154184813</c:v>
                </c:pt>
                <c:pt idx="245">
                  <c:v>-0.85712862678012414</c:v>
                </c:pt>
                <c:pt idx="246">
                  <c:v>-0.85424140483057942</c:v>
                </c:pt>
                <c:pt idx="247">
                  <c:v>-0.85136128637899944</c:v>
                </c:pt>
                <c:pt idx="248">
                  <c:v>-0.84848821278331166</c:v>
                </c:pt>
                <c:pt idx="249">
                  <c:v>-0.84562212606304721</c:v>
                </c:pt>
                <c:pt idx="250">
                  <c:v>-0.84276296888901658</c:v>
                </c:pt>
                <c:pt idx="251">
                  <c:v>-0.83991068457318152</c:v>
                </c:pt>
                <c:pt idx="252">
                  <c:v>-0.83706521705872339</c:v>
                </c:pt>
                <c:pt idx="253">
                  <c:v>-0.83422651091030442</c:v>
                </c:pt>
                <c:pt idx="254">
                  <c:v>-0.83139451130451492</c:v>
                </c:pt>
                <c:pt idx="255">
                  <c:v>-0.82856916402050429</c:v>
                </c:pt>
                <c:pt idx="256">
                  <c:v>-0.82575041543078953</c:v>
                </c:pt>
                <c:pt idx="257">
                  <c:v>-0.82293821249223731</c:v>
                </c:pt>
                <c:pt idx="258">
                  <c:v>-0.82013250273722138</c:v>
                </c:pt>
                <c:pt idx="259">
                  <c:v>-0.81733323426494064</c:v>
                </c:pt>
                <c:pt idx="260">
                  <c:v>-0.81454035573290584</c:v>
                </c:pt>
                <c:pt idx="261">
                  <c:v>-0.81175381634857624</c:v>
                </c:pt>
                <c:pt idx="262">
                  <c:v>-0.80897356586116487</c:v>
                </c:pt>
                <c:pt idx="263">
                  <c:v>-0.80619955455358372</c:v>
                </c:pt>
                <c:pt idx="264">
                  <c:v>-0.80343173323454686</c:v>
                </c:pt>
                <c:pt idx="265">
                  <c:v>-0.80067005323081208</c:v>
                </c:pt>
                <c:pt idx="266">
                  <c:v>-0.79791446637956975</c:v>
                </c:pt>
                <c:pt idx="267">
                  <c:v>-0.79516492502096592</c:v>
                </c:pt>
                <c:pt idx="268">
                  <c:v>-0.79242138199076739</c:v>
                </c:pt>
                <c:pt idx="269">
                  <c:v>-0.7896837906131533</c:v>
                </c:pt>
                <c:pt idx="270">
                  <c:v>-0.78695210469364352</c:v>
                </c:pt>
                <c:pt idx="271">
                  <c:v>-0.78422627851214577</c:v>
                </c:pt>
                <c:pt idx="272">
                  <c:v>-0.78150626681613689</c:v>
                </c:pt>
                <c:pt idx="273">
                  <c:v>-0.77879202481396148</c:v>
                </c:pt>
                <c:pt idx="274">
                  <c:v>-0.77608350816824301</c:v>
                </c:pt>
                <c:pt idx="275">
                  <c:v>-0.77338067298942748</c:v>
                </c:pt>
                <c:pt idx="276">
                  <c:v>-0.77068347582942376</c:v>
                </c:pt>
                <c:pt idx="277">
                  <c:v>-0.76799187367536814</c:v>
                </c:pt>
                <c:pt idx="278">
                  <c:v>-0.76530582394349278</c:v>
                </c:pt>
                <c:pt idx="279">
                  <c:v>-0.76262528447310307</c:v>
                </c:pt>
                <c:pt idx="280">
                  <c:v>-0.75995021352065906</c:v>
                </c:pt>
                <c:pt idx="281">
                  <c:v>-0.7572805697539543</c:v>
                </c:pt>
                <c:pt idx="282">
                  <c:v>-0.75461631224640913</c:v>
                </c:pt>
                <c:pt idx="283">
                  <c:v>-0.75195740047144632</c:v>
                </c:pt>
                <c:pt idx="284">
                  <c:v>-0.74930379429697336</c:v>
                </c:pt>
                <c:pt idx="285">
                  <c:v>-0.74665545397995525</c:v>
                </c:pt>
                <c:pt idx="286">
                  <c:v>-0.74401234016107898</c:v>
                </c:pt>
                <c:pt idx="287">
                  <c:v>-0.74137441385951275</c:v>
                </c:pt>
                <c:pt idx="288">
                  <c:v>-0.73874163646774704</c:v>
                </c:pt>
                <c:pt idx="289">
                  <c:v>-0.73611396974652887</c:v>
                </c:pt>
                <c:pt idx="290">
                  <c:v>-0.73349137581987744</c:v>
                </c:pt>
                <c:pt idx="291">
                  <c:v>-0.73087381717018651</c:v>
                </c:pt>
                <c:pt idx="292">
                  <c:v>-0.7282612566334018</c:v>
                </c:pt>
                <c:pt idx="293">
                  <c:v>-0.72565365739428589</c:v>
                </c:pt>
                <c:pt idx="294">
                  <c:v>-0.72305098298175763</c:v>
                </c:pt>
                <c:pt idx="295">
                  <c:v>-0.72045319726431023</c:v>
                </c:pt>
                <c:pt idx="296">
                  <c:v>-0.71786026444549833</c:v>
                </c:pt>
                <c:pt idx="297">
                  <c:v>-0.71527214905951342</c:v>
                </c:pt>
                <c:pt idx="298">
                  <c:v>-0.71268881596681288</c:v>
                </c:pt>
                <c:pt idx="299">
                  <c:v>-0.71011023034983434</c:v>
                </c:pt>
                <c:pt idx="300">
                  <c:v>-0.7075363577087741</c:v>
                </c:pt>
                <c:pt idx="301">
                  <c:v>-0.70496716385743308</c:v>
                </c:pt>
                <c:pt idx="302">
                  <c:v>-0.70240261491912992</c:v>
                </c:pt>
                <c:pt idx="303">
                  <c:v>-0.69984267732268335</c:v>
                </c:pt>
                <c:pt idx="304">
                  <c:v>-0.69728731779845365</c:v>
                </c:pt>
                <c:pt idx="305">
                  <c:v>-0.69473650337444759</c:v>
                </c:pt>
                <c:pt idx="306">
                  <c:v>-0.69219020137249287</c:v>
                </c:pt>
                <c:pt idx="307">
                  <c:v>-0.68964837940445989</c:v>
                </c:pt>
                <c:pt idx="308">
                  <c:v>-0.68711100536855518</c:v>
                </c:pt>
                <c:pt idx="309">
                  <c:v>-0.68457804744566686</c:v>
                </c:pt>
                <c:pt idx="310">
                  <c:v>-0.68204947409576822</c:v>
                </c:pt>
                <c:pt idx="311">
                  <c:v>-0.67952525405437891</c:v>
                </c:pt>
                <c:pt idx="312">
                  <c:v>-0.67700535632907999</c:v>
                </c:pt>
                <c:pt idx="313">
                  <c:v>-0.67448975019608193</c:v>
                </c:pt>
                <c:pt idx="314">
                  <c:v>-0.6719784051968487</c:v>
                </c:pt>
                <c:pt idx="315">
                  <c:v>-0.66947129113477122</c:v>
                </c:pt>
                <c:pt idx="316">
                  <c:v>-0.66696837807189291</c:v>
                </c:pt>
                <c:pt idx="317">
                  <c:v>-0.66446963632568545</c:v>
                </c:pt>
                <c:pt idx="318">
                  <c:v>-0.6619750364658723</c:v>
                </c:pt>
                <c:pt idx="319">
                  <c:v>-0.65948454931130407</c:v>
                </c:pt>
                <c:pt idx="320">
                  <c:v>-0.65699814592687567</c:v>
                </c:pt>
                <c:pt idx="321">
                  <c:v>-0.65451579762049528</c:v>
                </c:pt>
                <c:pt idx="322">
                  <c:v>-0.65203747594009653</c:v>
                </c:pt>
                <c:pt idx="323">
                  <c:v>-0.64956315267069531</c:v>
                </c:pt>
                <c:pt idx="324">
                  <c:v>-0.64709279983148971</c:v>
                </c:pt>
                <c:pt idx="325">
                  <c:v>-0.644626389673008</c:v>
                </c:pt>
                <c:pt idx="326">
                  <c:v>-0.64216389467429247</c:v>
                </c:pt>
                <c:pt idx="327">
                  <c:v>-0.63970528754012834</c:v>
                </c:pt>
                <c:pt idx="328">
                  <c:v>-0.63725054119831448</c:v>
                </c:pt>
                <c:pt idx="329">
                  <c:v>-0.63479962879697216</c:v>
                </c:pt>
                <c:pt idx="330">
                  <c:v>-0.63235252370189377</c:v>
                </c:pt>
                <c:pt idx="331">
                  <c:v>-0.62990919949393132</c:v>
                </c:pt>
                <c:pt idx="332">
                  <c:v>-0.62746962996642153</c:v>
                </c:pt>
                <c:pt idx="333">
                  <c:v>-0.62503378912265017</c:v>
                </c:pt>
                <c:pt idx="334">
                  <c:v>-0.62260165117335065</c:v>
                </c:pt>
                <c:pt idx="335">
                  <c:v>-0.62017319053424136</c:v>
                </c:pt>
                <c:pt idx="336">
                  <c:v>-0.61774838182359582</c:v>
                </c:pt>
                <c:pt idx="337">
                  <c:v>-0.61532719985985007</c:v>
                </c:pt>
                <c:pt idx="338">
                  <c:v>-0.61290961965924273</c:v>
                </c:pt>
                <c:pt idx="339">
                  <c:v>-0.61049561643348849</c:v>
                </c:pt>
                <c:pt idx="340">
                  <c:v>-0.60808516558748693</c:v>
                </c:pt>
                <c:pt idx="341">
                  <c:v>-0.60567824271705972</c:v>
                </c:pt>
                <c:pt idx="342">
                  <c:v>-0.60327482360672458</c:v>
                </c:pt>
                <c:pt idx="343">
                  <c:v>-0.60087488422749591</c:v>
                </c:pt>
                <c:pt idx="344">
                  <c:v>-0.59847840073472047</c:v>
                </c:pt>
                <c:pt idx="345">
                  <c:v>-0.59608534946593994</c:v>
                </c:pt>
                <c:pt idx="346">
                  <c:v>-0.59369570693878382</c:v>
                </c:pt>
                <c:pt idx="347">
                  <c:v>-0.59130944984889577</c:v>
                </c:pt>
                <c:pt idx="348">
                  <c:v>-0.58892655506788127</c:v>
                </c:pt>
                <c:pt idx="349">
                  <c:v>-0.5865469996412902</c:v>
                </c:pt>
                <c:pt idx="350">
                  <c:v>-0.58417076078662311</c:v>
                </c:pt>
                <c:pt idx="351">
                  <c:v>-0.58179781589136859</c:v>
                </c:pt>
                <c:pt idx="352">
                  <c:v>-0.57942814251106189</c:v>
                </c:pt>
                <c:pt idx="353">
                  <c:v>-0.57706171836737574</c:v>
                </c:pt>
                <c:pt idx="354">
                  <c:v>-0.574698521346235</c:v>
                </c:pt>
                <c:pt idx="355">
                  <c:v>-0.57233852949595398</c:v>
                </c:pt>
                <c:pt idx="356">
                  <c:v>-0.56998172102540456</c:v>
                </c:pt>
                <c:pt idx="357">
                  <c:v>-0.56762807430220341</c:v>
                </c:pt>
                <c:pt idx="358">
                  <c:v>-0.56527756785092831</c:v>
                </c:pt>
                <c:pt idx="359">
                  <c:v>-0.56293018035135345</c:v>
                </c:pt>
                <c:pt idx="360">
                  <c:v>-0.56058589063671327</c:v>
                </c:pt>
                <c:pt idx="361">
                  <c:v>-0.55824467769198549</c:v>
                </c:pt>
                <c:pt idx="362">
                  <c:v>-0.55590652065219914</c:v>
                </c:pt>
                <c:pt idx="363">
                  <c:v>-0.55357139880076323</c:v>
                </c:pt>
                <c:pt idx="364">
                  <c:v>-0.55123929156782003</c:v>
                </c:pt>
                <c:pt idx="365">
                  <c:v>-0.54891017852861668</c:v>
                </c:pt>
                <c:pt idx="366">
                  <c:v>-0.54658403940190015</c:v>
                </c:pt>
                <c:pt idx="367">
                  <c:v>-0.54426085404833446</c:v>
                </c:pt>
                <c:pt idx="368">
                  <c:v>-0.54194060246893416</c:v>
                </c:pt>
                <c:pt idx="369">
                  <c:v>-0.53962326480352163</c:v>
                </c:pt>
                <c:pt idx="370">
                  <c:v>-0.53730882132920532</c:v>
                </c:pt>
                <c:pt idx="371">
                  <c:v>-0.53499725245887308</c:v>
                </c:pt>
                <c:pt idx="372">
                  <c:v>-0.53268853873970945</c:v>
                </c:pt>
                <c:pt idx="373">
                  <c:v>-0.53038266085172847</c:v>
                </c:pt>
                <c:pt idx="374">
                  <c:v>-0.52807959960632822</c:v>
                </c:pt>
                <c:pt idx="375">
                  <c:v>-0.52577933594486148</c:v>
                </c:pt>
                <c:pt idx="376">
                  <c:v>-0.52348185093722488</c:v>
                </c:pt>
                <c:pt idx="377">
                  <c:v>-0.521187125780468</c:v>
                </c:pt>
                <c:pt idx="378">
                  <c:v>-0.51889514179741658</c:v>
                </c:pt>
                <c:pt idx="379">
                  <c:v>-0.51660588043531575</c:v>
                </c:pt>
                <c:pt idx="380">
                  <c:v>-0.51431932326448959</c:v>
                </c:pt>
                <c:pt idx="381">
                  <c:v>-0.51203545197701639</c:v>
                </c:pt>
                <c:pt idx="382">
                  <c:v>-0.50975424838542183</c:v>
                </c:pt>
                <c:pt idx="383">
                  <c:v>-0.50747569442138774</c:v>
                </c:pt>
                <c:pt idx="384">
                  <c:v>-0.50519977213447687</c:v>
                </c:pt>
                <c:pt idx="385">
                  <c:v>-0.50292646369087257</c:v>
                </c:pt>
                <c:pt idx="386">
                  <c:v>-0.50065575137213691</c:v>
                </c:pt>
                <c:pt idx="387">
                  <c:v>-0.49838761757397926</c:v>
                </c:pt>
                <c:pt idx="388">
                  <c:v>-0.49612204480504479</c:v>
                </c:pt>
                <c:pt idx="389">
                  <c:v>-0.49385901568571405</c:v>
                </c:pt>
                <c:pt idx="390">
                  <c:v>-0.49159851294692014</c:v>
                </c:pt>
                <c:pt idx="391">
                  <c:v>-0.48934051942897694</c:v>
                </c:pt>
                <c:pt idx="392">
                  <c:v>-0.48708501808042487</c:v>
                </c:pt>
                <c:pt idx="393">
                  <c:v>-0.48483199195688781</c:v>
                </c:pt>
                <c:pt idx="394">
                  <c:v>-0.4825814242199451</c:v>
                </c:pt>
                <c:pt idx="395">
                  <c:v>-0.48033329813601716</c:v>
                </c:pt>
                <c:pt idx="396">
                  <c:v>-0.47808759707526399</c:v>
                </c:pt>
                <c:pt idx="397">
                  <c:v>-0.47584430451049581</c:v>
                </c:pt>
                <c:pt idx="398">
                  <c:v>-0.47360340401609913</c:v>
                </c:pt>
                <c:pt idx="399">
                  <c:v>-0.47136487926697263</c:v>
                </c:pt>
                <c:pt idx="400">
                  <c:v>-0.4691287140374773</c:v>
                </c:pt>
                <c:pt idx="401">
                  <c:v>-0.46689489220039887</c:v>
                </c:pt>
                <c:pt idx="402">
                  <c:v>-0.46466339772592158</c:v>
                </c:pt>
                <c:pt idx="403">
                  <c:v>-0.46243421468061463</c:v>
                </c:pt>
                <c:pt idx="404">
                  <c:v>-0.46020732722642965</c:v>
                </c:pt>
                <c:pt idx="405">
                  <c:v>-0.45798271961971027</c:v>
                </c:pt>
                <c:pt idx="406">
                  <c:v>-0.45576037621021431</c:v>
                </c:pt>
                <c:pt idx="407">
                  <c:v>-0.45354028144014408</c:v>
                </c:pt>
                <c:pt idx="408">
                  <c:v>-0.45132241984319144</c:v>
                </c:pt>
                <c:pt idx="409">
                  <c:v>-0.44910677604359084</c:v>
                </c:pt>
                <c:pt idx="410">
                  <c:v>-0.44689333475518556</c:v>
                </c:pt>
                <c:pt idx="411">
                  <c:v>-0.44468208078050236</c:v>
                </c:pt>
                <c:pt idx="412">
                  <c:v>-0.44247299900983833</c:v>
                </c:pt>
                <c:pt idx="413">
                  <c:v>-0.44026607442035703</c:v>
                </c:pt>
                <c:pt idx="414">
                  <c:v>-0.43806129207519545</c:v>
                </c:pt>
                <c:pt idx="415">
                  <c:v>-0.43585863712258077</c:v>
                </c:pt>
                <c:pt idx="416">
                  <c:v>-0.43365809479495632</c:v>
                </c:pt>
                <c:pt idx="417">
                  <c:v>-0.43145965040811818</c:v>
                </c:pt>
                <c:pt idx="418">
                  <c:v>-0.42926328936036173</c:v>
                </c:pt>
                <c:pt idx="419">
                  <c:v>-0.42706899713163576</c:v>
                </c:pt>
                <c:pt idx="420">
                  <c:v>-0.42487675928270802</c:v>
                </c:pt>
                <c:pt idx="421">
                  <c:v>-0.42268656145433925</c:v>
                </c:pt>
                <c:pt idx="422">
                  <c:v>-0.42049838936646489</c:v>
                </c:pt>
                <c:pt idx="423">
                  <c:v>-0.41831222881738783</c:v>
                </c:pt>
                <c:pt idx="424">
                  <c:v>-0.41612806568297905</c:v>
                </c:pt>
                <c:pt idx="425">
                  <c:v>-0.41394588591588732</c:v>
                </c:pt>
                <c:pt idx="426">
                  <c:v>-0.41176567554475518</c:v>
                </c:pt>
                <c:pt idx="427">
                  <c:v>-0.40958742067344739</c:v>
                </c:pt>
                <c:pt idx="428">
                  <c:v>-0.40741110748028431</c:v>
                </c:pt>
                <c:pt idx="429">
                  <c:v>-0.40523672221728529</c:v>
                </c:pt>
                <c:pt idx="430">
                  <c:v>-0.40306425120941847</c:v>
                </c:pt>
                <c:pt idx="431">
                  <c:v>-0.40089368085386107</c:v>
                </c:pt>
                <c:pt idx="432">
                  <c:v>-0.39872499761926478</c:v>
                </c:pt>
                <c:pt idx="433">
                  <c:v>-0.39655818804503096</c:v>
                </c:pt>
                <c:pt idx="434">
                  <c:v>-0.39439323874059246</c:v>
                </c:pt>
                <c:pt idx="435">
                  <c:v>-0.39223013638470289</c:v>
                </c:pt>
                <c:pt idx="436">
                  <c:v>-0.39006886772473359</c:v>
                </c:pt>
                <c:pt idx="437">
                  <c:v>-0.38790941957597869</c:v>
                </c:pt>
                <c:pt idx="438">
                  <c:v>-0.38575177882096578</c:v>
                </c:pt>
                <c:pt idx="439">
                  <c:v>-0.38359593240877499</c:v>
                </c:pt>
                <c:pt idx="440">
                  <c:v>-0.38144186735436381</c:v>
                </c:pt>
                <c:pt idx="441">
                  <c:v>-0.3792895707379012</c:v>
                </c:pt>
                <c:pt idx="442">
                  <c:v>-0.3771390297041054</c:v>
                </c:pt>
                <c:pt idx="443">
                  <c:v>-0.37499023146159088</c:v>
                </c:pt>
                <c:pt idx="444">
                  <c:v>-0.37284316328222122</c:v>
                </c:pt>
                <c:pt idx="445">
                  <c:v>-0.37069781250046735</c:v>
                </c:pt>
                <c:pt idx="446">
                  <c:v>-0.36855416651277412</c:v>
                </c:pt>
                <c:pt idx="447">
                  <c:v>-0.36641221277693303</c:v>
                </c:pt>
                <c:pt idx="448">
                  <c:v>-0.36427193881145892</c:v>
                </c:pt>
                <c:pt idx="449">
                  <c:v>-0.36213333219497562</c:v>
                </c:pt>
                <c:pt idx="450">
                  <c:v>-0.35999638056560684</c:v>
                </c:pt>
                <c:pt idx="451">
                  <c:v>-0.35786107162037184</c:v>
                </c:pt>
                <c:pt idx="452">
                  <c:v>-0.35572739311458912</c:v>
                </c:pt>
                <c:pt idx="453">
                  <c:v>-0.35359533286128414</c:v>
                </c:pt>
                <c:pt idx="454">
                  <c:v>-0.35146487873060422</c:v>
                </c:pt>
                <c:pt idx="455">
                  <c:v>-0.34933601864923775</c:v>
                </c:pt>
                <c:pt idx="456">
                  <c:v>-0.3472087405998403</c:v>
                </c:pt>
                <c:pt idx="457">
                  <c:v>-0.34508303262046608</c:v>
                </c:pt>
                <c:pt idx="458">
                  <c:v>-0.34295888280400344</c:v>
                </c:pt>
                <c:pt idx="459">
                  <c:v>-0.34083627929761778</c:v>
                </c:pt>
                <c:pt idx="460">
                  <c:v>-0.33871521030219887</c:v>
                </c:pt>
                <c:pt idx="461">
                  <c:v>-0.33659566407181285</c:v>
                </c:pt>
                <c:pt idx="462">
                  <c:v>-0.33447762891316019</c:v>
                </c:pt>
                <c:pt idx="463">
                  <c:v>-0.33236109318503904</c:v>
                </c:pt>
                <c:pt idx="464">
                  <c:v>-0.3302460452978121</c:v>
                </c:pt>
                <c:pt idx="465">
                  <c:v>-0.32813247371288057</c:v>
                </c:pt>
                <c:pt idx="466">
                  <c:v>-0.32602036694216147</c:v>
                </c:pt>
                <c:pt idx="467">
                  <c:v>-0.32390971354756987</c:v>
                </c:pt>
                <c:pt idx="468">
                  <c:v>-0.32180050214050659</c:v>
                </c:pt>
                <c:pt idx="469">
                  <c:v>-0.31969272138135096</c:v>
                </c:pt>
                <c:pt idx="470">
                  <c:v>-0.31758635997895618</c:v>
                </c:pt>
                <c:pt idx="471">
                  <c:v>-0.31548140669015162</c:v>
                </c:pt>
                <c:pt idx="472">
                  <c:v>-0.31337785031924825</c:v>
                </c:pt>
                <c:pt idx="473">
                  <c:v>-0.3112756797175496</c:v>
                </c:pt>
                <c:pt idx="474">
                  <c:v>-0.30917488378286528</c:v>
                </c:pt>
                <c:pt idx="475">
                  <c:v>-0.30707545145903087</c:v>
                </c:pt>
                <c:pt idx="476">
                  <c:v>-0.30497737173543138</c:v>
                </c:pt>
                <c:pt idx="477">
                  <c:v>-0.30288063364652795</c:v>
                </c:pt>
                <c:pt idx="478">
                  <c:v>-0.30078522627139009</c:v>
                </c:pt>
                <c:pt idx="479">
                  <c:v>-0.29869113873323189</c:v>
                </c:pt>
                <c:pt idx="480">
                  <c:v>-0.29659836019895114</c:v>
                </c:pt>
                <c:pt idx="481">
                  <c:v>-0.2945068798786733</c:v>
                </c:pt>
                <c:pt idx="482">
                  <c:v>-0.29241668702530038</c:v>
                </c:pt>
                <c:pt idx="483">
                  <c:v>-0.29032777093406098</c:v>
                </c:pt>
                <c:pt idx="484">
                  <c:v>-0.28824012094206697</c:v>
                </c:pt>
                <c:pt idx="485">
                  <c:v>-0.28615372642787296</c:v>
                </c:pt>
                <c:pt idx="486">
                  <c:v>-0.2840685768110387</c:v>
                </c:pt>
                <c:pt idx="487">
                  <c:v>-0.28198466155169616</c:v>
                </c:pt>
                <c:pt idx="488">
                  <c:v>-0.27990197015012003</c:v>
                </c:pt>
                <c:pt idx="489">
                  <c:v>-0.27782049214630206</c:v>
                </c:pt>
                <c:pt idx="490">
                  <c:v>-0.27574021711952784</c:v>
                </c:pt>
                <c:pt idx="491">
                  <c:v>-0.27366113468795827</c:v>
                </c:pt>
                <c:pt idx="492">
                  <c:v>-0.27158323450821464</c:v>
                </c:pt>
                <c:pt idx="493">
                  <c:v>-0.26950650627496547</c:v>
                </c:pt>
                <c:pt idx="494">
                  <c:v>-0.26743093972051812</c:v>
                </c:pt>
                <c:pt idx="495">
                  <c:v>-0.26535652461441417</c:v>
                </c:pt>
                <c:pt idx="496">
                  <c:v>-0.26328325076302611</c:v>
                </c:pt>
                <c:pt idx="497">
                  <c:v>-0.26121110800915892</c:v>
                </c:pt>
                <c:pt idx="498">
                  <c:v>-0.25914008623165485</c:v>
                </c:pt>
                <c:pt idx="499">
                  <c:v>-0.25707017534499943</c:v>
                </c:pt>
                <c:pt idx="500">
                  <c:v>-0.25500136529893319</c:v>
                </c:pt>
                <c:pt idx="501">
                  <c:v>-0.25293364607806496</c:v>
                </c:pt>
                <c:pt idx="502">
                  <c:v>-0.25086700770148768</c:v>
                </c:pt>
                <c:pt idx="503">
                  <c:v>-0.24880144022239872</c:v>
                </c:pt>
                <c:pt idx="504">
                  <c:v>-0.24673693372772171</c:v>
                </c:pt>
                <c:pt idx="505">
                  <c:v>-0.24467347833773251</c:v>
                </c:pt>
                <c:pt idx="506">
                  <c:v>-0.24261106420568665</c:v>
                </c:pt>
                <c:pt idx="507">
                  <c:v>-0.2405496815174506</c:v>
                </c:pt>
                <c:pt idx="508">
                  <c:v>-0.23848932049113589</c:v>
                </c:pt>
                <c:pt idx="509">
                  <c:v>-0.23642997137673497</c:v>
                </c:pt>
                <c:pt idx="510">
                  <c:v>-0.23437162445576049</c:v>
                </c:pt>
                <c:pt idx="511">
                  <c:v>-0.23231427004088778</c:v>
                </c:pt>
                <c:pt idx="512">
                  <c:v>-0.23025789847559838</c:v>
                </c:pt>
                <c:pt idx="513">
                  <c:v>-0.22820250013382753</c:v>
                </c:pt>
                <c:pt idx="514">
                  <c:v>-0.22614806541961399</c:v>
                </c:pt>
                <c:pt idx="515">
                  <c:v>-0.22409458476675168</c:v>
                </c:pt>
                <c:pt idx="516">
                  <c:v>-0.22204204863844443</c:v>
                </c:pt>
                <c:pt idx="517">
                  <c:v>-0.21999044752696323</c:v>
                </c:pt>
                <c:pt idx="518">
                  <c:v>-0.21793977195330541</c:v>
                </c:pt>
                <c:pt idx="519">
                  <c:v>-0.21589001246685627</c:v>
                </c:pt>
                <c:pt idx="520">
                  <c:v>-0.21384115964505368</c:v>
                </c:pt>
                <c:pt idx="521">
                  <c:v>-0.21179320409305458</c:v>
                </c:pt>
                <c:pt idx="522">
                  <c:v>-0.20974613644340317</c:v>
                </c:pt>
                <c:pt idx="523">
                  <c:v>-0.20769994735570219</c:v>
                </c:pt>
                <c:pt idx="524">
                  <c:v>-0.20565462751628658</c:v>
                </c:pt>
                <c:pt idx="525">
                  <c:v>-0.20361016763789802</c:v>
                </c:pt>
                <c:pt idx="526">
                  <c:v>-0.201566558459363</c:v>
                </c:pt>
                <c:pt idx="527">
                  <c:v>-0.19952379074527271</c:v>
                </c:pt>
                <c:pt idx="528">
                  <c:v>-0.19748185528566406</c:v>
                </c:pt>
                <c:pt idx="529">
                  <c:v>-0.19544074289570396</c:v>
                </c:pt>
                <c:pt idx="530">
                  <c:v>-0.19340044441537538</c:v>
                </c:pt>
                <c:pt idx="531">
                  <c:v>-0.19136095070916465</c:v>
                </c:pt>
                <c:pt idx="532">
                  <c:v>-0.18932225266575139</c:v>
                </c:pt>
                <c:pt idx="533">
                  <c:v>-0.1872843411977009</c:v>
                </c:pt>
                <c:pt idx="534">
                  <c:v>-0.18524720724115676</c:v>
                </c:pt>
                <c:pt idx="535">
                  <c:v>-0.18321084175553715</c:v>
                </c:pt>
                <c:pt idx="536">
                  <c:v>-0.1811752357232323</c:v>
                </c:pt>
                <c:pt idx="537">
                  <c:v>-0.17914038014930314</c:v>
                </c:pt>
                <c:pt idx="538">
                  <c:v>-0.17710626606118277</c:v>
                </c:pt>
                <c:pt idx="539">
                  <c:v>-0.17507288450837902</c:v>
                </c:pt>
                <c:pt idx="540">
                  <c:v>-0.17304022656217968</c:v>
                </c:pt>
                <c:pt idx="541">
                  <c:v>-0.17100828331535786</c:v>
                </c:pt>
                <c:pt idx="542">
                  <c:v>-0.16897704588188017</c:v>
                </c:pt>
                <c:pt idx="543">
                  <c:v>-0.16694650539661729</c:v>
                </c:pt>
                <c:pt idx="544">
                  <c:v>-0.1649166530150539</c:v>
                </c:pt>
                <c:pt idx="545">
                  <c:v>-0.16288747991300231</c:v>
                </c:pt>
                <c:pt idx="546">
                  <c:v>-0.16085897728631737</c:v>
                </c:pt>
                <c:pt idx="547">
                  <c:v>-0.15883113635061158</c:v>
                </c:pt>
                <c:pt idx="548">
                  <c:v>-0.15680394834097308</c:v>
                </c:pt>
                <c:pt idx="549">
                  <c:v>-0.15477740451168545</c:v>
                </c:pt>
                <c:pt idx="550">
                  <c:v>-0.15275149613594721</c:v>
                </c:pt>
                <c:pt idx="551">
                  <c:v>-0.1507262145055944</c:v>
                </c:pt>
                <c:pt idx="552">
                  <c:v>-0.14870155093082474</c:v>
                </c:pt>
                <c:pt idx="553">
                  <c:v>-0.14667749673992131</c:v>
                </c:pt>
                <c:pt idx="554">
                  <c:v>-0.14465404327897993</c:v>
                </c:pt>
                <c:pt idx="555">
                  <c:v>-0.14263118191163637</c:v>
                </c:pt>
                <c:pt idx="556">
                  <c:v>-0.14060890401879589</c:v>
                </c:pt>
                <c:pt idx="557">
                  <c:v>-0.13858720099836302</c:v>
                </c:pt>
                <c:pt idx="558">
                  <c:v>-0.13656606426497364</c:v>
                </c:pt>
                <c:pt idx="559">
                  <c:v>-0.13454548524972815</c:v>
                </c:pt>
                <c:pt idx="560">
                  <c:v>-0.13252545539992522</c:v>
                </c:pt>
                <c:pt idx="561">
                  <c:v>-0.13050596617879759</c:v>
                </c:pt>
                <c:pt idx="562">
                  <c:v>-0.12848700906524904</c:v>
                </c:pt>
                <c:pt idx="563">
                  <c:v>-0.12646857555359156</c:v>
                </c:pt>
                <c:pt idx="564">
                  <c:v>-0.12445065715328503</c:v>
                </c:pt>
                <c:pt idx="565">
                  <c:v>-0.12243324538867745</c:v>
                </c:pt>
                <c:pt idx="566">
                  <c:v>-0.12041633179874589</c:v>
                </c:pt>
                <c:pt idx="567">
                  <c:v>-0.11839990793683908</c:v>
                </c:pt>
                <c:pt idx="568">
                  <c:v>-0.11638396537042145</c:v>
                </c:pt>
                <c:pt idx="569">
                  <c:v>-0.11436849568081703</c:v>
                </c:pt>
                <c:pt idx="570">
                  <c:v>-0.11235349046295551</c:v>
                </c:pt>
                <c:pt idx="571">
                  <c:v>-0.11033894132511878</c:v>
                </c:pt>
                <c:pt idx="572">
                  <c:v>-0.10832483988868906</c:v>
                </c:pt>
                <c:pt idx="573">
                  <c:v>-0.10631117778789692</c:v>
                </c:pt>
                <c:pt idx="574">
                  <c:v>-0.10429794666957114</c:v>
                </c:pt>
                <c:pt idx="575">
                  <c:v>-0.10228513819288991</c:v>
                </c:pt>
                <c:pt idx="576">
                  <c:v>-0.10027274402913136</c:v>
                </c:pt>
                <c:pt idx="577">
                  <c:v>-9.8260755861426574E-2</c:v>
                </c:pt>
                <c:pt idx="578">
                  <c:v>-9.6249165384513127E-2</c:v>
                </c:pt>
                <c:pt idx="579">
                  <c:v>-9.4237964304488581E-2</c:v>
                </c:pt>
                <c:pt idx="580">
                  <c:v>-9.2227144338565867E-2</c:v>
                </c:pt>
                <c:pt idx="581">
                  <c:v>-9.0216697214829542E-2</c:v>
                </c:pt>
                <c:pt idx="582">
                  <c:v>-8.8206614671991687E-2</c:v>
                </c:pt>
                <c:pt idx="583">
                  <c:v>-8.6196888459149704E-2</c:v>
                </c:pt>
                <c:pt idx="584">
                  <c:v>-8.4187510335545057E-2</c:v>
                </c:pt>
                <c:pt idx="585">
                  <c:v>-8.2178472070321293E-2</c:v>
                </c:pt>
                <c:pt idx="586">
                  <c:v>-8.0169765442284449E-2</c:v>
                </c:pt>
                <c:pt idx="587">
                  <c:v>-7.8161382239663096E-2</c:v>
                </c:pt>
                <c:pt idx="588">
                  <c:v>-7.6153314259870111E-2</c:v>
                </c:pt>
                <c:pt idx="589">
                  <c:v>-7.4145553309263604E-2</c:v>
                </c:pt>
                <c:pt idx="590">
                  <c:v>-7.2138091202909815E-2</c:v>
                </c:pt>
                <c:pt idx="591">
                  <c:v>-7.0130919764346697E-2</c:v>
                </c:pt>
                <c:pt idx="592">
                  <c:v>-6.812403082534671E-2</c:v>
                </c:pt>
                <c:pt idx="593">
                  <c:v>-6.6117416225681749E-2</c:v>
                </c:pt>
                <c:pt idx="594">
                  <c:v>-6.411106781288832E-2</c:v>
                </c:pt>
                <c:pt idx="595">
                  <c:v>-6.2104977442032354E-2</c:v>
                </c:pt>
                <c:pt idx="596">
                  <c:v>-6.0099136975475621E-2</c:v>
                </c:pt>
                <c:pt idx="597">
                  <c:v>-5.8093538282642784E-2</c:v>
                </c:pt>
                <c:pt idx="598">
                  <c:v>-5.6088173239787632E-2</c:v>
                </c:pt>
                <c:pt idx="599">
                  <c:v>-5.4083033729761192E-2</c:v>
                </c:pt>
                <c:pt idx="600">
                  <c:v>-5.207811164178016E-2</c:v>
                </c:pt>
                <c:pt idx="601">
                  <c:v>-5.0073398871194746E-2</c:v>
                </c:pt>
                <c:pt idx="602">
                  <c:v>-4.8068887319258131E-2</c:v>
                </c:pt>
                <c:pt idx="603">
                  <c:v>-4.6064568892895778E-2</c:v>
                </c:pt>
                <c:pt idx="604">
                  <c:v>-4.4060435504475734E-2</c:v>
                </c:pt>
                <c:pt idx="605">
                  <c:v>-4.2056479071578133E-2</c:v>
                </c:pt>
                <c:pt idx="606">
                  <c:v>-4.0052691516766249E-2</c:v>
                </c:pt>
                <c:pt idx="607">
                  <c:v>-3.8049064767357928E-2</c:v>
                </c:pt>
                <c:pt idx="608">
                  <c:v>-3.6045590755196096E-2</c:v>
                </c:pt>
                <c:pt idx="609">
                  <c:v>-3.4042261416420902E-2</c:v>
                </c:pt>
                <c:pt idx="610">
                  <c:v>-3.2039068691242081E-2</c:v>
                </c:pt>
                <c:pt idx="611">
                  <c:v>-3.0036004523710504E-2</c:v>
                </c:pt>
                <c:pt idx="612">
                  <c:v>-2.803306086149111E-2</c:v>
                </c:pt>
                <c:pt idx="613">
                  <c:v>-2.60302296556362E-2</c:v>
                </c:pt>
                <c:pt idx="614">
                  <c:v>-2.4027502860357687E-2</c:v>
                </c:pt>
                <c:pt idx="615">
                  <c:v>-2.2024872432800827E-2</c:v>
                </c:pt>
                <c:pt idx="616">
                  <c:v>-2.0022330332818215E-2</c:v>
                </c:pt>
                <c:pt idx="617">
                  <c:v>-1.8019868522742614E-2</c:v>
                </c:pt>
                <c:pt idx="618">
                  <c:v>-1.6017478967161485E-2</c:v>
                </c:pt>
                <c:pt idx="619">
                  <c:v>-1.4015153632690777E-2</c:v>
                </c:pt>
                <c:pt idx="620">
                  <c:v>-1.2012884487749675E-2</c:v>
                </c:pt>
                <c:pt idx="621">
                  <c:v>-1.0010663502334174E-2</c:v>
                </c:pt>
                <c:pt idx="622">
                  <c:v>-8.0084826477919268E-3</c:v>
                </c:pt>
                <c:pt idx="623">
                  <c:v>-6.00633389659726E-3</c:v>
                </c:pt>
                <c:pt idx="624">
                  <c:v>-4.0042092221249702E-3</c:v>
                </c:pt>
                <c:pt idx="625">
                  <c:v>-2.0021005984254773E-3</c:v>
                </c:pt>
                <c:pt idx="626">
                  <c:v>0</c:v>
                </c:pt>
                <c:pt idx="627">
                  <c:v>2.0021005984254773E-3</c:v>
                </c:pt>
                <c:pt idx="628">
                  <c:v>4.0042092221248314E-3</c:v>
                </c:pt>
                <c:pt idx="629">
                  <c:v>6.0063338965971203E-3</c:v>
                </c:pt>
                <c:pt idx="630">
                  <c:v>8.0084826477920673E-3</c:v>
                </c:pt>
                <c:pt idx="631">
                  <c:v>1.0010663502334174E-2</c:v>
                </c:pt>
                <c:pt idx="632">
                  <c:v>1.2012884487749675E-2</c:v>
                </c:pt>
                <c:pt idx="633">
                  <c:v>1.4015153632690777E-2</c:v>
                </c:pt>
                <c:pt idx="634">
                  <c:v>1.6017478967161349E-2</c:v>
                </c:pt>
                <c:pt idx="635">
                  <c:v>1.8019868522742476E-2</c:v>
                </c:pt>
                <c:pt idx="636">
                  <c:v>2.0022330332818358E-2</c:v>
                </c:pt>
                <c:pt idx="637">
                  <c:v>2.202487243280097E-2</c:v>
                </c:pt>
                <c:pt idx="638">
                  <c:v>2.4027502860357687E-2</c:v>
                </c:pt>
                <c:pt idx="639">
                  <c:v>2.60302296556362E-2</c:v>
                </c:pt>
                <c:pt idx="640">
                  <c:v>2.803306086149111E-2</c:v>
                </c:pt>
                <c:pt idx="641">
                  <c:v>3.0036004523710365E-2</c:v>
                </c:pt>
                <c:pt idx="642">
                  <c:v>3.203906869124222E-2</c:v>
                </c:pt>
                <c:pt idx="643">
                  <c:v>3.4042261416421041E-2</c:v>
                </c:pt>
                <c:pt idx="644">
                  <c:v>3.6045590755196096E-2</c:v>
                </c:pt>
                <c:pt idx="645">
                  <c:v>3.8049064767357928E-2</c:v>
                </c:pt>
                <c:pt idx="646">
                  <c:v>4.0052691516766249E-2</c:v>
                </c:pt>
                <c:pt idx="647">
                  <c:v>4.2056479071577994E-2</c:v>
                </c:pt>
                <c:pt idx="648">
                  <c:v>4.4060435504475588E-2</c:v>
                </c:pt>
                <c:pt idx="649">
                  <c:v>4.6064568892895917E-2</c:v>
                </c:pt>
                <c:pt idx="650">
                  <c:v>4.8068887319258131E-2</c:v>
                </c:pt>
                <c:pt idx="651">
                  <c:v>5.0073398871194746E-2</c:v>
                </c:pt>
                <c:pt idx="652">
                  <c:v>5.207811164178016E-2</c:v>
                </c:pt>
                <c:pt idx="653">
                  <c:v>5.4083033729761192E-2</c:v>
                </c:pt>
                <c:pt idx="654">
                  <c:v>5.6088173239787487E-2</c:v>
                </c:pt>
                <c:pt idx="655">
                  <c:v>5.8093538282642923E-2</c:v>
                </c:pt>
                <c:pt idx="656">
                  <c:v>6.009913697547576E-2</c:v>
                </c:pt>
                <c:pt idx="657">
                  <c:v>6.2104977442032354E-2</c:v>
                </c:pt>
                <c:pt idx="658">
                  <c:v>6.411106781288832E-2</c:v>
                </c:pt>
                <c:pt idx="659">
                  <c:v>6.6117416225681749E-2</c:v>
                </c:pt>
                <c:pt idx="660">
                  <c:v>6.8124030825346571E-2</c:v>
                </c:pt>
                <c:pt idx="661">
                  <c:v>7.0130919764346544E-2</c:v>
                </c:pt>
                <c:pt idx="662">
                  <c:v>7.2138091202909954E-2</c:v>
                </c:pt>
                <c:pt idx="663">
                  <c:v>7.4145553309263604E-2</c:v>
                </c:pt>
                <c:pt idx="664">
                  <c:v>7.6153314259870111E-2</c:v>
                </c:pt>
                <c:pt idx="665">
                  <c:v>7.8161382239663096E-2</c:v>
                </c:pt>
                <c:pt idx="666">
                  <c:v>8.0169765442284296E-2</c:v>
                </c:pt>
                <c:pt idx="667">
                  <c:v>8.2178472070321154E-2</c:v>
                </c:pt>
                <c:pt idx="668">
                  <c:v>8.4187510335545196E-2</c:v>
                </c:pt>
                <c:pt idx="669">
                  <c:v>8.619688845914987E-2</c:v>
                </c:pt>
                <c:pt idx="670">
                  <c:v>8.8206614671991687E-2</c:v>
                </c:pt>
                <c:pt idx="671">
                  <c:v>9.0216697214829542E-2</c:v>
                </c:pt>
                <c:pt idx="672">
                  <c:v>9.2227144338565867E-2</c:v>
                </c:pt>
                <c:pt idx="673">
                  <c:v>9.4237964304488456E-2</c:v>
                </c:pt>
                <c:pt idx="674">
                  <c:v>9.6249165384513266E-2</c:v>
                </c:pt>
                <c:pt idx="675">
                  <c:v>9.8260755861426727E-2</c:v>
                </c:pt>
                <c:pt idx="676">
                  <c:v>0.10027274402913136</c:v>
                </c:pt>
                <c:pt idx="677">
                  <c:v>0.10228513819288991</c:v>
                </c:pt>
                <c:pt idx="678">
                  <c:v>0.10429794666957114</c:v>
                </c:pt>
                <c:pt idx="679">
                  <c:v>0.10631117778789677</c:v>
                </c:pt>
                <c:pt idx="680">
                  <c:v>0.10832483988868892</c:v>
                </c:pt>
                <c:pt idx="681">
                  <c:v>0.11033894132511891</c:v>
                </c:pt>
                <c:pt idx="682">
                  <c:v>0.11235349046295551</c:v>
                </c:pt>
                <c:pt idx="683">
                  <c:v>0.11436849568081703</c:v>
                </c:pt>
                <c:pt idx="684">
                  <c:v>0.11638396537042145</c:v>
                </c:pt>
                <c:pt idx="685">
                  <c:v>0.11839990793683908</c:v>
                </c:pt>
                <c:pt idx="686">
                  <c:v>0.12041633179874577</c:v>
                </c:pt>
                <c:pt idx="687">
                  <c:v>0.1224332453886776</c:v>
                </c:pt>
                <c:pt idx="688">
                  <c:v>0.12445065715328515</c:v>
                </c:pt>
                <c:pt idx="689">
                  <c:v>0.12646857555359156</c:v>
                </c:pt>
                <c:pt idx="690">
                  <c:v>0.12848700906524904</c:v>
                </c:pt>
                <c:pt idx="691">
                  <c:v>0.13050596617879759</c:v>
                </c:pt>
                <c:pt idx="692">
                  <c:v>0.13252545539992511</c:v>
                </c:pt>
                <c:pt idx="693">
                  <c:v>0.13454548524972801</c:v>
                </c:pt>
                <c:pt idx="694">
                  <c:v>0.13656606426497375</c:v>
                </c:pt>
                <c:pt idx="695">
                  <c:v>0.13858720099836302</c:v>
                </c:pt>
                <c:pt idx="696">
                  <c:v>0.14060890401879589</c:v>
                </c:pt>
                <c:pt idx="697">
                  <c:v>0.14263118191163637</c:v>
                </c:pt>
                <c:pt idx="698">
                  <c:v>0.14465404327897979</c:v>
                </c:pt>
                <c:pt idx="699">
                  <c:v>0.14667749673992117</c:v>
                </c:pt>
                <c:pt idx="700">
                  <c:v>0.14870155093082485</c:v>
                </c:pt>
                <c:pt idx="701">
                  <c:v>0.15072621450559454</c:v>
                </c:pt>
                <c:pt idx="702">
                  <c:v>0.15275149613594721</c:v>
                </c:pt>
                <c:pt idx="703">
                  <c:v>0.15477740451168545</c:v>
                </c:pt>
                <c:pt idx="704">
                  <c:v>0.15680394834097308</c:v>
                </c:pt>
                <c:pt idx="705">
                  <c:v>0.15883113635061141</c:v>
                </c:pt>
                <c:pt idx="706">
                  <c:v>0.16085897728631751</c:v>
                </c:pt>
                <c:pt idx="707">
                  <c:v>0.16288747991300248</c:v>
                </c:pt>
                <c:pt idx="708">
                  <c:v>0.1649166530150539</c:v>
                </c:pt>
                <c:pt idx="709">
                  <c:v>0.16694650539661729</c:v>
                </c:pt>
                <c:pt idx="710">
                  <c:v>0.16897704588188017</c:v>
                </c:pt>
                <c:pt idx="711">
                  <c:v>0.17100828331535772</c:v>
                </c:pt>
                <c:pt idx="712">
                  <c:v>0.17304022656217957</c:v>
                </c:pt>
                <c:pt idx="713">
                  <c:v>0.17507288450837918</c:v>
                </c:pt>
                <c:pt idx="714">
                  <c:v>0.17710626606118277</c:v>
                </c:pt>
                <c:pt idx="715">
                  <c:v>0.17914038014930314</c:v>
                </c:pt>
                <c:pt idx="716">
                  <c:v>0.1811752357232323</c:v>
                </c:pt>
                <c:pt idx="717">
                  <c:v>0.18321084175553715</c:v>
                </c:pt>
                <c:pt idx="718">
                  <c:v>0.18524720724115665</c:v>
                </c:pt>
                <c:pt idx="719">
                  <c:v>0.18728434119770102</c:v>
                </c:pt>
                <c:pt idx="720">
                  <c:v>0.18932225266575156</c:v>
                </c:pt>
                <c:pt idx="721">
                  <c:v>0.19136095070916465</c:v>
                </c:pt>
                <c:pt idx="722">
                  <c:v>0.19340044441537538</c:v>
                </c:pt>
                <c:pt idx="723">
                  <c:v>0.19544074289570396</c:v>
                </c:pt>
                <c:pt idx="724">
                  <c:v>0.19748185528566395</c:v>
                </c:pt>
                <c:pt idx="725">
                  <c:v>0.19952379074527257</c:v>
                </c:pt>
                <c:pt idx="726">
                  <c:v>0.20156655845936317</c:v>
                </c:pt>
                <c:pt idx="727">
                  <c:v>0.20361016763789802</c:v>
                </c:pt>
                <c:pt idx="728">
                  <c:v>0.20565462751628658</c:v>
                </c:pt>
                <c:pt idx="729">
                  <c:v>0.20769994735570219</c:v>
                </c:pt>
                <c:pt idx="730">
                  <c:v>0.20974613644340301</c:v>
                </c:pt>
                <c:pt idx="731">
                  <c:v>0.21179320409305447</c:v>
                </c:pt>
                <c:pt idx="732">
                  <c:v>0.21384115964505382</c:v>
                </c:pt>
                <c:pt idx="733">
                  <c:v>0.21589001246685627</c:v>
                </c:pt>
                <c:pt idx="734">
                  <c:v>0.21793977195330541</c:v>
                </c:pt>
                <c:pt idx="735">
                  <c:v>0.21999044752696323</c:v>
                </c:pt>
                <c:pt idx="736">
                  <c:v>0.22204204863844443</c:v>
                </c:pt>
                <c:pt idx="737">
                  <c:v>0.22409458476675156</c:v>
                </c:pt>
                <c:pt idx="738">
                  <c:v>0.2261480654196141</c:v>
                </c:pt>
                <c:pt idx="739">
                  <c:v>0.22820250013382765</c:v>
                </c:pt>
                <c:pt idx="740">
                  <c:v>0.23025789847559838</c:v>
                </c:pt>
                <c:pt idx="741">
                  <c:v>0.23231427004088778</c:v>
                </c:pt>
                <c:pt idx="742">
                  <c:v>0.23437162445576049</c:v>
                </c:pt>
                <c:pt idx="743">
                  <c:v>0.23642997137673485</c:v>
                </c:pt>
                <c:pt idx="744">
                  <c:v>0.23848932049113575</c:v>
                </c:pt>
                <c:pt idx="745">
                  <c:v>0.24054968151745071</c:v>
                </c:pt>
                <c:pt idx="746">
                  <c:v>0.24261106420568665</c:v>
                </c:pt>
                <c:pt idx="747">
                  <c:v>0.24467347833773251</c:v>
                </c:pt>
                <c:pt idx="748">
                  <c:v>0.24673693372772171</c:v>
                </c:pt>
                <c:pt idx="749">
                  <c:v>0.24880144022239856</c:v>
                </c:pt>
                <c:pt idx="750">
                  <c:v>0.25086700770148757</c:v>
                </c:pt>
                <c:pt idx="751">
                  <c:v>0.25293364607806507</c:v>
                </c:pt>
                <c:pt idx="752">
                  <c:v>0.25500136529893336</c:v>
                </c:pt>
                <c:pt idx="753">
                  <c:v>0.25707017534499943</c:v>
                </c:pt>
                <c:pt idx="754">
                  <c:v>0.25914008623165485</c:v>
                </c:pt>
                <c:pt idx="755">
                  <c:v>0.26121110800915892</c:v>
                </c:pt>
                <c:pt idx="756">
                  <c:v>0.26328325076302594</c:v>
                </c:pt>
                <c:pt idx="757">
                  <c:v>0.26535652461441434</c:v>
                </c:pt>
                <c:pt idx="758">
                  <c:v>0.26743093972051823</c:v>
                </c:pt>
                <c:pt idx="759">
                  <c:v>0.26950650627496547</c:v>
                </c:pt>
                <c:pt idx="760">
                  <c:v>0.27158323450821464</c:v>
                </c:pt>
                <c:pt idx="761">
                  <c:v>0.27366113468795827</c:v>
                </c:pt>
                <c:pt idx="762">
                  <c:v>0.27574021711952768</c:v>
                </c:pt>
                <c:pt idx="763">
                  <c:v>0.27782049214630183</c:v>
                </c:pt>
                <c:pt idx="764">
                  <c:v>0.27990197015012014</c:v>
                </c:pt>
                <c:pt idx="765">
                  <c:v>0.28198466155169616</c:v>
                </c:pt>
                <c:pt idx="766">
                  <c:v>0.2840685768110387</c:v>
                </c:pt>
                <c:pt idx="767">
                  <c:v>0.28615372642787296</c:v>
                </c:pt>
                <c:pt idx="768">
                  <c:v>0.28824012094206697</c:v>
                </c:pt>
                <c:pt idx="769">
                  <c:v>0.29032777093406087</c:v>
                </c:pt>
                <c:pt idx="770">
                  <c:v>0.29241668702530055</c:v>
                </c:pt>
                <c:pt idx="771">
                  <c:v>0.29450687987867352</c:v>
                </c:pt>
                <c:pt idx="772">
                  <c:v>0.29659836019895114</c:v>
                </c:pt>
                <c:pt idx="773">
                  <c:v>0.29869113873323189</c:v>
                </c:pt>
                <c:pt idx="774">
                  <c:v>0.30078522627139009</c:v>
                </c:pt>
                <c:pt idx="775">
                  <c:v>0.30288063364652773</c:v>
                </c:pt>
                <c:pt idx="776">
                  <c:v>0.30497737173543127</c:v>
                </c:pt>
                <c:pt idx="777">
                  <c:v>0.30707545145903103</c:v>
                </c:pt>
                <c:pt idx="778">
                  <c:v>0.30917488378286528</c:v>
                </c:pt>
                <c:pt idx="779">
                  <c:v>0.3112756797175496</c:v>
                </c:pt>
                <c:pt idx="780">
                  <c:v>0.31337785031924825</c:v>
                </c:pt>
                <c:pt idx="781">
                  <c:v>0.3154814066901514</c:v>
                </c:pt>
                <c:pt idx="782">
                  <c:v>0.31758635997895596</c:v>
                </c:pt>
                <c:pt idx="783">
                  <c:v>0.31969272138135102</c:v>
                </c:pt>
                <c:pt idx="784">
                  <c:v>0.32180050214050671</c:v>
                </c:pt>
                <c:pt idx="785">
                  <c:v>0.32390971354756987</c:v>
                </c:pt>
                <c:pt idx="786">
                  <c:v>0.32602036694216147</c:v>
                </c:pt>
                <c:pt idx="787">
                  <c:v>0.32813247371288057</c:v>
                </c:pt>
                <c:pt idx="788">
                  <c:v>0.33024604529781199</c:v>
                </c:pt>
                <c:pt idx="789">
                  <c:v>0.33236109318503909</c:v>
                </c:pt>
                <c:pt idx="790">
                  <c:v>0.3344776289131603</c:v>
                </c:pt>
                <c:pt idx="791">
                  <c:v>0.33659566407181285</c:v>
                </c:pt>
                <c:pt idx="792">
                  <c:v>0.33871521030219887</c:v>
                </c:pt>
                <c:pt idx="793">
                  <c:v>0.34083627929761778</c:v>
                </c:pt>
                <c:pt idx="794">
                  <c:v>0.34295888280400322</c:v>
                </c:pt>
                <c:pt idx="795">
                  <c:v>0.34508303262046586</c:v>
                </c:pt>
                <c:pt idx="796">
                  <c:v>0.34720874059984047</c:v>
                </c:pt>
                <c:pt idx="797">
                  <c:v>0.34933601864923775</c:v>
                </c:pt>
                <c:pt idx="798">
                  <c:v>0.35146487873060422</c:v>
                </c:pt>
                <c:pt idx="799">
                  <c:v>0.35359533286128414</c:v>
                </c:pt>
                <c:pt idx="800">
                  <c:v>0.35572739311458912</c:v>
                </c:pt>
                <c:pt idx="801">
                  <c:v>0.35786107162037167</c:v>
                </c:pt>
                <c:pt idx="802">
                  <c:v>0.3599963805656069</c:v>
                </c:pt>
                <c:pt idx="803">
                  <c:v>0.36213333219497579</c:v>
                </c:pt>
                <c:pt idx="804">
                  <c:v>0.36427193881145892</c:v>
                </c:pt>
                <c:pt idx="805">
                  <c:v>0.36641221277693303</c:v>
                </c:pt>
                <c:pt idx="806">
                  <c:v>0.36855416651277412</c:v>
                </c:pt>
                <c:pt idx="807">
                  <c:v>0.37069781250046707</c:v>
                </c:pt>
                <c:pt idx="808">
                  <c:v>0.37284316328222106</c:v>
                </c:pt>
                <c:pt idx="809">
                  <c:v>0.37499023146159105</c:v>
                </c:pt>
                <c:pt idx="810">
                  <c:v>0.3771390297041054</c:v>
                </c:pt>
                <c:pt idx="811">
                  <c:v>0.3792895707379012</c:v>
                </c:pt>
                <c:pt idx="812">
                  <c:v>0.38144186735436381</c:v>
                </c:pt>
                <c:pt idx="813">
                  <c:v>0.38359593240877488</c:v>
                </c:pt>
                <c:pt idx="814">
                  <c:v>0.38575177882096573</c:v>
                </c:pt>
                <c:pt idx="815">
                  <c:v>0.38790941957597891</c:v>
                </c:pt>
                <c:pt idx="816">
                  <c:v>0.3900688677247337</c:v>
                </c:pt>
                <c:pt idx="817">
                  <c:v>0.39223013638470289</c:v>
                </c:pt>
                <c:pt idx="818">
                  <c:v>0.39439323874059246</c:v>
                </c:pt>
                <c:pt idx="819">
                  <c:v>0.39655818804503096</c:v>
                </c:pt>
                <c:pt idx="820">
                  <c:v>0.39872499761926466</c:v>
                </c:pt>
                <c:pt idx="821">
                  <c:v>0.40089368085386123</c:v>
                </c:pt>
                <c:pt idx="822">
                  <c:v>0.40306425120941858</c:v>
                </c:pt>
                <c:pt idx="823">
                  <c:v>0.40523672221728529</c:v>
                </c:pt>
                <c:pt idx="824">
                  <c:v>0.40741110748028431</c:v>
                </c:pt>
                <c:pt idx="825">
                  <c:v>0.40958742067344739</c:v>
                </c:pt>
                <c:pt idx="826">
                  <c:v>0.41176567554475496</c:v>
                </c:pt>
                <c:pt idx="827">
                  <c:v>0.41394588591588705</c:v>
                </c:pt>
                <c:pt idx="828">
                  <c:v>0.41612806568297928</c:v>
                </c:pt>
                <c:pt idx="829">
                  <c:v>0.41831222881738783</c:v>
                </c:pt>
                <c:pt idx="830">
                  <c:v>0.42049838936646489</c:v>
                </c:pt>
                <c:pt idx="831">
                  <c:v>0.42268656145433925</c:v>
                </c:pt>
                <c:pt idx="832">
                  <c:v>0.42487675928270802</c:v>
                </c:pt>
                <c:pt idx="833">
                  <c:v>0.42706899713163571</c:v>
                </c:pt>
                <c:pt idx="834">
                  <c:v>0.42926328936036201</c:v>
                </c:pt>
                <c:pt idx="835">
                  <c:v>0.43145965040811834</c:v>
                </c:pt>
                <c:pt idx="836">
                  <c:v>0.43365809479495632</c:v>
                </c:pt>
                <c:pt idx="837">
                  <c:v>0.43585863712258077</c:v>
                </c:pt>
                <c:pt idx="838">
                  <c:v>0.43806129207519545</c:v>
                </c:pt>
                <c:pt idx="839">
                  <c:v>0.44026607442035687</c:v>
                </c:pt>
                <c:pt idx="840">
                  <c:v>0.44247299900983844</c:v>
                </c:pt>
                <c:pt idx="841">
                  <c:v>0.44468208078050253</c:v>
                </c:pt>
                <c:pt idx="842">
                  <c:v>0.44689333475518556</c:v>
                </c:pt>
                <c:pt idx="843">
                  <c:v>0.44910677604359084</c:v>
                </c:pt>
                <c:pt idx="844">
                  <c:v>0.45132241984319144</c:v>
                </c:pt>
                <c:pt idx="845">
                  <c:v>0.45354028144014391</c:v>
                </c:pt>
                <c:pt idx="846">
                  <c:v>0.45576037621021404</c:v>
                </c:pt>
                <c:pt idx="847">
                  <c:v>0.45798271961971038</c:v>
                </c:pt>
                <c:pt idx="848">
                  <c:v>0.46020732722642965</c:v>
                </c:pt>
                <c:pt idx="849">
                  <c:v>0.46243421468061463</c:v>
                </c:pt>
                <c:pt idx="850">
                  <c:v>0.46466339772592158</c:v>
                </c:pt>
                <c:pt idx="851">
                  <c:v>0.46689489220039887</c:v>
                </c:pt>
                <c:pt idx="852">
                  <c:v>0.46912871403747708</c:v>
                </c:pt>
                <c:pt idx="853">
                  <c:v>0.47136487926697268</c:v>
                </c:pt>
                <c:pt idx="854">
                  <c:v>0.47360340401609935</c:v>
                </c:pt>
                <c:pt idx="855">
                  <c:v>0.47584430451049581</c:v>
                </c:pt>
                <c:pt idx="856">
                  <c:v>0.47808759707526399</c:v>
                </c:pt>
                <c:pt idx="857">
                  <c:v>0.48033329813601716</c:v>
                </c:pt>
                <c:pt idx="858">
                  <c:v>0.48258142421994488</c:v>
                </c:pt>
                <c:pt idx="859">
                  <c:v>0.48483199195688748</c:v>
                </c:pt>
                <c:pt idx="860">
                  <c:v>0.48708501808042493</c:v>
                </c:pt>
                <c:pt idx="861">
                  <c:v>0.48934051942897694</c:v>
                </c:pt>
                <c:pt idx="862">
                  <c:v>0.49159851294692014</c:v>
                </c:pt>
                <c:pt idx="863">
                  <c:v>0.49385901568571405</c:v>
                </c:pt>
                <c:pt idx="864">
                  <c:v>0.49612204480504463</c:v>
                </c:pt>
                <c:pt idx="865">
                  <c:v>0.49838761757397904</c:v>
                </c:pt>
                <c:pt idx="866">
                  <c:v>0.50065575137213703</c:v>
                </c:pt>
                <c:pt idx="867">
                  <c:v>0.50292646369087279</c:v>
                </c:pt>
                <c:pt idx="868">
                  <c:v>0.50519977213447687</c:v>
                </c:pt>
                <c:pt idx="869">
                  <c:v>0.50747569442138774</c:v>
                </c:pt>
                <c:pt idx="870">
                  <c:v>0.50975424838542183</c:v>
                </c:pt>
                <c:pt idx="871">
                  <c:v>0.51203545197701628</c:v>
                </c:pt>
                <c:pt idx="872">
                  <c:v>0.51431932326448981</c:v>
                </c:pt>
                <c:pt idx="873">
                  <c:v>0.51660588043531597</c:v>
                </c:pt>
                <c:pt idx="874">
                  <c:v>0.51889514179741658</c:v>
                </c:pt>
                <c:pt idx="875">
                  <c:v>0.521187125780468</c:v>
                </c:pt>
                <c:pt idx="876">
                  <c:v>0.52348185093722488</c:v>
                </c:pt>
                <c:pt idx="877">
                  <c:v>0.52577933594486137</c:v>
                </c:pt>
                <c:pt idx="878">
                  <c:v>0.52807959960632811</c:v>
                </c:pt>
                <c:pt idx="879">
                  <c:v>0.53038266085172869</c:v>
                </c:pt>
                <c:pt idx="880">
                  <c:v>0.53268853873970945</c:v>
                </c:pt>
                <c:pt idx="881">
                  <c:v>0.53499725245887308</c:v>
                </c:pt>
                <c:pt idx="882">
                  <c:v>0.53730882132920532</c:v>
                </c:pt>
                <c:pt idx="883">
                  <c:v>0.53962326480352163</c:v>
                </c:pt>
                <c:pt idx="884">
                  <c:v>0.54194060246893383</c:v>
                </c:pt>
                <c:pt idx="885">
                  <c:v>0.5442608540483348</c:v>
                </c:pt>
                <c:pt idx="886">
                  <c:v>0.54658403940190059</c:v>
                </c:pt>
                <c:pt idx="887">
                  <c:v>0.54891017852861668</c:v>
                </c:pt>
                <c:pt idx="888">
                  <c:v>0.55123929156782003</c:v>
                </c:pt>
                <c:pt idx="889">
                  <c:v>0.55357139880076323</c:v>
                </c:pt>
                <c:pt idx="890">
                  <c:v>0.55590652065219881</c:v>
                </c:pt>
                <c:pt idx="891">
                  <c:v>0.55824467769198538</c:v>
                </c:pt>
                <c:pt idx="892">
                  <c:v>0.56058589063671327</c:v>
                </c:pt>
                <c:pt idx="893">
                  <c:v>0.56293018035135345</c:v>
                </c:pt>
                <c:pt idx="894">
                  <c:v>0.56527756785092831</c:v>
                </c:pt>
                <c:pt idx="895">
                  <c:v>0.56762807430220341</c:v>
                </c:pt>
                <c:pt idx="896">
                  <c:v>0.56998172102540434</c:v>
                </c:pt>
                <c:pt idx="897">
                  <c:v>0.57233852949595376</c:v>
                </c:pt>
                <c:pt idx="898">
                  <c:v>0.57469852134623489</c:v>
                </c:pt>
                <c:pt idx="899">
                  <c:v>0.57706171836737608</c:v>
                </c:pt>
                <c:pt idx="900">
                  <c:v>0.57942814251106189</c:v>
                </c:pt>
                <c:pt idx="901">
                  <c:v>0.58179781589136859</c:v>
                </c:pt>
                <c:pt idx="902">
                  <c:v>0.58417076078662311</c:v>
                </c:pt>
                <c:pt idx="903">
                  <c:v>0.58654699964128998</c:v>
                </c:pt>
                <c:pt idx="904">
                  <c:v>0.58892655506788139</c:v>
                </c:pt>
                <c:pt idx="905">
                  <c:v>0.59130944984889589</c:v>
                </c:pt>
                <c:pt idx="906">
                  <c:v>0.59369570693878382</c:v>
                </c:pt>
                <c:pt idx="907">
                  <c:v>0.59608534946593994</c:v>
                </c:pt>
                <c:pt idx="908">
                  <c:v>0.59847840073472047</c:v>
                </c:pt>
                <c:pt idx="909">
                  <c:v>0.6008748842274958</c:v>
                </c:pt>
                <c:pt idx="910">
                  <c:v>0.60327482360672424</c:v>
                </c:pt>
                <c:pt idx="911">
                  <c:v>0.60567824271706006</c:v>
                </c:pt>
                <c:pt idx="912">
                  <c:v>0.60808516558748693</c:v>
                </c:pt>
                <c:pt idx="913">
                  <c:v>0.61049561643348849</c:v>
                </c:pt>
                <c:pt idx="914">
                  <c:v>0.61290961965924273</c:v>
                </c:pt>
                <c:pt idx="915">
                  <c:v>0.61532719985985007</c:v>
                </c:pt>
                <c:pt idx="916">
                  <c:v>0.6177483818235957</c:v>
                </c:pt>
                <c:pt idx="917">
                  <c:v>0.62017319053424147</c:v>
                </c:pt>
                <c:pt idx="918">
                  <c:v>0.62260165117335076</c:v>
                </c:pt>
                <c:pt idx="919">
                  <c:v>0.62503378912265017</c:v>
                </c:pt>
                <c:pt idx="920">
                  <c:v>0.62746962996642153</c:v>
                </c:pt>
                <c:pt idx="921">
                  <c:v>0.62990919949393132</c:v>
                </c:pt>
                <c:pt idx="922">
                  <c:v>0.63235252370189365</c:v>
                </c:pt>
                <c:pt idx="923">
                  <c:v>0.63479962879697227</c:v>
                </c:pt>
                <c:pt idx="924">
                  <c:v>0.63725054119831459</c:v>
                </c:pt>
                <c:pt idx="925">
                  <c:v>0.63970528754012834</c:v>
                </c:pt>
                <c:pt idx="926">
                  <c:v>0.64216389467429247</c:v>
                </c:pt>
                <c:pt idx="927">
                  <c:v>0.644626389673008</c:v>
                </c:pt>
                <c:pt idx="928">
                  <c:v>0.64709279983148937</c:v>
                </c:pt>
                <c:pt idx="929">
                  <c:v>0.64956315267069464</c:v>
                </c:pt>
                <c:pt idx="930">
                  <c:v>0.65203747594009698</c:v>
                </c:pt>
                <c:pt idx="931">
                  <c:v>0.65451579762049583</c:v>
                </c:pt>
                <c:pt idx="932">
                  <c:v>0.65699814592687567</c:v>
                </c:pt>
                <c:pt idx="933">
                  <c:v>0.65948454931130407</c:v>
                </c:pt>
                <c:pt idx="934">
                  <c:v>0.6619750364658723</c:v>
                </c:pt>
                <c:pt idx="935">
                  <c:v>0.66446963632568534</c:v>
                </c:pt>
                <c:pt idx="936">
                  <c:v>0.66696837807189324</c:v>
                </c:pt>
                <c:pt idx="937">
                  <c:v>0.66947129113477133</c:v>
                </c:pt>
                <c:pt idx="938">
                  <c:v>0.6719784051968487</c:v>
                </c:pt>
                <c:pt idx="939">
                  <c:v>0.67448975019608193</c:v>
                </c:pt>
                <c:pt idx="940">
                  <c:v>0.67700535632907999</c:v>
                </c:pt>
                <c:pt idx="941">
                  <c:v>0.67952525405437891</c:v>
                </c:pt>
                <c:pt idx="942">
                  <c:v>0.68204947409576822</c:v>
                </c:pt>
                <c:pt idx="943">
                  <c:v>0.68457804744566686</c:v>
                </c:pt>
                <c:pt idx="944">
                  <c:v>0.68711100536855518</c:v>
                </c:pt>
                <c:pt idx="945">
                  <c:v>0.68964837940445989</c:v>
                </c:pt>
                <c:pt idx="946">
                  <c:v>0.69219020137249287</c:v>
                </c:pt>
                <c:pt idx="947">
                  <c:v>0.69473650337444759</c:v>
                </c:pt>
                <c:pt idx="948">
                  <c:v>0.69728731779845299</c:v>
                </c:pt>
                <c:pt idx="949">
                  <c:v>0.69984267732268368</c:v>
                </c:pt>
                <c:pt idx="950">
                  <c:v>0.70240261491912992</c:v>
                </c:pt>
                <c:pt idx="951">
                  <c:v>0.70496716385743308</c:v>
                </c:pt>
                <c:pt idx="952">
                  <c:v>0.7075363577087741</c:v>
                </c:pt>
                <c:pt idx="953">
                  <c:v>0.71011023034983434</c:v>
                </c:pt>
                <c:pt idx="954">
                  <c:v>0.71268881596681288</c:v>
                </c:pt>
                <c:pt idx="955">
                  <c:v>0.7152721490595142</c:v>
                </c:pt>
                <c:pt idx="956">
                  <c:v>0.71786026444549833</c:v>
                </c:pt>
                <c:pt idx="957">
                  <c:v>0.72045319726431023</c:v>
                </c:pt>
                <c:pt idx="958">
                  <c:v>0.72305098298175763</c:v>
                </c:pt>
                <c:pt idx="959">
                  <c:v>0.72565365739428589</c:v>
                </c:pt>
                <c:pt idx="960">
                  <c:v>0.7282612566334018</c:v>
                </c:pt>
                <c:pt idx="961">
                  <c:v>0.73087381717018618</c:v>
                </c:pt>
                <c:pt idx="962">
                  <c:v>0.733491375819878</c:v>
                </c:pt>
                <c:pt idx="963">
                  <c:v>0.73611396974652887</c:v>
                </c:pt>
                <c:pt idx="964">
                  <c:v>0.73874163646774704</c:v>
                </c:pt>
                <c:pt idx="965">
                  <c:v>0.74137441385951275</c:v>
                </c:pt>
                <c:pt idx="966">
                  <c:v>0.74401234016107898</c:v>
                </c:pt>
                <c:pt idx="967">
                  <c:v>0.74665545397995514</c:v>
                </c:pt>
                <c:pt idx="968">
                  <c:v>0.74930379429697314</c:v>
                </c:pt>
                <c:pt idx="969">
                  <c:v>0.75195740047144632</c:v>
                </c:pt>
                <c:pt idx="970">
                  <c:v>0.75461631224640913</c:v>
                </c:pt>
                <c:pt idx="971">
                  <c:v>0.7572805697539543</c:v>
                </c:pt>
                <c:pt idx="972">
                  <c:v>0.75995021352065906</c:v>
                </c:pt>
                <c:pt idx="973">
                  <c:v>0.76262528447310307</c:v>
                </c:pt>
                <c:pt idx="974">
                  <c:v>0.765305823943493</c:v>
                </c:pt>
                <c:pt idx="975">
                  <c:v>0.76799187367536814</c:v>
                </c:pt>
                <c:pt idx="976">
                  <c:v>0.77068347582942376</c:v>
                </c:pt>
                <c:pt idx="977">
                  <c:v>0.77338067298942748</c:v>
                </c:pt>
                <c:pt idx="978">
                  <c:v>0.77608350816824301</c:v>
                </c:pt>
                <c:pt idx="979">
                  <c:v>0.77879202481396148</c:v>
                </c:pt>
                <c:pt idx="980">
                  <c:v>0.78150626681613722</c:v>
                </c:pt>
                <c:pt idx="981">
                  <c:v>0.78422627851214588</c:v>
                </c:pt>
                <c:pt idx="982">
                  <c:v>0.78695210469364352</c:v>
                </c:pt>
                <c:pt idx="983">
                  <c:v>0.7896837906131533</c:v>
                </c:pt>
                <c:pt idx="984">
                  <c:v>0.79242138199076739</c:v>
                </c:pt>
                <c:pt idx="985">
                  <c:v>0.79516492502096592</c:v>
                </c:pt>
                <c:pt idx="986">
                  <c:v>0.79791446637956975</c:v>
                </c:pt>
                <c:pt idx="987">
                  <c:v>0.80067005323081231</c:v>
                </c:pt>
                <c:pt idx="988">
                  <c:v>0.80343173323454686</c:v>
                </c:pt>
                <c:pt idx="989">
                  <c:v>0.80619955455358372</c:v>
                </c:pt>
                <c:pt idx="990">
                  <c:v>0.80897356586116487</c:v>
                </c:pt>
                <c:pt idx="991">
                  <c:v>0.81175381634857624</c:v>
                </c:pt>
                <c:pt idx="992">
                  <c:v>0.81454035573290584</c:v>
                </c:pt>
                <c:pt idx="993">
                  <c:v>0.81733323426494164</c:v>
                </c:pt>
                <c:pt idx="994">
                  <c:v>0.82013250273722149</c:v>
                </c:pt>
                <c:pt idx="995">
                  <c:v>0.82293821249223731</c:v>
                </c:pt>
                <c:pt idx="996">
                  <c:v>0.82575041543078953</c:v>
                </c:pt>
                <c:pt idx="997">
                  <c:v>0.82856916402050429</c:v>
                </c:pt>
                <c:pt idx="998">
                  <c:v>0.83139451130451492</c:v>
                </c:pt>
                <c:pt idx="999">
                  <c:v>0.83422651091030342</c:v>
                </c:pt>
                <c:pt idx="1000">
                  <c:v>0.83706521705872317</c:v>
                </c:pt>
                <c:pt idx="1001">
                  <c:v>0.83991068457318152</c:v>
                </c:pt>
                <c:pt idx="1002">
                  <c:v>0.84276296888901658</c:v>
                </c:pt>
                <c:pt idx="1003">
                  <c:v>0.84562212606304721</c:v>
                </c:pt>
                <c:pt idx="1004">
                  <c:v>0.84848821278331166</c:v>
                </c:pt>
                <c:pt idx="1005">
                  <c:v>0.85136128637899944</c:v>
                </c:pt>
                <c:pt idx="1006">
                  <c:v>0.85424140483057875</c:v>
                </c:pt>
                <c:pt idx="1007">
                  <c:v>0.85712862678012414</c:v>
                </c:pt>
                <c:pt idx="1008">
                  <c:v>0.86002301154184813</c:v>
                </c:pt>
                <c:pt idx="1009">
                  <c:v>0.86292461911284923</c:v>
                </c:pt>
                <c:pt idx="1010">
                  <c:v>0.86583351018407173</c:v>
                </c:pt>
                <c:pt idx="1011">
                  <c:v>0.86874974615148604</c:v>
                </c:pt>
                <c:pt idx="1012">
                  <c:v>0.87167338912749104</c:v>
                </c:pt>
                <c:pt idx="1013">
                  <c:v>0.87460450195256512</c:v>
                </c:pt>
                <c:pt idx="1014">
                  <c:v>0.87754314820713331</c:v>
                </c:pt>
                <c:pt idx="1015">
                  <c:v>0.88048939222369371</c:v>
                </c:pt>
                <c:pt idx="1016">
                  <c:v>0.88344329909918407</c:v>
                </c:pt>
                <c:pt idx="1017">
                  <c:v>0.88640493470760906</c:v>
                </c:pt>
                <c:pt idx="1018">
                  <c:v>0.88937436571293493</c:v>
                </c:pt>
                <c:pt idx="1019">
                  <c:v>0.89235165958223883</c:v>
                </c:pt>
                <c:pt idx="1020">
                  <c:v>0.89533688459914473</c:v>
                </c:pt>
                <c:pt idx="1021">
                  <c:v>0.89833010987754269</c:v>
                </c:pt>
                <c:pt idx="1022">
                  <c:v>0.90133140537559198</c:v>
                </c:pt>
                <c:pt idx="1023">
                  <c:v>0.90434084191002306</c:v>
                </c:pt>
                <c:pt idx="1024">
                  <c:v>0.90735849117074663</c:v>
                </c:pt>
                <c:pt idx="1025">
                  <c:v>0.91038442573578049</c:v>
                </c:pt>
                <c:pt idx="1026">
                  <c:v>0.91341871908648453</c:v>
                </c:pt>
                <c:pt idx="1027">
                  <c:v>0.91646144562313392</c:v>
                </c:pt>
                <c:pt idx="1028">
                  <c:v>0.9195126806808277</c:v>
                </c:pt>
                <c:pt idx="1029">
                  <c:v>0.92257250054575202</c:v>
                </c:pt>
                <c:pt idx="1030">
                  <c:v>0.92564098247178539</c:v>
                </c:pt>
                <c:pt idx="1031">
                  <c:v>0.92871820469748234</c:v>
                </c:pt>
                <c:pt idx="1032">
                  <c:v>0.93180424646341875</c:v>
                </c:pt>
                <c:pt idx="1033">
                  <c:v>0.93489918802994199</c:v>
                </c:pt>
                <c:pt idx="1034">
                  <c:v>0.93800311069529396</c:v>
                </c:pt>
                <c:pt idx="1035">
                  <c:v>0.94111609681416231</c:v>
                </c:pt>
                <c:pt idx="1036">
                  <c:v>0.94423822981663508</c:v>
                </c:pt>
                <c:pt idx="1037">
                  <c:v>0.94736959422758116</c:v>
                </c:pt>
                <c:pt idx="1038">
                  <c:v>0.9505102756864916</c:v>
                </c:pt>
                <c:pt idx="1039">
                  <c:v>0.95366036096774787</c:v>
                </c:pt>
                <c:pt idx="1040">
                  <c:v>0.95681993800138099</c:v>
                </c:pt>
                <c:pt idx="1041">
                  <c:v>0.95998909589427739</c:v>
                </c:pt>
                <c:pt idx="1042">
                  <c:v>0.96316792495191172</c:v>
                </c:pt>
                <c:pt idx="1043">
                  <c:v>0.96635651670056555</c:v>
                </c:pt>
                <c:pt idx="1044">
                  <c:v>0.96955496391005858</c:v>
                </c:pt>
                <c:pt idx="1045">
                  <c:v>0.97276336061703583</c:v>
                </c:pt>
                <c:pt idx="1046">
                  <c:v>0.97598180214878272</c:v>
                </c:pt>
                <c:pt idx="1047">
                  <c:v>0.97921038514762337</c:v>
                </c:pt>
                <c:pt idx="1048">
                  <c:v>0.98244920759588783</c:v>
                </c:pt>
                <c:pt idx="1049">
                  <c:v>0.98569836884148365</c:v>
                </c:pt>
                <c:pt idx="1050">
                  <c:v>0.98895796962408822</c:v>
                </c:pt>
                <c:pt idx="1051">
                  <c:v>0.99222811210195816</c:v>
                </c:pt>
                <c:pt idx="1052">
                  <c:v>0.99550889987940594</c:v>
                </c:pt>
                <c:pt idx="1053">
                  <c:v>0.99880043803495266</c:v>
                </c:pt>
                <c:pt idx="1054">
                  <c:v>1.00210283315015</c:v>
                </c:pt>
                <c:pt idx="1055">
                  <c:v>1.0054161933391337</c:v>
                </c:pt>
                <c:pt idx="1056">
                  <c:v>1.0087406282789162</c:v>
                </c:pt>
                <c:pt idx="1057">
                  <c:v>1.0120762492404056</c:v>
                </c:pt>
                <c:pt idx="1058">
                  <c:v>1.0154231691202296</c:v>
                </c:pt>
                <c:pt idx="1059">
                  <c:v>1.0187815024733502</c:v>
                </c:pt>
                <c:pt idx="1060">
                  <c:v>1.0221513655465189</c:v>
                </c:pt>
                <c:pt idx="1061">
                  <c:v>1.025532876312556</c:v>
                </c:pt>
                <c:pt idx="1062">
                  <c:v>1.0289261545055295</c:v>
                </c:pt>
                <c:pt idx="1063">
                  <c:v>1.0323313216568455</c:v>
                </c:pt>
                <c:pt idx="1064">
                  <c:v>1.0357485011322543</c:v>
                </c:pt>
                <c:pt idx="1065">
                  <c:v>1.0391778181698266</c:v>
                </c:pt>
                <c:pt idx="1066">
                  <c:v>1.0426193999189224</c:v>
                </c:pt>
                <c:pt idx="1067">
                  <c:v>1.046073375480189</c:v>
                </c:pt>
                <c:pt idx="1068">
                  <c:v>1.0495398759466186</c:v>
                </c:pt>
                <c:pt idx="1069">
                  <c:v>1.0530190344456893</c:v>
                </c:pt>
                <c:pt idx="1070">
                  <c:v>1.0565109861826307</c:v>
                </c:pt>
                <c:pt idx="1071">
                  <c:v>1.0600158684848688</c:v>
                </c:pt>
                <c:pt idx="1072">
                  <c:v>1.0635338208476595</c:v>
                </c:pt>
                <c:pt idx="1073">
                  <c:v>1.0670649849809621</c:v>
                </c:pt>
                <c:pt idx="1074">
                  <c:v>1.0706095048576043</c:v>
                </c:pt>
                <c:pt idx="1075">
                  <c:v>1.0741675267627588</c:v>
                </c:pt>
                <c:pt idx="1076">
                  <c:v>1.0777391993447987</c:v>
                </c:pt>
                <c:pt idx="1077">
                  <c:v>1.0813246736675619</c:v>
                </c:pt>
                <c:pt idx="1078">
                  <c:v>1.0849241032640771</c:v>
                </c:pt>
                <c:pt idx="1079">
                  <c:v>1.0885376441918031</c:v>
                </c:pt>
                <c:pt idx="1080">
                  <c:v>1.0921654550894306</c:v>
                </c:pt>
                <c:pt idx="1081">
                  <c:v>1.0958076972353008</c:v>
                </c:pt>
                <c:pt idx="1082">
                  <c:v>1.0994645346074923</c:v>
                </c:pt>
                <c:pt idx="1083">
                  <c:v>1.1031361339456489</c:v>
                </c:pt>
                <c:pt idx="1084">
                  <c:v>1.106822664814584</c:v>
                </c:pt>
                <c:pt idx="1085">
                  <c:v>1.1105242996697522</c:v>
                </c:pt>
                <c:pt idx="1086">
                  <c:v>1.1142412139246307</c:v>
                </c:pt>
                <c:pt idx="1087">
                  <c:v>1.1179735860200952</c:v>
                </c:pt>
                <c:pt idx="1088">
                  <c:v>1.121721597495849</c:v>
                </c:pt>
                <c:pt idx="1089">
                  <c:v>1.1254854330639892</c:v>
                </c:pt>
                <c:pt idx="1090">
                  <c:v>1.1292652806847807</c:v>
                </c:pt>
                <c:pt idx="1091">
                  <c:v>1.1330613316447196</c:v>
                </c:pt>
                <c:pt idx="1092">
                  <c:v>1.1368737806369786</c:v>
                </c:pt>
                <c:pt idx="1093">
                  <c:v>1.1407028258443039</c:v>
                </c:pt>
                <c:pt idx="1094">
                  <c:v>1.1445486690244737</c:v>
                </c:pt>
                <c:pt idx="1095">
                  <c:v>1.1484115155984058</c:v>
                </c:pt>
                <c:pt idx="1096">
                  <c:v>1.1522915747410072</c:v>
                </c:pt>
                <c:pt idx="1097">
                  <c:v>1.1561890594748843</c:v>
                </c:pt>
                <c:pt idx="1098">
                  <c:v>1.1601041867670134</c:v>
                </c:pt>
                <c:pt idx="1099">
                  <c:v>1.1640371776284826</c:v>
                </c:pt>
                <c:pt idx="1100">
                  <c:v>1.1679882572174294</c:v>
                </c:pt>
                <c:pt idx="1101">
                  <c:v>1.1719576549453021</c:v>
                </c:pt>
                <c:pt idx="1102">
                  <c:v>1.1759456045865566</c:v>
                </c:pt>
                <c:pt idx="1103">
                  <c:v>1.1799523443919495</c:v>
                </c:pt>
                <c:pt idx="1104">
                  <c:v>1.1839781172055506</c:v>
                </c:pt>
                <c:pt idx="1105">
                  <c:v>1.1880231705856303</c:v>
                </c:pt>
                <c:pt idx="1106">
                  <c:v>1.1920877569295791</c:v>
                </c:pt>
                <c:pt idx="1107">
                  <c:v>1.1961721336030178</c:v>
                </c:pt>
                <c:pt idx="1108">
                  <c:v>1.200276563073275</c:v>
                </c:pt>
                <c:pt idx="1109">
                  <c:v>1.2044013130474023</c:v>
                </c:pt>
                <c:pt idx="1110">
                  <c:v>1.2085466566149283</c:v>
                </c:pt>
                <c:pt idx="1111">
                  <c:v>1.2127128723955336</c:v>
                </c:pt>
                <c:pt idx="1112">
                  <c:v>1.2169002446918644</c:v>
                </c:pt>
                <c:pt idx="1113">
                  <c:v>1.2211090636476916</c:v>
                </c:pt>
                <c:pt idx="1114">
                  <c:v>1.2253396254116564</c:v>
                </c:pt>
                <c:pt idx="1115">
                  <c:v>1.2295922323068302</c:v>
                </c:pt>
                <c:pt idx="1116">
                  <c:v>1.2338671930063319</c:v>
                </c:pt>
                <c:pt idx="1117">
                  <c:v>1.238164822715299</c:v>
                </c:pt>
                <c:pt idx="1118">
                  <c:v>1.2424854433594503</c:v>
                </c:pt>
                <c:pt idx="1119">
                  <c:v>1.2468293837805569</c:v>
                </c:pt>
                <c:pt idx="1120">
                  <c:v>1.2511969799391163</c:v>
                </c:pt>
                <c:pt idx="1121">
                  <c:v>1.2555885751245641</c:v>
                </c:pt>
                <c:pt idx="1122">
                  <c:v>1.2600045201733541</c:v>
                </c:pt>
                <c:pt idx="1123">
                  <c:v>1.2644451736952516</c:v>
                </c:pt>
                <c:pt idx="1124">
                  <c:v>1.2689109023082601</c:v>
                </c:pt>
                <c:pt idx="1125">
                  <c:v>1.2734020808825297</c:v>
                </c:pt>
                <c:pt idx="1126">
                  <c:v>1.2779190927936899</c:v>
                </c:pt>
                <c:pt idx="1127">
                  <c:v>1.2824623301860556</c:v>
                </c:pt>
                <c:pt idx="1128">
                  <c:v>1.2870321942461509</c:v>
                </c:pt>
                <c:pt idx="1129">
                  <c:v>1.2916290954870733</c:v>
                </c:pt>
                <c:pt idx="1130">
                  <c:v>1.2962534540441892</c:v>
                </c:pt>
                <c:pt idx="1131">
                  <c:v>1.3009056999827218</c:v>
                </c:pt>
                <c:pt idx="1132">
                  <c:v>1.3055862736178254</c:v>
                </c:pt>
                <c:pt idx="1133">
                  <c:v>1.3102956258477441</c:v>
                </c:pt>
                <c:pt idx="1134">
                  <c:v>1.3150342185007078</c:v>
                </c:pt>
                <c:pt idx="1135">
                  <c:v>1.3198025246962657</c:v>
                </c:pt>
                <c:pt idx="1136">
                  <c:v>1.324601029221772</c:v>
                </c:pt>
                <c:pt idx="1137">
                  <c:v>1.3294302289248148</c:v>
                </c:pt>
                <c:pt idx="1138">
                  <c:v>1.3342906331223829</c:v>
                </c:pt>
                <c:pt idx="1139">
                  <c:v>1.3391827640276721</c:v>
                </c:pt>
                <c:pt idx="1140">
                  <c:v>1.3441071571954235</c:v>
                </c:pt>
                <c:pt idx="1141">
                  <c:v>1.3490643619867897</c:v>
                </c:pt>
                <c:pt idx="1142">
                  <c:v>1.3540549420547721</c:v>
                </c:pt>
                <c:pt idx="1143">
                  <c:v>1.3590794758513209</c:v>
                </c:pt>
                <c:pt idx="1144">
                  <c:v>1.3641385571573073</c:v>
                </c:pt>
                <c:pt idx="1145">
                  <c:v>1.3692327956365586</c:v>
                </c:pt>
                <c:pt idx="1146">
                  <c:v>1.3743628174153739</c:v>
                </c:pt>
                <c:pt idx="1147">
                  <c:v>1.3795292656888585</c:v>
                </c:pt>
                <c:pt idx="1148">
                  <c:v>1.3847328013556541</c:v>
                </c:pt>
                <c:pt idx="1149">
                  <c:v>1.3899741036826332</c:v>
                </c:pt>
                <c:pt idx="1150">
                  <c:v>1.3952538710013354</c:v>
                </c:pt>
                <c:pt idx="1151">
                  <c:v>1.4005728214379083</c:v>
                </c:pt>
                <c:pt idx="1152">
                  <c:v>1.4059316936786133</c:v>
                </c:pt>
                <c:pt idx="1153">
                  <c:v>1.4113312477729172</c:v>
                </c:pt>
                <c:pt idx="1154">
                  <c:v>1.4167722659764788</c:v>
                </c:pt>
                <c:pt idx="1155">
                  <c:v>1.422255553636407</c:v>
                </c:pt>
                <c:pt idx="1156">
                  <c:v>1.427781940121386</c:v>
                </c:pt>
                <c:pt idx="1157">
                  <c:v>1.4333522797994338</c:v>
                </c:pt>
                <c:pt idx="1158">
                  <c:v>1.4389674530662808</c:v>
                </c:pt>
                <c:pt idx="1159">
                  <c:v>1.4446283674275</c:v>
                </c:pt>
                <c:pt idx="1160">
                  <c:v>1.4503359586379194</c:v>
                </c:pt>
                <c:pt idx="1161">
                  <c:v>1.4560911919018951</c:v>
                </c:pt>
                <c:pt idx="1162">
                  <c:v>1.4618950631384826</c:v>
                </c:pt>
                <c:pt idx="1163">
                  <c:v>1.4677486003157527</c:v>
                </c:pt>
                <c:pt idx="1164">
                  <c:v>1.4736528648588596</c:v>
                </c:pt>
                <c:pt idx="1165">
                  <c:v>1.4796089531368348</c:v>
                </c:pt>
                <c:pt idx="1166">
                  <c:v>1.4856179980334678</c:v>
                </c:pt>
                <c:pt idx="1167">
                  <c:v>1.4916811706080748</c:v>
                </c:pt>
                <c:pt idx="1168">
                  <c:v>1.4977996818524231</c:v>
                </c:pt>
                <c:pt idx="1169">
                  <c:v>1.5039747845506042</c:v>
                </c:pt>
                <c:pt idx="1170">
                  <c:v>1.510207775249208</c:v>
                </c:pt>
                <c:pt idx="1171">
                  <c:v>1.5164999963457824</c:v>
                </c:pt>
                <c:pt idx="1172">
                  <c:v>1.5228528383042352</c:v>
                </c:pt>
                <c:pt idx="1173">
                  <c:v>1.5292677420066052</c:v>
                </c:pt>
                <c:pt idx="1174">
                  <c:v>1.5357462012514234</c:v>
                </c:pt>
                <c:pt idx="1175">
                  <c:v>1.5422897654098506</c:v>
                </c:pt>
                <c:pt idx="1176">
                  <c:v>1.548900042251715</c:v>
                </c:pt>
                <c:pt idx="1177">
                  <c:v>1.5555787009547488</c:v>
                </c:pt>
                <c:pt idx="1178">
                  <c:v>1.5623274753115111</c:v>
                </c:pt>
                <c:pt idx="1179">
                  <c:v>1.5691481671498613</c:v>
                </c:pt>
                <c:pt idx="1180">
                  <c:v>1.5760426499843492</c:v>
                </c:pt>
                <c:pt idx="1181">
                  <c:v>1.5830128729175841</c:v>
                </c:pt>
                <c:pt idx="1182">
                  <c:v>1.5900608648124666</c:v>
                </c:pt>
                <c:pt idx="1183">
                  <c:v>1.5971887387582999</c:v>
                </c:pt>
                <c:pt idx="1184">
                  <c:v>1.6043986968560597</c:v>
                </c:pt>
                <c:pt idx="1185">
                  <c:v>1.6116930353507257</c:v>
                </c:pt>
                <c:pt idx="1186">
                  <c:v>1.6190741501414485</c:v>
                </c:pt>
                <c:pt idx="1187">
                  <c:v>1.6265445427035894</c:v>
                </c:pt>
                <c:pt idx="1188">
                  <c:v>1.6341068264602854</c:v>
                </c:pt>
                <c:pt idx="1189">
                  <c:v>1.641763733645309</c:v>
                </c:pt>
                <c:pt idx="1190">
                  <c:v>1.6495181227035913</c:v>
                </c:pt>
                <c:pt idx="1191">
                  <c:v>1.6573729862809787</c:v>
                </c:pt>
                <c:pt idx="1192">
                  <c:v>1.6653314598606916</c:v>
                </c:pt>
                <c:pt idx="1193">
                  <c:v>1.6733968311105887</c:v>
                </c:pt>
                <c:pt idx="1194">
                  <c:v>1.6815725500129504</c:v>
                </c:pt>
                <c:pt idx="1195">
                  <c:v>1.6898622398570504</c:v>
                </c:pt>
                <c:pt idx="1196">
                  <c:v>1.6982697091846284</c:v>
                </c:pt>
                <c:pt idx="1197">
                  <c:v>1.7067989647895703</c:v>
                </c:pt>
                <c:pt idx="1198">
                  <c:v>1.715454225885938</c:v>
                </c:pt>
                <c:pt idx="1199">
                  <c:v>1.7242399395731984</c:v>
                </c:pt>
                <c:pt idx="1200">
                  <c:v>1.7331607977444856</c:v>
                </c:pt>
                <c:pt idx="1201">
                  <c:v>1.7422217556032296</c:v>
                </c:pt>
                <c:pt idx="1202">
                  <c:v>1.7514280519761141</c:v>
                </c:pt>
                <c:pt idx="1203">
                  <c:v>1.7607852316365484</c:v>
                </c:pt>
                <c:pt idx="1204">
                  <c:v>1.7702991698832944</c:v>
                </c:pt>
                <c:pt idx="1205">
                  <c:v>1.7799760996544882</c:v>
                </c:pt>
                <c:pt idx="1206">
                  <c:v>1.7898226414988638</c:v>
                </c:pt>
                <c:pt idx="1207">
                  <c:v>1.7998458367748733</c:v>
                </c:pt>
                <c:pt idx="1208">
                  <c:v>1.8100531845058554</c:v>
                </c:pt>
                <c:pt idx="1209">
                  <c:v>1.8204526823874192</c:v>
                </c:pt>
                <c:pt idx="1210">
                  <c:v>1.8310528725237951</c:v>
                </c:pt>
                <c:pt idx="1211">
                  <c:v>1.8418628925658986</c:v>
                </c:pt>
                <c:pt idx="1212">
                  <c:v>1.8528925330385331</c:v>
                </c:pt>
                <c:pt idx="1213">
                  <c:v>1.864152301781886</c:v>
                </c:pt>
                <c:pt idx="1214">
                  <c:v>1.8756534965983558</c:v>
                </c:pt>
                <c:pt idx="1215">
                  <c:v>1.8874082873967684</c:v>
                </c:pt>
                <c:pt idx="1216">
                  <c:v>1.8994298093704893</c:v>
                </c:pt>
                <c:pt idx="1217">
                  <c:v>1.9117322690449214</c:v>
                </c:pt>
                <c:pt idx="1218">
                  <c:v>1.9243310653973653</c:v>
                </c:pt>
                <c:pt idx="1219">
                  <c:v>1.9372429287065138</c:v>
                </c:pt>
                <c:pt idx="1220">
                  <c:v>1.950486080353641</c:v>
                </c:pt>
                <c:pt idx="1221">
                  <c:v>1.9640804175042577</c:v>
                </c:pt>
                <c:pt idx="1222">
                  <c:v>1.9780477274889443</c:v>
                </c:pt>
                <c:pt idx="1223">
                  <c:v>1.9924119378306826</c:v>
                </c:pt>
                <c:pt idx="1224">
                  <c:v>2.0071994093079604</c:v>
                </c:pt>
                <c:pt idx="1225">
                  <c:v>2.0224392812996603</c:v>
                </c:pt>
                <c:pt idx="1226">
                  <c:v>2.0381638810689928</c:v>
                </c:pt>
                <c:pt idx="1227">
                  <c:v>2.0544092118030792</c:v>
                </c:pt>
                <c:pt idx="1228">
                  <c:v>2.0712155384048114</c:v>
                </c:pt>
                <c:pt idx="1229">
                  <c:v>2.0886280956212318</c:v>
                </c:pt>
                <c:pt idx="1230">
                  <c:v>2.1066979506460042</c:v>
                </c:pt>
                <c:pt idx="1231">
                  <c:v>2.1254830626678314</c:v>
                </c:pt>
                <c:pt idx="1232">
                  <c:v>2.1450495961618947</c:v>
                </c:pt>
                <c:pt idx="1233">
                  <c:v>2.1654735648631602</c:v>
                </c:pt>
                <c:pt idx="1234">
                  <c:v>2.1868429121239132</c:v>
                </c:pt>
                <c:pt idx="1235">
                  <c:v>2.209260175139105</c:v>
                </c:pt>
                <c:pt idx="1236">
                  <c:v>2.2328459423636922</c:v>
                </c:pt>
                <c:pt idx="1237">
                  <c:v>2.2577434068988107</c:v>
                </c:pt>
                <c:pt idx="1238">
                  <c:v>2.2841244631564788</c:v>
                </c:pt>
                <c:pt idx="1239">
                  <c:v>2.3121980235236075</c:v>
                </c:pt>
                <c:pt idx="1240">
                  <c:v>2.342221606715253</c:v>
                </c:pt>
                <c:pt idx="1241">
                  <c:v>2.3745178832011793</c:v>
                </c:pt>
                <c:pt idx="1242">
                  <c:v>2.4094989759606036</c:v>
                </c:pt>
                <c:pt idx="1243">
                  <c:v>2.4477033585225945</c:v>
                </c:pt>
                <c:pt idx="1244">
                  <c:v>2.4898541484898691</c:v>
                </c:pt>
                <c:pt idx="1245">
                  <c:v>2.536955753128654</c:v>
                </c:pt>
                <c:pt idx="1246">
                  <c:v>2.5904640018645773</c:v>
                </c:pt>
                <c:pt idx="1247">
                  <c:v>2.6526095495605531</c:v>
                </c:pt>
                <c:pt idx="1248">
                  <c:v>2.7270788722062234</c:v>
                </c:pt>
                <c:pt idx="1249">
                  <c:v>2.8206710107576534</c:v>
                </c:pt>
                <c:pt idx="1250">
                  <c:v>2.9483367635585283</c:v>
                </c:pt>
              </c:numCache>
            </c:numRef>
          </c:xVal>
          <c:yVal>
            <c:numRef>
              <c:f>'7'!$X$2:$X$1252</c:f>
              <c:numCache>
                <c:formatCode>0.00</c:formatCode>
                <c:ptCount val="1251"/>
                <c:pt idx="0">
                  <c:v>-6.6286021917468076</c:v>
                </c:pt>
                <c:pt idx="1">
                  <c:v>-6.2161963980596475</c:v>
                </c:pt>
                <c:pt idx="2">
                  <c:v>-5.5716552117241323</c:v>
                </c:pt>
                <c:pt idx="3">
                  <c:v>-5.0538961539930307</c:v>
                </c:pt>
                <c:pt idx="4">
                  <c:v>-4.6707999049658033</c:v>
                </c:pt>
                <c:pt idx="5">
                  <c:v>-3.9978546017753622</c:v>
                </c:pt>
                <c:pt idx="6">
                  <c:v>-3.9469939837119354</c:v>
                </c:pt>
                <c:pt idx="7">
                  <c:v>-3.8394151380799273</c:v>
                </c:pt>
                <c:pt idx="8">
                  <c:v>-3.4078446990280788</c:v>
                </c:pt>
                <c:pt idx="9">
                  <c:v>-3.1199944375515201</c:v>
                </c:pt>
                <c:pt idx="10">
                  <c:v>-3.0568420273808745</c:v>
                </c:pt>
                <c:pt idx="11">
                  <c:v>-2.9331238959466952</c:v>
                </c:pt>
                <c:pt idx="12">
                  <c:v>-2.9187563120222912</c:v>
                </c:pt>
                <c:pt idx="13">
                  <c:v>-2.9054896272676136</c:v>
                </c:pt>
                <c:pt idx="14">
                  <c:v>-2.8818278111908198</c:v>
                </c:pt>
                <c:pt idx="15">
                  <c:v>-2.8367022019562795</c:v>
                </c:pt>
                <c:pt idx="16">
                  <c:v>-2.6328557329424753</c:v>
                </c:pt>
                <c:pt idx="17">
                  <c:v>-2.613133424672919</c:v>
                </c:pt>
                <c:pt idx="18">
                  <c:v>-2.5798498677822752</c:v>
                </c:pt>
                <c:pt idx="19">
                  <c:v>-2.5582117229156829</c:v>
                </c:pt>
                <c:pt idx="20">
                  <c:v>-2.4804281556038568</c:v>
                </c:pt>
                <c:pt idx="21">
                  <c:v>-2.4421584980264637</c:v>
                </c:pt>
                <c:pt idx="22">
                  <c:v>-2.2351828301884509</c:v>
                </c:pt>
                <c:pt idx="23">
                  <c:v>-2.1932708078025671</c:v>
                </c:pt>
                <c:pt idx="24">
                  <c:v>-2.1712220457354445</c:v>
                </c:pt>
                <c:pt idx="25">
                  <c:v>-2.0939607299358984</c:v>
                </c:pt>
                <c:pt idx="26">
                  <c:v>-2.0906192165234558</c:v>
                </c:pt>
                <c:pt idx="27">
                  <c:v>-2.0899799757627249</c:v>
                </c:pt>
                <c:pt idx="28">
                  <c:v>-2.0636616533639489</c:v>
                </c:pt>
                <c:pt idx="29">
                  <c:v>-2.063588286866977</c:v>
                </c:pt>
                <c:pt idx="30">
                  <c:v>-2.0556048785027388</c:v>
                </c:pt>
                <c:pt idx="31">
                  <c:v>-2.0533372328031585</c:v>
                </c:pt>
                <c:pt idx="32">
                  <c:v>-2.014068951899556</c:v>
                </c:pt>
                <c:pt idx="33">
                  <c:v>-1.9958221743476476</c:v>
                </c:pt>
                <c:pt idx="34">
                  <c:v>-1.9686763158090068</c:v>
                </c:pt>
                <c:pt idx="35">
                  <c:v>-1.9534871309115833</c:v>
                </c:pt>
                <c:pt idx="36">
                  <c:v>-1.9525467042266214</c:v>
                </c:pt>
                <c:pt idx="37">
                  <c:v>-1.8564320891249126</c:v>
                </c:pt>
                <c:pt idx="38">
                  <c:v>-1.8233698936309544</c:v>
                </c:pt>
                <c:pt idx="39">
                  <c:v>-1.7988037400745975</c:v>
                </c:pt>
                <c:pt idx="40">
                  <c:v>-1.7848404740480897</c:v>
                </c:pt>
                <c:pt idx="41">
                  <c:v>-1.7429700751375634</c:v>
                </c:pt>
                <c:pt idx="42">
                  <c:v>-1.7395011917811452</c:v>
                </c:pt>
                <c:pt idx="43">
                  <c:v>-1.7292831880604449</c:v>
                </c:pt>
                <c:pt idx="44">
                  <c:v>-1.728917070443122</c:v>
                </c:pt>
                <c:pt idx="45">
                  <c:v>-1.7206980400417613</c:v>
                </c:pt>
                <c:pt idx="46">
                  <c:v>-1.7008161349699822</c:v>
                </c:pt>
                <c:pt idx="47">
                  <c:v>-1.6528359879583032</c:v>
                </c:pt>
                <c:pt idx="48">
                  <c:v>-1.649346562751651</c:v>
                </c:pt>
                <c:pt idx="49">
                  <c:v>-1.6431641374667252</c:v>
                </c:pt>
                <c:pt idx="50">
                  <c:v>-1.6366021061439411</c:v>
                </c:pt>
                <c:pt idx="51">
                  <c:v>-1.6353891995266985</c:v>
                </c:pt>
                <c:pt idx="52">
                  <c:v>-1.6217832019263507</c:v>
                </c:pt>
                <c:pt idx="53">
                  <c:v>-1.6062767662297928</c:v>
                </c:pt>
                <c:pt idx="54">
                  <c:v>-1.5780783351199019</c:v>
                </c:pt>
                <c:pt idx="55">
                  <c:v>-1.5745832385445744</c:v>
                </c:pt>
                <c:pt idx="56">
                  <c:v>-1.5558222619229272</c:v>
                </c:pt>
                <c:pt idx="57">
                  <c:v>-1.5309276090950792</c:v>
                </c:pt>
                <c:pt idx="58">
                  <c:v>-1.5277601276130206</c:v>
                </c:pt>
                <c:pt idx="59">
                  <c:v>-1.5110656104630609</c:v>
                </c:pt>
                <c:pt idx="60">
                  <c:v>-1.5098590310648803</c:v>
                </c:pt>
                <c:pt idx="61">
                  <c:v>-1.4859405732274551</c:v>
                </c:pt>
                <c:pt idx="62">
                  <c:v>-1.4678300935790669</c:v>
                </c:pt>
                <c:pt idx="63">
                  <c:v>-1.4627468520579754</c:v>
                </c:pt>
                <c:pt idx="64">
                  <c:v>-1.4561085862253966</c:v>
                </c:pt>
                <c:pt idx="65">
                  <c:v>-1.4549049101638651</c:v>
                </c:pt>
                <c:pt idx="66">
                  <c:v>-1.4541216008999966</c:v>
                </c:pt>
                <c:pt idx="67">
                  <c:v>-1.4389588119233874</c:v>
                </c:pt>
                <c:pt idx="68">
                  <c:v>-1.4361513536205603</c:v>
                </c:pt>
                <c:pt idx="69">
                  <c:v>-1.4218104045802331</c:v>
                </c:pt>
                <c:pt idx="70">
                  <c:v>-1.4195101450448897</c:v>
                </c:pt>
                <c:pt idx="71">
                  <c:v>-1.3619288811047554</c:v>
                </c:pt>
                <c:pt idx="72">
                  <c:v>-1.3519919366342654</c:v>
                </c:pt>
                <c:pt idx="73">
                  <c:v>-1.3438926795810602</c:v>
                </c:pt>
                <c:pt idx="74">
                  <c:v>-1.3431648214563539</c:v>
                </c:pt>
                <c:pt idx="75">
                  <c:v>-1.3243286873145284</c:v>
                </c:pt>
                <c:pt idx="76">
                  <c:v>-1.3107110758167388</c:v>
                </c:pt>
                <c:pt idx="77">
                  <c:v>-1.2992000296998849</c:v>
                </c:pt>
                <c:pt idx="78">
                  <c:v>-1.2992000296998849</c:v>
                </c:pt>
                <c:pt idx="79">
                  <c:v>-1.2950640534883979</c:v>
                </c:pt>
                <c:pt idx="80">
                  <c:v>-1.2749257992793466</c:v>
                </c:pt>
                <c:pt idx="81">
                  <c:v>-1.2697359645005175</c:v>
                </c:pt>
                <c:pt idx="82">
                  <c:v>-1.2678190322505312</c:v>
                </c:pt>
                <c:pt idx="83">
                  <c:v>-1.2604379811649644</c:v>
                </c:pt>
                <c:pt idx="84">
                  <c:v>-1.2543522894149624</c:v>
                </c:pt>
                <c:pt idx="85">
                  <c:v>-1.2506719780732816</c:v>
                </c:pt>
                <c:pt idx="86">
                  <c:v>-1.2268497344404479</c:v>
                </c:pt>
                <c:pt idx="87">
                  <c:v>-1.2267136876105311</c:v>
                </c:pt>
                <c:pt idx="88">
                  <c:v>-1.2251648786047429</c:v>
                </c:pt>
                <c:pt idx="89">
                  <c:v>-1.2200515865088715</c:v>
                </c:pt>
                <c:pt idx="90">
                  <c:v>-1.2079208177338672</c:v>
                </c:pt>
                <c:pt idx="91">
                  <c:v>-1.1950633095250869</c:v>
                </c:pt>
                <c:pt idx="92">
                  <c:v>-1.1898840758084335</c:v>
                </c:pt>
                <c:pt idx="93">
                  <c:v>-1.1895843347182802</c:v>
                </c:pt>
                <c:pt idx="94">
                  <c:v>-1.1821394607513036</c:v>
                </c:pt>
                <c:pt idx="95">
                  <c:v>-1.1785988407454395</c:v>
                </c:pt>
                <c:pt idx="96">
                  <c:v>-1.1619997757032046</c:v>
                </c:pt>
                <c:pt idx="97">
                  <c:v>-1.1612084167545562</c:v>
                </c:pt>
                <c:pt idx="98">
                  <c:v>-1.1599247490584039</c:v>
                </c:pt>
                <c:pt idx="99">
                  <c:v>-1.1586439091674976</c:v>
                </c:pt>
                <c:pt idx="100">
                  <c:v>-1.1550301378608381</c:v>
                </c:pt>
                <c:pt idx="101">
                  <c:v>-1.1434910422699094</c:v>
                </c:pt>
                <c:pt idx="102">
                  <c:v>-1.1425798647685277</c:v>
                </c:pt>
                <c:pt idx="103">
                  <c:v>-1.1390573044238514</c:v>
                </c:pt>
                <c:pt idx="104">
                  <c:v>-1.136360200535703</c:v>
                </c:pt>
                <c:pt idx="105">
                  <c:v>-1.1293804156459564</c:v>
                </c:pt>
                <c:pt idx="106">
                  <c:v>-1.1253050560339166</c:v>
                </c:pt>
                <c:pt idx="107">
                  <c:v>-1.1239808713037789</c:v>
                </c:pt>
                <c:pt idx="108">
                  <c:v>-1.1085840314587356</c:v>
                </c:pt>
                <c:pt idx="109">
                  <c:v>-1.1064496339897532</c:v>
                </c:pt>
                <c:pt idx="110">
                  <c:v>-1.1020304302205346</c:v>
                </c:pt>
                <c:pt idx="111">
                  <c:v>-1.1009450418520534</c:v>
                </c:pt>
                <c:pt idx="112">
                  <c:v>-1.0998536672872319</c:v>
                </c:pt>
                <c:pt idx="113">
                  <c:v>-1.0796065944303987</c:v>
                </c:pt>
                <c:pt idx="114">
                  <c:v>-1.0769672328194051</c:v>
                </c:pt>
                <c:pt idx="115">
                  <c:v>-1.0737714163982532</c:v>
                </c:pt>
                <c:pt idx="116">
                  <c:v>-1.0701144273185674</c:v>
                </c:pt>
                <c:pt idx="117">
                  <c:v>-1.0616532532764116</c:v>
                </c:pt>
                <c:pt idx="118">
                  <c:v>-1.0584502257599289</c:v>
                </c:pt>
                <c:pt idx="119">
                  <c:v>-1.0577876730592861</c:v>
                </c:pt>
                <c:pt idx="120">
                  <c:v>-1.0572112846184225</c:v>
                </c:pt>
                <c:pt idx="121">
                  <c:v>-1.0563067958626871</c:v>
                </c:pt>
                <c:pt idx="122">
                  <c:v>-1.056002905507933</c:v>
                </c:pt>
                <c:pt idx="123">
                  <c:v>-1.0543189561973096</c:v>
                </c:pt>
                <c:pt idx="124">
                  <c:v>-1.0413229160467239</c:v>
                </c:pt>
                <c:pt idx="125">
                  <c:v>-1.03171800487228</c:v>
                </c:pt>
                <c:pt idx="126">
                  <c:v>-1.0187545034057595</c:v>
                </c:pt>
                <c:pt idx="127">
                  <c:v>-1.0144580328078145</c:v>
                </c:pt>
                <c:pt idx="128">
                  <c:v>-1.0141736149450153</c:v>
                </c:pt>
                <c:pt idx="129">
                  <c:v>-1.0139130382283188</c:v>
                </c:pt>
                <c:pt idx="130">
                  <c:v>-1.0096262782751322</c:v>
                </c:pt>
                <c:pt idx="131">
                  <c:v>-1.0043801722189676</c:v>
                </c:pt>
                <c:pt idx="132">
                  <c:v>-0.98846254753370899</c:v>
                </c:pt>
                <c:pt idx="133">
                  <c:v>-0.98454656246547445</c:v>
                </c:pt>
                <c:pt idx="134">
                  <c:v>-0.98276015083075852</c:v>
                </c:pt>
                <c:pt idx="135">
                  <c:v>-0.97262859431508819</c:v>
                </c:pt>
                <c:pt idx="136">
                  <c:v>-0.96823639291535735</c:v>
                </c:pt>
                <c:pt idx="137">
                  <c:v>-0.96672521549060408</c:v>
                </c:pt>
                <c:pt idx="138">
                  <c:v>-0.96467208182904041</c:v>
                </c:pt>
                <c:pt idx="139">
                  <c:v>-0.96467208182904041</c:v>
                </c:pt>
                <c:pt idx="140">
                  <c:v>-0.96398963464842469</c:v>
                </c:pt>
                <c:pt idx="141">
                  <c:v>-0.95545978996222192</c:v>
                </c:pt>
                <c:pt idx="142">
                  <c:v>-0.93945258672141374</c:v>
                </c:pt>
                <c:pt idx="143">
                  <c:v>-0.93248668891208231</c:v>
                </c:pt>
                <c:pt idx="144">
                  <c:v>-0.92851454550856194</c:v>
                </c:pt>
                <c:pt idx="145">
                  <c:v>-0.92646863366503496</c:v>
                </c:pt>
                <c:pt idx="146">
                  <c:v>-0.92630484502755905</c:v>
                </c:pt>
                <c:pt idx="147">
                  <c:v>-0.92494218137565631</c:v>
                </c:pt>
                <c:pt idx="148">
                  <c:v>-0.91953125762405175</c:v>
                </c:pt>
                <c:pt idx="149">
                  <c:v>-0.91766395957548397</c:v>
                </c:pt>
                <c:pt idx="150">
                  <c:v>-0.91198812832220921</c:v>
                </c:pt>
                <c:pt idx="151">
                  <c:v>-0.9112919380763933</c:v>
                </c:pt>
                <c:pt idx="152">
                  <c:v>-0.90889654552720656</c:v>
                </c:pt>
                <c:pt idx="153">
                  <c:v>-0.90658973133572285</c:v>
                </c:pt>
                <c:pt idx="154">
                  <c:v>-0.90627606975547137</c:v>
                </c:pt>
                <c:pt idx="155">
                  <c:v>-0.90533638167965402</c:v>
                </c:pt>
                <c:pt idx="156">
                  <c:v>-0.90159697258213201</c:v>
                </c:pt>
                <c:pt idx="157">
                  <c:v>-0.89619853013804296</c:v>
                </c:pt>
                <c:pt idx="158">
                  <c:v>-0.89516646794416976</c:v>
                </c:pt>
                <c:pt idx="159">
                  <c:v>-0.88987714423743924</c:v>
                </c:pt>
                <c:pt idx="160">
                  <c:v>-0.88571089351270671</c:v>
                </c:pt>
                <c:pt idx="161">
                  <c:v>-0.88095619615445098</c:v>
                </c:pt>
                <c:pt idx="162">
                  <c:v>-0.8739728054351309</c:v>
                </c:pt>
                <c:pt idx="163">
                  <c:v>-0.87374229730765207</c:v>
                </c:pt>
                <c:pt idx="164">
                  <c:v>-0.87315770516759983</c:v>
                </c:pt>
                <c:pt idx="165">
                  <c:v>-0.87231871851294451</c:v>
                </c:pt>
                <c:pt idx="166">
                  <c:v>-0.86913844645993121</c:v>
                </c:pt>
                <c:pt idx="167">
                  <c:v>-0.86616628865066148</c:v>
                </c:pt>
                <c:pt idx="168">
                  <c:v>-0.86582936088985418</c:v>
                </c:pt>
                <c:pt idx="169">
                  <c:v>-0.86478959739571015</c:v>
                </c:pt>
                <c:pt idx="170">
                  <c:v>-0.86392502705710628</c:v>
                </c:pt>
                <c:pt idx="171">
                  <c:v>-0.85898699019245817</c:v>
                </c:pt>
                <c:pt idx="172">
                  <c:v>-0.85818025628020445</c:v>
                </c:pt>
                <c:pt idx="173">
                  <c:v>-0.8499043223700673</c:v>
                </c:pt>
                <c:pt idx="174">
                  <c:v>-0.84761151288045888</c:v>
                </c:pt>
                <c:pt idx="175">
                  <c:v>-0.83952258508524247</c:v>
                </c:pt>
                <c:pt idx="176">
                  <c:v>-0.83471385362281425</c:v>
                </c:pt>
                <c:pt idx="177">
                  <c:v>-0.83471385362281425</c:v>
                </c:pt>
                <c:pt idx="178">
                  <c:v>-0.83410942878762251</c:v>
                </c:pt>
                <c:pt idx="179">
                  <c:v>-0.82686441939379773</c:v>
                </c:pt>
                <c:pt idx="180">
                  <c:v>-0.82642935652750049</c:v>
                </c:pt>
                <c:pt idx="181">
                  <c:v>-0.82318086908474952</c:v>
                </c:pt>
                <c:pt idx="182">
                  <c:v>-0.81986045063992807</c:v>
                </c:pt>
                <c:pt idx="183">
                  <c:v>-0.81949933229542749</c:v>
                </c:pt>
                <c:pt idx="184">
                  <c:v>-0.81464135572181928</c:v>
                </c:pt>
                <c:pt idx="185">
                  <c:v>-0.80835168254870438</c:v>
                </c:pt>
                <c:pt idx="186">
                  <c:v>-0.80608845428545017</c:v>
                </c:pt>
                <c:pt idx="187">
                  <c:v>-0.79982335999154575</c:v>
                </c:pt>
                <c:pt idx="188">
                  <c:v>-0.79545334731310335</c:v>
                </c:pt>
                <c:pt idx="189">
                  <c:v>-0.79005018499993307</c:v>
                </c:pt>
                <c:pt idx="190">
                  <c:v>-0.78152966944212132</c:v>
                </c:pt>
                <c:pt idx="191">
                  <c:v>-0.77011981263212936</c:v>
                </c:pt>
                <c:pt idx="192">
                  <c:v>-0.76263703881333456</c:v>
                </c:pt>
                <c:pt idx="193">
                  <c:v>-0.76155693016584625</c:v>
                </c:pt>
                <c:pt idx="194">
                  <c:v>-0.75870147400556931</c:v>
                </c:pt>
                <c:pt idx="195">
                  <c:v>-0.75812288554858187</c:v>
                </c:pt>
                <c:pt idx="196">
                  <c:v>-0.75581729534765041</c:v>
                </c:pt>
                <c:pt idx="197">
                  <c:v>-0.75418306597745066</c:v>
                </c:pt>
                <c:pt idx="198">
                  <c:v>-0.75129508425218239</c:v>
                </c:pt>
                <c:pt idx="199">
                  <c:v>-0.74990819515013996</c:v>
                </c:pt>
                <c:pt idx="200">
                  <c:v>-0.74881763426874415</c:v>
                </c:pt>
                <c:pt idx="201">
                  <c:v>-0.74755882001594887</c:v>
                </c:pt>
                <c:pt idx="202">
                  <c:v>-0.74505379604352362</c:v>
                </c:pt>
                <c:pt idx="203">
                  <c:v>-0.7388358865203507</c:v>
                </c:pt>
                <c:pt idx="204">
                  <c:v>-0.73588315613561872</c:v>
                </c:pt>
                <c:pt idx="205">
                  <c:v>-0.73041235736962851</c:v>
                </c:pt>
                <c:pt idx="206">
                  <c:v>-0.7285726295513506</c:v>
                </c:pt>
                <c:pt idx="207">
                  <c:v>-0.72585379189524579</c:v>
                </c:pt>
                <c:pt idx="208">
                  <c:v>-0.72241644574245445</c:v>
                </c:pt>
                <c:pt idx="209">
                  <c:v>-0.71917491618626583</c:v>
                </c:pt>
                <c:pt idx="210">
                  <c:v>-0.71658180616163192</c:v>
                </c:pt>
                <c:pt idx="211">
                  <c:v>-0.71658180616163192</c:v>
                </c:pt>
                <c:pt idx="212">
                  <c:v>-0.69677728813249407</c:v>
                </c:pt>
                <c:pt idx="213">
                  <c:v>-0.69551338407947971</c:v>
                </c:pt>
                <c:pt idx="214">
                  <c:v>-0.69505109581725055</c:v>
                </c:pt>
                <c:pt idx="215">
                  <c:v>-0.69206107386531979</c:v>
                </c:pt>
                <c:pt idx="216">
                  <c:v>-0.68216762552222954</c:v>
                </c:pt>
                <c:pt idx="217">
                  <c:v>-0.68007948658293693</c:v>
                </c:pt>
                <c:pt idx="218">
                  <c:v>-0.67218413589653658</c:v>
                </c:pt>
                <c:pt idx="219">
                  <c:v>-0.66881848871952199</c:v>
                </c:pt>
                <c:pt idx="220">
                  <c:v>-0.66834336819861973</c:v>
                </c:pt>
                <c:pt idx="221">
                  <c:v>-0.6663821502349937</c:v>
                </c:pt>
                <c:pt idx="222">
                  <c:v>-0.66633158108048074</c:v>
                </c:pt>
                <c:pt idx="223">
                  <c:v>-0.66476771831361592</c:v>
                </c:pt>
                <c:pt idx="224">
                  <c:v>-0.66301346205754708</c:v>
                </c:pt>
                <c:pt idx="225">
                  <c:v>-0.65903552051225889</c:v>
                </c:pt>
                <c:pt idx="226">
                  <c:v>-0.65485133959067865</c:v>
                </c:pt>
                <c:pt idx="227">
                  <c:v>-0.64923364029535113</c:v>
                </c:pt>
                <c:pt idx="228">
                  <c:v>-0.64871851934689939</c:v>
                </c:pt>
                <c:pt idx="229">
                  <c:v>-0.64835136174219943</c:v>
                </c:pt>
                <c:pt idx="230">
                  <c:v>-0.64145313879431975</c:v>
                </c:pt>
                <c:pt idx="231">
                  <c:v>-0.6381884334601563</c:v>
                </c:pt>
                <c:pt idx="232">
                  <c:v>-0.63092578916285524</c:v>
                </c:pt>
                <c:pt idx="233">
                  <c:v>-0.62990802875025109</c:v>
                </c:pt>
                <c:pt idx="234">
                  <c:v>-0.6265791875766763</c:v>
                </c:pt>
                <c:pt idx="235">
                  <c:v>-0.62529784268818733</c:v>
                </c:pt>
                <c:pt idx="236">
                  <c:v>-0.62483036019884231</c:v>
                </c:pt>
                <c:pt idx="237">
                  <c:v>-0.62242152947154306</c:v>
                </c:pt>
                <c:pt idx="238">
                  <c:v>-0.61105355965229369</c:v>
                </c:pt>
                <c:pt idx="239">
                  <c:v>-0.60904357227747519</c:v>
                </c:pt>
                <c:pt idx="240">
                  <c:v>-0.60668503274545238</c:v>
                </c:pt>
                <c:pt idx="241">
                  <c:v>-0.6046190133582473</c:v>
                </c:pt>
                <c:pt idx="242">
                  <c:v>-0.60093525114865753</c:v>
                </c:pt>
                <c:pt idx="243">
                  <c:v>-0.59729588792179855</c:v>
                </c:pt>
                <c:pt idx="244">
                  <c:v>-0.59014718587568182</c:v>
                </c:pt>
                <c:pt idx="245">
                  <c:v>-0.59011448597674621</c:v>
                </c:pt>
                <c:pt idx="246">
                  <c:v>-0.58930317538903809</c:v>
                </c:pt>
                <c:pt idx="247">
                  <c:v>-0.58865262885715441</c:v>
                </c:pt>
                <c:pt idx="248">
                  <c:v>-0.58437369140034046</c:v>
                </c:pt>
                <c:pt idx="249">
                  <c:v>-0.58216247259303899</c:v>
                </c:pt>
                <c:pt idx="250">
                  <c:v>-0.57785008279162553</c:v>
                </c:pt>
                <c:pt idx="251">
                  <c:v>-0.57613819594813931</c:v>
                </c:pt>
                <c:pt idx="252">
                  <c:v>-0.57389451539556102</c:v>
                </c:pt>
                <c:pt idx="253">
                  <c:v>-0.57306931546084083</c:v>
                </c:pt>
                <c:pt idx="254">
                  <c:v>-0.5716942458058224</c:v>
                </c:pt>
                <c:pt idx="255">
                  <c:v>-0.57127704843079385</c:v>
                </c:pt>
                <c:pt idx="256">
                  <c:v>-0.56895675709477156</c:v>
                </c:pt>
                <c:pt idx="257">
                  <c:v>-0.56713815075904317</c:v>
                </c:pt>
                <c:pt idx="258">
                  <c:v>-0.5663175203033548</c:v>
                </c:pt>
                <c:pt idx="259">
                  <c:v>-0.56625899423263149</c:v>
                </c:pt>
                <c:pt idx="260">
                  <c:v>-0.5645087904684436</c:v>
                </c:pt>
                <c:pt idx="261">
                  <c:v>-0.56305848768831068</c:v>
                </c:pt>
                <c:pt idx="262">
                  <c:v>-0.56147169259051355</c:v>
                </c:pt>
                <c:pt idx="263">
                  <c:v>-0.55916160923836467</c:v>
                </c:pt>
                <c:pt idx="264">
                  <c:v>-0.55823930646206577</c:v>
                </c:pt>
                <c:pt idx="265">
                  <c:v>-0.55676424206865827</c:v>
                </c:pt>
                <c:pt idx="266">
                  <c:v>-0.55618132588580793</c:v>
                </c:pt>
                <c:pt idx="267">
                  <c:v>-0.55352209774600736</c:v>
                </c:pt>
                <c:pt idx="268">
                  <c:v>-0.55193994765066301</c:v>
                </c:pt>
                <c:pt idx="269">
                  <c:v>-0.5497794862266141</c:v>
                </c:pt>
                <c:pt idx="270">
                  <c:v>-0.54820968211508159</c:v>
                </c:pt>
                <c:pt idx="271">
                  <c:v>-0.54472196641726178</c:v>
                </c:pt>
                <c:pt idx="272">
                  <c:v>-0.54464071503210132</c:v>
                </c:pt>
                <c:pt idx="273">
                  <c:v>-0.54350572165752375</c:v>
                </c:pt>
                <c:pt idx="274">
                  <c:v>-0.54043406340710121</c:v>
                </c:pt>
                <c:pt idx="275">
                  <c:v>-0.53938402754791726</c:v>
                </c:pt>
                <c:pt idx="276">
                  <c:v>-0.53909199862296087</c:v>
                </c:pt>
                <c:pt idx="277">
                  <c:v>-0.53569061748210267</c:v>
                </c:pt>
                <c:pt idx="278">
                  <c:v>-0.53450808949621798</c:v>
                </c:pt>
                <c:pt idx="279">
                  <c:v>-0.53389583601687618</c:v>
                </c:pt>
                <c:pt idx="280">
                  <c:v>-0.5324092955971178</c:v>
                </c:pt>
                <c:pt idx="281">
                  <c:v>-0.5324092955971178</c:v>
                </c:pt>
                <c:pt idx="282">
                  <c:v>-0.53132438730619891</c:v>
                </c:pt>
                <c:pt idx="283">
                  <c:v>-0.53018044309335455</c:v>
                </c:pt>
                <c:pt idx="284">
                  <c:v>-0.52702836965423416</c:v>
                </c:pt>
                <c:pt idx="285">
                  <c:v>-0.52702836965423416</c:v>
                </c:pt>
                <c:pt idx="286">
                  <c:v>-0.52175452949208034</c:v>
                </c:pt>
                <c:pt idx="287">
                  <c:v>-0.52063804664624957</c:v>
                </c:pt>
                <c:pt idx="288">
                  <c:v>-0.51958794439050349</c:v>
                </c:pt>
                <c:pt idx="289">
                  <c:v>-0.51829655993853008</c:v>
                </c:pt>
                <c:pt idx="290">
                  <c:v>-0.51816447104398655</c:v>
                </c:pt>
                <c:pt idx="291">
                  <c:v>-0.51701154236866065</c:v>
                </c:pt>
                <c:pt idx="292">
                  <c:v>-0.51109761025656275</c:v>
                </c:pt>
                <c:pt idx="293">
                  <c:v>-0.50623697809956969</c:v>
                </c:pt>
                <c:pt idx="294">
                  <c:v>-0.50572529335666583</c:v>
                </c:pt>
                <c:pt idx="295">
                  <c:v>-0.49994967090393599</c:v>
                </c:pt>
                <c:pt idx="296">
                  <c:v>-0.49834719489807539</c:v>
                </c:pt>
                <c:pt idx="297">
                  <c:v>-0.49798085327262354</c:v>
                </c:pt>
                <c:pt idx="298">
                  <c:v>-0.49219136063928637</c:v>
                </c:pt>
                <c:pt idx="299">
                  <c:v>-0.49053633932496088</c:v>
                </c:pt>
                <c:pt idx="300">
                  <c:v>-0.48883276910169643</c:v>
                </c:pt>
                <c:pt idx="301">
                  <c:v>-0.4875850135465658</c:v>
                </c:pt>
                <c:pt idx="302">
                  <c:v>-0.48340841950347468</c:v>
                </c:pt>
                <c:pt idx="303">
                  <c:v>-0.48032234883708025</c:v>
                </c:pt>
                <c:pt idx="304">
                  <c:v>-0.47921188389806924</c:v>
                </c:pt>
                <c:pt idx="305">
                  <c:v>-0.47660325758475852</c:v>
                </c:pt>
                <c:pt idx="306">
                  <c:v>-0.47197378379157667</c:v>
                </c:pt>
                <c:pt idx="307">
                  <c:v>-0.47025116263556554</c:v>
                </c:pt>
                <c:pt idx="308">
                  <c:v>-0.46927995853431137</c:v>
                </c:pt>
                <c:pt idx="309">
                  <c:v>-0.46787439300033418</c:v>
                </c:pt>
                <c:pt idx="310">
                  <c:v>-0.46288289837089647</c:v>
                </c:pt>
                <c:pt idx="311">
                  <c:v>-0.45995202417581221</c:v>
                </c:pt>
                <c:pt idx="312">
                  <c:v>-0.45839943457497412</c:v>
                </c:pt>
                <c:pt idx="313">
                  <c:v>-0.45804090007051212</c:v>
                </c:pt>
                <c:pt idx="314">
                  <c:v>-0.4520903652564241</c:v>
                </c:pt>
                <c:pt idx="315">
                  <c:v>-0.45066000702636833</c:v>
                </c:pt>
                <c:pt idx="316">
                  <c:v>-0.45033504329251178</c:v>
                </c:pt>
                <c:pt idx="317">
                  <c:v>-0.45014410554540213</c:v>
                </c:pt>
                <c:pt idx="318">
                  <c:v>-0.44871718328939586</c:v>
                </c:pt>
                <c:pt idx="319">
                  <c:v>-0.44583395075498422</c:v>
                </c:pt>
                <c:pt idx="320">
                  <c:v>-0.44204641423900898</c:v>
                </c:pt>
                <c:pt idx="321">
                  <c:v>-0.43587394040241811</c:v>
                </c:pt>
                <c:pt idx="322">
                  <c:v>-0.43575223691370268</c:v>
                </c:pt>
                <c:pt idx="323">
                  <c:v>-0.43435748305552574</c:v>
                </c:pt>
                <c:pt idx="324">
                  <c:v>-0.43334320378721397</c:v>
                </c:pt>
                <c:pt idx="325">
                  <c:v>-0.42898394636400716</c:v>
                </c:pt>
                <c:pt idx="326">
                  <c:v>-0.42719540606744671</c:v>
                </c:pt>
                <c:pt idx="327">
                  <c:v>-0.42616722423058684</c:v>
                </c:pt>
                <c:pt idx="328">
                  <c:v>-0.42441332357583722</c:v>
                </c:pt>
                <c:pt idx="329">
                  <c:v>-0.42402879656485154</c:v>
                </c:pt>
                <c:pt idx="330">
                  <c:v>-0.42059893967069639</c:v>
                </c:pt>
                <c:pt idx="331">
                  <c:v>-0.42059893967069639</c:v>
                </c:pt>
                <c:pt idx="332">
                  <c:v>-0.41752835451989673</c:v>
                </c:pt>
                <c:pt idx="333">
                  <c:v>-0.41445189627331014</c:v>
                </c:pt>
                <c:pt idx="334">
                  <c:v>-0.41339551400891228</c:v>
                </c:pt>
                <c:pt idx="335">
                  <c:v>-0.40901648029205001</c:v>
                </c:pt>
                <c:pt idx="336">
                  <c:v>-0.40424422883795347</c:v>
                </c:pt>
                <c:pt idx="337">
                  <c:v>-0.3980505868486276</c:v>
                </c:pt>
                <c:pt idx="338">
                  <c:v>-0.39722056639299785</c:v>
                </c:pt>
                <c:pt idx="339">
                  <c:v>-0.39639397464255982</c:v>
                </c:pt>
                <c:pt idx="340">
                  <c:v>-0.39602769555174833</c:v>
                </c:pt>
                <c:pt idx="341">
                  <c:v>-0.39447847564269145</c:v>
                </c:pt>
                <c:pt idx="342">
                  <c:v>-0.39174684365923923</c:v>
                </c:pt>
                <c:pt idx="343">
                  <c:v>-0.38881419681514506</c:v>
                </c:pt>
                <c:pt idx="344">
                  <c:v>-0.38621182494965223</c:v>
                </c:pt>
                <c:pt idx="345">
                  <c:v>-0.37539104589399308</c:v>
                </c:pt>
                <c:pt idx="346">
                  <c:v>-0.37505199744900525</c:v>
                </c:pt>
                <c:pt idx="347">
                  <c:v>-0.37505199744900525</c:v>
                </c:pt>
                <c:pt idx="348">
                  <c:v>-0.36451432838456821</c:v>
                </c:pt>
                <c:pt idx="349">
                  <c:v>-0.3632382830234881</c:v>
                </c:pt>
                <c:pt idx="350">
                  <c:v>-0.36314049263576087</c:v>
                </c:pt>
                <c:pt idx="351">
                  <c:v>-0.36247690049946402</c:v>
                </c:pt>
                <c:pt idx="352">
                  <c:v>-0.36197106853225286</c:v>
                </c:pt>
                <c:pt idx="353">
                  <c:v>-0.36197106853225286</c:v>
                </c:pt>
                <c:pt idx="354">
                  <c:v>-0.3607125935555775</c:v>
                </c:pt>
                <c:pt idx="355">
                  <c:v>-0.35576430519224389</c:v>
                </c:pt>
                <c:pt idx="356">
                  <c:v>-0.35401035228836425</c:v>
                </c:pt>
                <c:pt idx="357">
                  <c:v>-0.35293949561559612</c:v>
                </c:pt>
                <c:pt idx="358">
                  <c:v>-0.35187504413957721</c:v>
                </c:pt>
                <c:pt idx="359">
                  <c:v>-0.35002749460803861</c:v>
                </c:pt>
                <c:pt idx="360">
                  <c:v>-0.34976512827234635</c:v>
                </c:pt>
                <c:pt idx="361">
                  <c:v>-0.3469562244575975</c:v>
                </c:pt>
                <c:pt idx="362">
                  <c:v>-0.34690462953409174</c:v>
                </c:pt>
                <c:pt idx="363">
                  <c:v>-0.34678742490745013</c:v>
                </c:pt>
                <c:pt idx="364">
                  <c:v>-0.34485323517331712</c:v>
                </c:pt>
                <c:pt idx="365">
                  <c:v>-0.3435832843878191</c:v>
                </c:pt>
                <c:pt idx="366">
                  <c:v>-0.34310944032093754</c:v>
                </c:pt>
                <c:pt idx="367">
                  <c:v>-0.34197748385593973</c:v>
                </c:pt>
                <c:pt idx="368">
                  <c:v>-0.34132058886275363</c:v>
                </c:pt>
                <c:pt idx="369">
                  <c:v>-0.33993461940661562</c:v>
                </c:pt>
                <c:pt idx="370">
                  <c:v>-0.33973564017336083</c:v>
                </c:pt>
                <c:pt idx="371">
                  <c:v>-0.33973564017336083</c:v>
                </c:pt>
                <c:pt idx="372">
                  <c:v>-0.33915449877467924</c:v>
                </c:pt>
                <c:pt idx="373">
                  <c:v>-0.33812843891900313</c:v>
                </c:pt>
                <c:pt idx="374">
                  <c:v>-0.33344967481803711</c:v>
                </c:pt>
                <c:pt idx="375">
                  <c:v>-0.33327090981710311</c:v>
                </c:pt>
                <c:pt idx="376">
                  <c:v>-0.33255774553779544</c:v>
                </c:pt>
                <c:pt idx="377">
                  <c:v>-0.32834148907249677</c:v>
                </c:pt>
                <c:pt idx="378">
                  <c:v>-0.32764905973369063</c:v>
                </c:pt>
                <c:pt idx="379">
                  <c:v>-0.3250780256958159</c:v>
                </c:pt>
                <c:pt idx="380">
                  <c:v>-0.32221210270454598</c:v>
                </c:pt>
                <c:pt idx="381">
                  <c:v>-0.31977947632583303</c:v>
                </c:pt>
                <c:pt idx="382">
                  <c:v>-0.31857676026052884</c:v>
                </c:pt>
                <c:pt idx="383">
                  <c:v>-0.31662789655471107</c:v>
                </c:pt>
                <c:pt idx="384">
                  <c:v>-0.31604783553021321</c:v>
                </c:pt>
                <c:pt idx="385">
                  <c:v>-0.31446347030195038</c:v>
                </c:pt>
                <c:pt idx="386">
                  <c:v>-0.31303673254383635</c:v>
                </c:pt>
                <c:pt idx="387">
                  <c:v>-0.31045408309940964</c:v>
                </c:pt>
                <c:pt idx="388">
                  <c:v>-0.30860214993052781</c:v>
                </c:pt>
                <c:pt idx="389">
                  <c:v>-0.30840502567636457</c:v>
                </c:pt>
                <c:pt idx="390">
                  <c:v>-0.30840502567636457</c:v>
                </c:pt>
                <c:pt idx="391">
                  <c:v>-0.30518811366555781</c:v>
                </c:pt>
                <c:pt idx="392">
                  <c:v>-0.30349309473856945</c:v>
                </c:pt>
                <c:pt idx="393">
                  <c:v>-0.30339770768729835</c:v>
                </c:pt>
                <c:pt idx="394">
                  <c:v>-0.30247868484863327</c:v>
                </c:pt>
                <c:pt idx="395">
                  <c:v>-0.2996613274861753</c:v>
                </c:pt>
                <c:pt idx="396">
                  <c:v>-0.29873372197604664</c:v>
                </c:pt>
                <c:pt idx="397">
                  <c:v>-0.29707828272777548</c:v>
                </c:pt>
                <c:pt idx="398">
                  <c:v>-0.29538060994275323</c:v>
                </c:pt>
                <c:pt idx="399">
                  <c:v>-0.29538060994275323</c:v>
                </c:pt>
                <c:pt idx="400">
                  <c:v>-0.29127792954187942</c:v>
                </c:pt>
                <c:pt idx="401">
                  <c:v>-0.28918187180367283</c:v>
                </c:pt>
                <c:pt idx="402">
                  <c:v>-0.28130674826816876</c:v>
                </c:pt>
                <c:pt idx="403">
                  <c:v>-0.27806017181148579</c:v>
                </c:pt>
                <c:pt idx="404">
                  <c:v>-0.27752627121307016</c:v>
                </c:pt>
                <c:pt idx="405">
                  <c:v>-0.27457352016239134</c:v>
                </c:pt>
                <c:pt idx="406">
                  <c:v>-0.27384501997025512</c:v>
                </c:pt>
                <c:pt idx="407">
                  <c:v>-0.27239943219978496</c:v>
                </c:pt>
                <c:pt idx="408">
                  <c:v>-0.2721941512016407</c:v>
                </c:pt>
                <c:pt idx="409">
                  <c:v>-0.26737960785088782</c:v>
                </c:pt>
                <c:pt idx="410">
                  <c:v>-0.26420242964206847</c:v>
                </c:pt>
                <c:pt idx="411">
                  <c:v>-0.26384032174490457</c:v>
                </c:pt>
                <c:pt idx="412">
                  <c:v>-0.26326298622420696</c:v>
                </c:pt>
                <c:pt idx="413">
                  <c:v>-0.26326298622420696</c:v>
                </c:pt>
                <c:pt idx="414">
                  <c:v>-0.26192553721232609</c:v>
                </c:pt>
                <c:pt idx="415">
                  <c:v>-0.26113579710084217</c:v>
                </c:pt>
                <c:pt idx="416">
                  <c:v>-0.25836214060609852</c:v>
                </c:pt>
                <c:pt idx="417">
                  <c:v>-0.2583004803520863</c:v>
                </c:pt>
                <c:pt idx="418">
                  <c:v>-0.25744028176533318</c:v>
                </c:pt>
                <c:pt idx="419">
                  <c:v>-0.25722611637422599</c:v>
                </c:pt>
                <c:pt idx="420">
                  <c:v>-0.2563729657391402</c:v>
                </c:pt>
                <c:pt idx="421">
                  <c:v>-0.25594848491207484</c:v>
                </c:pt>
                <c:pt idx="422">
                  <c:v>-0.25590611323777274</c:v>
                </c:pt>
                <c:pt idx="423">
                  <c:v>-0.25489333700825195</c:v>
                </c:pt>
                <c:pt idx="424">
                  <c:v>-0.25435403103789728</c:v>
                </c:pt>
                <c:pt idx="425">
                  <c:v>-0.25204287069362191</c:v>
                </c:pt>
                <c:pt idx="426">
                  <c:v>-0.25064113859782866</c:v>
                </c:pt>
                <c:pt idx="427">
                  <c:v>-0.24994603509951602</c:v>
                </c:pt>
                <c:pt idx="428">
                  <c:v>-0.24942720273343166</c:v>
                </c:pt>
                <c:pt idx="429">
                  <c:v>-0.24919011526357471</c:v>
                </c:pt>
                <c:pt idx="430">
                  <c:v>-0.245835495914172</c:v>
                </c:pt>
                <c:pt idx="431">
                  <c:v>-0.23932078655553848</c:v>
                </c:pt>
                <c:pt idx="432">
                  <c:v>-0.23929428191589422</c:v>
                </c:pt>
                <c:pt idx="433">
                  <c:v>-0.23925718516032143</c:v>
                </c:pt>
                <c:pt idx="434">
                  <c:v>-0.23884458856029211</c:v>
                </c:pt>
                <c:pt idx="435">
                  <c:v>-0.234743589072612</c:v>
                </c:pt>
                <c:pt idx="436">
                  <c:v>-0.23433604051365628</c:v>
                </c:pt>
                <c:pt idx="437">
                  <c:v>-0.23367674614611578</c:v>
                </c:pt>
                <c:pt idx="438">
                  <c:v>-0.23174553369658477</c:v>
                </c:pt>
                <c:pt idx="439">
                  <c:v>-0.23001703533965309</c:v>
                </c:pt>
                <c:pt idx="440">
                  <c:v>-0.22660197846826877</c:v>
                </c:pt>
                <c:pt idx="441">
                  <c:v>-0.22465297101550463</c:v>
                </c:pt>
                <c:pt idx="442">
                  <c:v>-0.2235934340139358</c:v>
                </c:pt>
                <c:pt idx="443">
                  <c:v>-0.22314236008228377</c:v>
                </c:pt>
                <c:pt idx="444">
                  <c:v>-0.22209451917693315</c:v>
                </c:pt>
                <c:pt idx="445">
                  <c:v>-0.21906187627447091</c:v>
                </c:pt>
                <c:pt idx="446">
                  <c:v>-0.21629206799853778</c:v>
                </c:pt>
                <c:pt idx="447">
                  <c:v>-0.21629206799853778</c:v>
                </c:pt>
                <c:pt idx="448">
                  <c:v>-0.21538409088644669</c:v>
                </c:pt>
                <c:pt idx="449">
                  <c:v>-0.21448360227735058</c:v>
                </c:pt>
                <c:pt idx="450">
                  <c:v>-0.21285185065949666</c:v>
                </c:pt>
                <c:pt idx="451">
                  <c:v>-0.21270472303219023</c:v>
                </c:pt>
                <c:pt idx="452">
                  <c:v>-0.21217672034232218</c:v>
                </c:pt>
                <c:pt idx="453">
                  <c:v>-0.20838229651794424</c:v>
                </c:pt>
                <c:pt idx="454">
                  <c:v>-0.20697973093434507</c:v>
                </c:pt>
                <c:pt idx="455">
                  <c:v>-0.20382340861635437</c:v>
                </c:pt>
                <c:pt idx="456">
                  <c:v>-0.20355342465513429</c:v>
                </c:pt>
                <c:pt idx="457">
                  <c:v>-0.20321693438466962</c:v>
                </c:pt>
                <c:pt idx="458">
                  <c:v>-0.20181556679461257</c:v>
                </c:pt>
                <c:pt idx="459">
                  <c:v>-0.20155079645560323</c:v>
                </c:pt>
                <c:pt idx="460">
                  <c:v>-0.19945702726258965</c:v>
                </c:pt>
                <c:pt idx="461">
                  <c:v>-0.19842613586949881</c:v>
                </c:pt>
                <c:pt idx="462">
                  <c:v>-0.19684884086151946</c:v>
                </c:pt>
                <c:pt idx="463">
                  <c:v>-0.19549506004255129</c:v>
                </c:pt>
                <c:pt idx="464">
                  <c:v>-0.19475085568322106</c:v>
                </c:pt>
                <c:pt idx="465">
                  <c:v>-0.19415949839401603</c:v>
                </c:pt>
                <c:pt idx="466">
                  <c:v>-0.19269646515378083</c:v>
                </c:pt>
                <c:pt idx="467">
                  <c:v>-0.19211731402143933</c:v>
                </c:pt>
                <c:pt idx="468">
                  <c:v>-0.18924887117320285</c:v>
                </c:pt>
                <c:pt idx="469">
                  <c:v>-0.18913215406746919</c:v>
                </c:pt>
                <c:pt idx="470">
                  <c:v>-0.18843481703174264</c:v>
                </c:pt>
                <c:pt idx="471">
                  <c:v>-0.18801883945991038</c:v>
                </c:pt>
                <c:pt idx="472">
                  <c:v>-0.18569536794369851</c:v>
                </c:pt>
                <c:pt idx="473">
                  <c:v>-0.18435483833197433</c:v>
                </c:pt>
                <c:pt idx="474">
                  <c:v>-0.18277113417685475</c:v>
                </c:pt>
                <c:pt idx="475">
                  <c:v>-0.18185961153767638</c:v>
                </c:pt>
                <c:pt idx="476">
                  <c:v>-0.18031764063509789</c:v>
                </c:pt>
                <c:pt idx="477">
                  <c:v>-0.18031764063509789</c:v>
                </c:pt>
                <c:pt idx="478">
                  <c:v>-0.18006314318892858</c:v>
                </c:pt>
                <c:pt idx="479">
                  <c:v>-0.17917794043030549</c:v>
                </c:pt>
                <c:pt idx="480">
                  <c:v>-0.17547921822993987</c:v>
                </c:pt>
                <c:pt idx="481">
                  <c:v>-0.17487731828463057</c:v>
                </c:pt>
                <c:pt idx="482">
                  <c:v>-0.1732133958097179</c:v>
                </c:pt>
                <c:pt idx="483">
                  <c:v>-0.17250977851196139</c:v>
                </c:pt>
                <c:pt idx="484">
                  <c:v>-0.17250977851196139</c:v>
                </c:pt>
                <c:pt idx="485">
                  <c:v>-0.17250977851196139</c:v>
                </c:pt>
                <c:pt idx="486">
                  <c:v>-0.16298257483890941</c:v>
                </c:pt>
                <c:pt idx="487">
                  <c:v>-0.1584111914322614</c:v>
                </c:pt>
                <c:pt idx="488">
                  <c:v>-0.15706419038092806</c:v>
                </c:pt>
                <c:pt idx="489">
                  <c:v>-0.15633889637315118</c:v>
                </c:pt>
                <c:pt idx="490">
                  <c:v>-0.15601864930852422</c:v>
                </c:pt>
                <c:pt idx="491">
                  <c:v>-0.15585900807709677</c:v>
                </c:pt>
                <c:pt idx="492">
                  <c:v>-0.15467184049699234</c:v>
                </c:pt>
                <c:pt idx="493">
                  <c:v>-0.15431914284331599</c:v>
                </c:pt>
                <c:pt idx="494">
                  <c:v>-0.15420192737946364</c:v>
                </c:pt>
                <c:pt idx="495">
                  <c:v>-0.15292399295720813</c:v>
                </c:pt>
                <c:pt idx="496">
                  <c:v>-0.15223565743750478</c:v>
                </c:pt>
                <c:pt idx="497">
                  <c:v>-0.15189376391886994</c:v>
                </c:pt>
                <c:pt idx="498">
                  <c:v>-0.14768993916142828</c:v>
                </c:pt>
                <c:pt idx="499">
                  <c:v>-0.14768993916142828</c:v>
                </c:pt>
                <c:pt idx="500">
                  <c:v>-0.14736775686603007</c:v>
                </c:pt>
                <c:pt idx="501">
                  <c:v>-0.14715373304146159</c:v>
                </c:pt>
                <c:pt idx="502">
                  <c:v>-0.14640942427588602</c:v>
                </c:pt>
                <c:pt idx="503">
                  <c:v>-0.1463036964623492</c:v>
                </c:pt>
                <c:pt idx="504">
                  <c:v>-0.14546323103901981</c:v>
                </c:pt>
                <c:pt idx="505">
                  <c:v>-0.1445289479502635</c:v>
                </c:pt>
                <c:pt idx="506">
                  <c:v>-0.14391259872008053</c:v>
                </c:pt>
                <c:pt idx="507">
                  <c:v>-0.14370829195383195</c:v>
                </c:pt>
                <c:pt idx="508">
                  <c:v>-0.14360635153856435</c:v>
                </c:pt>
                <c:pt idx="509">
                  <c:v>-0.14320000277577066</c:v>
                </c:pt>
                <c:pt idx="510">
                  <c:v>-0.1426952238888024</c:v>
                </c:pt>
                <c:pt idx="511">
                  <c:v>-0.14143191741467626</c:v>
                </c:pt>
                <c:pt idx="512">
                  <c:v>-0.1413989683217074</c:v>
                </c:pt>
                <c:pt idx="513">
                  <c:v>-0.14120158906678273</c:v>
                </c:pt>
                <c:pt idx="514">
                  <c:v>-0.14071049388819026</c:v>
                </c:pt>
                <c:pt idx="515">
                  <c:v>-0.13916122762967151</c:v>
                </c:pt>
                <c:pt idx="516">
                  <c:v>-0.13783276805967187</c:v>
                </c:pt>
                <c:pt idx="517">
                  <c:v>-0.13659045037253456</c:v>
                </c:pt>
                <c:pt idx="518">
                  <c:v>-0.13573379038192754</c:v>
                </c:pt>
                <c:pt idx="519">
                  <c:v>-0.12869110988576807</c:v>
                </c:pt>
                <c:pt idx="520">
                  <c:v>-0.12847228973951472</c:v>
                </c:pt>
                <c:pt idx="521">
                  <c:v>-0.1282541956670393</c:v>
                </c:pt>
                <c:pt idx="522">
                  <c:v>-0.12792840806107689</c:v>
                </c:pt>
                <c:pt idx="523">
                  <c:v>-0.12706749680525806</c:v>
                </c:pt>
                <c:pt idx="524">
                  <c:v>-0.12664127343901854</c:v>
                </c:pt>
                <c:pt idx="525">
                  <c:v>-0.12579715342703518</c:v>
                </c:pt>
                <c:pt idx="526">
                  <c:v>-0.1252751386021857</c:v>
                </c:pt>
                <c:pt idx="527">
                  <c:v>-0.12310298911577428</c:v>
                </c:pt>
                <c:pt idx="528">
                  <c:v>-0.11664371811064107</c:v>
                </c:pt>
                <c:pt idx="529">
                  <c:v>-0.11574595003409634</c:v>
                </c:pt>
                <c:pt idx="530">
                  <c:v>-0.11228570019393763</c:v>
                </c:pt>
                <c:pt idx="531">
                  <c:v>-0.11103954271131604</c:v>
                </c:pt>
                <c:pt idx="532">
                  <c:v>-0.10990052901441844</c:v>
                </c:pt>
                <c:pt idx="533">
                  <c:v>-0.10973966775088861</c:v>
                </c:pt>
                <c:pt idx="534">
                  <c:v>-0.1091007812924778</c:v>
                </c:pt>
                <c:pt idx="535">
                  <c:v>-0.10862634894628063</c:v>
                </c:pt>
                <c:pt idx="536">
                  <c:v>-0.10631318404806803</c:v>
                </c:pt>
                <c:pt idx="537">
                  <c:v>-0.1055632901328982</c:v>
                </c:pt>
                <c:pt idx="538">
                  <c:v>-0.10252295676188444</c:v>
                </c:pt>
                <c:pt idx="539">
                  <c:v>-0.102487787827301</c:v>
                </c:pt>
                <c:pt idx="540">
                  <c:v>-0.10021736129528767</c:v>
                </c:pt>
                <c:pt idx="541">
                  <c:v>-0.10018371238632953</c:v>
                </c:pt>
                <c:pt idx="542">
                  <c:v>-9.9515312294332803E-2</c:v>
                </c:pt>
                <c:pt idx="543">
                  <c:v>-9.901966842098904E-2</c:v>
                </c:pt>
                <c:pt idx="544">
                  <c:v>-9.5220655193409234E-2</c:v>
                </c:pt>
                <c:pt idx="545">
                  <c:v>-9.4464538101148354E-2</c:v>
                </c:pt>
                <c:pt idx="546">
                  <c:v>-8.5276937944597828E-2</c:v>
                </c:pt>
                <c:pt idx="547">
                  <c:v>-8.4836001614113032E-2</c:v>
                </c:pt>
                <c:pt idx="548">
                  <c:v>-7.9480297480833462E-2</c:v>
                </c:pt>
                <c:pt idx="549">
                  <c:v>-7.5726334470492984E-2</c:v>
                </c:pt>
                <c:pt idx="550">
                  <c:v>-7.5492078100830376E-2</c:v>
                </c:pt>
                <c:pt idx="551">
                  <c:v>-7.4797601257238458E-2</c:v>
                </c:pt>
                <c:pt idx="552">
                  <c:v>-7.2677304708815671E-2</c:v>
                </c:pt>
                <c:pt idx="553">
                  <c:v>-7.2514825595226221E-2</c:v>
                </c:pt>
                <c:pt idx="554">
                  <c:v>-7.2245572286055104E-2</c:v>
                </c:pt>
                <c:pt idx="555">
                  <c:v>-7.181873895709015E-2</c:v>
                </c:pt>
                <c:pt idx="556">
                  <c:v>-7.1765725108289324E-2</c:v>
                </c:pt>
                <c:pt idx="557">
                  <c:v>-7.1554419025808766E-2</c:v>
                </c:pt>
                <c:pt idx="558">
                  <c:v>-7.1501779039608318E-2</c:v>
                </c:pt>
                <c:pt idx="559">
                  <c:v>-7.1449213351235413E-2</c:v>
                </c:pt>
                <c:pt idx="560">
                  <c:v>-7.1083320723642693E-2</c:v>
                </c:pt>
                <c:pt idx="561">
                  <c:v>-6.9207562017496421E-2</c:v>
                </c:pt>
                <c:pt idx="562">
                  <c:v>-6.9059628900405498E-2</c:v>
                </c:pt>
                <c:pt idx="563">
                  <c:v>-6.8328965334332706E-2</c:v>
                </c:pt>
                <c:pt idx="564">
                  <c:v>-6.7283741622653229E-2</c:v>
                </c:pt>
                <c:pt idx="565">
                  <c:v>-6.6634404630694949E-2</c:v>
                </c:pt>
                <c:pt idx="566">
                  <c:v>-6.5906846682363601E-2</c:v>
                </c:pt>
                <c:pt idx="567">
                  <c:v>-6.4024827869537962E-2</c:v>
                </c:pt>
                <c:pt idx="568">
                  <c:v>-6.1367377963079964E-2</c:v>
                </c:pt>
                <c:pt idx="569">
                  <c:v>-5.3751855140006195E-2</c:v>
                </c:pt>
                <c:pt idx="570">
                  <c:v>-4.9411423549402554E-2</c:v>
                </c:pt>
                <c:pt idx="571">
                  <c:v>-4.7993283542544507E-2</c:v>
                </c:pt>
                <c:pt idx="572">
                  <c:v>-4.1350622483682001E-2</c:v>
                </c:pt>
                <c:pt idx="573">
                  <c:v>-4.1239089391024213E-2</c:v>
                </c:pt>
                <c:pt idx="574">
                  <c:v>-4.116504523664169E-2</c:v>
                </c:pt>
                <c:pt idx="575">
                  <c:v>-4.1017698296255033E-2</c:v>
                </c:pt>
                <c:pt idx="576">
                  <c:v>-4.0981015111563504E-2</c:v>
                </c:pt>
                <c:pt idx="577">
                  <c:v>-4.0981015111563504E-2</c:v>
                </c:pt>
                <c:pt idx="578">
                  <c:v>-4.0295474579857812E-2</c:v>
                </c:pt>
                <c:pt idx="579">
                  <c:v>-4.0153865562074474E-2</c:v>
                </c:pt>
                <c:pt idx="580">
                  <c:v>-3.9978152132388117E-2</c:v>
                </c:pt>
                <c:pt idx="581">
                  <c:v>-3.722649191207298E-2</c:v>
                </c:pt>
                <c:pt idx="582">
                  <c:v>-3.6239553283394114E-2</c:v>
                </c:pt>
                <c:pt idx="583">
                  <c:v>-3.5411394077353012E-2</c:v>
                </c:pt>
                <c:pt idx="584">
                  <c:v>-3.5161443577004757E-2</c:v>
                </c:pt>
                <c:pt idx="585">
                  <c:v>-3.4671180083454746E-2</c:v>
                </c:pt>
                <c:pt idx="586">
                  <c:v>-3.4644312470232641E-2</c:v>
                </c:pt>
                <c:pt idx="587">
                  <c:v>-3.4537224338481526E-2</c:v>
                </c:pt>
                <c:pt idx="588">
                  <c:v>-3.4193358950132043E-2</c:v>
                </c:pt>
                <c:pt idx="589">
                  <c:v>-3.290310099551505E-2</c:v>
                </c:pt>
                <c:pt idx="590">
                  <c:v>-3.2636464261861745E-2</c:v>
                </c:pt>
                <c:pt idx="591">
                  <c:v>-3.2612420897960494E-2</c:v>
                </c:pt>
                <c:pt idx="592">
                  <c:v>-3.2445021904622576E-2</c:v>
                </c:pt>
                <c:pt idx="593">
                  <c:v>-3.2114903291322265E-2</c:v>
                </c:pt>
                <c:pt idx="594">
                  <c:v>-3.1094263091836345E-2</c:v>
                </c:pt>
                <c:pt idx="595">
                  <c:v>-3.098451094337823E-2</c:v>
                </c:pt>
                <c:pt idx="596">
                  <c:v>-2.9260653988197046E-2</c:v>
                </c:pt>
                <c:pt idx="597">
                  <c:v>-2.918198504611955E-2</c:v>
                </c:pt>
                <c:pt idx="598">
                  <c:v>-2.8211589338694255E-2</c:v>
                </c:pt>
                <c:pt idx="599">
                  <c:v>-2.6420051637069744E-2</c:v>
                </c:pt>
                <c:pt idx="600">
                  <c:v>-2.5285194633731252E-2</c:v>
                </c:pt>
                <c:pt idx="601">
                  <c:v>2.9837766449102646E-3</c:v>
                </c:pt>
                <c:pt idx="602">
                  <c:v>2.9837766449102646E-3</c:v>
                </c:pt>
                <c:pt idx="603">
                  <c:v>2.9837766449102646E-3</c:v>
                </c:pt>
                <c:pt idx="604">
                  <c:v>2.9837766449102646E-3</c:v>
                </c:pt>
                <c:pt idx="605">
                  <c:v>2.9837766449102646E-3</c:v>
                </c:pt>
                <c:pt idx="606">
                  <c:v>2.9837766449102646E-3</c:v>
                </c:pt>
                <c:pt idx="607">
                  <c:v>2.9837766449102646E-3</c:v>
                </c:pt>
                <c:pt idx="608">
                  <c:v>2.9837766449102646E-3</c:v>
                </c:pt>
                <c:pt idx="609">
                  <c:v>2.9837766449102646E-3</c:v>
                </c:pt>
                <c:pt idx="610">
                  <c:v>2.9837766449102646E-3</c:v>
                </c:pt>
                <c:pt idx="611">
                  <c:v>2.9837766449102646E-3</c:v>
                </c:pt>
                <c:pt idx="612">
                  <c:v>2.9837766449102646E-3</c:v>
                </c:pt>
                <c:pt idx="613">
                  <c:v>2.9837766449102646E-3</c:v>
                </c:pt>
                <c:pt idx="614">
                  <c:v>2.9837766449102646E-3</c:v>
                </c:pt>
                <c:pt idx="615">
                  <c:v>2.9837766449102646E-3</c:v>
                </c:pt>
                <c:pt idx="616">
                  <c:v>2.9837766449102646E-3</c:v>
                </c:pt>
                <c:pt idx="617">
                  <c:v>2.9837766449102646E-3</c:v>
                </c:pt>
                <c:pt idx="618">
                  <c:v>2.9837766449102646E-3</c:v>
                </c:pt>
                <c:pt idx="619">
                  <c:v>2.9837766449102646E-3</c:v>
                </c:pt>
                <c:pt idx="620">
                  <c:v>2.9837766449102646E-3</c:v>
                </c:pt>
                <c:pt idx="621">
                  <c:v>2.9837766449102646E-3</c:v>
                </c:pt>
                <c:pt idx="622">
                  <c:v>2.9837766449102646E-3</c:v>
                </c:pt>
                <c:pt idx="623">
                  <c:v>2.9837766449102646E-3</c:v>
                </c:pt>
                <c:pt idx="624">
                  <c:v>2.9837766449102646E-3</c:v>
                </c:pt>
                <c:pt idx="625">
                  <c:v>2.9837766449102646E-3</c:v>
                </c:pt>
                <c:pt idx="626">
                  <c:v>2.9837766449102646E-3</c:v>
                </c:pt>
                <c:pt idx="627">
                  <c:v>2.9837766449102646E-3</c:v>
                </c:pt>
                <c:pt idx="628">
                  <c:v>2.9837766449102646E-3</c:v>
                </c:pt>
                <c:pt idx="629">
                  <c:v>2.9837766449102646E-3</c:v>
                </c:pt>
                <c:pt idx="630">
                  <c:v>2.9837766449102646E-3</c:v>
                </c:pt>
                <c:pt idx="631">
                  <c:v>2.9837766449102646E-3</c:v>
                </c:pt>
                <c:pt idx="632">
                  <c:v>2.9837766449102646E-3</c:v>
                </c:pt>
                <c:pt idx="633">
                  <c:v>2.9837766449102646E-3</c:v>
                </c:pt>
                <c:pt idx="634">
                  <c:v>2.9837766449102646E-3</c:v>
                </c:pt>
                <c:pt idx="635">
                  <c:v>2.9837766449102646E-3</c:v>
                </c:pt>
                <c:pt idx="636">
                  <c:v>2.9837766449102646E-3</c:v>
                </c:pt>
                <c:pt idx="637">
                  <c:v>2.9837766449102646E-3</c:v>
                </c:pt>
                <c:pt idx="638">
                  <c:v>2.9837766449102646E-3</c:v>
                </c:pt>
                <c:pt idx="639">
                  <c:v>2.9837766449102646E-3</c:v>
                </c:pt>
                <c:pt idx="640">
                  <c:v>2.9837766449102646E-3</c:v>
                </c:pt>
                <c:pt idx="641">
                  <c:v>2.9837766449102646E-3</c:v>
                </c:pt>
                <c:pt idx="642">
                  <c:v>2.9837766449102646E-3</c:v>
                </c:pt>
                <c:pt idx="643">
                  <c:v>2.9837766449102646E-3</c:v>
                </c:pt>
                <c:pt idx="644">
                  <c:v>2.9837766449102646E-3</c:v>
                </c:pt>
                <c:pt idx="645">
                  <c:v>2.9837766449102646E-3</c:v>
                </c:pt>
                <c:pt idx="646">
                  <c:v>2.9837766449102646E-3</c:v>
                </c:pt>
                <c:pt idx="647">
                  <c:v>2.9837766449102646E-3</c:v>
                </c:pt>
                <c:pt idx="648">
                  <c:v>2.9837766449102646E-3</c:v>
                </c:pt>
                <c:pt idx="649">
                  <c:v>2.9837766449102646E-3</c:v>
                </c:pt>
                <c:pt idx="650">
                  <c:v>3.1359222396765286E-2</c:v>
                </c:pt>
                <c:pt idx="651">
                  <c:v>3.5149538335939465E-2</c:v>
                </c:pt>
                <c:pt idx="652">
                  <c:v>3.7873466741551315E-2</c:v>
                </c:pt>
                <c:pt idx="653">
                  <c:v>3.8341313777334775E-2</c:v>
                </c:pt>
                <c:pt idx="654">
                  <c:v>3.9290672851805972E-2</c:v>
                </c:pt>
                <c:pt idx="655">
                  <c:v>3.9491749482327539E-2</c:v>
                </c:pt>
                <c:pt idx="656">
                  <c:v>3.9567728620234888E-2</c:v>
                </c:pt>
                <c:pt idx="657">
                  <c:v>3.9746249139238875E-2</c:v>
                </c:pt>
                <c:pt idx="658">
                  <c:v>4.0056371955494531E-2</c:v>
                </c:pt>
                <c:pt idx="659">
                  <c:v>4.0936829493909942E-2</c:v>
                </c:pt>
                <c:pt idx="660">
                  <c:v>4.1128996866825175E-2</c:v>
                </c:pt>
                <c:pt idx="661">
                  <c:v>4.1156608320715493E-2</c:v>
                </c:pt>
                <c:pt idx="662">
                  <c:v>4.1406921993124998E-2</c:v>
                </c:pt>
                <c:pt idx="663">
                  <c:v>4.2236301462346131E-2</c:v>
                </c:pt>
                <c:pt idx="664">
                  <c:v>4.2353516926200173E-2</c:v>
                </c:pt>
                <c:pt idx="665">
                  <c:v>4.3565359761406602E-2</c:v>
                </c:pt>
                <c:pt idx="666">
                  <c:v>4.5840962796819769E-2</c:v>
                </c:pt>
                <c:pt idx="667">
                  <c:v>4.5945705422205892E-2</c:v>
                </c:pt>
                <c:pt idx="668">
                  <c:v>4.6227538524801735E-2</c:v>
                </c:pt>
                <c:pt idx="669">
                  <c:v>4.6948568401381681E-2</c:v>
                </c:pt>
                <c:pt idx="670">
                  <c:v>4.9426549049934758E-2</c:v>
                </c:pt>
                <c:pt idx="671">
                  <c:v>5.0514888161378807E-2</c:v>
                </c:pt>
                <c:pt idx="672">
                  <c:v>5.0643756985529483E-2</c:v>
                </c:pt>
                <c:pt idx="673">
                  <c:v>5.1166296814891578E-2</c:v>
                </c:pt>
                <c:pt idx="674">
                  <c:v>5.3911607408793007E-2</c:v>
                </c:pt>
                <c:pt idx="675">
                  <c:v>5.4458416805455413E-2</c:v>
                </c:pt>
                <c:pt idx="676">
                  <c:v>5.4559100714223104E-2</c:v>
                </c:pt>
                <c:pt idx="677">
                  <c:v>6.1742294876963817E-2</c:v>
                </c:pt>
                <c:pt idx="678">
                  <c:v>6.6712805134737166E-2</c:v>
                </c:pt>
                <c:pt idx="679">
                  <c:v>7.3204512263318297E-2</c:v>
                </c:pt>
                <c:pt idx="680">
                  <c:v>7.3251294912478698E-2</c:v>
                </c:pt>
                <c:pt idx="681">
                  <c:v>7.4200215094558486E-2</c:v>
                </c:pt>
                <c:pt idx="682">
                  <c:v>7.5027182190227484E-2</c:v>
                </c:pt>
                <c:pt idx="683">
                  <c:v>7.5522666565637248E-2</c:v>
                </c:pt>
                <c:pt idx="684">
                  <c:v>7.7469332329424684E-2</c:v>
                </c:pt>
                <c:pt idx="685">
                  <c:v>7.8266822488413171E-2</c:v>
                </c:pt>
                <c:pt idx="686">
                  <c:v>7.8320596110880408E-2</c:v>
                </c:pt>
                <c:pt idx="687">
                  <c:v>8.0937618862355065E-2</c:v>
                </c:pt>
                <c:pt idx="688">
                  <c:v>8.1635192651963451E-2</c:v>
                </c:pt>
                <c:pt idx="689">
                  <c:v>8.2345363717975767E-2</c:v>
                </c:pt>
                <c:pt idx="690">
                  <c:v>8.2705280349413879E-2</c:v>
                </c:pt>
                <c:pt idx="691">
                  <c:v>8.2825979114191775E-2</c:v>
                </c:pt>
                <c:pt idx="692">
                  <c:v>8.5383425686521366E-2</c:v>
                </c:pt>
                <c:pt idx="693">
                  <c:v>8.7972940338029271E-2</c:v>
                </c:pt>
                <c:pt idx="694">
                  <c:v>8.9153345910981133E-2</c:v>
                </c:pt>
                <c:pt idx="695">
                  <c:v>8.9223803480617772E-2</c:v>
                </c:pt>
                <c:pt idx="696">
                  <c:v>8.9577826738050245E-2</c:v>
                </c:pt>
                <c:pt idx="697">
                  <c:v>9.0078370607091243E-2</c:v>
                </c:pt>
                <c:pt idx="698">
                  <c:v>9.0876738086347178E-2</c:v>
                </c:pt>
                <c:pt idx="699">
                  <c:v>9.1170694615906447E-2</c:v>
                </c:pt>
                <c:pt idx="700">
                  <c:v>9.1244491234420744E-2</c:v>
                </c:pt>
                <c:pt idx="701">
                  <c:v>9.5421599887620223E-2</c:v>
                </c:pt>
                <c:pt idx="702">
                  <c:v>0.10834997484870644</c:v>
                </c:pt>
                <c:pt idx="703">
                  <c:v>0.10842019562069619</c:v>
                </c:pt>
                <c:pt idx="704">
                  <c:v>0.10919884710777412</c:v>
                </c:pt>
                <c:pt idx="705">
                  <c:v>0.10962843312481273</c:v>
                </c:pt>
                <c:pt idx="706">
                  <c:v>0.10977240170977717</c:v>
                </c:pt>
                <c:pt idx="707">
                  <c:v>0.11020664921295954</c:v>
                </c:pt>
                <c:pt idx="708">
                  <c:v>0.11130787770580222</c:v>
                </c:pt>
                <c:pt idx="709">
                  <c:v>0.11197953984945495</c:v>
                </c:pt>
                <c:pt idx="710">
                  <c:v>0.11220528201248027</c:v>
                </c:pt>
                <c:pt idx="711">
                  <c:v>0.11296455614711333</c:v>
                </c:pt>
                <c:pt idx="712">
                  <c:v>0.11396753838784947</c:v>
                </c:pt>
                <c:pt idx="713">
                  <c:v>0.11451522038286133</c:v>
                </c:pt>
                <c:pt idx="714">
                  <c:v>0.11741947722602038</c:v>
                </c:pt>
                <c:pt idx="715">
                  <c:v>0.11816932951687306</c:v>
                </c:pt>
                <c:pt idx="716">
                  <c:v>0.12030476976568617</c:v>
                </c:pt>
                <c:pt idx="717">
                  <c:v>0.12171350332391989</c:v>
                </c:pt>
                <c:pt idx="718">
                  <c:v>0.12171350332391989</c:v>
                </c:pt>
                <c:pt idx="719">
                  <c:v>0.12207098869067816</c:v>
                </c:pt>
                <c:pt idx="720">
                  <c:v>0.12270179549994456</c:v>
                </c:pt>
                <c:pt idx="721">
                  <c:v>0.12398367215523681</c:v>
                </c:pt>
                <c:pt idx="722">
                  <c:v>0.1244481635267948</c:v>
                </c:pt>
                <c:pt idx="723">
                  <c:v>0.12929704579399867</c:v>
                </c:pt>
                <c:pt idx="724">
                  <c:v>0.13465866317558814</c:v>
                </c:pt>
                <c:pt idx="725">
                  <c:v>0.13609894532353506</c:v>
                </c:pt>
                <c:pt idx="726">
                  <c:v>0.14013798830468707</c:v>
                </c:pt>
                <c:pt idx="727">
                  <c:v>0.14013798830468707</c:v>
                </c:pt>
                <c:pt idx="728">
                  <c:v>0.14025699426258337</c:v>
                </c:pt>
                <c:pt idx="729">
                  <c:v>0.14532060976799552</c:v>
                </c:pt>
                <c:pt idx="730">
                  <c:v>0.14570582494158815</c:v>
                </c:pt>
                <c:pt idx="731">
                  <c:v>0.14756444200318994</c:v>
                </c:pt>
                <c:pt idx="732">
                  <c:v>0.14866277717862328</c:v>
                </c:pt>
                <c:pt idx="733">
                  <c:v>0.14866277717862328</c:v>
                </c:pt>
                <c:pt idx="734">
                  <c:v>0.14866277717862328</c:v>
                </c:pt>
                <c:pt idx="735">
                  <c:v>0.14866277717862328</c:v>
                </c:pt>
                <c:pt idx="736">
                  <c:v>0.14876345387939047</c:v>
                </c:pt>
                <c:pt idx="737">
                  <c:v>0.15153532461330316</c:v>
                </c:pt>
                <c:pt idx="738">
                  <c:v>0.15237697756570745</c:v>
                </c:pt>
                <c:pt idx="739">
                  <c:v>0.15248285524178265</c:v>
                </c:pt>
                <c:pt idx="740">
                  <c:v>0.15333531015585064</c:v>
                </c:pt>
                <c:pt idx="741">
                  <c:v>0.15365749245124691</c:v>
                </c:pt>
                <c:pt idx="742">
                  <c:v>0.15633010353115243</c:v>
                </c:pt>
                <c:pt idx="743">
                  <c:v>0.15662049028524566</c:v>
                </c:pt>
                <c:pt idx="744">
                  <c:v>0.15706939293513342</c:v>
                </c:pt>
                <c:pt idx="745">
                  <c:v>0.15770984751394648</c:v>
                </c:pt>
                <c:pt idx="746">
                  <c:v>0.15774768715516158</c:v>
                </c:pt>
                <c:pt idx="747">
                  <c:v>0.15786131720869004</c:v>
                </c:pt>
                <c:pt idx="748">
                  <c:v>0.15786131720869004</c:v>
                </c:pt>
                <c:pt idx="749">
                  <c:v>0.16303174367075196</c:v>
                </c:pt>
                <c:pt idx="750">
                  <c:v>0.16450232452324234</c:v>
                </c:pt>
                <c:pt idx="751">
                  <c:v>0.165698390946318</c:v>
                </c:pt>
                <c:pt idx="752">
                  <c:v>0.16600018051020959</c:v>
                </c:pt>
                <c:pt idx="753">
                  <c:v>0.17490166209451027</c:v>
                </c:pt>
                <c:pt idx="754">
                  <c:v>0.17574646893581905</c:v>
                </c:pt>
                <c:pt idx="755">
                  <c:v>0.17688587869263758</c:v>
                </c:pt>
                <c:pt idx="756">
                  <c:v>0.17760567347401893</c:v>
                </c:pt>
                <c:pt idx="757">
                  <c:v>0.17766351455255489</c:v>
                </c:pt>
                <c:pt idx="758">
                  <c:v>0.17847733180178479</c:v>
                </c:pt>
                <c:pt idx="759">
                  <c:v>0.17894578393488605</c:v>
                </c:pt>
                <c:pt idx="760">
                  <c:v>0.17918094909954063</c:v>
                </c:pt>
                <c:pt idx="761">
                  <c:v>0.18315397122301391</c:v>
                </c:pt>
                <c:pt idx="762">
                  <c:v>0.18340052687925337</c:v>
                </c:pt>
                <c:pt idx="763">
                  <c:v>0.18364775826383928</c:v>
                </c:pt>
                <c:pt idx="764">
                  <c:v>0.18364775826383928</c:v>
                </c:pt>
                <c:pt idx="765">
                  <c:v>0.18641270821136044</c:v>
                </c:pt>
                <c:pt idx="766">
                  <c:v>0.18926360529518221</c:v>
                </c:pt>
                <c:pt idx="767">
                  <c:v>0.18965924469468273</c:v>
                </c:pt>
                <c:pt idx="768">
                  <c:v>0.19211403790674531</c:v>
                </c:pt>
                <c:pt idx="769">
                  <c:v>0.19247648738402379</c:v>
                </c:pt>
                <c:pt idx="770">
                  <c:v>0.1937100773315826</c:v>
                </c:pt>
                <c:pt idx="771">
                  <c:v>0.19552055370351631</c:v>
                </c:pt>
                <c:pt idx="772">
                  <c:v>0.19758091500940894</c:v>
                </c:pt>
                <c:pt idx="773">
                  <c:v>0.19765274874149177</c:v>
                </c:pt>
                <c:pt idx="774">
                  <c:v>0.19794061478983274</c:v>
                </c:pt>
                <c:pt idx="775">
                  <c:v>0.20012705168383943</c:v>
                </c:pt>
                <c:pt idx="776">
                  <c:v>0.20027455915465145</c:v>
                </c:pt>
                <c:pt idx="777">
                  <c:v>0.20086680304146404</c:v>
                </c:pt>
                <c:pt idx="778">
                  <c:v>0.20311974610097627</c:v>
                </c:pt>
                <c:pt idx="779">
                  <c:v>0.20667566625795222</c:v>
                </c:pt>
                <c:pt idx="780">
                  <c:v>0.21128858200634257</c:v>
                </c:pt>
                <c:pt idx="781">
                  <c:v>0.21283588267920311</c:v>
                </c:pt>
                <c:pt idx="782">
                  <c:v>0.21449113766848191</c:v>
                </c:pt>
                <c:pt idx="783">
                  <c:v>0.21709598574144795</c:v>
                </c:pt>
                <c:pt idx="784">
                  <c:v>0.2186722763220055</c:v>
                </c:pt>
                <c:pt idx="785">
                  <c:v>0.21911426218853433</c:v>
                </c:pt>
                <c:pt idx="786">
                  <c:v>0.22135164417626718</c:v>
                </c:pt>
                <c:pt idx="787">
                  <c:v>0.22286914590024204</c:v>
                </c:pt>
                <c:pt idx="788">
                  <c:v>0.22302205689263543</c:v>
                </c:pt>
                <c:pt idx="789">
                  <c:v>0.2237898130756433</c:v>
                </c:pt>
                <c:pt idx="790">
                  <c:v>0.22521657352539251</c:v>
                </c:pt>
                <c:pt idx="791">
                  <c:v>0.22691517323642293</c:v>
                </c:pt>
                <c:pt idx="792">
                  <c:v>0.22707376535417301</c:v>
                </c:pt>
                <c:pt idx="793">
                  <c:v>0.22915609469139589</c:v>
                </c:pt>
                <c:pt idx="794">
                  <c:v>0.230130278535851</c:v>
                </c:pt>
                <c:pt idx="795">
                  <c:v>0.230130278535851</c:v>
                </c:pt>
                <c:pt idx="796">
                  <c:v>0.230130278535851</c:v>
                </c:pt>
                <c:pt idx="797">
                  <c:v>0.23127748666502249</c:v>
                </c:pt>
                <c:pt idx="798">
                  <c:v>0.23449895098631185</c:v>
                </c:pt>
                <c:pt idx="799">
                  <c:v>0.23788734837191208</c:v>
                </c:pt>
                <c:pt idx="800">
                  <c:v>0.23788734837191208</c:v>
                </c:pt>
                <c:pt idx="801">
                  <c:v>0.23954319452654749</c:v>
                </c:pt>
                <c:pt idx="802">
                  <c:v>0.24030359380347624</c:v>
                </c:pt>
                <c:pt idx="803">
                  <c:v>0.2405326677603595</c:v>
                </c:pt>
                <c:pt idx="804">
                  <c:v>0.24251075008410078</c:v>
                </c:pt>
                <c:pt idx="805">
                  <c:v>0.24433781191827017</c:v>
                </c:pt>
                <c:pt idx="806">
                  <c:v>0.24638004559069945</c:v>
                </c:pt>
                <c:pt idx="807">
                  <c:v>0.25081931341756863</c:v>
                </c:pt>
                <c:pt idx="808">
                  <c:v>0.25134733456440561</c:v>
                </c:pt>
                <c:pt idx="809">
                  <c:v>0.2515424362746384</c:v>
                </c:pt>
                <c:pt idx="810">
                  <c:v>0.25419238545247524</c:v>
                </c:pt>
                <c:pt idx="811">
                  <c:v>0.25550986807149023</c:v>
                </c:pt>
                <c:pt idx="812">
                  <c:v>0.25695767832724858</c:v>
                </c:pt>
                <c:pt idx="813">
                  <c:v>0.25871711645451256</c:v>
                </c:pt>
                <c:pt idx="814">
                  <c:v>0.25978452938696817</c:v>
                </c:pt>
                <c:pt idx="815">
                  <c:v>0.26176477444384871</c:v>
                </c:pt>
                <c:pt idx="816">
                  <c:v>0.26789309050215138</c:v>
                </c:pt>
                <c:pt idx="817">
                  <c:v>0.27045230261827047</c:v>
                </c:pt>
                <c:pt idx="818">
                  <c:v>0.27116477784531334</c:v>
                </c:pt>
                <c:pt idx="819">
                  <c:v>0.27155500288660467</c:v>
                </c:pt>
                <c:pt idx="820">
                  <c:v>0.27569680667002716</c:v>
                </c:pt>
                <c:pt idx="821">
                  <c:v>0.27622669186900478</c:v>
                </c:pt>
                <c:pt idx="822">
                  <c:v>0.27890730817911696</c:v>
                </c:pt>
                <c:pt idx="823">
                  <c:v>0.28106378264592624</c:v>
                </c:pt>
                <c:pt idx="824">
                  <c:v>0.2844563111201226</c:v>
                </c:pt>
                <c:pt idx="825">
                  <c:v>0.28710411784015011</c:v>
                </c:pt>
                <c:pt idx="826">
                  <c:v>0.28727430155798667</c:v>
                </c:pt>
                <c:pt idx="827">
                  <c:v>0.28765796134837218</c:v>
                </c:pt>
                <c:pt idx="828">
                  <c:v>0.28881517913578036</c:v>
                </c:pt>
                <c:pt idx="829">
                  <c:v>0.28978673865012894</c:v>
                </c:pt>
                <c:pt idx="830">
                  <c:v>0.29056875468721444</c:v>
                </c:pt>
                <c:pt idx="831">
                  <c:v>0.29076492549546451</c:v>
                </c:pt>
                <c:pt idx="832">
                  <c:v>0.29174980771487624</c:v>
                </c:pt>
                <c:pt idx="833">
                  <c:v>0.29555464998415004</c:v>
                </c:pt>
                <c:pt idx="834">
                  <c:v>0.29575768424906662</c:v>
                </c:pt>
                <c:pt idx="835">
                  <c:v>0.29596100050817503</c:v>
                </c:pt>
                <c:pt idx="836">
                  <c:v>0.29650456031366484</c:v>
                </c:pt>
                <c:pt idx="837">
                  <c:v>0.29883736975442643</c:v>
                </c:pt>
                <c:pt idx="838">
                  <c:v>0.30134816323257463</c:v>
                </c:pt>
                <c:pt idx="839">
                  <c:v>0.30177077793758478</c:v>
                </c:pt>
                <c:pt idx="840">
                  <c:v>0.3020128100167947</c:v>
                </c:pt>
                <c:pt idx="841">
                  <c:v>0.30347327715994749</c:v>
                </c:pt>
                <c:pt idx="842">
                  <c:v>0.30396327492679215</c:v>
                </c:pt>
                <c:pt idx="843">
                  <c:v>0.30519528942666724</c:v>
                </c:pt>
                <c:pt idx="844">
                  <c:v>0.31008388870316955</c:v>
                </c:pt>
                <c:pt idx="845">
                  <c:v>0.31228533577473305</c:v>
                </c:pt>
                <c:pt idx="846">
                  <c:v>0.31479999719040463</c:v>
                </c:pt>
                <c:pt idx="847">
                  <c:v>0.31670132678866514</c:v>
                </c:pt>
                <c:pt idx="848">
                  <c:v>0.31924118418651865</c:v>
                </c:pt>
                <c:pt idx="849">
                  <c:v>0.32019234001137764</c:v>
                </c:pt>
                <c:pt idx="850">
                  <c:v>0.32235350160259957</c:v>
                </c:pt>
                <c:pt idx="851">
                  <c:v>0.32298333046757161</c:v>
                </c:pt>
                <c:pt idx="852">
                  <c:v>0.32465328085992307</c:v>
                </c:pt>
                <c:pt idx="853">
                  <c:v>0.32493694179600024</c:v>
                </c:pt>
                <c:pt idx="854">
                  <c:v>0.32651708991791845</c:v>
                </c:pt>
                <c:pt idx="855">
                  <c:v>0.32684824175611488</c:v>
                </c:pt>
                <c:pt idx="856">
                  <c:v>0.32751258330924982</c:v>
                </c:pt>
                <c:pt idx="857">
                  <c:v>0.32817965599436349</c:v>
                </c:pt>
                <c:pt idx="858">
                  <c:v>0.32851422177987566</c:v>
                </c:pt>
                <c:pt idx="859">
                  <c:v>0.3286578179483155</c:v>
                </c:pt>
                <c:pt idx="860">
                  <c:v>0.33717858744633677</c:v>
                </c:pt>
                <c:pt idx="861">
                  <c:v>0.3374290666421989</c:v>
                </c:pt>
                <c:pt idx="862">
                  <c:v>0.33852529882761562</c:v>
                </c:pt>
                <c:pt idx="863">
                  <c:v>0.33900040508036139</c:v>
                </c:pt>
                <c:pt idx="864">
                  <c:v>0.33995466539067459</c:v>
                </c:pt>
                <c:pt idx="865">
                  <c:v>0.34431677835544777</c:v>
                </c:pt>
                <c:pt idx="866">
                  <c:v>0.34482737729387153</c:v>
                </c:pt>
                <c:pt idx="867">
                  <c:v>0.35599504789785769</c:v>
                </c:pt>
                <c:pt idx="868">
                  <c:v>0.35960907253935132</c:v>
                </c:pt>
                <c:pt idx="869">
                  <c:v>0.36051575395739943</c:v>
                </c:pt>
                <c:pt idx="870">
                  <c:v>0.36543032128377528</c:v>
                </c:pt>
                <c:pt idx="871">
                  <c:v>0.36681954862958854</c:v>
                </c:pt>
                <c:pt idx="872">
                  <c:v>0.36793862182207138</c:v>
                </c:pt>
                <c:pt idx="873">
                  <c:v>0.36895168988709637</c:v>
                </c:pt>
                <c:pt idx="874">
                  <c:v>0.36952401616306696</c:v>
                </c:pt>
                <c:pt idx="875">
                  <c:v>0.37084810099069049</c:v>
                </c:pt>
                <c:pt idx="876">
                  <c:v>0.3758958643720508</c:v>
                </c:pt>
                <c:pt idx="877">
                  <c:v>0.37600577159189819</c:v>
                </c:pt>
                <c:pt idx="878">
                  <c:v>0.37886394712277721</c:v>
                </c:pt>
                <c:pt idx="879">
                  <c:v>0.37966941147282918</c:v>
                </c:pt>
                <c:pt idx="880">
                  <c:v>0.38074874915692858</c:v>
                </c:pt>
                <c:pt idx="881">
                  <c:v>0.38198987677651336</c:v>
                </c:pt>
                <c:pt idx="882">
                  <c:v>0.38353771256548952</c:v>
                </c:pt>
                <c:pt idx="883">
                  <c:v>0.38528257686438483</c:v>
                </c:pt>
                <c:pt idx="884">
                  <c:v>0.38575907062401532</c:v>
                </c:pt>
                <c:pt idx="885">
                  <c:v>0.38675088921376283</c:v>
                </c:pt>
                <c:pt idx="886">
                  <c:v>0.38728054929269862</c:v>
                </c:pt>
                <c:pt idx="887">
                  <c:v>0.38779040027868134</c:v>
                </c:pt>
                <c:pt idx="888">
                  <c:v>0.38791807447912363</c:v>
                </c:pt>
                <c:pt idx="889">
                  <c:v>0.38881417161779069</c:v>
                </c:pt>
                <c:pt idx="890">
                  <c:v>0.39103383263533376</c:v>
                </c:pt>
                <c:pt idx="891">
                  <c:v>0.39281871974797833</c:v>
                </c:pt>
                <c:pt idx="892">
                  <c:v>0.39391043453983604</c:v>
                </c:pt>
                <c:pt idx="893">
                  <c:v>0.39539723006690464</c:v>
                </c:pt>
                <c:pt idx="894">
                  <c:v>0.39637298743523247</c:v>
                </c:pt>
                <c:pt idx="895">
                  <c:v>0.39751752198475909</c:v>
                </c:pt>
                <c:pt idx="896">
                  <c:v>0.39801007808040001</c:v>
                </c:pt>
                <c:pt idx="897">
                  <c:v>0.40168584473194119</c:v>
                </c:pt>
                <c:pt idx="898">
                  <c:v>0.40318811968281892</c:v>
                </c:pt>
                <c:pt idx="899">
                  <c:v>0.40513020459570259</c:v>
                </c:pt>
                <c:pt idx="900">
                  <c:v>0.41021178212777615</c:v>
                </c:pt>
                <c:pt idx="901">
                  <c:v>0.41247041821427649</c:v>
                </c:pt>
                <c:pt idx="902">
                  <c:v>0.41338090352877765</c:v>
                </c:pt>
                <c:pt idx="903">
                  <c:v>0.41513039395498313</c:v>
                </c:pt>
                <c:pt idx="904">
                  <c:v>0.41986946270737152</c:v>
                </c:pt>
                <c:pt idx="905">
                  <c:v>0.42016927574782403</c:v>
                </c:pt>
                <c:pt idx="906">
                  <c:v>0.42133932626334003</c:v>
                </c:pt>
                <c:pt idx="907">
                  <c:v>0.42319129601498218</c:v>
                </c:pt>
                <c:pt idx="908">
                  <c:v>0.4247187841657476</c:v>
                </c:pt>
                <c:pt idx="909">
                  <c:v>0.42515359353357629</c:v>
                </c:pt>
                <c:pt idx="910">
                  <c:v>0.42656649296051619</c:v>
                </c:pt>
                <c:pt idx="911">
                  <c:v>0.42846513617713278</c:v>
                </c:pt>
                <c:pt idx="912">
                  <c:v>0.42961251413951901</c:v>
                </c:pt>
                <c:pt idx="913">
                  <c:v>0.43094142677439862</c:v>
                </c:pt>
                <c:pt idx="914">
                  <c:v>0.43173219240704735</c:v>
                </c:pt>
                <c:pt idx="915">
                  <c:v>0.43412212093908326</c:v>
                </c:pt>
                <c:pt idx="916">
                  <c:v>0.43573026407203447</c:v>
                </c:pt>
                <c:pt idx="917">
                  <c:v>0.43595636195495929</c:v>
                </c:pt>
                <c:pt idx="918">
                  <c:v>0.43702544212199274</c:v>
                </c:pt>
                <c:pt idx="919">
                  <c:v>0.44099098445250773</c:v>
                </c:pt>
                <c:pt idx="920">
                  <c:v>0.44361939089740787</c:v>
                </c:pt>
                <c:pt idx="921">
                  <c:v>0.44465942923664759</c:v>
                </c:pt>
                <c:pt idx="922">
                  <c:v>0.45125648505795773</c:v>
                </c:pt>
                <c:pt idx="923">
                  <c:v>0.45148341535609443</c:v>
                </c:pt>
                <c:pt idx="924">
                  <c:v>0.45371955182393442</c:v>
                </c:pt>
                <c:pt idx="925">
                  <c:v>0.45386777322011224</c:v>
                </c:pt>
                <c:pt idx="926">
                  <c:v>0.45446163492672365</c:v>
                </c:pt>
                <c:pt idx="927">
                  <c:v>0.45565406383447837</c:v>
                </c:pt>
                <c:pt idx="928">
                  <c:v>0.45565406383447837</c:v>
                </c:pt>
                <c:pt idx="929">
                  <c:v>0.4576052529812169</c:v>
                </c:pt>
                <c:pt idx="930">
                  <c:v>0.46418075614179977</c:v>
                </c:pt>
                <c:pt idx="931">
                  <c:v>0.46500219189531911</c:v>
                </c:pt>
                <c:pt idx="932">
                  <c:v>0.4680743775571693</c:v>
                </c:pt>
                <c:pt idx="933">
                  <c:v>0.46967500520133199</c:v>
                </c:pt>
                <c:pt idx="934">
                  <c:v>0.47110903597430048</c:v>
                </c:pt>
                <c:pt idx="935">
                  <c:v>0.4724447225571593</c:v>
                </c:pt>
                <c:pt idx="936">
                  <c:v>0.47384194629015891</c:v>
                </c:pt>
                <c:pt idx="937">
                  <c:v>0.47562736823989177</c:v>
                </c:pt>
                <c:pt idx="938">
                  <c:v>0.47693438502661767</c:v>
                </c:pt>
                <c:pt idx="939">
                  <c:v>0.47750101601619416</c:v>
                </c:pt>
                <c:pt idx="940">
                  <c:v>0.48240312079018566</c:v>
                </c:pt>
                <c:pt idx="941">
                  <c:v>0.48313062604491624</c:v>
                </c:pt>
                <c:pt idx="942">
                  <c:v>0.48459228057618664</c:v>
                </c:pt>
                <c:pt idx="943">
                  <c:v>0.49355256683637838</c:v>
                </c:pt>
                <c:pt idx="944">
                  <c:v>0.49496075024765879</c:v>
                </c:pt>
                <c:pt idx="945">
                  <c:v>0.49566787798796391</c:v>
                </c:pt>
                <c:pt idx="946">
                  <c:v>0.49673238924125257</c:v>
                </c:pt>
                <c:pt idx="947">
                  <c:v>0.50176155120293675</c:v>
                </c:pt>
                <c:pt idx="948">
                  <c:v>0.50433766233036748</c:v>
                </c:pt>
                <c:pt idx="949">
                  <c:v>0.50898113611068163</c:v>
                </c:pt>
                <c:pt idx="950">
                  <c:v>0.5118097124774531</c:v>
                </c:pt>
                <c:pt idx="951">
                  <c:v>0.51251203662805345</c:v>
                </c:pt>
                <c:pt idx="952">
                  <c:v>0.51251203662805345</c:v>
                </c:pt>
                <c:pt idx="953">
                  <c:v>0.51977491567238421</c:v>
                </c:pt>
                <c:pt idx="954">
                  <c:v>0.52555549768032206</c:v>
                </c:pt>
                <c:pt idx="955">
                  <c:v>0.52586391380450137</c:v>
                </c:pt>
                <c:pt idx="956">
                  <c:v>0.52737422268474776</c:v>
                </c:pt>
                <c:pt idx="957">
                  <c:v>0.52772208278190091</c:v>
                </c:pt>
                <c:pt idx="958">
                  <c:v>0.52921815406408057</c:v>
                </c:pt>
                <c:pt idx="959">
                  <c:v>0.52990670817451291</c:v>
                </c:pt>
                <c:pt idx="960">
                  <c:v>0.53034581793294544</c:v>
                </c:pt>
                <c:pt idx="961">
                  <c:v>0.53326239910079276</c:v>
                </c:pt>
                <c:pt idx="962">
                  <c:v>0.53337668521319526</c:v>
                </c:pt>
                <c:pt idx="963">
                  <c:v>0.5360574169310095</c:v>
                </c:pt>
                <c:pt idx="964">
                  <c:v>0.54684316531374577</c:v>
                </c:pt>
                <c:pt idx="965">
                  <c:v>0.54834297660392872</c:v>
                </c:pt>
                <c:pt idx="966">
                  <c:v>0.54871922284782138</c:v>
                </c:pt>
                <c:pt idx="967">
                  <c:v>0.55068951970708824</c:v>
                </c:pt>
                <c:pt idx="968">
                  <c:v>0.5510961385642088</c:v>
                </c:pt>
                <c:pt idx="969">
                  <c:v>0.55478306006762246</c:v>
                </c:pt>
                <c:pt idx="970">
                  <c:v>0.55519578210477327</c:v>
                </c:pt>
                <c:pt idx="971">
                  <c:v>0.55674208141018122</c:v>
                </c:pt>
                <c:pt idx="972">
                  <c:v>0.55685286280240343</c:v>
                </c:pt>
                <c:pt idx="973">
                  <c:v>0.55935721549871964</c:v>
                </c:pt>
                <c:pt idx="974">
                  <c:v>0.56005689329017327</c:v>
                </c:pt>
                <c:pt idx="975">
                  <c:v>0.56251968527014107</c:v>
                </c:pt>
                <c:pt idx="976">
                  <c:v>0.56443448304546817</c:v>
                </c:pt>
                <c:pt idx="977">
                  <c:v>0.56700802644971238</c:v>
                </c:pt>
                <c:pt idx="978">
                  <c:v>0.56738530739533111</c:v>
                </c:pt>
                <c:pt idx="979">
                  <c:v>0.57187564364511279</c:v>
                </c:pt>
                <c:pt idx="980">
                  <c:v>0.57222654752244573</c:v>
                </c:pt>
                <c:pt idx="981">
                  <c:v>0.57263197490950946</c:v>
                </c:pt>
                <c:pt idx="982">
                  <c:v>0.57276348734834581</c:v>
                </c:pt>
                <c:pt idx="983">
                  <c:v>0.57482297237200053</c:v>
                </c:pt>
                <c:pt idx="984">
                  <c:v>0.57500852620561627</c:v>
                </c:pt>
                <c:pt idx="985">
                  <c:v>0.57641202158332916</c:v>
                </c:pt>
                <c:pt idx="986">
                  <c:v>0.5764439992521414</c:v>
                </c:pt>
                <c:pt idx="987">
                  <c:v>0.57788669501860923</c:v>
                </c:pt>
                <c:pt idx="988">
                  <c:v>0.57990987987373011</c:v>
                </c:pt>
                <c:pt idx="989">
                  <c:v>0.58012512833202323</c:v>
                </c:pt>
                <c:pt idx="990">
                  <c:v>0.58059924078012248</c:v>
                </c:pt>
                <c:pt idx="991">
                  <c:v>0.58225866791591174</c:v>
                </c:pt>
                <c:pt idx="992">
                  <c:v>0.5849907653690305</c:v>
                </c:pt>
                <c:pt idx="993">
                  <c:v>0.5970842918346807</c:v>
                </c:pt>
                <c:pt idx="994">
                  <c:v>0.60006507944516496</c:v>
                </c:pt>
                <c:pt idx="995">
                  <c:v>0.60098609838448125</c:v>
                </c:pt>
                <c:pt idx="996">
                  <c:v>0.60226027845261709</c:v>
                </c:pt>
                <c:pt idx="997">
                  <c:v>0.6038535280383065</c:v>
                </c:pt>
                <c:pt idx="998">
                  <c:v>0.60690280443848044</c:v>
                </c:pt>
                <c:pt idx="999">
                  <c:v>0.61002086386702037</c:v>
                </c:pt>
                <c:pt idx="1000">
                  <c:v>0.61169296007817731</c:v>
                </c:pt>
                <c:pt idx="1001">
                  <c:v>0.6164070455921995</c:v>
                </c:pt>
                <c:pt idx="1002">
                  <c:v>0.61798508663716811</c:v>
                </c:pt>
                <c:pt idx="1003">
                  <c:v>0.62250061823855474</c:v>
                </c:pt>
                <c:pt idx="1004">
                  <c:v>0.62751772095680469</c:v>
                </c:pt>
                <c:pt idx="1005">
                  <c:v>0.62831637641826676</c:v>
                </c:pt>
                <c:pt idx="1006">
                  <c:v>0.63121341910173046</c:v>
                </c:pt>
                <c:pt idx="1007">
                  <c:v>0.63500262029259491</c:v>
                </c:pt>
                <c:pt idx="1008">
                  <c:v>0.63550427880945248</c:v>
                </c:pt>
                <c:pt idx="1009">
                  <c:v>0.63948990559540175</c:v>
                </c:pt>
                <c:pt idx="1010">
                  <c:v>0.64066705633725629</c:v>
                </c:pt>
                <c:pt idx="1011">
                  <c:v>0.64135321514825572</c:v>
                </c:pt>
                <c:pt idx="1012">
                  <c:v>0.64480627887047437</c:v>
                </c:pt>
                <c:pt idx="1013">
                  <c:v>0.64726631360794884</c:v>
                </c:pt>
                <c:pt idx="1014">
                  <c:v>0.64742069208414377</c:v>
                </c:pt>
                <c:pt idx="1015">
                  <c:v>0.64865838840079082</c:v>
                </c:pt>
                <c:pt idx="1016">
                  <c:v>0.64865838840079082</c:v>
                </c:pt>
                <c:pt idx="1017">
                  <c:v>0.65099192953237073</c:v>
                </c:pt>
                <c:pt idx="1018">
                  <c:v>0.65360461573556039</c:v>
                </c:pt>
                <c:pt idx="1019">
                  <c:v>0.65378304363938045</c:v>
                </c:pt>
                <c:pt idx="1020">
                  <c:v>0.65584202092712229</c:v>
                </c:pt>
                <c:pt idx="1021">
                  <c:v>0.65618556976897735</c:v>
                </c:pt>
                <c:pt idx="1022">
                  <c:v>0.65809486774197634</c:v>
                </c:pt>
                <c:pt idx="1023">
                  <c:v>0.6658965934248966</c:v>
                </c:pt>
                <c:pt idx="1024">
                  <c:v>0.66726391317192746</c:v>
                </c:pt>
                <c:pt idx="1025">
                  <c:v>0.66866145403921184</c:v>
                </c:pt>
                <c:pt idx="1026">
                  <c:v>0.66959641947837123</c:v>
                </c:pt>
                <c:pt idx="1027">
                  <c:v>0.67078264373010543</c:v>
                </c:pt>
                <c:pt idx="1028">
                  <c:v>0.67227831399807469</c:v>
                </c:pt>
                <c:pt idx="1029">
                  <c:v>0.67295712995389878</c:v>
                </c:pt>
                <c:pt idx="1030">
                  <c:v>0.67693243345666387</c:v>
                </c:pt>
                <c:pt idx="1031">
                  <c:v>0.67813081014755949</c:v>
                </c:pt>
                <c:pt idx="1032">
                  <c:v>0.68069315651090412</c:v>
                </c:pt>
                <c:pt idx="1033">
                  <c:v>0.68345469735186426</c:v>
                </c:pt>
                <c:pt idx="1034">
                  <c:v>0.68604703987276028</c:v>
                </c:pt>
                <c:pt idx="1035">
                  <c:v>0.68670507577180029</c:v>
                </c:pt>
                <c:pt idx="1036">
                  <c:v>0.69117657112580777</c:v>
                </c:pt>
                <c:pt idx="1037">
                  <c:v>0.69718991343181458</c:v>
                </c:pt>
                <c:pt idx="1038">
                  <c:v>0.7014809373693025</c:v>
                </c:pt>
                <c:pt idx="1039">
                  <c:v>0.7019953096867253</c:v>
                </c:pt>
                <c:pt idx="1040">
                  <c:v>0.70770381361199264</c:v>
                </c:pt>
                <c:pt idx="1041">
                  <c:v>0.70886224673225262</c:v>
                </c:pt>
                <c:pt idx="1042">
                  <c:v>0.71085701787360023</c:v>
                </c:pt>
                <c:pt idx="1043">
                  <c:v>0.71443827247803704</c:v>
                </c:pt>
                <c:pt idx="1044">
                  <c:v>0.71457160757615101</c:v>
                </c:pt>
                <c:pt idx="1045">
                  <c:v>0.71951334125759792</c:v>
                </c:pt>
                <c:pt idx="1046">
                  <c:v>0.7204882414703635</c:v>
                </c:pt>
                <c:pt idx="1047">
                  <c:v>0.72157458008048669</c:v>
                </c:pt>
                <c:pt idx="1048">
                  <c:v>0.72705599347555283</c:v>
                </c:pt>
                <c:pt idx="1049">
                  <c:v>0.72816232658379221</c:v>
                </c:pt>
                <c:pt idx="1050">
                  <c:v>0.72838399903227891</c:v>
                </c:pt>
                <c:pt idx="1051">
                  <c:v>0.73811088646559331</c:v>
                </c:pt>
                <c:pt idx="1052">
                  <c:v>0.73901477061137189</c:v>
                </c:pt>
                <c:pt idx="1053">
                  <c:v>0.74006802726656296</c:v>
                </c:pt>
                <c:pt idx="1054">
                  <c:v>0.74113250270777686</c:v>
                </c:pt>
                <c:pt idx="1055">
                  <c:v>0.74507163341491867</c:v>
                </c:pt>
                <c:pt idx="1056">
                  <c:v>0.74837801885698652</c:v>
                </c:pt>
                <c:pt idx="1057">
                  <c:v>0.76507456291179909</c:v>
                </c:pt>
                <c:pt idx="1058">
                  <c:v>0.7675752153364046</c:v>
                </c:pt>
                <c:pt idx="1059">
                  <c:v>0.77006296884244585</c:v>
                </c:pt>
                <c:pt idx="1060">
                  <c:v>0.77286262720094612</c:v>
                </c:pt>
                <c:pt idx="1061">
                  <c:v>0.7756827969739426</c:v>
                </c:pt>
                <c:pt idx="1062">
                  <c:v>0.77882396298128798</c:v>
                </c:pt>
                <c:pt idx="1063">
                  <c:v>0.78491224006437355</c:v>
                </c:pt>
                <c:pt idx="1064">
                  <c:v>0.7881461411921391</c:v>
                </c:pt>
                <c:pt idx="1065">
                  <c:v>0.78956569635871743</c:v>
                </c:pt>
                <c:pt idx="1066">
                  <c:v>0.79127595303658782</c:v>
                </c:pt>
                <c:pt idx="1067">
                  <c:v>0.79183086482818144</c:v>
                </c:pt>
                <c:pt idx="1068">
                  <c:v>0.79710338361835431</c:v>
                </c:pt>
                <c:pt idx="1069">
                  <c:v>0.79861880092783044</c:v>
                </c:pt>
                <c:pt idx="1070">
                  <c:v>0.80170731785302318</c:v>
                </c:pt>
                <c:pt idx="1071">
                  <c:v>0.80202580034780391</c:v>
                </c:pt>
                <c:pt idx="1072">
                  <c:v>0.82524481641716452</c:v>
                </c:pt>
                <c:pt idx="1073">
                  <c:v>0.82582800392975031</c:v>
                </c:pt>
                <c:pt idx="1074">
                  <c:v>0.82677492875529945</c:v>
                </c:pt>
                <c:pt idx="1075">
                  <c:v>0.83038293640641425</c:v>
                </c:pt>
                <c:pt idx="1076">
                  <c:v>0.83286306606864235</c:v>
                </c:pt>
                <c:pt idx="1077">
                  <c:v>0.83298267772968815</c:v>
                </c:pt>
                <c:pt idx="1078">
                  <c:v>0.83610955028059908</c:v>
                </c:pt>
                <c:pt idx="1079">
                  <c:v>0.8381274519518116</c:v>
                </c:pt>
                <c:pt idx="1080">
                  <c:v>0.84007698207744541</c:v>
                </c:pt>
                <c:pt idx="1081">
                  <c:v>0.84549013837506826</c:v>
                </c:pt>
                <c:pt idx="1082">
                  <c:v>0.84756894995686238</c:v>
                </c:pt>
                <c:pt idx="1083">
                  <c:v>0.85203286401598965</c:v>
                </c:pt>
                <c:pt idx="1084">
                  <c:v>0.85249729580013145</c:v>
                </c:pt>
                <c:pt idx="1085">
                  <c:v>0.85387742891695961</c:v>
                </c:pt>
                <c:pt idx="1086">
                  <c:v>0.87045181136540783</c:v>
                </c:pt>
                <c:pt idx="1087">
                  <c:v>0.87227430564820085</c:v>
                </c:pt>
                <c:pt idx="1088">
                  <c:v>0.87386940657485812</c:v>
                </c:pt>
                <c:pt idx="1089">
                  <c:v>0.88038250494677528</c:v>
                </c:pt>
                <c:pt idx="1090">
                  <c:v>0.88516836088638651</c:v>
                </c:pt>
                <c:pt idx="1091">
                  <c:v>0.89723057522596728</c:v>
                </c:pt>
                <c:pt idx="1092">
                  <c:v>0.90262628092544539</c:v>
                </c:pt>
                <c:pt idx="1093">
                  <c:v>0.90285251543298506</c:v>
                </c:pt>
                <c:pt idx="1094">
                  <c:v>0.90561477951227454</c:v>
                </c:pt>
                <c:pt idx="1095">
                  <c:v>0.91355197555627443</c:v>
                </c:pt>
                <c:pt idx="1096">
                  <c:v>0.92573275591266901</c:v>
                </c:pt>
                <c:pt idx="1097">
                  <c:v>0.92657594129018295</c:v>
                </c:pt>
                <c:pt idx="1098">
                  <c:v>0.93227239831737196</c:v>
                </c:pt>
                <c:pt idx="1099">
                  <c:v>0.93272750936128468</c:v>
                </c:pt>
                <c:pt idx="1100">
                  <c:v>0.94362336165017635</c:v>
                </c:pt>
                <c:pt idx="1101">
                  <c:v>0.94542014001123742</c:v>
                </c:pt>
                <c:pt idx="1102">
                  <c:v>0.95023500547466133</c:v>
                </c:pt>
                <c:pt idx="1103">
                  <c:v>0.95320344231412035</c:v>
                </c:pt>
                <c:pt idx="1104">
                  <c:v>0.95894526437407579</c:v>
                </c:pt>
                <c:pt idx="1105">
                  <c:v>0.96025991502286034</c:v>
                </c:pt>
                <c:pt idx="1106">
                  <c:v>0.96087465691162111</c:v>
                </c:pt>
                <c:pt idx="1107">
                  <c:v>0.96516030998976976</c:v>
                </c:pt>
                <c:pt idx="1108">
                  <c:v>0.96874092354302421</c:v>
                </c:pt>
                <c:pt idx="1109">
                  <c:v>0.96932615015241752</c:v>
                </c:pt>
                <c:pt idx="1110">
                  <c:v>0.9763224996086417</c:v>
                </c:pt>
                <c:pt idx="1111">
                  <c:v>0.97884689755196708</c:v>
                </c:pt>
                <c:pt idx="1112">
                  <c:v>0.9894106285338935</c:v>
                </c:pt>
                <c:pt idx="1113">
                  <c:v>0.99447954626594992</c:v>
                </c:pt>
                <c:pt idx="1114">
                  <c:v>0.99802772436467879</c:v>
                </c:pt>
                <c:pt idx="1115">
                  <c:v>1.006186987397921</c:v>
                </c:pt>
                <c:pt idx="1116">
                  <c:v>1.0085130141213656</c:v>
                </c:pt>
                <c:pt idx="1117">
                  <c:v>1.0113465183886274</c:v>
                </c:pt>
                <c:pt idx="1118">
                  <c:v>1.0136932966019374</c:v>
                </c:pt>
                <c:pt idx="1119">
                  <c:v>1.0142470681111908</c:v>
                </c:pt>
                <c:pt idx="1120">
                  <c:v>1.0171643533173058</c:v>
                </c:pt>
                <c:pt idx="1121">
                  <c:v>1.0187923521028985</c:v>
                </c:pt>
                <c:pt idx="1122">
                  <c:v>1.0192888679578378</c:v>
                </c:pt>
                <c:pt idx="1123">
                  <c:v>1.0248066639831708</c:v>
                </c:pt>
                <c:pt idx="1124">
                  <c:v>1.0356051680129763</c:v>
                </c:pt>
                <c:pt idx="1125">
                  <c:v>1.0464294842889359</c:v>
                </c:pt>
                <c:pt idx="1126">
                  <c:v>1.0472904693365435</c:v>
                </c:pt>
                <c:pt idx="1127">
                  <c:v>1.0490167091984746</c:v>
                </c:pt>
                <c:pt idx="1128">
                  <c:v>1.0506098980943217</c:v>
                </c:pt>
                <c:pt idx="1129">
                  <c:v>1.0542298422865568</c:v>
                </c:pt>
                <c:pt idx="1130">
                  <c:v>1.0544985835228853</c:v>
                </c:pt>
                <c:pt idx="1131">
                  <c:v>1.0565635069298907</c:v>
                </c:pt>
                <c:pt idx="1132">
                  <c:v>1.0660877479734527</c:v>
                </c:pt>
                <c:pt idx="1133">
                  <c:v>1.0693682946291576</c:v>
                </c:pt>
                <c:pt idx="1134">
                  <c:v>1.0747042774710447</c:v>
                </c:pt>
                <c:pt idx="1135">
                  <c:v>1.0839889848450295</c:v>
                </c:pt>
                <c:pt idx="1136">
                  <c:v>1.0845755406346824</c:v>
                </c:pt>
                <c:pt idx="1137">
                  <c:v>1.0884923868534482</c:v>
                </c:pt>
                <c:pt idx="1138">
                  <c:v>1.0950164962100271</c:v>
                </c:pt>
                <c:pt idx="1139">
                  <c:v>1.0952538784249866</c:v>
                </c:pt>
                <c:pt idx="1140">
                  <c:v>1.0957656183592466</c:v>
                </c:pt>
                <c:pt idx="1141">
                  <c:v>1.0997154331941732</c:v>
                </c:pt>
                <c:pt idx="1142">
                  <c:v>1.1049652247216972</c:v>
                </c:pt>
                <c:pt idx="1143">
                  <c:v>1.1066125518178156</c:v>
                </c:pt>
                <c:pt idx="1144">
                  <c:v>1.111456179823437</c:v>
                </c:pt>
                <c:pt idx="1145">
                  <c:v>1.1124171872795678</c:v>
                </c:pt>
                <c:pt idx="1146">
                  <c:v>1.1204908581340263</c:v>
                </c:pt>
                <c:pt idx="1147">
                  <c:v>1.1226811392993754</c:v>
                </c:pt>
                <c:pt idx="1148">
                  <c:v>1.1335715752022266</c:v>
                </c:pt>
                <c:pt idx="1149">
                  <c:v>1.1401871882472645</c:v>
                </c:pt>
                <c:pt idx="1150">
                  <c:v>1.1406252820841045</c:v>
                </c:pt>
                <c:pt idx="1151">
                  <c:v>1.1426647323344228</c:v>
                </c:pt>
                <c:pt idx="1152">
                  <c:v>1.1504180643828417</c:v>
                </c:pt>
                <c:pt idx="1153">
                  <c:v>1.1512417453902504</c:v>
                </c:pt>
                <c:pt idx="1154">
                  <c:v>1.1609976911506596</c:v>
                </c:pt>
                <c:pt idx="1155">
                  <c:v>1.1663198769175582</c:v>
                </c:pt>
                <c:pt idx="1156">
                  <c:v>1.1693831492403042</c:v>
                </c:pt>
                <c:pt idx="1157">
                  <c:v>1.1771123794432843</c:v>
                </c:pt>
                <c:pt idx="1158">
                  <c:v>1.1970521017832858</c:v>
                </c:pt>
                <c:pt idx="1159">
                  <c:v>1.2015754765476092</c:v>
                </c:pt>
                <c:pt idx="1160">
                  <c:v>1.22001697331551</c:v>
                </c:pt>
                <c:pt idx="1161">
                  <c:v>1.2215794141858143</c:v>
                </c:pt>
                <c:pt idx="1162">
                  <c:v>1.2250112799116553</c:v>
                </c:pt>
                <c:pt idx="1163">
                  <c:v>1.2384985479842512</c:v>
                </c:pt>
                <c:pt idx="1164">
                  <c:v>1.2536929428291606</c:v>
                </c:pt>
                <c:pt idx="1165">
                  <c:v>1.261380602815227</c:v>
                </c:pt>
                <c:pt idx="1166">
                  <c:v>1.2694266364115396</c:v>
                </c:pt>
                <c:pt idx="1167">
                  <c:v>1.2840774948631783</c:v>
                </c:pt>
                <c:pt idx="1168">
                  <c:v>1.3019599089728702</c:v>
                </c:pt>
                <c:pt idx="1169">
                  <c:v>1.3072454712327535</c:v>
                </c:pt>
                <c:pt idx="1170">
                  <c:v>1.3171871305420271</c:v>
                </c:pt>
                <c:pt idx="1171">
                  <c:v>1.3255801106908542</c:v>
                </c:pt>
                <c:pt idx="1172">
                  <c:v>1.336028267372307</c:v>
                </c:pt>
                <c:pt idx="1173">
                  <c:v>1.3429845546048982</c:v>
                </c:pt>
                <c:pt idx="1174">
                  <c:v>1.3470934614329244</c:v>
                </c:pt>
                <c:pt idx="1175">
                  <c:v>1.3552569627163049</c:v>
                </c:pt>
                <c:pt idx="1176">
                  <c:v>1.3675415684303223</c:v>
                </c:pt>
                <c:pt idx="1177">
                  <c:v>1.3728209144715082</c:v>
                </c:pt>
                <c:pt idx="1178">
                  <c:v>1.3918625339806106</c:v>
                </c:pt>
                <c:pt idx="1179">
                  <c:v>1.4005265496718942</c:v>
                </c:pt>
                <c:pt idx="1180">
                  <c:v>1.4036073508630462</c:v>
                </c:pt>
                <c:pt idx="1181">
                  <c:v>1.4219688813629587</c:v>
                </c:pt>
                <c:pt idx="1182">
                  <c:v>1.4256147567598589</c:v>
                </c:pt>
                <c:pt idx="1183">
                  <c:v>1.4268012298946777</c:v>
                </c:pt>
                <c:pt idx="1184">
                  <c:v>1.4320154056292171</c:v>
                </c:pt>
                <c:pt idx="1185">
                  <c:v>1.4322247671707522</c:v>
                </c:pt>
                <c:pt idx="1186">
                  <c:v>1.4450671974685132</c:v>
                </c:pt>
                <c:pt idx="1187">
                  <c:v>1.4631878103028679</c:v>
                </c:pt>
                <c:pt idx="1188">
                  <c:v>1.4957768215530842</c:v>
                </c:pt>
                <c:pt idx="1189">
                  <c:v>1.5017001957411122</c:v>
                </c:pt>
                <c:pt idx="1190">
                  <c:v>1.5057603111787807</c:v>
                </c:pt>
                <c:pt idx="1191">
                  <c:v>1.5212394366999482</c:v>
                </c:pt>
                <c:pt idx="1192">
                  <c:v>1.521504949107672</c:v>
                </c:pt>
                <c:pt idx="1193">
                  <c:v>1.5217219959578281</c:v>
                </c:pt>
                <c:pt idx="1194">
                  <c:v>1.5481668333158336</c:v>
                </c:pt>
                <c:pt idx="1195">
                  <c:v>1.5548391619516864</c:v>
                </c:pt>
                <c:pt idx="1196">
                  <c:v>1.5598721859091644</c:v>
                </c:pt>
                <c:pt idx="1197">
                  <c:v>1.5652106244071609</c:v>
                </c:pt>
                <c:pt idx="1198">
                  <c:v>1.5720974866123125</c:v>
                </c:pt>
                <c:pt idx="1199">
                  <c:v>1.6048374691306682</c:v>
                </c:pt>
                <c:pt idx="1200">
                  <c:v>1.6111289279383996</c:v>
                </c:pt>
                <c:pt idx="1201">
                  <c:v>1.6284546390863894</c:v>
                </c:pt>
                <c:pt idx="1202">
                  <c:v>1.6348816698206792</c:v>
                </c:pt>
                <c:pt idx="1203">
                  <c:v>1.6433088301429075</c:v>
                </c:pt>
                <c:pt idx="1204">
                  <c:v>1.6700576791634965</c:v>
                </c:pt>
                <c:pt idx="1205">
                  <c:v>1.7066748976373884</c:v>
                </c:pt>
                <c:pt idx="1206">
                  <c:v>1.7113349502726358</c:v>
                </c:pt>
                <c:pt idx="1207">
                  <c:v>1.7617204564639459</c:v>
                </c:pt>
                <c:pt idx="1208">
                  <c:v>1.7679280249582918</c:v>
                </c:pt>
                <c:pt idx="1209">
                  <c:v>1.7862733728222389</c:v>
                </c:pt>
                <c:pt idx="1210">
                  <c:v>1.8150980422403611</c:v>
                </c:pt>
                <c:pt idx="1211">
                  <c:v>1.8588322414231475</c:v>
                </c:pt>
                <c:pt idx="1212">
                  <c:v>1.8618206819430705</c:v>
                </c:pt>
                <c:pt idx="1213">
                  <c:v>1.8998615841429503</c:v>
                </c:pt>
                <c:pt idx="1214">
                  <c:v>1.9281027270280935</c:v>
                </c:pt>
                <c:pt idx="1215">
                  <c:v>1.9370931826024362</c:v>
                </c:pt>
                <c:pt idx="1216">
                  <c:v>1.9563835625945305</c:v>
                </c:pt>
                <c:pt idx="1217">
                  <c:v>1.9666778199700023</c:v>
                </c:pt>
                <c:pt idx="1218">
                  <c:v>2.00947771725055</c:v>
                </c:pt>
                <c:pt idx="1219">
                  <c:v>2.0435482231075541</c:v>
                </c:pt>
                <c:pt idx="1220">
                  <c:v>2.0882950112424323</c:v>
                </c:pt>
                <c:pt idx="1221">
                  <c:v>2.1688092828378749</c:v>
                </c:pt>
                <c:pt idx="1222">
                  <c:v>2.1775050969655023</c:v>
                </c:pt>
                <c:pt idx="1223">
                  <c:v>2.1795659713879392</c:v>
                </c:pt>
                <c:pt idx="1224">
                  <c:v>2.2033225612856784</c:v>
                </c:pt>
                <c:pt idx="1225">
                  <c:v>2.264032350114201</c:v>
                </c:pt>
                <c:pt idx="1226">
                  <c:v>2.2753667013159733</c:v>
                </c:pt>
                <c:pt idx="1227">
                  <c:v>2.3155463334748996</c:v>
                </c:pt>
                <c:pt idx="1228">
                  <c:v>2.3221017076320214</c:v>
                </c:pt>
                <c:pt idx="1229">
                  <c:v>2.3604333231926011</c:v>
                </c:pt>
                <c:pt idx="1230">
                  <c:v>2.4562523730301091</c:v>
                </c:pt>
                <c:pt idx="1231">
                  <c:v>2.462170757488094</c:v>
                </c:pt>
                <c:pt idx="1232">
                  <c:v>2.5080556823602782</c:v>
                </c:pt>
                <c:pt idx="1233">
                  <c:v>2.5812127761687522</c:v>
                </c:pt>
                <c:pt idx="1234">
                  <c:v>2.6244955039485776</c:v>
                </c:pt>
                <c:pt idx="1235">
                  <c:v>2.6403215464931367</c:v>
                </c:pt>
                <c:pt idx="1236">
                  <c:v>2.7060216653353066</c:v>
                </c:pt>
                <c:pt idx="1237">
                  <c:v>2.718692440181822</c:v>
                </c:pt>
                <c:pt idx="1238">
                  <c:v>2.7202034611387198</c:v>
                </c:pt>
                <c:pt idx="1239">
                  <c:v>2.7297059031747897</c:v>
                </c:pt>
                <c:pt idx="1240">
                  <c:v>2.8983682364276939</c:v>
                </c:pt>
                <c:pt idx="1241">
                  <c:v>2.9066032282637457</c:v>
                </c:pt>
                <c:pt idx="1242">
                  <c:v>3.0141744245361495</c:v>
                </c:pt>
                <c:pt idx="1243">
                  <c:v>3.2780048261854735</c:v>
                </c:pt>
                <c:pt idx="1244">
                  <c:v>3.3536494897308167</c:v>
                </c:pt>
                <c:pt idx="1245">
                  <c:v>3.4402878556050474</c:v>
                </c:pt>
                <c:pt idx="1246">
                  <c:v>3.5190951774089441</c:v>
                </c:pt>
                <c:pt idx="1247">
                  <c:v>3.6413756104263171</c:v>
                </c:pt>
                <c:pt idx="1248">
                  <c:v>3.7883402145722957</c:v>
                </c:pt>
                <c:pt idx="1249">
                  <c:v>4.1538296527984855</c:v>
                </c:pt>
                <c:pt idx="1250">
                  <c:v>6.6131018983499708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4E-4649-9BE6-6E68DF5DDAB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'7'!$W$2:$W$1252</c:f>
              <c:numCache>
                <c:formatCode>0.00</c:formatCode>
                <c:ptCount val="1251"/>
                <c:pt idx="0">
                  <c:v>-7.9413453261709952</c:v>
                </c:pt>
                <c:pt idx="1">
                  <c:v>-3.1563730486655528</c:v>
                </c:pt>
                <c:pt idx="2">
                  <c:v>-2.9483367635585207</c:v>
                </c:pt>
                <c:pt idx="3">
                  <c:v>-2.8206710107576471</c:v>
                </c:pt>
                <c:pt idx="4">
                  <c:v>-2.7270788722062282</c:v>
                </c:pt>
                <c:pt idx="5">
                  <c:v>-2.6526095495605553</c:v>
                </c:pt>
                <c:pt idx="6">
                  <c:v>-2.5904640018645773</c:v>
                </c:pt>
                <c:pt idx="7">
                  <c:v>-2.5369557531286526</c:v>
                </c:pt>
                <c:pt idx="8">
                  <c:v>-2.4898541484898677</c:v>
                </c:pt>
                <c:pt idx="9">
                  <c:v>-2.4477033585225918</c:v>
                </c:pt>
                <c:pt idx="10">
                  <c:v>-2.4094989759606067</c:v>
                </c:pt>
                <c:pt idx="11">
                  <c:v>-2.3745178832011802</c:v>
                </c:pt>
                <c:pt idx="12">
                  <c:v>-2.342221606715253</c:v>
                </c:pt>
                <c:pt idx="13">
                  <c:v>-2.3121980235236075</c:v>
                </c:pt>
                <c:pt idx="14">
                  <c:v>-2.2841244631564783</c:v>
                </c:pt>
                <c:pt idx="15">
                  <c:v>-2.2577434068988094</c:v>
                </c:pt>
                <c:pt idx="16">
                  <c:v>-2.2328459423636926</c:v>
                </c:pt>
                <c:pt idx="17">
                  <c:v>-2.2092601751391063</c:v>
                </c:pt>
                <c:pt idx="18">
                  <c:v>-2.1868429121239132</c:v>
                </c:pt>
                <c:pt idx="19">
                  <c:v>-2.1654735648631602</c:v>
                </c:pt>
                <c:pt idx="20">
                  <c:v>-2.1450495961618947</c:v>
                </c:pt>
                <c:pt idx="21">
                  <c:v>-2.1254830626678305</c:v>
                </c:pt>
                <c:pt idx="22">
                  <c:v>-2.1066979506460028</c:v>
                </c:pt>
                <c:pt idx="23">
                  <c:v>-2.0886280956212326</c:v>
                </c:pt>
                <c:pt idx="24">
                  <c:v>-2.0712155384048128</c:v>
                </c:pt>
                <c:pt idx="25">
                  <c:v>-2.0544092118030792</c:v>
                </c:pt>
                <c:pt idx="26">
                  <c:v>-2.0381638810689928</c:v>
                </c:pt>
                <c:pt idx="27">
                  <c:v>-2.0224392812996594</c:v>
                </c:pt>
                <c:pt idx="28">
                  <c:v>-2.0071994093079599</c:v>
                </c:pt>
                <c:pt idx="29">
                  <c:v>-1.9924119378306833</c:v>
                </c:pt>
                <c:pt idx="30">
                  <c:v>-1.978047727488945</c:v>
                </c:pt>
                <c:pt idx="31">
                  <c:v>-1.9640804175042579</c:v>
                </c:pt>
                <c:pt idx="32">
                  <c:v>-1.950486080353641</c:v>
                </c:pt>
                <c:pt idx="33">
                  <c:v>-1.9372429287065134</c:v>
                </c:pt>
                <c:pt idx="34">
                  <c:v>-1.9243310653973646</c:v>
                </c:pt>
                <c:pt idx="35">
                  <c:v>-1.9117322690449208</c:v>
                </c:pt>
                <c:pt idx="36">
                  <c:v>-1.8994298093704896</c:v>
                </c:pt>
                <c:pt idx="37">
                  <c:v>-1.8874082873967688</c:v>
                </c:pt>
                <c:pt idx="38">
                  <c:v>-1.8756534965983558</c:v>
                </c:pt>
                <c:pt idx="39">
                  <c:v>-1.8641523017818853</c:v>
                </c:pt>
                <c:pt idx="40">
                  <c:v>-1.8528925330385324</c:v>
                </c:pt>
                <c:pt idx="41">
                  <c:v>-1.8418628925658975</c:v>
                </c:pt>
                <c:pt idx="42">
                  <c:v>-1.8310528725237958</c:v>
                </c:pt>
                <c:pt idx="43">
                  <c:v>-1.8204526823874192</c:v>
                </c:pt>
                <c:pt idx="44">
                  <c:v>-1.8100531845058558</c:v>
                </c:pt>
                <c:pt idx="45">
                  <c:v>-1.7998458367748733</c:v>
                </c:pt>
                <c:pt idx="46">
                  <c:v>-1.7898226414988636</c:v>
                </c:pt>
                <c:pt idx="47">
                  <c:v>-1.779976099654488</c:v>
                </c:pt>
                <c:pt idx="48">
                  <c:v>-1.7702991698832953</c:v>
                </c:pt>
                <c:pt idx="49">
                  <c:v>-1.7607852316365484</c:v>
                </c:pt>
                <c:pt idx="50">
                  <c:v>-1.7514280519761141</c:v>
                </c:pt>
                <c:pt idx="51">
                  <c:v>-1.7422217556032296</c:v>
                </c:pt>
                <c:pt idx="52">
                  <c:v>-1.7331607977444856</c:v>
                </c:pt>
                <c:pt idx="53">
                  <c:v>-1.7242399395731982</c:v>
                </c:pt>
                <c:pt idx="54">
                  <c:v>-1.715454225885938</c:v>
                </c:pt>
                <c:pt idx="55">
                  <c:v>-1.7067989647895709</c:v>
                </c:pt>
                <c:pt idx="56">
                  <c:v>-1.6982697091846284</c:v>
                </c:pt>
                <c:pt idx="57">
                  <c:v>-1.6898622398570504</c:v>
                </c:pt>
                <c:pt idx="58">
                  <c:v>-1.6815725500129504</c:v>
                </c:pt>
                <c:pt idx="59">
                  <c:v>-1.6733968311105887</c:v>
                </c:pt>
                <c:pt idx="60">
                  <c:v>-1.6653314598606914</c:v>
                </c:pt>
                <c:pt idx="61">
                  <c:v>-1.6573729862809796</c:v>
                </c:pt>
                <c:pt idx="62">
                  <c:v>-1.6495181227035915</c:v>
                </c:pt>
                <c:pt idx="63">
                  <c:v>-1.6417637336453093</c:v>
                </c:pt>
                <c:pt idx="64">
                  <c:v>-1.6341068264602854</c:v>
                </c:pt>
                <c:pt idx="65">
                  <c:v>-1.6265445427035894</c:v>
                </c:pt>
                <c:pt idx="66">
                  <c:v>-1.6190741501414481</c:v>
                </c:pt>
                <c:pt idx="67">
                  <c:v>-1.6116930353507253</c:v>
                </c:pt>
                <c:pt idx="68">
                  <c:v>-1.6043986968560602</c:v>
                </c:pt>
                <c:pt idx="69">
                  <c:v>-1.5971887387583001</c:v>
                </c:pt>
                <c:pt idx="70">
                  <c:v>-1.5900608648124666</c:v>
                </c:pt>
                <c:pt idx="71">
                  <c:v>-1.5830128729175834</c:v>
                </c:pt>
                <c:pt idx="72">
                  <c:v>-1.5760426499843485</c:v>
                </c:pt>
                <c:pt idx="73">
                  <c:v>-1.5691481671498611</c:v>
                </c:pt>
                <c:pt idx="74">
                  <c:v>-1.5623274753115115</c:v>
                </c:pt>
                <c:pt idx="75">
                  <c:v>-1.5555787009547493</c:v>
                </c:pt>
                <c:pt idx="76">
                  <c:v>-1.548900042251715</c:v>
                </c:pt>
                <c:pt idx="77">
                  <c:v>-1.5422897654098506</c:v>
                </c:pt>
                <c:pt idx="78">
                  <c:v>-1.5357462012514234</c:v>
                </c:pt>
                <c:pt idx="79">
                  <c:v>-1.5292677420066043</c:v>
                </c:pt>
                <c:pt idx="80">
                  <c:v>-1.5228528383042355</c:v>
                </c:pt>
                <c:pt idx="81">
                  <c:v>-1.5164999963457819</c:v>
                </c:pt>
                <c:pt idx="82">
                  <c:v>-1.510207775249208</c:v>
                </c:pt>
                <c:pt idx="83">
                  <c:v>-1.503974784550604</c:v>
                </c:pt>
                <c:pt idx="84">
                  <c:v>-1.4977996818524228</c:v>
                </c:pt>
                <c:pt idx="85">
                  <c:v>-1.4916811706080737</c:v>
                </c:pt>
                <c:pt idx="86">
                  <c:v>-1.4856179980334669</c:v>
                </c:pt>
                <c:pt idx="87">
                  <c:v>-1.4796089531368346</c:v>
                </c:pt>
                <c:pt idx="88">
                  <c:v>-1.4736528648588596</c:v>
                </c:pt>
                <c:pt idx="89">
                  <c:v>-1.4677486003157523</c:v>
                </c:pt>
                <c:pt idx="90">
                  <c:v>-1.4618950631384819</c:v>
                </c:pt>
                <c:pt idx="91">
                  <c:v>-1.4560911919018944</c:v>
                </c:pt>
                <c:pt idx="92">
                  <c:v>-1.4503359586379192</c:v>
                </c:pt>
                <c:pt idx="93">
                  <c:v>-1.4446283674274998</c:v>
                </c:pt>
                <c:pt idx="94">
                  <c:v>-1.4389674530662808</c:v>
                </c:pt>
                <c:pt idx="95">
                  <c:v>-1.4333522797994338</c:v>
                </c:pt>
                <c:pt idx="96">
                  <c:v>-1.427781940121386</c:v>
                </c:pt>
                <c:pt idx="97">
                  <c:v>-1.422255553636407</c:v>
                </c:pt>
                <c:pt idx="98">
                  <c:v>-1.4167722659764816</c:v>
                </c:pt>
                <c:pt idx="99">
                  <c:v>-1.4113312477729174</c:v>
                </c:pt>
                <c:pt idx="100">
                  <c:v>-1.4059316936786115</c:v>
                </c:pt>
                <c:pt idx="101">
                  <c:v>-1.4005728214379083</c:v>
                </c:pt>
                <c:pt idx="102">
                  <c:v>-1.3952538710013354</c:v>
                </c:pt>
                <c:pt idx="103">
                  <c:v>-1.3899741036826332</c:v>
                </c:pt>
                <c:pt idx="104">
                  <c:v>-1.3847328013556541</c:v>
                </c:pt>
                <c:pt idx="105">
                  <c:v>-1.3795292656888583</c:v>
                </c:pt>
                <c:pt idx="106">
                  <c:v>-1.374362817415375</c:v>
                </c:pt>
                <c:pt idx="107">
                  <c:v>-1.3692327956365586</c:v>
                </c:pt>
                <c:pt idx="108">
                  <c:v>-1.3641385571573073</c:v>
                </c:pt>
                <c:pt idx="109">
                  <c:v>-1.3590794758513209</c:v>
                </c:pt>
                <c:pt idx="110">
                  <c:v>-1.3540549420547721</c:v>
                </c:pt>
                <c:pt idx="111">
                  <c:v>-1.3490643619867906</c:v>
                </c:pt>
                <c:pt idx="112">
                  <c:v>-1.3441071571954248</c:v>
                </c:pt>
                <c:pt idx="113">
                  <c:v>-1.3391827640276721</c:v>
                </c:pt>
                <c:pt idx="114">
                  <c:v>-1.3342906331223829</c:v>
                </c:pt>
                <c:pt idx="115">
                  <c:v>-1.3294302289248148</c:v>
                </c:pt>
                <c:pt idx="116">
                  <c:v>-1.324601029221772</c:v>
                </c:pt>
                <c:pt idx="117">
                  <c:v>-1.319802524696265</c:v>
                </c:pt>
                <c:pt idx="118">
                  <c:v>-1.3150342185007076</c:v>
                </c:pt>
                <c:pt idx="119">
                  <c:v>-1.3102956258477445</c:v>
                </c:pt>
                <c:pt idx="120">
                  <c:v>-1.3055862736178254</c:v>
                </c:pt>
                <c:pt idx="121">
                  <c:v>-1.3009056999827218</c:v>
                </c:pt>
                <c:pt idx="122">
                  <c:v>-1.2962534540441892</c:v>
                </c:pt>
                <c:pt idx="123">
                  <c:v>-1.2916290954870733</c:v>
                </c:pt>
                <c:pt idx="124">
                  <c:v>-1.2870321942461491</c:v>
                </c:pt>
                <c:pt idx="125">
                  <c:v>-1.2824623301860549</c:v>
                </c:pt>
                <c:pt idx="126">
                  <c:v>-1.2779190927936899</c:v>
                </c:pt>
                <c:pt idx="127">
                  <c:v>-1.2734020808825297</c:v>
                </c:pt>
                <c:pt idx="128">
                  <c:v>-1.2689109023082601</c:v>
                </c:pt>
                <c:pt idx="129">
                  <c:v>-1.2644451736952516</c:v>
                </c:pt>
                <c:pt idx="130">
                  <c:v>-1.260004520173353</c:v>
                </c:pt>
                <c:pt idx="131">
                  <c:v>-1.255588575124565</c:v>
                </c:pt>
                <c:pt idx="132">
                  <c:v>-1.2511969799391169</c:v>
                </c:pt>
                <c:pt idx="133">
                  <c:v>-1.2468293837805569</c:v>
                </c:pt>
                <c:pt idx="134">
                  <c:v>-1.2424854433594503</c:v>
                </c:pt>
                <c:pt idx="135">
                  <c:v>-1.238164822715299</c:v>
                </c:pt>
                <c:pt idx="136">
                  <c:v>-1.2338671930063319</c:v>
                </c:pt>
                <c:pt idx="137">
                  <c:v>-1.2295922323068298</c:v>
                </c:pt>
                <c:pt idx="138">
                  <c:v>-1.2253396254116573</c:v>
                </c:pt>
                <c:pt idx="139">
                  <c:v>-1.2211090636476916</c:v>
                </c:pt>
                <c:pt idx="140">
                  <c:v>-1.2169002446918644</c:v>
                </c:pt>
                <c:pt idx="141">
                  <c:v>-1.2127128723955336</c:v>
                </c:pt>
                <c:pt idx="142">
                  <c:v>-1.2085466566149283</c:v>
                </c:pt>
                <c:pt idx="143">
                  <c:v>-1.2044013130474018</c:v>
                </c:pt>
                <c:pt idx="144">
                  <c:v>-1.2002765630732746</c:v>
                </c:pt>
                <c:pt idx="145">
                  <c:v>-1.1961721336030178</c:v>
                </c:pt>
                <c:pt idx="146">
                  <c:v>-1.1920877569295791</c:v>
                </c:pt>
                <c:pt idx="147">
                  <c:v>-1.1880231705856303</c:v>
                </c:pt>
                <c:pt idx="148">
                  <c:v>-1.1839781172055506</c:v>
                </c:pt>
                <c:pt idx="149">
                  <c:v>-1.1799523443919493</c:v>
                </c:pt>
                <c:pt idx="150">
                  <c:v>-1.1759456045865566</c:v>
                </c:pt>
                <c:pt idx="151">
                  <c:v>-1.1719576549453026</c:v>
                </c:pt>
                <c:pt idx="152">
                  <c:v>-1.1679882572174294</c:v>
                </c:pt>
                <c:pt idx="153">
                  <c:v>-1.1640371776284826</c:v>
                </c:pt>
                <c:pt idx="154">
                  <c:v>-1.1601041867670134</c:v>
                </c:pt>
                <c:pt idx="155">
                  <c:v>-1.1561890594748843</c:v>
                </c:pt>
                <c:pt idx="156">
                  <c:v>-1.1522915747410065</c:v>
                </c:pt>
                <c:pt idx="157">
                  <c:v>-1.1484115155984058</c:v>
                </c:pt>
                <c:pt idx="158">
                  <c:v>-1.1445486690244737</c:v>
                </c:pt>
                <c:pt idx="159">
                  <c:v>-1.1407028258443039</c:v>
                </c:pt>
                <c:pt idx="160">
                  <c:v>-1.1368737806369786</c:v>
                </c:pt>
                <c:pt idx="161">
                  <c:v>-1.1330613316447196</c:v>
                </c:pt>
                <c:pt idx="162">
                  <c:v>-1.1292652806847807</c:v>
                </c:pt>
                <c:pt idx="163">
                  <c:v>-1.1254854330639892</c:v>
                </c:pt>
                <c:pt idx="164">
                  <c:v>-1.121721597495849</c:v>
                </c:pt>
                <c:pt idx="165">
                  <c:v>-1.1179735860200952</c:v>
                </c:pt>
                <c:pt idx="166">
                  <c:v>-1.1142412139246307</c:v>
                </c:pt>
                <c:pt idx="167">
                  <c:v>-1.1105242996697522</c:v>
                </c:pt>
                <c:pt idx="168">
                  <c:v>-1.106822664814584</c:v>
                </c:pt>
                <c:pt idx="169">
                  <c:v>-1.1031361339456489</c:v>
                </c:pt>
                <c:pt idx="170">
                  <c:v>-1.0994645346074929</c:v>
                </c:pt>
                <c:pt idx="171">
                  <c:v>-1.0958076972353008</c:v>
                </c:pt>
                <c:pt idx="172">
                  <c:v>-1.0921654550894306</c:v>
                </c:pt>
                <c:pt idx="173">
                  <c:v>-1.0885376441918031</c:v>
                </c:pt>
                <c:pt idx="174">
                  <c:v>-1.0849241032640771</c:v>
                </c:pt>
                <c:pt idx="175">
                  <c:v>-1.0813246736675617</c:v>
                </c:pt>
                <c:pt idx="176">
                  <c:v>-1.0777391993447989</c:v>
                </c:pt>
                <c:pt idx="177">
                  <c:v>-1.0741675267627588</c:v>
                </c:pt>
                <c:pt idx="178">
                  <c:v>-1.0706095048576043</c:v>
                </c:pt>
                <c:pt idx="179">
                  <c:v>-1.0670649849809621</c:v>
                </c:pt>
                <c:pt idx="180">
                  <c:v>-1.0635338208476595</c:v>
                </c:pt>
                <c:pt idx="181">
                  <c:v>-1.0600158684848688</c:v>
                </c:pt>
                <c:pt idx="182">
                  <c:v>-1.0565109861826305</c:v>
                </c:pt>
                <c:pt idx="183">
                  <c:v>-1.0530190344456893</c:v>
                </c:pt>
                <c:pt idx="184">
                  <c:v>-1.0495398759466186</c:v>
                </c:pt>
                <c:pt idx="185">
                  <c:v>-1.046073375480189</c:v>
                </c:pt>
                <c:pt idx="186">
                  <c:v>-1.0426193999189224</c:v>
                </c:pt>
                <c:pt idx="187">
                  <c:v>-1.0391778181698266</c:v>
                </c:pt>
                <c:pt idx="188">
                  <c:v>-1.0357485011322511</c:v>
                </c:pt>
                <c:pt idx="189">
                  <c:v>-1.0323313216568444</c:v>
                </c:pt>
                <c:pt idx="190">
                  <c:v>-1.0289261545055295</c:v>
                </c:pt>
                <c:pt idx="191">
                  <c:v>-1.025532876312556</c:v>
                </c:pt>
                <c:pt idx="192">
                  <c:v>-1.0221513655465189</c:v>
                </c:pt>
                <c:pt idx="193">
                  <c:v>-1.0187815024733502</c:v>
                </c:pt>
                <c:pt idx="194">
                  <c:v>-1.0154231691202296</c:v>
                </c:pt>
                <c:pt idx="195">
                  <c:v>-1.0120762492404072</c:v>
                </c:pt>
                <c:pt idx="196">
                  <c:v>-1.0087406282789162</c:v>
                </c:pt>
                <c:pt idx="197">
                  <c:v>-1.0054161933391337</c:v>
                </c:pt>
                <c:pt idx="198">
                  <c:v>-1.00210283315015</c:v>
                </c:pt>
                <c:pt idx="199">
                  <c:v>-0.99880043803495266</c:v>
                </c:pt>
                <c:pt idx="200">
                  <c:v>-0.99550889987940594</c:v>
                </c:pt>
                <c:pt idx="201">
                  <c:v>-0.99222811210195694</c:v>
                </c:pt>
                <c:pt idx="202">
                  <c:v>-0.98895796962408855</c:v>
                </c:pt>
                <c:pt idx="203">
                  <c:v>-0.98569836884148365</c:v>
                </c:pt>
                <c:pt idx="204">
                  <c:v>-0.98244920759588783</c:v>
                </c:pt>
                <c:pt idx="205">
                  <c:v>-0.97921038514762337</c:v>
                </c:pt>
                <c:pt idx="206">
                  <c:v>-0.97598180214878272</c:v>
                </c:pt>
                <c:pt idx="207">
                  <c:v>-0.97276336061703761</c:v>
                </c:pt>
                <c:pt idx="208">
                  <c:v>-0.96955496391005969</c:v>
                </c:pt>
                <c:pt idx="209">
                  <c:v>-0.96635651670056555</c:v>
                </c:pt>
                <c:pt idx="210">
                  <c:v>-0.96316792495191172</c:v>
                </c:pt>
                <c:pt idx="211">
                  <c:v>-0.95998909589427739</c:v>
                </c:pt>
                <c:pt idx="212">
                  <c:v>-0.95681993800138099</c:v>
                </c:pt>
                <c:pt idx="213">
                  <c:v>-0.95366036096774787</c:v>
                </c:pt>
                <c:pt idx="214">
                  <c:v>-0.95051027568649282</c:v>
                </c:pt>
                <c:pt idx="215">
                  <c:v>-0.94736959422758116</c:v>
                </c:pt>
                <c:pt idx="216">
                  <c:v>-0.94423822981663508</c:v>
                </c:pt>
                <c:pt idx="217">
                  <c:v>-0.94111609681416231</c:v>
                </c:pt>
                <c:pt idx="218">
                  <c:v>-0.93800311069529396</c:v>
                </c:pt>
                <c:pt idx="219">
                  <c:v>-0.93489918802994199</c:v>
                </c:pt>
                <c:pt idx="220">
                  <c:v>-0.93180424646341864</c:v>
                </c:pt>
                <c:pt idx="221">
                  <c:v>-0.9287182046974809</c:v>
                </c:pt>
                <c:pt idx="222">
                  <c:v>-0.92564098247178539</c:v>
                </c:pt>
                <c:pt idx="223">
                  <c:v>-0.92257250054575202</c:v>
                </c:pt>
                <c:pt idx="224">
                  <c:v>-0.9195126806808277</c:v>
                </c:pt>
                <c:pt idx="225">
                  <c:v>-0.91646144562313392</c:v>
                </c:pt>
                <c:pt idx="226">
                  <c:v>-0.91341871908648442</c:v>
                </c:pt>
                <c:pt idx="227">
                  <c:v>-0.91038442573578204</c:v>
                </c:pt>
                <c:pt idx="228">
                  <c:v>-0.90735849117074663</c:v>
                </c:pt>
                <c:pt idx="229">
                  <c:v>-0.90434084191002306</c:v>
                </c:pt>
                <c:pt idx="230">
                  <c:v>-0.90133140537559198</c:v>
                </c:pt>
                <c:pt idx="231">
                  <c:v>-0.89833010987754269</c:v>
                </c:pt>
                <c:pt idx="232">
                  <c:v>-0.89533688459914473</c:v>
                </c:pt>
                <c:pt idx="233">
                  <c:v>-0.89235165958223872</c:v>
                </c:pt>
                <c:pt idx="234">
                  <c:v>-0.88937436571293493</c:v>
                </c:pt>
                <c:pt idx="235">
                  <c:v>-0.88640493470760906</c:v>
                </c:pt>
                <c:pt idx="236">
                  <c:v>-0.88344329909918407</c:v>
                </c:pt>
                <c:pt idx="237">
                  <c:v>-0.88048939222369371</c:v>
                </c:pt>
                <c:pt idx="238">
                  <c:v>-0.87754314820713331</c:v>
                </c:pt>
                <c:pt idx="239">
                  <c:v>-0.87460450195256456</c:v>
                </c:pt>
                <c:pt idx="240">
                  <c:v>-0.87167338912749059</c:v>
                </c:pt>
                <c:pt idx="241">
                  <c:v>-0.86874974615148604</c:v>
                </c:pt>
                <c:pt idx="242">
                  <c:v>-0.86583351018407173</c:v>
                </c:pt>
                <c:pt idx="243">
                  <c:v>-0.86292461911284923</c:v>
                </c:pt>
                <c:pt idx="244">
                  <c:v>-0.86002301154184813</c:v>
                </c:pt>
                <c:pt idx="245">
                  <c:v>-0.85712862678012414</c:v>
                </c:pt>
                <c:pt idx="246">
                  <c:v>-0.85424140483057942</c:v>
                </c:pt>
                <c:pt idx="247">
                  <c:v>-0.85136128637899944</c:v>
                </c:pt>
                <c:pt idx="248">
                  <c:v>-0.84848821278331166</c:v>
                </c:pt>
                <c:pt idx="249">
                  <c:v>-0.84562212606304721</c:v>
                </c:pt>
                <c:pt idx="250">
                  <c:v>-0.84276296888901658</c:v>
                </c:pt>
                <c:pt idx="251">
                  <c:v>-0.83991068457318152</c:v>
                </c:pt>
                <c:pt idx="252">
                  <c:v>-0.83706521705872339</c:v>
                </c:pt>
                <c:pt idx="253">
                  <c:v>-0.83422651091030442</c:v>
                </c:pt>
                <c:pt idx="254">
                  <c:v>-0.83139451130451492</c:v>
                </c:pt>
                <c:pt idx="255">
                  <c:v>-0.82856916402050429</c:v>
                </c:pt>
                <c:pt idx="256">
                  <c:v>-0.82575041543078953</c:v>
                </c:pt>
                <c:pt idx="257">
                  <c:v>-0.82293821249223731</c:v>
                </c:pt>
                <c:pt idx="258">
                  <c:v>-0.82013250273722138</c:v>
                </c:pt>
                <c:pt idx="259">
                  <c:v>-0.81733323426494064</c:v>
                </c:pt>
                <c:pt idx="260">
                  <c:v>-0.81454035573290584</c:v>
                </c:pt>
                <c:pt idx="261">
                  <c:v>-0.81175381634857624</c:v>
                </c:pt>
                <c:pt idx="262">
                  <c:v>-0.80897356586116487</c:v>
                </c:pt>
                <c:pt idx="263">
                  <c:v>-0.80619955455358372</c:v>
                </c:pt>
                <c:pt idx="264">
                  <c:v>-0.80343173323454686</c:v>
                </c:pt>
                <c:pt idx="265">
                  <c:v>-0.80067005323081208</c:v>
                </c:pt>
                <c:pt idx="266">
                  <c:v>-0.79791446637956975</c:v>
                </c:pt>
                <c:pt idx="267">
                  <c:v>-0.79516492502096592</c:v>
                </c:pt>
                <c:pt idx="268">
                  <c:v>-0.79242138199076739</c:v>
                </c:pt>
                <c:pt idx="269">
                  <c:v>-0.7896837906131533</c:v>
                </c:pt>
                <c:pt idx="270">
                  <c:v>-0.78695210469364352</c:v>
                </c:pt>
                <c:pt idx="271">
                  <c:v>-0.78422627851214577</c:v>
                </c:pt>
                <c:pt idx="272">
                  <c:v>-0.78150626681613689</c:v>
                </c:pt>
                <c:pt idx="273">
                  <c:v>-0.77879202481396148</c:v>
                </c:pt>
                <c:pt idx="274">
                  <c:v>-0.77608350816824301</c:v>
                </c:pt>
                <c:pt idx="275">
                  <c:v>-0.77338067298942748</c:v>
                </c:pt>
                <c:pt idx="276">
                  <c:v>-0.77068347582942376</c:v>
                </c:pt>
                <c:pt idx="277">
                  <c:v>-0.76799187367536814</c:v>
                </c:pt>
                <c:pt idx="278">
                  <c:v>-0.76530582394349278</c:v>
                </c:pt>
                <c:pt idx="279">
                  <c:v>-0.76262528447310307</c:v>
                </c:pt>
                <c:pt idx="280">
                  <c:v>-0.75995021352065906</c:v>
                </c:pt>
                <c:pt idx="281">
                  <c:v>-0.7572805697539543</c:v>
                </c:pt>
                <c:pt idx="282">
                  <c:v>-0.75461631224640913</c:v>
                </c:pt>
                <c:pt idx="283">
                  <c:v>-0.75195740047144632</c:v>
                </c:pt>
                <c:pt idx="284">
                  <c:v>-0.74930379429697336</c:v>
                </c:pt>
                <c:pt idx="285">
                  <c:v>-0.74665545397995525</c:v>
                </c:pt>
                <c:pt idx="286">
                  <c:v>-0.74401234016107898</c:v>
                </c:pt>
                <c:pt idx="287">
                  <c:v>-0.74137441385951275</c:v>
                </c:pt>
                <c:pt idx="288">
                  <c:v>-0.73874163646774704</c:v>
                </c:pt>
                <c:pt idx="289">
                  <c:v>-0.73611396974652887</c:v>
                </c:pt>
                <c:pt idx="290">
                  <c:v>-0.73349137581987744</c:v>
                </c:pt>
                <c:pt idx="291">
                  <c:v>-0.73087381717018651</c:v>
                </c:pt>
                <c:pt idx="292">
                  <c:v>-0.7282612566334018</c:v>
                </c:pt>
                <c:pt idx="293">
                  <c:v>-0.72565365739428589</c:v>
                </c:pt>
                <c:pt idx="294">
                  <c:v>-0.72305098298175763</c:v>
                </c:pt>
                <c:pt idx="295">
                  <c:v>-0.72045319726431023</c:v>
                </c:pt>
                <c:pt idx="296">
                  <c:v>-0.71786026444549833</c:v>
                </c:pt>
                <c:pt idx="297">
                  <c:v>-0.71527214905951342</c:v>
                </c:pt>
                <c:pt idx="298">
                  <c:v>-0.71268881596681288</c:v>
                </c:pt>
                <c:pt idx="299">
                  <c:v>-0.71011023034983434</c:v>
                </c:pt>
                <c:pt idx="300">
                  <c:v>-0.7075363577087741</c:v>
                </c:pt>
                <c:pt idx="301">
                  <c:v>-0.70496716385743308</c:v>
                </c:pt>
                <c:pt idx="302">
                  <c:v>-0.70240261491912992</c:v>
                </c:pt>
                <c:pt idx="303">
                  <c:v>-0.69984267732268335</c:v>
                </c:pt>
                <c:pt idx="304">
                  <c:v>-0.69728731779845365</c:v>
                </c:pt>
                <c:pt idx="305">
                  <c:v>-0.69473650337444759</c:v>
                </c:pt>
                <c:pt idx="306">
                  <c:v>-0.69219020137249287</c:v>
                </c:pt>
                <c:pt idx="307">
                  <c:v>-0.68964837940445989</c:v>
                </c:pt>
                <c:pt idx="308">
                  <c:v>-0.68711100536855518</c:v>
                </c:pt>
                <c:pt idx="309">
                  <c:v>-0.68457804744566686</c:v>
                </c:pt>
                <c:pt idx="310">
                  <c:v>-0.68204947409576822</c:v>
                </c:pt>
                <c:pt idx="311">
                  <c:v>-0.67952525405437891</c:v>
                </c:pt>
                <c:pt idx="312">
                  <c:v>-0.67700535632907999</c:v>
                </c:pt>
                <c:pt idx="313">
                  <c:v>-0.67448975019608193</c:v>
                </c:pt>
                <c:pt idx="314">
                  <c:v>-0.6719784051968487</c:v>
                </c:pt>
                <c:pt idx="315">
                  <c:v>-0.66947129113477122</c:v>
                </c:pt>
                <c:pt idx="316">
                  <c:v>-0.66696837807189291</c:v>
                </c:pt>
                <c:pt idx="317">
                  <c:v>-0.66446963632568545</c:v>
                </c:pt>
                <c:pt idx="318">
                  <c:v>-0.6619750364658723</c:v>
                </c:pt>
                <c:pt idx="319">
                  <c:v>-0.65948454931130407</c:v>
                </c:pt>
                <c:pt idx="320">
                  <c:v>-0.65699814592687567</c:v>
                </c:pt>
                <c:pt idx="321">
                  <c:v>-0.65451579762049528</c:v>
                </c:pt>
                <c:pt idx="322">
                  <c:v>-0.65203747594009653</c:v>
                </c:pt>
                <c:pt idx="323">
                  <c:v>-0.64956315267069531</c:v>
                </c:pt>
                <c:pt idx="324">
                  <c:v>-0.64709279983148971</c:v>
                </c:pt>
                <c:pt idx="325">
                  <c:v>-0.644626389673008</c:v>
                </c:pt>
                <c:pt idx="326">
                  <c:v>-0.64216389467429247</c:v>
                </c:pt>
                <c:pt idx="327">
                  <c:v>-0.63970528754012834</c:v>
                </c:pt>
                <c:pt idx="328">
                  <c:v>-0.63725054119831448</c:v>
                </c:pt>
                <c:pt idx="329">
                  <c:v>-0.63479962879697216</c:v>
                </c:pt>
                <c:pt idx="330">
                  <c:v>-0.63235252370189377</c:v>
                </c:pt>
                <c:pt idx="331">
                  <c:v>-0.62990919949393132</c:v>
                </c:pt>
                <c:pt idx="332">
                  <c:v>-0.62746962996642153</c:v>
                </c:pt>
                <c:pt idx="333">
                  <c:v>-0.62503378912265017</c:v>
                </c:pt>
                <c:pt idx="334">
                  <c:v>-0.62260165117335065</c:v>
                </c:pt>
                <c:pt idx="335">
                  <c:v>-0.62017319053424136</c:v>
                </c:pt>
                <c:pt idx="336">
                  <c:v>-0.61774838182359582</c:v>
                </c:pt>
                <c:pt idx="337">
                  <c:v>-0.61532719985985007</c:v>
                </c:pt>
                <c:pt idx="338">
                  <c:v>-0.61290961965924273</c:v>
                </c:pt>
                <c:pt idx="339">
                  <c:v>-0.61049561643348849</c:v>
                </c:pt>
                <c:pt idx="340">
                  <c:v>-0.60808516558748693</c:v>
                </c:pt>
                <c:pt idx="341">
                  <c:v>-0.60567824271705972</c:v>
                </c:pt>
                <c:pt idx="342">
                  <c:v>-0.60327482360672458</c:v>
                </c:pt>
                <c:pt idx="343">
                  <c:v>-0.60087488422749591</c:v>
                </c:pt>
                <c:pt idx="344">
                  <c:v>-0.59847840073472047</c:v>
                </c:pt>
                <c:pt idx="345">
                  <c:v>-0.59608534946593994</c:v>
                </c:pt>
                <c:pt idx="346">
                  <c:v>-0.59369570693878382</c:v>
                </c:pt>
                <c:pt idx="347">
                  <c:v>-0.59130944984889577</c:v>
                </c:pt>
                <c:pt idx="348">
                  <c:v>-0.58892655506788127</c:v>
                </c:pt>
                <c:pt idx="349">
                  <c:v>-0.5865469996412902</c:v>
                </c:pt>
                <c:pt idx="350">
                  <c:v>-0.58417076078662311</c:v>
                </c:pt>
                <c:pt idx="351">
                  <c:v>-0.58179781589136859</c:v>
                </c:pt>
                <c:pt idx="352">
                  <c:v>-0.57942814251106189</c:v>
                </c:pt>
                <c:pt idx="353">
                  <c:v>-0.57706171836737574</c:v>
                </c:pt>
                <c:pt idx="354">
                  <c:v>-0.574698521346235</c:v>
                </c:pt>
                <c:pt idx="355">
                  <c:v>-0.57233852949595398</c:v>
                </c:pt>
                <c:pt idx="356">
                  <c:v>-0.56998172102540456</c:v>
                </c:pt>
                <c:pt idx="357">
                  <c:v>-0.56762807430220341</c:v>
                </c:pt>
                <c:pt idx="358">
                  <c:v>-0.56527756785092831</c:v>
                </c:pt>
                <c:pt idx="359">
                  <c:v>-0.56293018035135345</c:v>
                </c:pt>
                <c:pt idx="360">
                  <c:v>-0.56058589063671327</c:v>
                </c:pt>
                <c:pt idx="361">
                  <c:v>-0.55824467769198549</c:v>
                </c:pt>
                <c:pt idx="362">
                  <c:v>-0.55590652065219914</c:v>
                </c:pt>
                <c:pt idx="363">
                  <c:v>-0.55357139880076323</c:v>
                </c:pt>
                <c:pt idx="364">
                  <c:v>-0.55123929156782003</c:v>
                </c:pt>
                <c:pt idx="365">
                  <c:v>-0.54891017852861668</c:v>
                </c:pt>
                <c:pt idx="366">
                  <c:v>-0.54658403940190015</c:v>
                </c:pt>
                <c:pt idx="367">
                  <c:v>-0.54426085404833446</c:v>
                </c:pt>
                <c:pt idx="368">
                  <c:v>-0.54194060246893416</c:v>
                </c:pt>
                <c:pt idx="369">
                  <c:v>-0.53962326480352163</c:v>
                </c:pt>
                <c:pt idx="370">
                  <c:v>-0.53730882132920532</c:v>
                </c:pt>
                <c:pt idx="371">
                  <c:v>-0.53499725245887308</c:v>
                </c:pt>
                <c:pt idx="372">
                  <c:v>-0.53268853873970945</c:v>
                </c:pt>
                <c:pt idx="373">
                  <c:v>-0.53038266085172847</c:v>
                </c:pt>
                <c:pt idx="374">
                  <c:v>-0.52807959960632822</c:v>
                </c:pt>
                <c:pt idx="375">
                  <c:v>-0.52577933594486148</c:v>
                </c:pt>
                <c:pt idx="376">
                  <c:v>-0.52348185093722488</c:v>
                </c:pt>
                <c:pt idx="377">
                  <c:v>-0.521187125780468</c:v>
                </c:pt>
                <c:pt idx="378">
                  <c:v>-0.51889514179741658</c:v>
                </c:pt>
                <c:pt idx="379">
                  <c:v>-0.51660588043531575</c:v>
                </c:pt>
                <c:pt idx="380">
                  <c:v>-0.51431932326448959</c:v>
                </c:pt>
                <c:pt idx="381">
                  <c:v>-0.51203545197701639</c:v>
                </c:pt>
                <c:pt idx="382">
                  <c:v>-0.50975424838542183</c:v>
                </c:pt>
                <c:pt idx="383">
                  <c:v>-0.50747569442138774</c:v>
                </c:pt>
                <c:pt idx="384">
                  <c:v>-0.50519977213447687</c:v>
                </c:pt>
                <c:pt idx="385">
                  <c:v>-0.50292646369087257</c:v>
                </c:pt>
                <c:pt idx="386">
                  <c:v>-0.50065575137213691</c:v>
                </c:pt>
                <c:pt idx="387">
                  <c:v>-0.49838761757397926</c:v>
                </c:pt>
                <c:pt idx="388">
                  <c:v>-0.49612204480504479</c:v>
                </c:pt>
                <c:pt idx="389">
                  <c:v>-0.49385901568571405</c:v>
                </c:pt>
                <c:pt idx="390">
                  <c:v>-0.49159851294692014</c:v>
                </c:pt>
                <c:pt idx="391">
                  <c:v>-0.48934051942897694</c:v>
                </c:pt>
                <c:pt idx="392">
                  <c:v>-0.48708501808042487</c:v>
                </c:pt>
                <c:pt idx="393">
                  <c:v>-0.48483199195688781</c:v>
                </c:pt>
                <c:pt idx="394">
                  <c:v>-0.4825814242199451</c:v>
                </c:pt>
                <c:pt idx="395">
                  <c:v>-0.48033329813601716</c:v>
                </c:pt>
                <c:pt idx="396">
                  <c:v>-0.47808759707526399</c:v>
                </c:pt>
                <c:pt idx="397">
                  <c:v>-0.47584430451049581</c:v>
                </c:pt>
                <c:pt idx="398">
                  <c:v>-0.47360340401609913</c:v>
                </c:pt>
                <c:pt idx="399">
                  <c:v>-0.47136487926697263</c:v>
                </c:pt>
                <c:pt idx="400">
                  <c:v>-0.4691287140374773</c:v>
                </c:pt>
                <c:pt idx="401">
                  <c:v>-0.46689489220039887</c:v>
                </c:pt>
                <c:pt idx="402">
                  <c:v>-0.46466339772592158</c:v>
                </c:pt>
                <c:pt idx="403">
                  <c:v>-0.46243421468061463</c:v>
                </c:pt>
                <c:pt idx="404">
                  <c:v>-0.46020732722642965</c:v>
                </c:pt>
                <c:pt idx="405">
                  <c:v>-0.45798271961971027</c:v>
                </c:pt>
                <c:pt idx="406">
                  <c:v>-0.45576037621021431</c:v>
                </c:pt>
                <c:pt idx="407">
                  <c:v>-0.45354028144014408</c:v>
                </c:pt>
                <c:pt idx="408">
                  <c:v>-0.45132241984319144</c:v>
                </c:pt>
                <c:pt idx="409">
                  <c:v>-0.44910677604359084</c:v>
                </c:pt>
                <c:pt idx="410">
                  <c:v>-0.44689333475518556</c:v>
                </c:pt>
                <c:pt idx="411">
                  <c:v>-0.44468208078050236</c:v>
                </c:pt>
                <c:pt idx="412">
                  <c:v>-0.44247299900983833</c:v>
                </c:pt>
                <c:pt idx="413">
                  <c:v>-0.44026607442035703</c:v>
                </c:pt>
                <c:pt idx="414">
                  <c:v>-0.43806129207519545</c:v>
                </c:pt>
                <c:pt idx="415">
                  <c:v>-0.43585863712258077</c:v>
                </c:pt>
                <c:pt idx="416">
                  <c:v>-0.43365809479495632</c:v>
                </c:pt>
                <c:pt idx="417">
                  <c:v>-0.43145965040811818</c:v>
                </c:pt>
                <c:pt idx="418">
                  <c:v>-0.42926328936036173</c:v>
                </c:pt>
                <c:pt idx="419">
                  <c:v>-0.42706899713163576</c:v>
                </c:pt>
                <c:pt idx="420">
                  <c:v>-0.42487675928270802</c:v>
                </c:pt>
                <c:pt idx="421">
                  <c:v>-0.42268656145433925</c:v>
                </c:pt>
                <c:pt idx="422">
                  <c:v>-0.42049838936646489</c:v>
                </c:pt>
                <c:pt idx="423">
                  <c:v>-0.41831222881738783</c:v>
                </c:pt>
                <c:pt idx="424">
                  <c:v>-0.41612806568297905</c:v>
                </c:pt>
                <c:pt idx="425">
                  <c:v>-0.41394588591588732</c:v>
                </c:pt>
                <c:pt idx="426">
                  <c:v>-0.41176567554475518</c:v>
                </c:pt>
                <c:pt idx="427">
                  <c:v>-0.40958742067344739</c:v>
                </c:pt>
                <c:pt idx="428">
                  <c:v>-0.40741110748028431</c:v>
                </c:pt>
                <c:pt idx="429">
                  <c:v>-0.40523672221728529</c:v>
                </c:pt>
                <c:pt idx="430">
                  <c:v>-0.40306425120941847</c:v>
                </c:pt>
                <c:pt idx="431">
                  <c:v>-0.40089368085386107</c:v>
                </c:pt>
                <c:pt idx="432">
                  <c:v>-0.39872499761926478</c:v>
                </c:pt>
                <c:pt idx="433">
                  <c:v>-0.39655818804503096</c:v>
                </c:pt>
                <c:pt idx="434">
                  <c:v>-0.39439323874059246</c:v>
                </c:pt>
                <c:pt idx="435">
                  <c:v>-0.39223013638470289</c:v>
                </c:pt>
                <c:pt idx="436">
                  <c:v>-0.39006886772473359</c:v>
                </c:pt>
                <c:pt idx="437">
                  <c:v>-0.38790941957597869</c:v>
                </c:pt>
                <c:pt idx="438">
                  <c:v>-0.38575177882096578</c:v>
                </c:pt>
                <c:pt idx="439">
                  <c:v>-0.38359593240877499</c:v>
                </c:pt>
                <c:pt idx="440">
                  <c:v>-0.38144186735436381</c:v>
                </c:pt>
                <c:pt idx="441">
                  <c:v>-0.3792895707379012</c:v>
                </c:pt>
                <c:pt idx="442">
                  <c:v>-0.3771390297041054</c:v>
                </c:pt>
                <c:pt idx="443">
                  <c:v>-0.37499023146159088</c:v>
                </c:pt>
                <c:pt idx="444">
                  <c:v>-0.37284316328222122</c:v>
                </c:pt>
                <c:pt idx="445">
                  <c:v>-0.37069781250046735</c:v>
                </c:pt>
                <c:pt idx="446">
                  <c:v>-0.36855416651277412</c:v>
                </c:pt>
                <c:pt idx="447">
                  <c:v>-0.36641221277693303</c:v>
                </c:pt>
                <c:pt idx="448">
                  <c:v>-0.36427193881145892</c:v>
                </c:pt>
                <c:pt idx="449">
                  <c:v>-0.36213333219497562</c:v>
                </c:pt>
                <c:pt idx="450">
                  <c:v>-0.35999638056560684</c:v>
                </c:pt>
                <c:pt idx="451">
                  <c:v>-0.35786107162037184</c:v>
                </c:pt>
                <c:pt idx="452">
                  <c:v>-0.35572739311458912</c:v>
                </c:pt>
                <c:pt idx="453">
                  <c:v>-0.35359533286128414</c:v>
                </c:pt>
                <c:pt idx="454">
                  <c:v>-0.35146487873060422</c:v>
                </c:pt>
                <c:pt idx="455">
                  <c:v>-0.34933601864923775</c:v>
                </c:pt>
                <c:pt idx="456">
                  <c:v>-0.3472087405998403</c:v>
                </c:pt>
                <c:pt idx="457">
                  <c:v>-0.34508303262046608</c:v>
                </c:pt>
                <c:pt idx="458">
                  <c:v>-0.34295888280400344</c:v>
                </c:pt>
                <c:pt idx="459">
                  <c:v>-0.34083627929761778</c:v>
                </c:pt>
                <c:pt idx="460">
                  <c:v>-0.33871521030219887</c:v>
                </c:pt>
                <c:pt idx="461">
                  <c:v>-0.33659566407181285</c:v>
                </c:pt>
                <c:pt idx="462">
                  <c:v>-0.33447762891316019</c:v>
                </c:pt>
                <c:pt idx="463">
                  <c:v>-0.33236109318503904</c:v>
                </c:pt>
                <c:pt idx="464">
                  <c:v>-0.3302460452978121</c:v>
                </c:pt>
                <c:pt idx="465">
                  <c:v>-0.32813247371288057</c:v>
                </c:pt>
                <c:pt idx="466">
                  <c:v>-0.32602036694216147</c:v>
                </c:pt>
                <c:pt idx="467">
                  <c:v>-0.32390971354756987</c:v>
                </c:pt>
                <c:pt idx="468">
                  <c:v>-0.32180050214050659</c:v>
                </c:pt>
                <c:pt idx="469">
                  <c:v>-0.31969272138135096</c:v>
                </c:pt>
                <c:pt idx="470">
                  <c:v>-0.31758635997895618</c:v>
                </c:pt>
                <c:pt idx="471">
                  <c:v>-0.31548140669015162</c:v>
                </c:pt>
                <c:pt idx="472">
                  <c:v>-0.31337785031924825</c:v>
                </c:pt>
                <c:pt idx="473">
                  <c:v>-0.3112756797175496</c:v>
                </c:pt>
                <c:pt idx="474">
                  <c:v>-0.30917488378286528</c:v>
                </c:pt>
                <c:pt idx="475">
                  <c:v>-0.30707545145903087</c:v>
                </c:pt>
                <c:pt idx="476">
                  <c:v>-0.30497737173543138</c:v>
                </c:pt>
                <c:pt idx="477">
                  <c:v>-0.30288063364652795</c:v>
                </c:pt>
                <c:pt idx="478">
                  <c:v>-0.30078522627139009</c:v>
                </c:pt>
                <c:pt idx="479">
                  <c:v>-0.29869113873323189</c:v>
                </c:pt>
                <c:pt idx="480">
                  <c:v>-0.29659836019895114</c:v>
                </c:pt>
                <c:pt idx="481">
                  <c:v>-0.2945068798786733</c:v>
                </c:pt>
                <c:pt idx="482">
                  <c:v>-0.29241668702530038</c:v>
                </c:pt>
                <c:pt idx="483">
                  <c:v>-0.29032777093406098</c:v>
                </c:pt>
                <c:pt idx="484">
                  <c:v>-0.28824012094206697</c:v>
                </c:pt>
                <c:pt idx="485">
                  <c:v>-0.28615372642787296</c:v>
                </c:pt>
                <c:pt idx="486">
                  <c:v>-0.2840685768110387</c:v>
                </c:pt>
                <c:pt idx="487">
                  <c:v>-0.28198466155169616</c:v>
                </c:pt>
                <c:pt idx="488">
                  <c:v>-0.27990197015012003</c:v>
                </c:pt>
                <c:pt idx="489">
                  <c:v>-0.27782049214630206</c:v>
                </c:pt>
                <c:pt idx="490">
                  <c:v>-0.27574021711952784</c:v>
                </c:pt>
                <c:pt idx="491">
                  <c:v>-0.27366113468795827</c:v>
                </c:pt>
                <c:pt idx="492">
                  <c:v>-0.27158323450821464</c:v>
                </c:pt>
                <c:pt idx="493">
                  <c:v>-0.26950650627496547</c:v>
                </c:pt>
                <c:pt idx="494">
                  <c:v>-0.26743093972051812</c:v>
                </c:pt>
                <c:pt idx="495">
                  <c:v>-0.26535652461441417</c:v>
                </c:pt>
                <c:pt idx="496">
                  <c:v>-0.26328325076302611</c:v>
                </c:pt>
                <c:pt idx="497">
                  <c:v>-0.26121110800915892</c:v>
                </c:pt>
                <c:pt idx="498">
                  <c:v>-0.25914008623165485</c:v>
                </c:pt>
                <c:pt idx="499">
                  <c:v>-0.25707017534499943</c:v>
                </c:pt>
                <c:pt idx="500">
                  <c:v>-0.25500136529893319</c:v>
                </c:pt>
                <c:pt idx="501">
                  <c:v>-0.25293364607806496</c:v>
                </c:pt>
                <c:pt idx="502">
                  <c:v>-0.25086700770148768</c:v>
                </c:pt>
                <c:pt idx="503">
                  <c:v>-0.24880144022239872</c:v>
                </c:pt>
                <c:pt idx="504">
                  <c:v>-0.24673693372772171</c:v>
                </c:pt>
                <c:pt idx="505">
                  <c:v>-0.24467347833773251</c:v>
                </c:pt>
                <c:pt idx="506">
                  <c:v>-0.24261106420568665</c:v>
                </c:pt>
                <c:pt idx="507">
                  <c:v>-0.2405496815174506</c:v>
                </c:pt>
                <c:pt idx="508">
                  <c:v>-0.23848932049113589</c:v>
                </c:pt>
                <c:pt idx="509">
                  <c:v>-0.23642997137673497</c:v>
                </c:pt>
                <c:pt idx="510">
                  <c:v>-0.23437162445576049</c:v>
                </c:pt>
                <c:pt idx="511">
                  <c:v>-0.23231427004088778</c:v>
                </c:pt>
                <c:pt idx="512">
                  <c:v>-0.23025789847559838</c:v>
                </c:pt>
                <c:pt idx="513">
                  <c:v>-0.22820250013382753</c:v>
                </c:pt>
                <c:pt idx="514">
                  <c:v>-0.22614806541961399</c:v>
                </c:pt>
                <c:pt idx="515">
                  <c:v>-0.22409458476675168</c:v>
                </c:pt>
                <c:pt idx="516">
                  <c:v>-0.22204204863844443</c:v>
                </c:pt>
                <c:pt idx="517">
                  <c:v>-0.21999044752696323</c:v>
                </c:pt>
                <c:pt idx="518">
                  <c:v>-0.21793977195330541</c:v>
                </c:pt>
                <c:pt idx="519">
                  <c:v>-0.21589001246685627</c:v>
                </c:pt>
                <c:pt idx="520">
                  <c:v>-0.21384115964505368</c:v>
                </c:pt>
                <c:pt idx="521">
                  <c:v>-0.21179320409305458</c:v>
                </c:pt>
                <c:pt idx="522">
                  <c:v>-0.20974613644340317</c:v>
                </c:pt>
                <c:pt idx="523">
                  <c:v>-0.20769994735570219</c:v>
                </c:pt>
                <c:pt idx="524">
                  <c:v>-0.20565462751628658</c:v>
                </c:pt>
                <c:pt idx="525">
                  <c:v>-0.20361016763789802</c:v>
                </c:pt>
                <c:pt idx="526">
                  <c:v>-0.201566558459363</c:v>
                </c:pt>
                <c:pt idx="527">
                  <c:v>-0.19952379074527271</c:v>
                </c:pt>
                <c:pt idx="528">
                  <c:v>-0.19748185528566406</c:v>
                </c:pt>
                <c:pt idx="529">
                  <c:v>-0.19544074289570396</c:v>
                </c:pt>
                <c:pt idx="530">
                  <c:v>-0.19340044441537538</c:v>
                </c:pt>
                <c:pt idx="531">
                  <c:v>-0.19136095070916465</c:v>
                </c:pt>
                <c:pt idx="532">
                  <c:v>-0.18932225266575139</c:v>
                </c:pt>
                <c:pt idx="533">
                  <c:v>-0.1872843411977009</c:v>
                </c:pt>
                <c:pt idx="534">
                  <c:v>-0.18524720724115676</c:v>
                </c:pt>
                <c:pt idx="535">
                  <c:v>-0.18321084175553715</c:v>
                </c:pt>
                <c:pt idx="536">
                  <c:v>-0.1811752357232323</c:v>
                </c:pt>
                <c:pt idx="537">
                  <c:v>-0.17914038014930314</c:v>
                </c:pt>
                <c:pt idx="538">
                  <c:v>-0.17710626606118277</c:v>
                </c:pt>
                <c:pt idx="539">
                  <c:v>-0.17507288450837902</c:v>
                </c:pt>
                <c:pt idx="540">
                  <c:v>-0.17304022656217968</c:v>
                </c:pt>
                <c:pt idx="541">
                  <c:v>-0.17100828331535786</c:v>
                </c:pt>
                <c:pt idx="542">
                  <c:v>-0.16897704588188017</c:v>
                </c:pt>
                <c:pt idx="543">
                  <c:v>-0.16694650539661729</c:v>
                </c:pt>
                <c:pt idx="544">
                  <c:v>-0.1649166530150539</c:v>
                </c:pt>
                <c:pt idx="545">
                  <c:v>-0.16288747991300231</c:v>
                </c:pt>
                <c:pt idx="546">
                  <c:v>-0.16085897728631737</c:v>
                </c:pt>
                <c:pt idx="547">
                  <c:v>-0.15883113635061158</c:v>
                </c:pt>
                <c:pt idx="548">
                  <c:v>-0.15680394834097308</c:v>
                </c:pt>
                <c:pt idx="549">
                  <c:v>-0.15477740451168545</c:v>
                </c:pt>
                <c:pt idx="550">
                  <c:v>-0.15275149613594721</c:v>
                </c:pt>
                <c:pt idx="551">
                  <c:v>-0.1507262145055944</c:v>
                </c:pt>
                <c:pt idx="552">
                  <c:v>-0.14870155093082474</c:v>
                </c:pt>
                <c:pt idx="553">
                  <c:v>-0.14667749673992131</c:v>
                </c:pt>
                <c:pt idx="554">
                  <c:v>-0.14465404327897993</c:v>
                </c:pt>
                <c:pt idx="555">
                  <c:v>-0.14263118191163637</c:v>
                </c:pt>
                <c:pt idx="556">
                  <c:v>-0.14060890401879589</c:v>
                </c:pt>
                <c:pt idx="557">
                  <c:v>-0.13858720099836302</c:v>
                </c:pt>
                <c:pt idx="558">
                  <c:v>-0.13656606426497364</c:v>
                </c:pt>
                <c:pt idx="559">
                  <c:v>-0.13454548524972815</c:v>
                </c:pt>
                <c:pt idx="560">
                  <c:v>-0.13252545539992522</c:v>
                </c:pt>
                <c:pt idx="561">
                  <c:v>-0.13050596617879759</c:v>
                </c:pt>
                <c:pt idx="562">
                  <c:v>-0.12848700906524904</c:v>
                </c:pt>
                <c:pt idx="563">
                  <c:v>-0.12646857555359156</c:v>
                </c:pt>
                <c:pt idx="564">
                  <c:v>-0.12445065715328503</c:v>
                </c:pt>
                <c:pt idx="565">
                  <c:v>-0.12243324538867745</c:v>
                </c:pt>
                <c:pt idx="566">
                  <c:v>-0.12041633179874589</c:v>
                </c:pt>
                <c:pt idx="567">
                  <c:v>-0.11839990793683908</c:v>
                </c:pt>
                <c:pt idx="568">
                  <c:v>-0.11638396537042145</c:v>
                </c:pt>
                <c:pt idx="569">
                  <c:v>-0.11436849568081703</c:v>
                </c:pt>
                <c:pt idx="570">
                  <c:v>-0.11235349046295551</c:v>
                </c:pt>
                <c:pt idx="571">
                  <c:v>-0.11033894132511878</c:v>
                </c:pt>
                <c:pt idx="572">
                  <c:v>-0.10832483988868906</c:v>
                </c:pt>
                <c:pt idx="573">
                  <c:v>-0.10631117778789692</c:v>
                </c:pt>
                <c:pt idx="574">
                  <c:v>-0.10429794666957114</c:v>
                </c:pt>
                <c:pt idx="575">
                  <c:v>-0.10228513819288991</c:v>
                </c:pt>
                <c:pt idx="576">
                  <c:v>-0.10027274402913136</c:v>
                </c:pt>
                <c:pt idx="577">
                  <c:v>-9.8260755861426574E-2</c:v>
                </c:pt>
                <c:pt idx="578">
                  <c:v>-9.6249165384513127E-2</c:v>
                </c:pt>
                <c:pt idx="579">
                  <c:v>-9.4237964304488581E-2</c:v>
                </c:pt>
                <c:pt idx="580">
                  <c:v>-9.2227144338565867E-2</c:v>
                </c:pt>
                <c:pt idx="581">
                  <c:v>-9.0216697214829542E-2</c:v>
                </c:pt>
                <c:pt idx="582">
                  <c:v>-8.8206614671991687E-2</c:v>
                </c:pt>
                <c:pt idx="583">
                  <c:v>-8.6196888459149704E-2</c:v>
                </c:pt>
                <c:pt idx="584">
                  <c:v>-8.4187510335545057E-2</c:v>
                </c:pt>
                <c:pt idx="585">
                  <c:v>-8.2178472070321293E-2</c:v>
                </c:pt>
                <c:pt idx="586">
                  <c:v>-8.0169765442284449E-2</c:v>
                </c:pt>
                <c:pt idx="587">
                  <c:v>-7.8161382239663096E-2</c:v>
                </c:pt>
                <c:pt idx="588">
                  <c:v>-7.6153314259870111E-2</c:v>
                </c:pt>
                <c:pt idx="589">
                  <c:v>-7.4145553309263604E-2</c:v>
                </c:pt>
                <c:pt idx="590">
                  <c:v>-7.2138091202909815E-2</c:v>
                </c:pt>
                <c:pt idx="591">
                  <c:v>-7.0130919764346697E-2</c:v>
                </c:pt>
                <c:pt idx="592">
                  <c:v>-6.812403082534671E-2</c:v>
                </c:pt>
                <c:pt idx="593">
                  <c:v>-6.6117416225681749E-2</c:v>
                </c:pt>
                <c:pt idx="594">
                  <c:v>-6.411106781288832E-2</c:v>
                </c:pt>
                <c:pt idx="595">
                  <c:v>-6.2104977442032354E-2</c:v>
                </c:pt>
                <c:pt idx="596">
                  <c:v>-6.0099136975475621E-2</c:v>
                </c:pt>
                <c:pt idx="597">
                  <c:v>-5.8093538282642784E-2</c:v>
                </c:pt>
                <c:pt idx="598">
                  <c:v>-5.6088173239787632E-2</c:v>
                </c:pt>
                <c:pt idx="599">
                  <c:v>-5.4083033729761192E-2</c:v>
                </c:pt>
                <c:pt idx="600">
                  <c:v>-5.207811164178016E-2</c:v>
                </c:pt>
                <c:pt idx="601">
                  <c:v>-5.0073398871194746E-2</c:v>
                </c:pt>
                <c:pt idx="602">
                  <c:v>-4.8068887319258131E-2</c:v>
                </c:pt>
                <c:pt idx="603">
                  <c:v>-4.6064568892895778E-2</c:v>
                </c:pt>
                <c:pt idx="604">
                  <c:v>-4.4060435504475734E-2</c:v>
                </c:pt>
                <c:pt idx="605">
                  <c:v>-4.2056479071578133E-2</c:v>
                </c:pt>
                <c:pt idx="606">
                  <c:v>-4.0052691516766249E-2</c:v>
                </c:pt>
                <c:pt idx="607">
                  <c:v>-3.8049064767357928E-2</c:v>
                </c:pt>
                <c:pt idx="608">
                  <c:v>-3.6045590755196096E-2</c:v>
                </c:pt>
                <c:pt idx="609">
                  <c:v>-3.4042261416420902E-2</c:v>
                </c:pt>
                <c:pt idx="610">
                  <c:v>-3.2039068691242081E-2</c:v>
                </c:pt>
                <c:pt idx="611">
                  <c:v>-3.0036004523710504E-2</c:v>
                </c:pt>
                <c:pt idx="612">
                  <c:v>-2.803306086149111E-2</c:v>
                </c:pt>
                <c:pt idx="613">
                  <c:v>-2.60302296556362E-2</c:v>
                </c:pt>
                <c:pt idx="614">
                  <c:v>-2.4027502860357687E-2</c:v>
                </c:pt>
                <c:pt idx="615">
                  <c:v>-2.2024872432800827E-2</c:v>
                </c:pt>
                <c:pt idx="616">
                  <c:v>-2.0022330332818215E-2</c:v>
                </c:pt>
                <c:pt idx="617">
                  <c:v>-1.8019868522742614E-2</c:v>
                </c:pt>
                <c:pt idx="618">
                  <c:v>-1.6017478967161485E-2</c:v>
                </c:pt>
                <c:pt idx="619">
                  <c:v>-1.4015153632690777E-2</c:v>
                </c:pt>
                <c:pt idx="620">
                  <c:v>-1.2012884487749675E-2</c:v>
                </c:pt>
                <c:pt idx="621">
                  <c:v>-1.0010663502334174E-2</c:v>
                </c:pt>
                <c:pt idx="622">
                  <c:v>-8.0084826477919268E-3</c:v>
                </c:pt>
                <c:pt idx="623">
                  <c:v>-6.00633389659726E-3</c:v>
                </c:pt>
                <c:pt idx="624">
                  <c:v>-4.0042092221249702E-3</c:v>
                </c:pt>
                <c:pt idx="625">
                  <c:v>-2.0021005984254773E-3</c:v>
                </c:pt>
                <c:pt idx="626">
                  <c:v>0</c:v>
                </c:pt>
                <c:pt idx="627">
                  <c:v>2.0021005984254773E-3</c:v>
                </c:pt>
                <c:pt idx="628">
                  <c:v>4.0042092221248314E-3</c:v>
                </c:pt>
                <c:pt idx="629">
                  <c:v>6.0063338965971203E-3</c:v>
                </c:pt>
                <c:pt idx="630">
                  <c:v>8.0084826477920673E-3</c:v>
                </c:pt>
                <c:pt idx="631">
                  <c:v>1.0010663502334174E-2</c:v>
                </c:pt>
                <c:pt idx="632">
                  <c:v>1.2012884487749675E-2</c:v>
                </c:pt>
                <c:pt idx="633">
                  <c:v>1.4015153632690777E-2</c:v>
                </c:pt>
                <c:pt idx="634">
                  <c:v>1.6017478967161349E-2</c:v>
                </c:pt>
                <c:pt idx="635">
                  <c:v>1.8019868522742476E-2</c:v>
                </c:pt>
                <c:pt idx="636">
                  <c:v>2.0022330332818358E-2</c:v>
                </c:pt>
                <c:pt idx="637">
                  <c:v>2.202487243280097E-2</c:v>
                </c:pt>
                <c:pt idx="638">
                  <c:v>2.4027502860357687E-2</c:v>
                </c:pt>
                <c:pt idx="639">
                  <c:v>2.60302296556362E-2</c:v>
                </c:pt>
                <c:pt idx="640">
                  <c:v>2.803306086149111E-2</c:v>
                </c:pt>
                <c:pt idx="641">
                  <c:v>3.0036004523710365E-2</c:v>
                </c:pt>
                <c:pt idx="642">
                  <c:v>3.203906869124222E-2</c:v>
                </c:pt>
                <c:pt idx="643">
                  <c:v>3.4042261416421041E-2</c:v>
                </c:pt>
                <c:pt idx="644">
                  <c:v>3.6045590755196096E-2</c:v>
                </c:pt>
                <c:pt idx="645">
                  <c:v>3.8049064767357928E-2</c:v>
                </c:pt>
                <c:pt idx="646">
                  <c:v>4.0052691516766249E-2</c:v>
                </c:pt>
                <c:pt idx="647">
                  <c:v>4.2056479071577994E-2</c:v>
                </c:pt>
                <c:pt idx="648">
                  <c:v>4.4060435504475588E-2</c:v>
                </c:pt>
                <c:pt idx="649">
                  <c:v>4.6064568892895917E-2</c:v>
                </c:pt>
                <c:pt idx="650">
                  <c:v>4.8068887319258131E-2</c:v>
                </c:pt>
                <c:pt idx="651">
                  <c:v>5.0073398871194746E-2</c:v>
                </c:pt>
                <c:pt idx="652">
                  <c:v>5.207811164178016E-2</c:v>
                </c:pt>
                <c:pt idx="653">
                  <c:v>5.4083033729761192E-2</c:v>
                </c:pt>
                <c:pt idx="654">
                  <c:v>5.6088173239787487E-2</c:v>
                </c:pt>
                <c:pt idx="655">
                  <c:v>5.8093538282642923E-2</c:v>
                </c:pt>
                <c:pt idx="656">
                  <c:v>6.009913697547576E-2</c:v>
                </c:pt>
                <c:pt idx="657">
                  <c:v>6.2104977442032354E-2</c:v>
                </c:pt>
                <c:pt idx="658">
                  <c:v>6.411106781288832E-2</c:v>
                </c:pt>
                <c:pt idx="659">
                  <c:v>6.6117416225681749E-2</c:v>
                </c:pt>
                <c:pt idx="660">
                  <c:v>6.8124030825346571E-2</c:v>
                </c:pt>
                <c:pt idx="661">
                  <c:v>7.0130919764346544E-2</c:v>
                </c:pt>
                <c:pt idx="662">
                  <c:v>7.2138091202909954E-2</c:v>
                </c:pt>
                <c:pt idx="663">
                  <c:v>7.4145553309263604E-2</c:v>
                </c:pt>
                <c:pt idx="664">
                  <c:v>7.6153314259870111E-2</c:v>
                </c:pt>
                <c:pt idx="665">
                  <c:v>7.8161382239663096E-2</c:v>
                </c:pt>
                <c:pt idx="666">
                  <c:v>8.0169765442284296E-2</c:v>
                </c:pt>
                <c:pt idx="667">
                  <c:v>8.2178472070321154E-2</c:v>
                </c:pt>
                <c:pt idx="668">
                  <c:v>8.4187510335545196E-2</c:v>
                </c:pt>
                <c:pt idx="669">
                  <c:v>8.619688845914987E-2</c:v>
                </c:pt>
                <c:pt idx="670">
                  <c:v>8.8206614671991687E-2</c:v>
                </c:pt>
                <c:pt idx="671">
                  <c:v>9.0216697214829542E-2</c:v>
                </c:pt>
                <c:pt idx="672">
                  <c:v>9.2227144338565867E-2</c:v>
                </c:pt>
                <c:pt idx="673">
                  <c:v>9.4237964304488456E-2</c:v>
                </c:pt>
                <c:pt idx="674">
                  <c:v>9.6249165384513266E-2</c:v>
                </c:pt>
                <c:pt idx="675">
                  <c:v>9.8260755861426727E-2</c:v>
                </c:pt>
                <c:pt idx="676">
                  <c:v>0.10027274402913136</c:v>
                </c:pt>
                <c:pt idx="677">
                  <c:v>0.10228513819288991</c:v>
                </c:pt>
                <c:pt idx="678">
                  <c:v>0.10429794666957114</c:v>
                </c:pt>
                <c:pt idx="679">
                  <c:v>0.10631117778789677</c:v>
                </c:pt>
                <c:pt idx="680">
                  <c:v>0.10832483988868892</c:v>
                </c:pt>
                <c:pt idx="681">
                  <c:v>0.11033894132511891</c:v>
                </c:pt>
                <c:pt idx="682">
                  <c:v>0.11235349046295551</c:v>
                </c:pt>
                <c:pt idx="683">
                  <c:v>0.11436849568081703</c:v>
                </c:pt>
                <c:pt idx="684">
                  <c:v>0.11638396537042145</c:v>
                </c:pt>
                <c:pt idx="685">
                  <c:v>0.11839990793683908</c:v>
                </c:pt>
                <c:pt idx="686">
                  <c:v>0.12041633179874577</c:v>
                </c:pt>
                <c:pt idx="687">
                  <c:v>0.1224332453886776</c:v>
                </c:pt>
                <c:pt idx="688">
                  <c:v>0.12445065715328515</c:v>
                </c:pt>
                <c:pt idx="689">
                  <c:v>0.12646857555359156</c:v>
                </c:pt>
                <c:pt idx="690">
                  <c:v>0.12848700906524904</c:v>
                </c:pt>
                <c:pt idx="691">
                  <c:v>0.13050596617879759</c:v>
                </c:pt>
                <c:pt idx="692">
                  <c:v>0.13252545539992511</c:v>
                </c:pt>
                <c:pt idx="693">
                  <c:v>0.13454548524972801</c:v>
                </c:pt>
                <c:pt idx="694">
                  <c:v>0.13656606426497375</c:v>
                </c:pt>
                <c:pt idx="695">
                  <c:v>0.13858720099836302</c:v>
                </c:pt>
                <c:pt idx="696">
                  <c:v>0.14060890401879589</c:v>
                </c:pt>
                <c:pt idx="697">
                  <c:v>0.14263118191163637</c:v>
                </c:pt>
                <c:pt idx="698">
                  <c:v>0.14465404327897979</c:v>
                </c:pt>
                <c:pt idx="699">
                  <c:v>0.14667749673992117</c:v>
                </c:pt>
                <c:pt idx="700">
                  <c:v>0.14870155093082485</c:v>
                </c:pt>
                <c:pt idx="701">
                  <c:v>0.15072621450559454</c:v>
                </c:pt>
                <c:pt idx="702">
                  <c:v>0.15275149613594721</c:v>
                </c:pt>
                <c:pt idx="703">
                  <c:v>0.15477740451168545</c:v>
                </c:pt>
                <c:pt idx="704">
                  <c:v>0.15680394834097308</c:v>
                </c:pt>
                <c:pt idx="705">
                  <c:v>0.15883113635061141</c:v>
                </c:pt>
                <c:pt idx="706">
                  <c:v>0.16085897728631751</c:v>
                </c:pt>
                <c:pt idx="707">
                  <c:v>0.16288747991300248</c:v>
                </c:pt>
                <c:pt idx="708">
                  <c:v>0.1649166530150539</c:v>
                </c:pt>
                <c:pt idx="709">
                  <c:v>0.16694650539661729</c:v>
                </c:pt>
                <c:pt idx="710">
                  <c:v>0.16897704588188017</c:v>
                </c:pt>
                <c:pt idx="711">
                  <c:v>0.17100828331535772</c:v>
                </c:pt>
                <c:pt idx="712">
                  <c:v>0.17304022656217957</c:v>
                </c:pt>
                <c:pt idx="713">
                  <c:v>0.17507288450837918</c:v>
                </c:pt>
                <c:pt idx="714">
                  <c:v>0.17710626606118277</c:v>
                </c:pt>
                <c:pt idx="715">
                  <c:v>0.17914038014930314</c:v>
                </c:pt>
                <c:pt idx="716">
                  <c:v>0.1811752357232323</c:v>
                </c:pt>
                <c:pt idx="717">
                  <c:v>0.18321084175553715</c:v>
                </c:pt>
                <c:pt idx="718">
                  <c:v>0.18524720724115665</c:v>
                </c:pt>
                <c:pt idx="719">
                  <c:v>0.18728434119770102</c:v>
                </c:pt>
                <c:pt idx="720">
                  <c:v>0.18932225266575156</c:v>
                </c:pt>
                <c:pt idx="721">
                  <c:v>0.19136095070916465</c:v>
                </c:pt>
                <c:pt idx="722">
                  <c:v>0.19340044441537538</c:v>
                </c:pt>
                <c:pt idx="723">
                  <c:v>0.19544074289570396</c:v>
                </c:pt>
                <c:pt idx="724">
                  <c:v>0.19748185528566395</c:v>
                </c:pt>
                <c:pt idx="725">
                  <c:v>0.19952379074527257</c:v>
                </c:pt>
                <c:pt idx="726">
                  <c:v>0.20156655845936317</c:v>
                </c:pt>
                <c:pt idx="727">
                  <c:v>0.20361016763789802</c:v>
                </c:pt>
                <c:pt idx="728">
                  <c:v>0.20565462751628658</c:v>
                </c:pt>
                <c:pt idx="729">
                  <c:v>0.20769994735570219</c:v>
                </c:pt>
                <c:pt idx="730">
                  <c:v>0.20974613644340301</c:v>
                </c:pt>
                <c:pt idx="731">
                  <c:v>0.21179320409305447</c:v>
                </c:pt>
                <c:pt idx="732">
                  <c:v>0.21384115964505382</c:v>
                </c:pt>
                <c:pt idx="733">
                  <c:v>0.21589001246685627</c:v>
                </c:pt>
                <c:pt idx="734">
                  <c:v>0.21793977195330541</c:v>
                </c:pt>
                <c:pt idx="735">
                  <c:v>0.21999044752696323</c:v>
                </c:pt>
                <c:pt idx="736">
                  <c:v>0.22204204863844443</c:v>
                </c:pt>
                <c:pt idx="737">
                  <c:v>0.22409458476675156</c:v>
                </c:pt>
                <c:pt idx="738">
                  <c:v>0.2261480654196141</c:v>
                </c:pt>
                <c:pt idx="739">
                  <c:v>0.22820250013382765</c:v>
                </c:pt>
                <c:pt idx="740">
                  <c:v>0.23025789847559838</c:v>
                </c:pt>
                <c:pt idx="741">
                  <c:v>0.23231427004088778</c:v>
                </c:pt>
                <c:pt idx="742">
                  <c:v>0.23437162445576049</c:v>
                </c:pt>
                <c:pt idx="743">
                  <c:v>0.23642997137673485</c:v>
                </c:pt>
                <c:pt idx="744">
                  <c:v>0.23848932049113575</c:v>
                </c:pt>
                <c:pt idx="745">
                  <c:v>0.24054968151745071</c:v>
                </c:pt>
                <c:pt idx="746">
                  <c:v>0.24261106420568665</c:v>
                </c:pt>
                <c:pt idx="747">
                  <c:v>0.24467347833773251</c:v>
                </c:pt>
                <c:pt idx="748">
                  <c:v>0.24673693372772171</c:v>
                </c:pt>
                <c:pt idx="749">
                  <c:v>0.24880144022239856</c:v>
                </c:pt>
                <c:pt idx="750">
                  <c:v>0.25086700770148757</c:v>
                </c:pt>
                <c:pt idx="751">
                  <c:v>0.25293364607806507</c:v>
                </c:pt>
                <c:pt idx="752">
                  <c:v>0.25500136529893336</c:v>
                </c:pt>
                <c:pt idx="753">
                  <c:v>0.25707017534499943</c:v>
                </c:pt>
                <c:pt idx="754">
                  <c:v>0.25914008623165485</c:v>
                </c:pt>
                <c:pt idx="755">
                  <c:v>0.26121110800915892</c:v>
                </c:pt>
                <c:pt idx="756">
                  <c:v>0.26328325076302594</c:v>
                </c:pt>
                <c:pt idx="757">
                  <c:v>0.26535652461441434</c:v>
                </c:pt>
                <c:pt idx="758">
                  <c:v>0.26743093972051823</c:v>
                </c:pt>
                <c:pt idx="759">
                  <c:v>0.26950650627496547</c:v>
                </c:pt>
                <c:pt idx="760">
                  <c:v>0.27158323450821464</c:v>
                </c:pt>
                <c:pt idx="761">
                  <c:v>0.27366113468795827</c:v>
                </c:pt>
                <c:pt idx="762">
                  <c:v>0.27574021711952768</c:v>
                </c:pt>
                <c:pt idx="763">
                  <c:v>0.27782049214630183</c:v>
                </c:pt>
                <c:pt idx="764">
                  <c:v>0.27990197015012014</c:v>
                </c:pt>
                <c:pt idx="765">
                  <c:v>0.28198466155169616</c:v>
                </c:pt>
                <c:pt idx="766">
                  <c:v>0.2840685768110387</c:v>
                </c:pt>
                <c:pt idx="767">
                  <c:v>0.28615372642787296</c:v>
                </c:pt>
                <c:pt idx="768">
                  <c:v>0.28824012094206697</c:v>
                </c:pt>
                <c:pt idx="769">
                  <c:v>0.29032777093406087</c:v>
                </c:pt>
                <c:pt idx="770">
                  <c:v>0.29241668702530055</c:v>
                </c:pt>
                <c:pt idx="771">
                  <c:v>0.29450687987867352</c:v>
                </c:pt>
                <c:pt idx="772">
                  <c:v>0.29659836019895114</c:v>
                </c:pt>
                <c:pt idx="773">
                  <c:v>0.29869113873323189</c:v>
                </c:pt>
                <c:pt idx="774">
                  <c:v>0.30078522627139009</c:v>
                </c:pt>
                <c:pt idx="775">
                  <c:v>0.30288063364652773</c:v>
                </c:pt>
                <c:pt idx="776">
                  <c:v>0.30497737173543127</c:v>
                </c:pt>
                <c:pt idx="777">
                  <c:v>0.30707545145903103</c:v>
                </c:pt>
                <c:pt idx="778">
                  <c:v>0.30917488378286528</c:v>
                </c:pt>
                <c:pt idx="779">
                  <c:v>0.3112756797175496</c:v>
                </c:pt>
                <c:pt idx="780">
                  <c:v>0.31337785031924825</c:v>
                </c:pt>
                <c:pt idx="781">
                  <c:v>0.3154814066901514</c:v>
                </c:pt>
                <c:pt idx="782">
                  <c:v>0.31758635997895596</c:v>
                </c:pt>
                <c:pt idx="783">
                  <c:v>0.31969272138135102</c:v>
                </c:pt>
                <c:pt idx="784">
                  <c:v>0.32180050214050671</c:v>
                </c:pt>
                <c:pt idx="785">
                  <c:v>0.32390971354756987</c:v>
                </c:pt>
                <c:pt idx="786">
                  <c:v>0.32602036694216147</c:v>
                </c:pt>
                <c:pt idx="787">
                  <c:v>0.32813247371288057</c:v>
                </c:pt>
                <c:pt idx="788">
                  <c:v>0.33024604529781199</c:v>
                </c:pt>
                <c:pt idx="789">
                  <c:v>0.33236109318503909</c:v>
                </c:pt>
                <c:pt idx="790">
                  <c:v>0.3344776289131603</c:v>
                </c:pt>
                <c:pt idx="791">
                  <c:v>0.33659566407181285</c:v>
                </c:pt>
                <c:pt idx="792">
                  <c:v>0.33871521030219887</c:v>
                </c:pt>
                <c:pt idx="793">
                  <c:v>0.34083627929761778</c:v>
                </c:pt>
                <c:pt idx="794">
                  <c:v>0.34295888280400322</c:v>
                </c:pt>
                <c:pt idx="795">
                  <c:v>0.34508303262046586</c:v>
                </c:pt>
                <c:pt idx="796">
                  <c:v>0.34720874059984047</c:v>
                </c:pt>
                <c:pt idx="797">
                  <c:v>0.34933601864923775</c:v>
                </c:pt>
                <c:pt idx="798">
                  <c:v>0.35146487873060422</c:v>
                </c:pt>
                <c:pt idx="799">
                  <c:v>0.35359533286128414</c:v>
                </c:pt>
                <c:pt idx="800">
                  <c:v>0.35572739311458912</c:v>
                </c:pt>
                <c:pt idx="801">
                  <c:v>0.35786107162037167</c:v>
                </c:pt>
                <c:pt idx="802">
                  <c:v>0.3599963805656069</c:v>
                </c:pt>
                <c:pt idx="803">
                  <c:v>0.36213333219497579</c:v>
                </c:pt>
                <c:pt idx="804">
                  <c:v>0.36427193881145892</c:v>
                </c:pt>
                <c:pt idx="805">
                  <c:v>0.36641221277693303</c:v>
                </c:pt>
                <c:pt idx="806">
                  <c:v>0.36855416651277412</c:v>
                </c:pt>
                <c:pt idx="807">
                  <c:v>0.37069781250046707</c:v>
                </c:pt>
                <c:pt idx="808">
                  <c:v>0.37284316328222106</c:v>
                </c:pt>
                <c:pt idx="809">
                  <c:v>0.37499023146159105</c:v>
                </c:pt>
                <c:pt idx="810">
                  <c:v>0.3771390297041054</c:v>
                </c:pt>
                <c:pt idx="811">
                  <c:v>0.3792895707379012</c:v>
                </c:pt>
                <c:pt idx="812">
                  <c:v>0.38144186735436381</c:v>
                </c:pt>
                <c:pt idx="813">
                  <c:v>0.38359593240877488</c:v>
                </c:pt>
                <c:pt idx="814">
                  <c:v>0.38575177882096573</c:v>
                </c:pt>
                <c:pt idx="815">
                  <c:v>0.38790941957597891</c:v>
                </c:pt>
                <c:pt idx="816">
                  <c:v>0.3900688677247337</c:v>
                </c:pt>
                <c:pt idx="817">
                  <c:v>0.39223013638470289</c:v>
                </c:pt>
                <c:pt idx="818">
                  <c:v>0.39439323874059246</c:v>
                </c:pt>
                <c:pt idx="819">
                  <c:v>0.39655818804503096</c:v>
                </c:pt>
                <c:pt idx="820">
                  <c:v>0.39872499761926466</c:v>
                </c:pt>
                <c:pt idx="821">
                  <c:v>0.40089368085386123</c:v>
                </c:pt>
                <c:pt idx="822">
                  <c:v>0.40306425120941858</c:v>
                </c:pt>
                <c:pt idx="823">
                  <c:v>0.40523672221728529</c:v>
                </c:pt>
                <c:pt idx="824">
                  <c:v>0.40741110748028431</c:v>
                </c:pt>
                <c:pt idx="825">
                  <c:v>0.40958742067344739</c:v>
                </c:pt>
                <c:pt idx="826">
                  <c:v>0.41176567554475496</c:v>
                </c:pt>
                <c:pt idx="827">
                  <c:v>0.41394588591588705</c:v>
                </c:pt>
                <c:pt idx="828">
                  <c:v>0.41612806568297928</c:v>
                </c:pt>
                <c:pt idx="829">
                  <c:v>0.41831222881738783</c:v>
                </c:pt>
                <c:pt idx="830">
                  <c:v>0.42049838936646489</c:v>
                </c:pt>
                <c:pt idx="831">
                  <c:v>0.42268656145433925</c:v>
                </c:pt>
                <c:pt idx="832">
                  <c:v>0.42487675928270802</c:v>
                </c:pt>
                <c:pt idx="833">
                  <c:v>0.42706899713163571</c:v>
                </c:pt>
                <c:pt idx="834">
                  <c:v>0.42926328936036201</c:v>
                </c:pt>
                <c:pt idx="835">
                  <c:v>0.43145965040811834</c:v>
                </c:pt>
                <c:pt idx="836">
                  <c:v>0.43365809479495632</c:v>
                </c:pt>
                <c:pt idx="837">
                  <c:v>0.43585863712258077</c:v>
                </c:pt>
                <c:pt idx="838">
                  <c:v>0.43806129207519545</c:v>
                </c:pt>
                <c:pt idx="839">
                  <c:v>0.44026607442035687</c:v>
                </c:pt>
                <c:pt idx="840">
                  <c:v>0.44247299900983844</c:v>
                </c:pt>
                <c:pt idx="841">
                  <c:v>0.44468208078050253</c:v>
                </c:pt>
                <c:pt idx="842">
                  <c:v>0.44689333475518556</c:v>
                </c:pt>
                <c:pt idx="843">
                  <c:v>0.44910677604359084</c:v>
                </c:pt>
                <c:pt idx="844">
                  <c:v>0.45132241984319144</c:v>
                </c:pt>
                <c:pt idx="845">
                  <c:v>0.45354028144014391</c:v>
                </c:pt>
                <c:pt idx="846">
                  <c:v>0.45576037621021404</c:v>
                </c:pt>
                <c:pt idx="847">
                  <c:v>0.45798271961971038</c:v>
                </c:pt>
                <c:pt idx="848">
                  <c:v>0.46020732722642965</c:v>
                </c:pt>
                <c:pt idx="849">
                  <c:v>0.46243421468061463</c:v>
                </c:pt>
                <c:pt idx="850">
                  <c:v>0.46466339772592158</c:v>
                </c:pt>
                <c:pt idx="851">
                  <c:v>0.46689489220039887</c:v>
                </c:pt>
                <c:pt idx="852">
                  <c:v>0.46912871403747708</c:v>
                </c:pt>
                <c:pt idx="853">
                  <c:v>0.47136487926697268</c:v>
                </c:pt>
                <c:pt idx="854">
                  <c:v>0.47360340401609935</c:v>
                </c:pt>
                <c:pt idx="855">
                  <c:v>0.47584430451049581</c:v>
                </c:pt>
                <c:pt idx="856">
                  <c:v>0.47808759707526399</c:v>
                </c:pt>
                <c:pt idx="857">
                  <c:v>0.48033329813601716</c:v>
                </c:pt>
                <c:pt idx="858">
                  <c:v>0.48258142421994488</c:v>
                </c:pt>
                <c:pt idx="859">
                  <c:v>0.48483199195688748</c:v>
                </c:pt>
                <c:pt idx="860">
                  <c:v>0.48708501808042493</c:v>
                </c:pt>
                <c:pt idx="861">
                  <c:v>0.48934051942897694</c:v>
                </c:pt>
                <c:pt idx="862">
                  <c:v>0.49159851294692014</c:v>
                </c:pt>
                <c:pt idx="863">
                  <c:v>0.49385901568571405</c:v>
                </c:pt>
                <c:pt idx="864">
                  <c:v>0.49612204480504463</c:v>
                </c:pt>
                <c:pt idx="865">
                  <c:v>0.49838761757397904</c:v>
                </c:pt>
                <c:pt idx="866">
                  <c:v>0.50065575137213703</c:v>
                </c:pt>
                <c:pt idx="867">
                  <c:v>0.50292646369087279</c:v>
                </c:pt>
                <c:pt idx="868">
                  <c:v>0.50519977213447687</c:v>
                </c:pt>
                <c:pt idx="869">
                  <c:v>0.50747569442138774</c:v>
                </c:pt>
                <c:pt idx="870">
                  <c:v>0.50975424838542183</c:v>
                </c:pt>
                <c:pt idx="871">
                  <c:v>0.51203545197701628</c:v>
                </c:pt>
                <c:pt idx="872">
                  <c:v>0.51431932326448981</c:v>
                </c:pt>
                <c:pt idx="873">
                  <c:v>0.51660588043531597</c:v>
                </c:pt>
                <c:pt idx="874">
                  <c:v>0.51889514179741658</c:v>
                </c:pt>
                <c:pt idx="875">
                  <c:v>0.521187125780468</c:v>
                </c:pt>
                <c:pt idx="876">
                  <c:v>0.52348185093722488</c:v>
                </c:pt>
                <c:pt idx="877">
                  <c:v>0.52577933594486137</c:v>
                </c:pt>
                <c:pt idx="878">
                  <c:v>0.52807959960632811</c:v>
                </c:pt>
                <c:pt idx="879">
                  <c:v>0.53038266085172869</c:v>
                </c:pt>
                <c:pt idx="880">
                  <c:v>0.53268853873970945</c:v>
                </c:pt>
                <c:pt idx="881">
                  <c:v>0.53499725245887308</c:v>
                </c:pt>
                <c:pt idx="882">
                  <c:v>0.53730882132920532</c:v>
                </c:pt>
                <c:pt idx="883">
                  <c:v>0.53962326480352163</c:v>
                </c:pt>
                <c:pt idx="884">
                  <c:v>0.54194060246893383</c:v>
                </c:pt>
                <c:pt idx="885">
                  <c:v>0.5442608540483348</c:v>
                </c:pt>
                <c:pt idx="886">
                  <c:v>0.54658403940190059</c:v>
                </c:pt>
                <c:pt idx="887">
                  <c:v>0.54891017852861668</c:v>
                </c:pt>
                <c:pt idx="888">
                  <c:v>0.55123929156782003</c:v>
                </c:pt>
                <c:pt idx="889">
                  <c:v>0.55357139880076323</c:v>
                </c:pt>
                <c:pt idx="890">
                  <c:v>0.55590652065219881</c:v>
                </c:pt>
                <c:pt idx="891">
                  <c:v>0.55824467769198538</c:v>
                </c:pt>
                <c:pt idx="892">
                  <c:v>0.56058589063671327</c:v>
                </c:pt>
                <c:pt idx="893">
                  <c:v>0.56293018035135345</c:v>
                </c:pt>
                <c:pt idx="894">
                  <c:v>0.56527756785092831</c:v>
                </c:pt>
                <c:pt idx="895">
                  <c:v>0.56762807430220341</c:v>
                </c:pt>
                <c:pt idx="896">
                  <c:v>0.56998172102540434</c:v>
                </c:pt>
                <c:pt idx="897">
                  <c:v>0.57233852949595376</c:v>
                </c:pt>
                <c:pt idx="898">
                  <c:v>0.57469852134623489</c:v>
                </c:pt>
                <c:pt idx="899">
                  <c:v>0.57706171836737608</c:v>
                </c:pt>
                <c:pt idx="900">
                  <c:v>0.57942814251106189</c:v>
                </c:pt>
                <c:pt idx="901">
                  <c:v>0.58179781589136859</c:v>
                </c:pt>
                <c:pt idx="902">
                  <c:v>0.58417076078662311</c:v>
                </c:pt>
                <c:pt idx="903">
                  <c:v>0.58654699964128998</c:v>
                </c:pt>
                <c:pt idx="904">
                  <c:v>0.58892655506788139</c:v>
                </c:pt>
                <c:pt idx="905">
                  <c:v>0.59130944984889589</c:v>
                </c:pt>
                <c:pt idx="906">
                  <c:v>0.59369570693878382</c:v>
                </c:pt>
                <c:pt idx="907">
                  <c:v>0.59608534946593994</c:v>
                </c:pt>
                <c:pt idx="908">
                  <c:v>0.59847840073472047</c:v>
                </c:pt>
                <c:pt idx="909">
                  <c:v>0.6008748842274958</c:v>
                </c:pt>
                <c:pt idx="910">
                  <c:v>0.60327482360672424</c:v>
                </c:pt>
                <c:pt idx="911">
                  <c:v>0.60567824271706006</c:v>
                </c:pt>
                <c:pt idx="912">
                  <c:v>0.60808516558748693</c:v>
                </c:pt>
                <c:pt idx="913">
                  <c:v>0.61049561643348849</c:v>
                </c:pt>
                <c:pt idx="914">
                  <c:v>0.61290961965924273</c:v>
                </c:pt>
                <c:pt idx="915">
                  <c:v>0.61532719985985007</c:v>
                </c:pt>
                <c:pt idx="916">
                  <c:v>0.6177483818235957</c:v>
                </c:pt>
                <c:pt idx="917">
                  <c:v>0.62017319053424147</c:v>
                </c:pt>
                <c:pt idx="918">
                  <c:v>0.62260165117335076</c:v>
                </c:pt>
                <c:pt idx="919">
                  <c:v>0.62503378912265017</c:v>
                </c:pt>
                <c:pt idx="920">
                  <c:v>0.62746962996642153</c:v>
                </c:pt>
                <c:pt idx="921">
                  <c:v>0.62990919949393132</c:v>
                </c:pt>
                <c:pt idx="922">
                  <c:v>0.63235252370189365</c:v>
                </c:pt>
                <c:pt idx="923">
                  <c:v>0.63479962879697227</c:v>
                </c:pt>
                <c:pt idx="924">
                  <c:v>0.63725054119831459</c:v>
                </c:pt>
                <c:pt idx="925">
                  <c:v>0.63970528754012834</c:v>
                </c:pt>
                <c:pt idx="926">
                  <c:v>0.64216389467429247</c:v>
                </c:pt>
                <c:pt idx="927">
                  <c:v>0.644626389673008</c:v>
                </c:pt>
                <c:pt idx="928">
                  <c:v>0.64709279983148937</c:v>
                </c:pt>
                <c:pt idx="929">
                  <c:v>0.64956315267069464</c:v>
                </c:pt>
                <c:pt idx="930">
                  <c:v>0.65203747594009698</c:v>
                </c:pt>
                <c:pt idx="931">
                  <c:v>0.65451579762049583</c:v>
                </c:pt>
                <c:pt idx="932">
                  <c:v>0.65699814592687567</c:v>
                </c:pt>
                <c:pt idx="933">
                  <c:v>0.65948454931130407</c:v>
                </c:pt>
                <c:pt idx="934">
                  <c:v>0.6619750364658723</c:v>
                </c:pt>
                <c:pt idx="935">
                  <c:v>0.66446963632568534</c:v>
                </c:pt>
                <c:pt idx="936">
                  <c:v>0.66696837807189324</c:v>
                </c:pt>
                <c:pt idx="937">
                  <c:v>0.66947129113477133</c:v>
                </c:pt>
                <c:pt idx="938">
                  <c:v>0.6719784051968487</c:v>
                </c:pt>
                <c:pt idx="939">
                  <c:v>0.67448975019608193</c:v>
                </c:pt>
                <c:pt idx="940">
                  <c:v>0.67700535632907999</c:v>
                </c:pt>
                <c:pt idx="941">
                  <c:v>0.67952525405437891</c:v>
                </c:pt>
                <c:pt idx="942">
                  <c:v>0.68204947409576822</c:v>
                </c:pt>
                <c:pt idx="943">
                  <c:v>0.68457804744566686</c:v>
                </c:pt>
                <c:pt idx="944">
                  <c:v>0.68711100536855518</c:v>
                </c:pt>
                <c:pt idx="945">
                  <c:v>0.68964837940445989</c:v>
                </c:pt>
                <c:pt idx="946">
                  <c:v>0.69219020137249287</c:v>
                </c:pt>
                <c:pt idx="947">
                  <c:v>0.69473650337444759</c:v>
                </c:pt>
                <c:pt idx="948">
                  <c:v>0.69728731779845299</c:v>
                </c:pt>
                <c:pt idx="949">
                  <c:v>0.69984267732268368</c:v>
                </c:pt>
                <c:pt idx="950">
                  <c:v>0.70240261491912992</c:v>
                </c:pt>
                <c:pt idx="951">
                  <c:v>0.70496716385743308</c:v>
                </c:pt>
                <c:pt idx="952">
                  <c:v>0.7075363577087741</c:v>
                </c:pt>
                <c:pt idx="953">
                  <c:v>0.71011023034983434</c:v>
                </c:pt>
                <c:pt idx="954">
                  <c:v>0.71268881596681288</c:v>
                </c:pt>
                <c:pt idx="955">
                  <c:v>0.7152721490595142</c:v>
                </c:pt>
                <c:pt idx="956">
                  <c:v>0.71786026444549833</c:v>
                </c:pt>
                <c:pt idx="957">
                  <c:v>0.72045319726431023</c:v>
                </c:pt>
                <c:pt idx="958">
                  <c:v>0.72305098298175763</c:v>
                </c:pt>
                <c:pt idx="959">
                  <c:v>0.72565365739428589</c:v>
                </c:pt>
                <c:pt idx="960">
                  <c:v>0.7282612566334018</c:v>
                </c:pt>
                <c:pt idx="961">
                  <c:v>0.73087381717018618</c:v>
                </c:pt>
                <c:pt idx="962">
                  <c:v>0.733491375819878</c:v>
                </c:pt>
                <c:pt idx="963">
                  <c:v>0.73611396974652887</c:v>
                </c:pt>
                <c:pt idx="964">
                  <c:v>0.73874163646774704</c:v>
                </c:pt>
                <c:pt idx="965">
                  <c:v>0.74137441385951275</c:v>
                </c:pt>
                <c:pt idx="966">
                  <c:v>0.74401234016107898</c:v>
                </c:pt>
                <c:pt idx="967">
                  <c:v>0.74665545397995514</c:v>
                </c:pt>
                <c:pt idx="968">
                  <c:v>0.74930379429697314</c:v>
                </c:pt>
                <c:pt idx="969">
                  <c:v>0.75195740047144632</c:v>
                </c:pt>
                <c:pt idx="970">
                  <c:v>0.75461631224640913</c:v>
                </c:pt>
                <c:pt idx="971">
                  <c:v>0.7572805697539543</c:v>
                </c:pt>
                <c:pt idx="972">
                  <c:v>0.75995021352065906</c:v>
                </c:pt>
                <c:pt idx="973">
                  <c:v>0.76262528447310307</c:v>
                </c:pt>
                <c:pt idx="974">
                  <c:v>0.765305823943493</c:v>
                </c:pt>
                <c:pt idx="975">
                  <c:v>0.76799187367536814</c:v>
                </c:pt>
                <c:pt idx="976">
                  <c:v>0.77068347582942376</c:v>
                </c:pt>
                <c:pt idx="977">
                  <c:v>0.77338067298942748</c:v>
                </c:pt>
                <c:pt idx="978">
                  <c:v>0.77608350816824301</c:v>
                </c:pt>
                <c:pt idx="979">
                  <c:v>0.77879202481396148</c:v>
                </c:pt>
                <c:pt idx="980">
                  <c:v>0.78150626681613722</c:v>
                </c:pt>
                <c:pt idx="981">
                  <c:v>0.78422627851214588</c:v>
                </c:pt>
                <c:pt idx="982">
                  <c:v>0.78695210469364352</c:v>
                </c:pt>
                <c:pt idx="983">
                  <c:v>0.7896837906131533</c:v>
                </c:pt>
                <c:pt idx="984">
                  <c:v>0.79242138199076739</c:v>
                </c:pt>
                <c:pt idx="985">
                  <c:v>0.79516492502096592</c:v>
                </c:pt>
                <c:pt idx="986">
                  <c:v>0.79791446637956975</c:v>
                </c:pt>
                <c:pt idx="987">
                  <c:v>0.80067005323081231</c:v>
                </c:pt>
                <c:pt idx="988">
                  <c:v>0.80343173323454686</c:v>
                </c:pt>
                <c:pt idx="989">
                  <c:v>0.80619955455358372</c:v>
                </c:pt>
                <c:pt idx="990">
                  <c:v>0.80897356586116487</c:v>
                </c:pt>
                <c:pt idx="991">
                  <c:v>0.81175381634857624</c:v>
                </c:pt>
                <c:pt idx="992">
                  <c:v>0.81454035573290584</c:v>
                </c:pt>
                <c:pt idx="993">
                  <c:v>0.81733323426494164</c:v>
                </c:pt>
                <c:pt idx="994">
                  <c:v>0.82013250273722149</c:v>
                </c:pt>
                <c:pt idx="995">
                  <c:v>0.82293821249223731</c:v>
                </c:pt>
                <c:pt idx="996">
                  <c:v>0.82575041543078953</c:v>
                </c:pt>
                <c:pt idx="997">
                  <c:v>0.82856916402050429</c:v>
                </c:pt>
                <c:pt idx="998">
                  <c:v>0.83139451130451492</c:v>
                </c:pt>
                <c:pt idx="999">
                  <c:v>0.83422651091030342</c:v>
                </c:pt>
                <c:pt idx="1000">
                  <c:v>0.83706521705872317</c:v>
                </c:pt>
                <c:pt idx="1001">
                  <c:v>0.83991068457318152</c:v>
                </c:pt>
                <c:pt idx="1002">
                  <c:v>0.84276296888901658</c:v>
                </c:pt>
                <c:pt idx="1003">
                  <c:v>0.84562212606304721</c:v>
                </c:pt>
                <c:pt idx="1004">
                  <c:v>0.84848821278331166</c:v>
                </c:pt>
                <c:pt idx="1005">
                  <c:v>0.85136128637899944</c:v>
                </c:pt>
                <c:pt idx="1006">
                  <c:v>0.85424140483057875</c:v>
                </c:pt>
                <c:pt idx="1007">
                  <c:v>0.85712862678012414</c:v>
                </c:pt>
                <c:pt idx="1008">
                  <c:v>0.86002301154184813</c:v>
                </c:pt>
                <c:pt idx="1009">
                  <c:v>0.86292461911284923</c:v>
                </c:pt>
                <c:pt idx="1010">
                  <c:v>0.86583351018407173</c:v>
                </c:pt>
                <c:pt idx="1011">
                  <c:v>0.86874974615148604</c:v>
                </c:pt>
                <c:pt idx="1012">
                  <c:v>0.87167338912749104</c:v>
                </c:pt>
                <c:pt idx="1013">
                  <c:v>0.87460450195256512</c:v>
                </c:pt>
                <c:pt idx="1014">
                  <c:v>0.87754314820713331</c:v>
                </c:pt>
                <c:pt idx="1015">
                  <c:v>0.88048939222369371</c:v>
                </c:pt>
                <c:pt idx="1016">
                  <c:v>0.88344329909918407</c:v>
                </c:pt>
                <c:pt idx="1017">
                  <c:v>0.88640493470760906</c:v>
                </c:pt>
                <c:pt idx="1018">
                  <c:v>0.88937436571293493</c:v>
                </c:pt>
                <c:pt idx="1019">
                  <c:v>0.89235165958223883</c:v>
                </c:pt>
                <c:pt idx="1020">
                  <c:v>0.89533688459914473</c:v>
                </c:pt>
                <c:pt idx="1021">
                  <c:v>0.89833010987754269</c:v>
                </c:pt>
                <c:pt idx="1022">
                  <c:v>0.90133140537559198</c:v>
                </c:pt>
                <c:pt idx="1023">
                  <c:v>0.90434084191002306</c:v>
                </c:pt>
                <c:pt idx="1024">
                  <c:v>0.90735849117074663</c:v>
                </c:pt>
                <c:pt idx="1025">
                  <c:v>0.91038442573578049</c:v>
                </c:pt>
                <c:pt idx="1026">
                  <c:v>0.91341871908648453</c:v>
                </c:pt>
                <c:pt idx="1027">
                  <c:v>0.91646144562313392</c:v>
                </c:pt>
                <c:pt idx="1028">
                  <c:v>0.9195126806808277</c:v>
                </c:pt>
                <c:pt idx="1029">
                  <c:v>0.92257250054575202</c:v>
                </c:pt>
                <c:pt idx="1030">
                  <c:v>0.92564098247178539</c:v>
                </c:pt>
                <c:pt idx="1031">
                  <c:v>0.92871820469748234</c:v>
                </c:pt>
                <c:pt idx="1032">
                  <c:v>0.93180424646341875</c:v>
                </c:pt>
                <c:pt idx="1033">
                  <c:v>0.93489918802994199</c:v>
                </c:pt>
                <c:pt idx="1034">
                  <c:v>0.93800311069529396</c:v>
                </c:pt>
                <c:pt idx="1035">
                  <c:v>0.94111609681416231</c:v>
                </c:pt>
                <c:pt idx="1036">
                  <c:v>0.94423822981663508</c:v>
                </c:pt>
                <c:pt idx="1037">
                  <c:v>0.94736959422758116</c:v>
                </c:pt>
                <c:pt idx="1038">
                  <c:v>0.9505102756864916</c:v>
                </c:pt>
                <c:pt idx="1039">
                  <c:v>0.95366036096774787</c:v>
                </c:pt>
                <c:pt idx="1040">
                  <c:v>0.95681993800138099</c:v>
                </c:pt>
                <c:pt idx="1041">
                  <c:v>0.95998909589427739</c:v>
                </c:pt>
                <c:pt idx="1042">
                  <c:v>0.96316792495191172</c:v>
                </c:pt>
                <c:pt idx="1043">
                  <c:v>0.96635651670056555</c:v>
                </c:pt>
                <c:pt idx="1044">
                  <c:v>0.96955496391005858</c:v>
                </c:pt>
                <c:pt idx="1045">
                  <c:v>0.97276336061703583</c:v>
                </c:pt>
                <c:pt idx="1046">
                  <c:v>0.97598180214878272</c:v>
                </c:pt>
                <c:pt idx="1047">
                  <c:v>0.97921038514762337</c:v>
                </c:pt>
                <c:pt idx="1048">
                  <c:v>0.98244920759588783</c:v>
                </c:pt>
                <c:pt idx="1049">
                  <c:v>0.98569836884148365</c:v>
                </c:pt>
                <c:pt idx="1050">
                  <c:v>0.98895796962408822</c:v>
                </c:pt>
                <c:pt idx="1051">
                  <c:v>0.99222811210195816</c:v>
                </c:pt>
                <c:pt idx="1052">
                  <c:v>0.99550889987940594</c:v>
                </c:pt>
                <c:pt idx="1053">
                  <c:v>0.99880043803495266</c:v>
                </c:pt>
                <c:pt idx="1054">
                  <c:v>1.00210283315015</c:v>
                </c:pt>
                <c:pt idx="1055">
                  <c:v>1.0054161933391337</c:v>
                </c:pt>
                <c:pt idx="1056">
                  <c:v>1.0087406282789162</c:v>
                </c:pt>
                <c:pt idx="1057">
                  <c:v>1.0120762492404056</c:v>
                </c:pt>
                <c:pt idx="1058">
                  <c:v>1.0154231691202296</c:v>
                </c:pt>
                <c:pt idx="1059">
                  <c:v>1.0187815024733502</c:v>
                </c:pt>
                <c:pt idx="1060">
                  <c:v>1.0221513655465189</c:v>
                </c:pt>
                <c:pt idx="1061">
                  <c:v>1.025532876312556</c:v>
                </c:pt>
                <c:pt idx="1062">
                  <c:v>1.0289261545055295</c:v>
                </c:pt>
                <c:pt idx="1063">
                  <c:v>1.0323313216568455</c:v>
                </c:pt>
                <c:pt idx="1064">
                  <c:v>1.0357485011322543</c:v>
                </c:pt>
                <c:pt idx="1065">
                  <c:v>1.0391778181698266</c:v>
                </c:pt>
                <c:pt idx="1066">
                  <c:v>1.0426193999189224</c:v>
                </c:pt>
                <c:pt idx="1067">
                  <c:v>1.046073375480189</c:v>
                </c:pt>
                <c:pt idx="1068">
                  <c:v>1.0495398759466186</c:v>
                </c:pt>
                <c:pt idx="1069">
                  <c:v>1.0530190344456893</c:v>
                </c:pt>
                <c:pt idx="1070">
                  <c:v>1.0565109861826307</c:v>
                </c:pt>
                <c:pt idx="1071">
                  <c:v>1.0600158684848688</c:v>
                </c:pt>
                <c:pt idx="1072">
                  <c:v>1.0635338208476595</c:v>
                </c:pt>
                <c:pt idx="1073">
                  <c:v>1.0670649849809621</c:v>
                </c:pt>
                <c:pt idx="1074">
                  <c:v>1.0706095048576043</c:v>
                </c:pt>
                <c:pt idx="1075">
                  <c:v>1.0741675267627588</c:v>
                </c:pt>
                <c:pt idx="1076">
                  <c:v>1.0777391993447987</c:v>
                </c:pt>
                <c:pt idx="1077">
                  <c:v>1.0813246736675619</c:v>
                </c:pt>
                <c:pt idx="1078">
                  <c:v>1.0849241032640771</c:v>
                </c:pt>
                <c:pt idx="1079">
                  <c:v>1.0885376441918031</c:v>
                </c:pt>
                <c:pt idx="1080">
                  <c:v>1.0921654550894306</c:v>
                </c:pt>
                <c:pt idx="1081">
                  <c:v>1.0958076972353008</c:v>
                </c:pt>
                <c:pt idx="1082">
                  <c:v>1.0994645346074923</c:v>
                </c:pt>
                <c:pt idx="1083">
                  <c:v>1.1031361339456489</c:v>
                </c:pt>
                <c:pt idx="1084">
                  <c:v>1.106822664814584</c:v>
                </c:pt>
                <c:pt idx="1085">
                  <c:v>1.1105242996697522</c:v>
                </c:pt>
                <c:pt idx="1086">
                  <c:v>1.1142412139246307</c:v>
                </c:pt>
                <c:pt idx="1087">
                  <c:v>1.1179735860200952</c:v>
                </c:pt>
                <c:pt idx="1088">
                  <c:v>1.121721597495849</c:v>
                </c:pt>
                <c:pt idx="1089">
                  <c:v>1.1254854330639892</c:v>
                </c:pt>
                <c:pt idx="1090">
                  <c:v>1.1292652806847807</c:v>
                </c:pt>
                <c:pt idx="1091">
                  <c:v>1.1330613316447196</c:v>
                </c:pt>
                <c:pt idx="1092">
                  <c:v>1.1368737806369786</c:v>
                </c:pt>
                <c:pt idx="1093">
                  <c:v>1.1407028258443039</c:v>
                </c:pt>
                <c:pt idx="1094">
                  <c:v>1.1445486690244737</c:v>
                </c:pt>
                <c:pt idx="1095">
                  <c:v>1.1484115155984058</c:v>
                </c:pt>
                <c:pt idx="1096">
                  <c:v>1.1522915747410072</c:v>
                </c:pt>
                <c:pt idx="1097">
                  <c:v>1.1561890594748843</c:v>
                </c:pt>
                <c:pt idx="1098">
                  <c:v>1.1601041867670134</c:v>
                </c:pt>
                <c:pt idx="1099">
                  <c:v>1.1640371776284826</c:v>
                </c:pt>
                <c:pt idx="1100">
                  <c:v>1.1679882572174294</c:v>
                </c:pt>
                <c:pt idx="1101">
                  <c:v>1.1719576549453021</c:v>
                </c:pt>
                <c:pt idx="1102">
                  <c:v>1.1759456045865566</c:v>
                </c:pt>
                <c:pt idx="1103">
                  <c:v>1.1799523443919495</c:v>
                </c:pt>
                <c:pt idx="1104">
                  <c:v>1.1839781172055506</c:v>
                </c:pt>
                <c:pt idx="1105">
                  <c:v>1.1880231705856303</c:v>
                </c:pt>
                <c:pt idx="1106">
                  <c:v>1.1920877569295791</c:v>
                </c:pt>
                <c:pt idx="1107">
                  <c:v>1.1961721336030178</c:v>
                </c:pt>
                <c:pt idx="1108">
                  <c:v>1.200276563073275</c:v>
                </c:pt>
                <c:pt idx="1109">
                  <c:v>1.2044013130474023</c:v>
                </c:pt>
                <c:pt idx="1110">
                  <c:v>1.2085466566149283</c:v>
                </c:pt>
                <c:pt idx="1111">
                  <c:v>1.2127128723955336</c:v>
                </c:pt>
                <c:pt idx="1112">
                  <c:v>1.2169002446918644</c:v>
                </c:pt>
                <c:pt idx="1113">
                  <c:v>1.2211090636476916</c:v>
                </c:pt>
                <c:pt idx="1114">
                  <c:v>1.2253396254116564</c:v>
                </c:pt>
                <c:pt idx="1115">
                  <c:v>1.2295922323068302</c:v>
                </c:pt>
                <c:pt idx="1116">
                  <c:v>1.2338671930063319</c:v>
                </c:pt>
                <c:pt idx="1117">
                  <c:v>1.238164822715299</c:v>
                </c:pt>
                <c:pt idx="1118">
                  <c:v>1.2424854433594503</c:v>
                </c:pt>
                <c:pt idx="1119">
                  <c:v>1.2468293837805569</c:v>
                </c:pt>
                <c:pt idx="1120">
                  <c:v>1.2511969799391163</c:v>
                </c:pt>
                <c:pt idx="1121">
                  <c:v>1.2555885751245641</c:v>
                </c:pt>
                <c:pt idx="1122">
                  <c:v>1.2600045201733541</c:v>
                </c:pt>
                <c:pt idx="1123">
                  <c:v>1.2644451736952516</c:v>
                </c:pt>
                <c:pt idx="1124">
                  <c:v>1.2689109023082601</c:v>
                </c:pt>
                <c:pt idx="1125">
                  <c:v>1.2734020808825297</c:v>
                </c:pt>
                <c:pt idx="1126">
                  <c:v>1.2779190927936899</c:v>
                </c:pt>
                <c:pt idx="1127">
                  <c:v>1.2824623301860556</c:v>
                </c:pt>
                <c:pt idx="1128">
                  <c:v>1.2870321942461509</c:v>
                </c:pt>
                <c:pt idx="1129">
                  <c:v>1.2916290954870733</c:v>
                </c:pt>
                <c:pt idx="1130">
                  <c:v>1.2962534540441892</c:v>
                </c:pt>
                <c:pt idx="1131">
                  <c:v>1.3009056999827218</c:v>
                </c:pt>
                <c:pt idx="1132">
                  <c:v>1.3055862736178254</c:v>
                </c:pt>
                <c:pt idx="1133">
                  <c:v>1.3102956258477441</c:v>
                </c:pt>
                <c:pt idx="1134">
                  <c:v>1.3150342185007078</c:v>
                </c:pt>
                <c:pt idx="1135">
                  <c:v>1.3198025246962657</c:v>
                </c:pt>
                <c:pt idx="1136">
                  <c:v>1.324601029221772</c:v>
                </c:pt>
                <c:pt idx="1137">
                  <c:v>1.3294302289248148</c:v>
                </c:pt>
                <c:pt idx="1138">
                  <c:v>1.3342906331223829</c:v>
                </c:pt>
                <c:pt idx="1139">
                  <c:v>1.3391827640276721</c:v>
                </c:pt>
                <c:pt idx="1140">
                  <c:v>1.3441071571954235</c:v>
                </c:pt>
                <c:pt idx="1141">
                  <c:v>1.3490643619867897</c:v>
                </c:pt>
                <c:pt idx="1142">
                  <c:v>1.3540549420547721</c:v>
                </c:pt>
                <c:pt idx="1143">
                  <c:v>1.3590794758513209</c:v>
                </c:pt>
                <c:pt idx="1144">
                  <c:v>1.3641385571573073</c:v>
                </c:pt>
                <c:pt idx="1145">
                  <c:v>1.3692327956365586</c:v>
                </c:pt>
                <c:pt idx="1146">
                  <c:v>1.3743628174153739</c:v>
                </c:pt>
                <c:pt idx="1147">
                  <c:v>1.3795292656888585</c:v>
                </c:pt>
                <c:pt idx="1148">
                  <c:v>1.3847328013556541</c:v>
                </c:pt>
                <c:pt idx="1149">
                  <c:v>1.3899741036826332</c:v>
                </c:pt>
                <c:pt idx="1150">
                  <c:v>1.3952538710013354</c:v>
                </c:pt>
                <c:pt idx="1151">
                  <c:v>1.4005728214379083</c:v>
                </c:pt>
                <c:pt idx="1152">
                  <c:v>1.4059316936786133</c:v>
                </c:pt>
                <c:pt idx="1153">
                  <c:v>1.4113312477729172</c:v>
                </c:pt>
                <c:pt idx="1154">
                  <c:v>1.4167722659764788</c:v>
                </c:pt>
                <c:pt idx="1155">
                  <c:v>1.422255553636407</c:v>
                </c:pt>
                <c:pt idx="1156">
                  <c:v>1.427781940121386</c:v>
                </c:pt>
                <c:pt idx="1157">
                  <c:v>1.4333522797994338</c:v>
                </c:pt>
                <c:pt idx="1158">
                  <c:v>1.4389674530662808</c:v>
                </c:pt>
                <c:pt idx="1159">
                  <c:v>1.4446283674275</c:v>
                </c:pt>
                <c:pt idx="1160">
                  <c:v>1.4503359586379194</c:v>
                </c:pt>
                <c:pt idx="1161">
                  <c:v>1.4560911919018951</c:v>
                </c:pt>
                <c:pt idx="1162">
                  <c:v>1.4618950631384826</c:v>
                </c:pt>
                <c:pt idx="1163">
                  <c:v>1.4677486003157527</c:v>
                </c:pt>
                <c:pt idx="1164">
                  <c:v>1.4736528648588596</c:v>
                </c:pt>
                <c:pt idx="1165">
                  <c:v>1.4796089531368348</c:v>
                </c:pt>
                <c:pt idx="1166">
                  <c:v>1.4856179980334678</c:v>
                </c:pt>
                <c:pt idx="1167">
                  <c:v>1.4916811706080748</c:v>
                </c:pt>
                <c:pt idx="1168">
                  <c:v>1.4977996818524231</c:v>
                </c:pt>
                <c:pt idx="1169">
                  <c:v>1.5039747845506042</c:v>
                </c:pt>
                <c:pt idx="1170">
                  <c:v>1.510207775249208</c:v>
                </c:pt>
                <c:pt idx="1171">
                  <c:v>1.5164999963457824</c:v>
                </c:pt>
                <c:pt idx="1172">
                  <c:v>1.5228528383042352</c:v>
                </c:pt>
                <c:pt idx="1173">
                  <c:v>1.5292677420066052</c:v>
                </c:pt>
                <c:pt idx="1174">
                  <c:v>1.5357462012514234</c:v>
                </c:pt>
                <c:pt idx="1175">
                  <c:v>1.5422897654098506</c:v>
                </c:pt>
                <c:pt idx="1176">
                  <c:v>1.548900042251715</c:v>
                </c:pt>
                <c:pt idx="1177">
                  <c:v>1.5555787009547488</c:v>
                </c:pt>
                <c:pt idx="1178">
                  <c:v>1.5623274753115111</c:v>
                </c:pt>
                <c:pt idx="1179">
                  <c:v>1.5691481671498613</c:v>
                </c:pt>
                <c:pt idx="1180">
                  <c:v>1.5760426499843492</c:v>
                </c:pt>
                <c:pt idx="1181">
                  <c:v>1.5830128729175841</c:v>
                </c:pt>
                <c:pt idx="1182">
                  <c:v>1.5900608648124666</c:v>
                </c:pt>
                <c:pt idx="1183">
                  <c:v>1.5971887387582999</c:v>
                </c:pt>
                <c:pt idx="1184">
                  <c:v>1.6043986968560597</c:v>
                </c:pt>
                <c:pt idx="1185">
                  <c:v>1.6116930353507257</c:v>
                </c:pt>
                <c:pt idx="1186">
                  <c:v>1.6190741501414485</c:v>
                </c:pt>
                <c:pt idx="1187">
                  <c:v>1.6265445427035894</c:v>
                </c:pt>
                <c:pt idx="1188">
                  <c:v>1.6341068264602854</c:v>
                </c:pt>
                <c:pt idx="1189">
                  <c:v>1.641763733645309</c:v>
                </c:pt>
                <c:pt idx="1190">
                  <c:v>1.6495181227035913</c:v>
                </c:pt>
                <c:pt idx="1191">
                  <c:v>1.6573729862809787</c:v>
                </c:pt>
                <c:pt idx="1192">
                  <c:v>1.6653314598606916</c:v>
                </c:pt>
                <c:pt idx="1193">
                  <c:v>1.6733968311105887</c:v>
                </c:pt>
                <c:pt idx="1194">
                  <c:v>1.6815725500129504</c:v>
                </c:pt>
                <c:pt idx="1195">
                  <c:v>1.6898622398570504</c:v>
                </c:pt>
                <c:pt idx="1196">
                  <c:v>1.6982697091846284</c:v>
                </c:pt>
                <c:pt idx="1197">
                  <c:v>1.7067989647895703</c:v>
                </c:pt>
                <c:pt idx="1198">
                  <c:v>1.715454225885938</c:v>
                </c:pt>
                <c:pt idx="1199">
                  <c:v>1.7242399395731984</c:v>
                </c:pt>
                <c:pt idx="1200">
                  <c:v>1.7331607977444856</c:v>
                </c:pt>
                <c:pt idx="1201">
                  <c:v>1.7422217556032296</c:v>
                </c:pt>
                <c:pt idx="1202">
                  <c:v>1.7514280519761141</c:v>
                </c:pt>
                <c:pt idx="1203">
                  <c:v>1.7607852316365484</c:v>
                </c:pt>
                <c:pt idx="1204">
                  <c:v>1.7702991698832944</c:v>
                </c:pt>
                <c:pt idx="1205">
                  <c:v>1.7799760996544882</c:v>
                </c:pt>
                <c:pt idx="1206">
                  <c:v>1.7898226414988638</c:v>
                </c:pt>
                <c:pt idx="1207">
                  <c:v>1.7998458367748733</c:v>
                </c:pt>
                <c:pt idx="1208">
                  <c:v>1.8100531845058554</c:v>
                </c:pt>
                <c:pt idx="1209">
                  <c:v>1.8204526823874192</c:v>
                </c:pt>
                <c:pt idx="1210">
                  <c:v>1.8310528725237951</c:v>
                </c:pt>
                <c:pt idx="1211">
                  <c:v>1.8418628925658986</c:v>
                </c:pt>
                <c:pt idx="1212">
                  <c:v>1.8528925330385331</c:v>
                </c:pt>
                <c:pt idx="1213">
                  <c:v>1.864152301781886</c:v>
                </c:pt>
                <c:pt idx="1214">
                  <c:v>1.8756534965983558</c:v>
                </c:pt>
                <c:pt idx="1215">
                  <c:v>1.8874082873967684</c:v>
                </c:pt>
                <c:pt idx="1216">
                  <c:v>1.8994298093704893</c:v>
                </c:pt>
                <c:pt idx="1217">
                  <c:v>1.9117322690449214</c:v>
                </c:pt>
                <c:pt idx="1218">
                  <c:v>1.9243310653973653</c:v>
                </c:pt>
                <c:pt idx="1219">
                  <c:v>1.9372429287065138</c:v>
                </c:pt>
                <c:pt idx="1220">
                  <c:v>1.950486080353641</c:v>
                </c:pt>
                <c:pt idx="1221">
                  <c:v>1.9640804175042577</c:v>
                </c:pt>
                <c:pt idx="1222">
                  <c:v>1.9780477274889443</c:v>
                </c:pt>
                <c:pt idx="1223">
                  <c:v>1.9924119378306826</c:v>
                </c:pt>
                <c:pt idx="1224">
                  <c:v>2.0071994093079604</c:v>
                </c:pt>
                <c:pt idx="1225">
                  <c:v>2.0224392812996603</c:v>
                </c:pt>
                <c:pt idx="1226">
                  <c:v>2.0381638810689928</c:v>
                </c:pt>
                <c:pt idx="1227">
                  <c:v>2.0544092118030792</c:v>
                </c:pt>
                <c:pt idx="1228">
                  <c:v>2.0712155384048114</c:v>
                </c:pt>
                <c:pt idx="1229">
                  <c:v>2.0886280956212318</c:v>
                </c:pt>
                <c:pt idx="1230">
                  <c:v>2.1066979506460042</c:v>
                </c:pt>
                <c:pt idx="1231">
                  <c:v>2.1254830626678314</c:v>
                </c:pt>
                <c:pt idx="1232">
                  <c:v>2.1450495961618947</c:v>
                </c:pt>
                <c:pt idx="1233">
                  <c:v>2.1654735648631602</c:v>
                </c:pt>
                <c:pt idx="1234">
                  <c:v>2.1868429121239132</c:v>
                </c:pt>
                <c:pt idx="1235">
                  <c:v>2.209260175139105</c:v>
                </c:pt>
                <c:pt idx="1236">
                  <c:v>2.2328459423636922</c:v>
                </c:pt>
                <c:pt idx="1237">
                  <c:v>2.2577434068988107</c:v>
                </c:pt>
                <c:pt idx="1238">
                  <c:v>2.2841244631564788</c:v>
                </c:pt>
                <c:pt idx="1239">
                  <c:v>2.3121980235236075</c:v>
                </c:pt>
                <c:pt idx="1240">
                  <c:v>2.342221606715253</c:v>
                </c:pt>
                <c:pt idx="1241">
                  <c:v>2.3745178832011793</c:v>
                </c:pt>
                <c:pt idx="1242">
                  <c:v>2.4094989759606036</c:v>
                </c:pt>
                <c:pt idx="1243">
                  <c:v>2.4477033585225945</c:v>
                </c:pt>
                <c:pt idx="1244">
                  <c:v>2.4898541484898691</c:v>
                </c:pt>
                <c:pt idx="1245">
                  <c:v>2.536955753128654</c:v>
                </c:pt>
                <c:pt idx="1246">
                  <c:v>2.5904640018645773</c:v>
                </c:pt>
                <c:pt idx="1247">
                  <c:v>2.6526095495605531</c:v>
                </c:pt>
                <c:pt idx="1248">
                  <c:v>2.7270788722062234</c:v>
                </c:pt>
                <c:pt idx="1249">
                  <c:v>2.8206710107576534</c:v>
                </c:pt>
                <c:pt idx="1250">
                  <c:v>2.9483367635585283</c:v>
                </c:pt>
              </c:numCache>
            </c:numRef>
          </c:xVal>
          <c:yVal>
            <c:numRef>
              <c:f>'7'!$W$2:$W$1252</c:f>
              <c:numCache>
                <c:formatCode>0.00</c:formatCode>
                <c:ptCount val="1251"/>
                <c:pt idx="0">
                  <c:v>-7.9413453261709952</c:v>
                </c:pt>
                <c:pt idx="1">
                  <c:v>-3.1563730486655528</c:v>
                </c:pt>
                <c:pt idx="2">
                  <c:v>-2.9483367635585207</c:v>
                </c:pt>
                <c:pt idx="3">
                  <c:v>-2.8206710107576471</c:v>
                </c:pt>
                <c:pt idx="4">
                  <c:v>-2.7270788722062282</c:v>
                </c:pt>
                <c:pt idx="5">
                  <c:v>-2.6526095495605553</c:v>
                </c:pt>
                <c:pt idx="6">
                  <c:v>-2.5904640018645773</c:v>
                </c:pt>
                <c:pt idx="7">
                  <c:v>-2.5369557531286526</c:v>
                </c:pt>
                <c:pt idx="8">
                  <c:v>-2.4898541484898677</c:v>
                </c:pt>
                <c:pt idx="9">
                  <c:v>-2.4477033585225918</c:v>
                </c:pt>
                <c:pt idx="10">
                  <c:v>-2.4094989759606067</c:v>
                </c:pt>
                <c:pt idx="11">
                  <c:v>-2.3745178832011802</c:v>
                </c:pt>
                <c:pt idx="12">
                  <c:v>-2.342221606715253</c:v>
                </c:pt>
                <c:pt idx="13">
                  <c:v>-2.3121980235236075</c:v>
                </c:pt>
                <c:pt idx="14">
                  <c:v>-2.2841244631564783</c:v>
                </c:pt>
                <c:pt idx="15">
                  <c:v>-2.2577434068988094</c:v>
                </c:pt>
                <c:pt idx="16">
                  <c:v>-2.2328459423636926</c:v>
                </c:pt>
                <c:pt idx="17">
                  <c:v>-2.2092601751391063</c:v>
                </c:pt>
                <c:pt idx="18">
                  <c:v>-2.1868429121239132</c:v>
                </c:pt>
                <c:pt idx="19">
                  <c:v>-2.1654735648631602</c:v>
                </c:pt>
                <c:pt idx="20">
                  <c:v>-2.1450495961618947</c:v>
                </c:pt>
                <c:pt idx="21">
                  <c:v>-2.1254830626678305</c:v>
                </c:pt>
                <c:pt idx="22">
                  <c:v>-2.1066979506460028</c:v>
                </c:pt>
                <c:pt idx="23">
                  <c:v>-2.0886280956212326</c:v>
                </c:pt>
                <c:pt idx="24">
                  <c:v>-2.0712155384048128</c:v>
                </c:pt>
                <c:pt idx="25">
                  <c:v>-2.0544092118030792</c:v>
                </c:pt>
                <c:pt idx="26">
                  <c:v>-2.0381638810689928</c:v>
                </c:pt>
                <c:pt idx="27">
                  <c:v>-2.0224392812996594</c:v>
                </c:pt>
                <c:pt idx="28">
                  <c:v>-2.0071994093079599</c:v>
                </c:pt>
                <c:pt idx="29">
                  <c:v>-1.9924119378306833</c:v>
                </c:pt>
                <c:pt idx="30">
                  <c:v>-1.978047727488945</c:v>
                </c:pt>
                <c:pt idx="31">
                  <c:v>-1.9640804175042579</c:v>
                </c:pt>
                <c:pt idx="32">
                  <c:v>-1.950486080353641</c:v>
                </c:pt>
                <c:pt idx="33">
                  <c:v>-1.9372429287065134</c:v>
                </c:pt>
                <c:pt idx="34">
                  <c:v>-1.9243310653973646</c:v>
                </c:pt>
                <c:pt idx="35">
                  <c:v>-1.9117322690449208</c:v>
                </c:pt>
                <c:pt idx="36">
                  <c:v>-1.8994298093704896</c:v>
                </c:pt>
                <c:pt idx="37">
                  <c:v>-1.8874082873967688</c:v>
                </c:pt>
                <c:pt idx="38">
                  <c:v>-1.8756534965983558</c:v>
                </c:pt>
                <c:pt idx="39">
                  <c:v>-1.8641523017818853</c:v>
                </c:pt>
                <c:pt idx="40">
                  <c:v>-1.8528925330385324</c:v>
                </c:pt>
                <c:pt idx="41">
                  <c:v>-1.8418628925658975</c:v>
                </c:pt>
                <c:pt idx="42">
                  <c:v>-1.8310528725237958</c:v>
                </c:pt>
                <c:pt idx="43">
                  <c:v>-1.8204526823874192</c:v>
                </c:pt>
                <c:pt idx="44">
                  <c:v>-1.8100531845058558</c:v>
                </c:pt>
                <c:pt idx="45">
                  <c:v>-1.7998458367748733</c:v>
                </c:pt>
                <c:pt idx="46">
                  <c:v>-1.7898226414988636</c:v>
                </c:pt>
                <c:pt idx="47">
                  <c:v>-1.779976099654488</c:v>
                </c:pt>
                <c:pt idx="48">
                  <c:v>-1.7702991698832953</c:v>
                </c:pt>
                <c:pt idx="49">
                  <c:v>-1.7607852316365484</c:v>
                </c:pt>
                <c:pt idx="50">
                  <c:v>-1.7514280519761141</c:v>
                </c:pt>
                <c:pt idx="51">
                  <c:v>-1.7422217556032296</c:v>
                </c:pt>
                <c:pt idx="52">
                  <c:v>-1.7331607977444856</c:v>
                </c:pt>
                <c:pt idx="53">
                  <c:v>-1.7242399395731982</c:v>
                </c:pt>
                <c:pt idx="54">
                  <c:v>-1.715454225885938</c:v>
                </c:pt>
                <c:pt idx="55">
                  <c:v>-1.7067989647895709</c:v>
                </c:pt>
                <c:pt idx="56">
                  <c:v>-1.6982697091846284</c:v>
                </c:pt>
                <c:pt idx="57">
                  <c:v>-1.6898622398570504</c:v>
                </c:pt>
                <c:pt idx="58">
                  <c:v>-1.6815725500129504</c:v>
                </c:pt>
                <c:pt idx="59">
                  <c:v>-1.6733968311105887</c:v>
                </c:pt>
                <c:pt idx="60">
                  <c:v>-1.6653314598606914</c:v>
                </c:pt>
                <c:pt idx="61">
                  <c:v>-1.6573729862809796</c:v>
                </c:pt>
                <c:pt idx="62">
                  <c:v>-1.6495181227035915</c:v>
                </c:pt>
                <c:pt idx="63">
                  <c:v>-1.6417637336453093</c:v>
                </c:pt>
                <c:pt idx="64">
                  <c:v>-1.6341068264602854</c:v>
                </c:pt>
                <c:pt idx="65">
                  <c:v>-1.6265445427035894</c:v>
                </c:pt>
                <c:pt idx="66">
                  <c:v>-1.6190741501414481</c:v>
                </c:pt>
                <c:pt idx="67">
                  <c:v>-1.6116930353507253</c:v>
                </c:pt>
                <c:pt idx="68">
                  <c:v>-1.6043986968560602</c:v>
                </c:pt>
                <c:pt idx="69">
                  <c:v>-1.5971887387583001</c:v>
                </c:pt>
                <c:pt idx="70">
                  <c:v>-1.5900608648124666</c:v>
                </c:pt>
                <c:pt idx="71">
                  <c:v>-1.5830128729175834</c:v>
                </c:pt>
                <c:pt idx="72">
                  <c:v>-1.5760426499843485</c:v>
                </c:pt>
                <c:pt idx="73">
                  <c:v>-1.5691481671498611</c:v>
                </c:pt>
                <c:pt idx="74">
                  <c:v>-1.5623274753115115</c:v>
                </c:pt>
                <c:pt idx="75">
                  <c:v>-1.5555787009547493</c:v>
                </c:pt>
                <c:pt idx="76">
                  <c:v>-1.548900042251715</c:v>
                </c:pt>
                <c:pt idx="77">
                  <c:v>-1.5422897654098506</c:v>
                </c:pt>
                <c:pt idx="78">
                  <c:v>-1.5357462012514234</c:v>
                </c:pt>
                <c:pt idx="79">
                  <c:v>-1.5292677420066043</c:v>
                </c:pt>
                <c:pt idx="80">
                  <c:v>-1.5228528383042355</c:v>
                </c:pt>
                <c:pt idx="81">
                  <c:v>-1.5164999963457819</c:v>
                </c:pt>
                <c:pt idx="82">
                  <c:v>-1.510207775249208</c:v>
                </c:pt>
                <c:pt idx="83">
                  <c:v>-1.503974784550604</c:v>
                </c:pt>
                <c:pt idx="84">
                  <c:v>-1.4977996818524228</c:v>
                </c:pt>
                <c:pt idx="85">
                  <c:v>-1.4916811706080737</c:v>
                </c:pt>
                <c:pt idx="86">
                  <c:v>-1.4856179980334669</c:v>
                </c:pt>
                <c:pt idx="87">
                  <c:v>-1.4796089531368346</c:v>
                </c:pt>
                <c:pt idx="88">
                  <c:v>-1.4736528648588596</c:v>
                </c:pt>
                <c:pt idx="89">
                  <c:v>-1.4677486003157523</c:v>
                </c:pt>
                <c:pt idx="90">
                  <c:v>-1.4618950631384819</c:v>
                </c:pt>
                <c:pt idx="91">
                  <c:v>-1.4560911919018944</c:v>
                </c:pt>
                <c:pt idx="92">
                  <c:v>-1.4503359586379192</c:v>
                </c:pt>
                <c:pt idx="93">
                  <c:v>-1.4446283674274998</c:v>
                </c:pt>
                <c:pt idx="94">
                  <c:v>-1.4389674530662808</c:v>
                </c:pt>
                <c:pt idx="95">
                  <c:v>-1.4333522797994338</c:v>
                </c:pt>
                <c:pt idx="96">
                  <c:v>-1.427781940121386</c:v>
                </c:pt>
                <c:pt idx="97">
                  <c:v>-1.422255553636407</c:v>
                </c:pt>
                <c:pt idx="98">
                  <c:v>-1.4167722659764816</c:v>
                </c:pt>
                <c:pt idx="99">
                  <c:v>-1.4113312477729174</c:v>
                </c:pt>
                <c:pt idx="100">
                  <c:v>-1.4059316936786115</c:v>
                </c:pt>
                <c:pt idx="101">
                  <c:v>-1.4005728214379083</c:v>
                </c:pt>
                <c:pt idx="102">
                  <c:v>-1.3952538710013354</c:v>
                </c:pt>
                <c:pt idx="103">
                  <c:v>-1.3899741036826332</c:v>
                </c:pt>
                <c:pt idx="104">
                  <c:v>-1.3847328013556541</c:v>
                </c:pt>
                <c:pt idx="105">
                  <c:v>-1.3795292656888583</c:v>
                </c:pt>
                <c:pt idx="106">
                  <c:v>-1.374362817415375</c:v>
                </c:pt>
                <c:pt idx="107">
                  <c:v>-1.3692327956365586</c:v>
                </c:pt>
                <c:pt idx="108">
                  <c:v>-1.3641385571573073</c:v>
                </c:pt>
                <c:pt idx="109">
                  <c:v>-1.3590794758513209</c:v>
                </c:pt>
                <c:pt idx="110">
                  <c:v>-1.3540549420547721</c:v>
                </c:pt>
                <c:pt idx="111">
                  <c:v>-1.3490643619867906</c:v>
                </c:pt>
                <c:pt idx="112">
                  <c:v>-1.3441071571954248</c:v>
                </c:pt>
                <c:pt idx="113">
                  <c:v>-1.3391827640276721</c:v>
                </c:pt>
                <c:pt idx="114">
                  <c:v>-1.3342906331223829</c:v>
                </c:pt>
                <c:pt idx="115">
                  <c:v>-1.3294302289248148</c:v>
                </c:pt>
                <c:pt idx="116">
                  <c:v>-1.324601029221772</c:v>
                </c:pt>
                <c:pt idx="117">
                  <c:v>-1.319802524696265</c:v>
                </c:pt>
                <c:pt idx="118">
                  <c:v>-1.3150342185007076</c:v>
                </c:pt>
                <c:pt idx="119">
                  <c:v>-1.3102956258477445</c:v>
                </c:pt>
                <c:pt idx="120">
                  <c:v>-1.3055862736178254</c:v>
                </c:pt>
                <c:pt idx="121">
                  <c:v>-1.3009056999827218</c:v>
                </c:pt>
                <c:pt idx="122">
                  <c:v>-1.2962534540441892</c:v>
                </c:pt>
                <c:pt idx="123">
                  <c:v>-1.2916290954870733</c:v>
                </c:pt>
                <c:pt idx="124">
                  <c:v>-1.2870321942461491</c:v>
                </c:pt>
                <c:pt idx="125">
                  <c:v>-1.2824623301860549</c:v>
                </c:pt>
                <c:pt idx="126">
                  <c:v>-1.2779190927936899</c:v>
                </c:pt>
                <c:pt idx="127">
                  <c:v>-1.2734020808825297</c:v>
                </c:pt>
                <c:pt idx="128">
                  <c:v>-1.2689109023082601</c:v>
                </c:pt>
                <c:pt idx="129">
                  <c:v>-1.2644451736952516</c:v>
                </c:pt>
                <c:pt idx="130">
                  <c:v>-1.260004520173353</c:v>
                </c:pt>
                <c:pt idx="131">
                  <c:v>-1.255588575124565</c:v>
                </c:pt>
                <c:pt idx="132">
                  <c:v>-1.2511969799391169</c:v>
                </c:pt>
                <c:pt idx="133">
                  <c:v>-1.2468293837805569</c:v>
                </c:pt>
                <c:pt idx="134">
                  <c:v>-1.2424854433594503</c:v>
                </c:pt>
                <c:pt idx="135">
                  <c:v>-1.238164822715299</c:v>
                </c:pt>
                <c:pt idx="136">
                  <c:v>-1.2338671930063319</c:v>
                </c:pt>
                <c:pt idx="137">
                  <c:v>-1.2295922323068298</c:v>
                </c:pt>
                <c:pt idx="138">
                  <c:v>-1.2253396254116573</c:v>
                </c:pt>
                <c:pt idx="139">
                  <c:v>-1.2211090636476916</c:v>
                </c:pt>
                <c:pt idx="140">
                  <c:v>-1.2169002446918644</c:v>
                </c:pt>
                <c:pt idx="141">
                  <c:v>-1.2127128723955336</c:v>
                </c:pt>
                <c:pt idx="142">
                  <c:v>-1.2085466566149283</c:v>
                </c:pt>
                <c:pt idx="143">
                  <c:v>-1.2044013130474018</c:v>
                </c:pt>
                <c:pt idx="144">
                  <c:v>-1.2002765630732746</c:v>
                </c:pt>
                <c:pt idx="145">
                  <c:v>-1.1961721336030178</c:v>
                </c:pt>
                <c:pt idx="146">
                  <c:v>-1.1920877569295791</c:v>
                </c:pt>
                <c:pt idx="147">
                  <c:v>-1.1880231705856303</c:v>
                </c:pt>
                <c:pt idx="148">
                  <c:v>-1.1839781172055506</c:v>
                </c:pt>
                <c:pt idx="149">
                  <c:v>-1.1799523443919493</c:v>
                </c:pt>
                <c:pt idx="150">
                  <c:v>-1.1759456045865566</c:v>
                </c:pt>
                <c:pt idx="151">
                  <c:v>-1.1719576549453026</c:v>
                </c:pt>
                <c:pt idx="152">
                  <c:v>-1.1679882572174294</c:v>
                </c:pt>
                <c:pt idx="153">
                  <c:v>-1.1640371776284826</c:v>
                </c:pt>
                <c:pt idx="154">
                  <c:v>-1.1601041867670134</c:v>
                </c:pt>
                <c:pt idx="155">
                  <c:v>-1.1561890594748843</c:v>
                </c:pt>
                <c:pt idx="156">
                  <c:v>-1.1522915747410065</c:v>
                </c:pt>
                <c:pt idx="157">
                  <c:v>-1.1484115155984058</c:v>
                </c:pt>
                <c:pt idx="158">
                  <c:v>-1.1445486690244737</c:v>
                </c:pt>
                <c:pt idx="159">
                  <c:v>-1.1407028258443039</c:v>
                </c:pt>
                <c:pt idx="160">
                  <c:v>-1.1368737806369786</c:v>
                </c:pt>
                <c:pt idx="161">
                  <c:v>-1.1330613316447196</c:v>
                </c:pt>
                <c:pt idx="162">
                  <c:v>-1.1292652806847807</c:v>
                </c:pt>
                <c:pt idx="163">
                  <c:v>-1.1254854330639892</c:v>
                </c:pt>
                <c:pt idx="164">
                  <c:v>-1.121721597495849</c:v>
                </c:pt>
                <c:pt idx="165">
                  <c:v>-1.1179735860200952</c:v>
                </c:pt>
                <c:pt idx="166">
                  <c:v>-1.1142412139246307</c:v>
                </c:pt>
                <c:pt idx="167">
                  <c:v>-1.1105242996697522</c:v>
                </c:pt>
                <c:pt idx="168">
                  <c:v>-1.106822664814584</c:v>
                </c:pt>
                <c:pt idx="169">
                  <c:v>-1.1031361339456489</c:v>
                </c:pt>
                <c:pt idx="170">
                  <c:v>-1.0994645346074929</c:v>
                </c:pt>
                <c:pt idx="171">
                  <c:v>-1.0958076972353008</c:v>
                </c:pt>
                <c:pt idx="172">
                  <c:v>-1.0921654550894306</c:v>
                </c:pt>
                <c:pt idx="173">
                  <c:v>-1.0885376441918031</c:v>
                </c:pt>
                <c:pt idx="174">
                  <c:v>-1.0849241032640771</c:v>
                </c:pt>
                <c:pt idx="175">
                  <c:v>-1.0813246736675617</c:v>
                </c:pt>
                <c:pt idx="176">
                  <c:v>-1.0777391993447989</c:v>
                </c:pt>
                <c:pt idx="177">
                  <c:v>-1.0741675267627588</c:v>
                </c:pt>
                <c:pt idx="178">
                  <c:v>-1.0706095048576043</c:v>
                </c:pt>
                <c:pt idx="179">
                  <c:v>-1.0670649849809621</c:v>
                </c:pt>
                <c:pt idx="180">
                  <c:v>-1.0635338208476595</c:v>
                </c:pt>
                <c:pt idx="181">
                  <c:v>-1.0600158684848688</c:v>
                </c:pt>
                <c:pt idx="182">
                  <c:v>-1.0565109861826305</c:v>
                </c:pt>
                <c:pt idx="183">
                  <c:v>-1.0530190344456893</c:v>
                </c:pt>
                <c:pt idx="184">
                  <c:v>-1.0495398759466186</c:v>
                </c:pt>
                <c:pt idx="185">
                  <c:v>-1.046073375480189</c:v>
                </c:pt>
                <c:pt idx="186">
                  <c:v>-1.0426193999189224</c:v>
                </c:pt>
                <c:pt idx="187">
                  <c:v>-1.0391778181698266</c:v>
                </c:pt>
                <c:pt idx="188">
                  <c:v>-1.0357485011322511</c:v>
                </c:pt>
                <c:pt idx="189">
                  <c:v>-1.0323313216568444</c:v>
                </c:pt>
                <c:pt idx="190">
                  <c:v>-1.0289261545055295</c:v>
                </c:pt>
                <c:pt idx="191">
                  <c:v>-1.025532876312556</c:v>
                </c:pt>
                <c:pt idx="192">
                  <c:v>-1.0221513655465189</c:v>
                </c:pt>
                <c:pt idx="193">
                  <c:v>-1.0187815024733502</c:v>
                </c:pt>
                <c:pt idx="194">
                  <c:v>-1.0154231691202296</c:v>
                </c:pt>
                <c:pt idx="195">
                  <c:v>-1.0120762492404072</c:v>
                </c:pt>
                <c:pt idx="196">
                  <c:v>-1.0087406282789162</c:v>
                </c:pt>
                <c:pt idx="197">
                  <c:v>-1.0054161933391337</c:v>
                </c:pt>
                <c:pt idx="198">
                  <c:v>-1.00210283315015</c:v>
                </c:pt>
                <c:pt idx="199">
                  <c:v>-0.99880043803495266</c:v>
                </c:pt>
                <c:pt idx="200">
                  <c:v>-0.99550889987940594</c:v>
                </c:pt>
                <c:pt idx="201">
                  <c:v>-0.99222811210195694</c:v>
                </c:pt>
                <c:pt idx="202">
                  <c:v>-0.98895796962408855</c:v>
                </c:pt>
                <c:pt idx="203">
                  <c:v>-0.98569836884148365</c:v>
                </c:pt>
                <c:pt idx="204">
                  <c:v>-0.98244920759588783</c:v>
                </c:pt>
                <c:pt idx="205">
                  <c:v>-0.97921038514762337</c:v>
                </c:pt>
                <c:pt idx="206">
                  <c:v>-0.97598180214878272</c:v>
                </c:pt>
                <c:pt idx="207">
                  <c:v>-0.97276336061703761</c:v>
                </c:pt>
                <c:pt idx="208">
                  <c:v>-0.96955496391005969</c:v>
                </c:pt>
                <c:pt idx="209">
                  <c:v>-0.96635651670056555</c:v>
                </c:pt>
                <c:pt idx="210">
                  <c:v>-0.96316792495191172</c:v>
                </c:pt>
                <c:pt idx="211">
                  <c:v>-0.95998909589427739</c:v>
                </c:pt>
                <c:pt idx="212">
                  <c:v>-0.95681993800138099</c:v>
                </c:pt>
                <c:pt idx="213">
                  <c:v>-0.95366036096774787</c:v>
                </c:pt>
                <c:pt idx="214">
                  <c:v>-0.95051027568649282</c:v>
                </c:pt>
                <c:pt idx="215">
                  <c:v>-0.94736959422758116</c:v>
                </c:pt>
                <c:pt idx="216">
                  <c:v>-0.94423822981663508</c:v>
                </c:pt>
                <c:pt idx="217">
                  <c:v>-0.94111609681416231</c:v>
                </c:pt>
                <c:pt idx="218">
                  <c:v>-0.93800311069529396</c:v>
                </c:pt>
                <c:pt idx="219">
                  <c:v>-0.93489918802994199</c:v>
                </c:pt>
                <c:pt idx="220">
                  <c:v>-0.93180424646341864</c:v>
                </c:pt>
                <c:pt idx="221">
                  <c:v>-0.9287182046974809</c:v>
                </c:pt>
                <c:pt idx="222">
                  <c:v>-0.92564098247178539</c:v>
                </c:pt>
                <c:pt idx="223">
                  <c:v>-0.92257250054575202</c:v>
                </c:pt>
                <c:pt idx="224">
                  <c:v>-0.9195126806808277</c:v>
                </c:pt>
                <c:pt idx="225">
                  <c:v>-0.91646144562313392</c:v>
                </c:pt>
                <c:pt idx="226">
                  <c:v>-0.91341871908648442</c:v>
                </c:pt>
                <c:pt idx="227">
                  <c:v>-0.91038442573578204</c:v>
                </c:pt>
                <c:pt idx="228">
                  <c:v>-0.90735849117074663</c:v>
                </c:pt>
                <c:pt idx="229">
                  <c:v>-0.90434084191002306</c:v>
                </c:pt>
                <c:pt idx="230">
                  <c:v>-0.90133140537559198</c:v>
                </c:pt>
                <c:pt idx="231">
                  <c:v>-0.89833010987754269</c:v>
                </c:pt>
                <c:pt idx="232">
                  <c:v>-0.89533688459914473</c:v>
                </c:pt>
                <c:pt idx="233">
                  <c:v>-0.89235165958223872</c:v>
                </c:pt>
                <c:pt idx="234">
                  <c:v>-0.88937436571293493</c:v>
                </c:pt>
                <c:pt idx="235">
                  <c:v>-0.88640493470760906</c:v>
                </c:pt>
                <c:pt idx="236">
                  <c:v>-0.88344329909918407</c:v>
                </c:pt>
                <c:pt idx="237">
                  <c:v>-0.88048939222369371</c:v>
                </c:pt>
                <c:pt idx="238">
                  <c:v>-0.87754314820713331</c:v>
                </c:pt>
                <c:pt idx="239">
                  <c:v>-0.87460450195256456</c:v>
                </c:pt>
                <c:pt idx="240">
                  <c:v>-0.87167338912749059</c:v>
                </c:pt>
                <c:pt idx="241">
                  <c:v>-0.86874974615148604</c:v>
                </c:pt>
                <c:pt idx="242">
                  <c:v>-0.86583351018407173</c:v>
                </c:pt>
                <c:pt idx="243">
                  <c:v>-0.86292461911284923</c:v>
                </c:pt>
                <c:pt idx="244">
                  <c:v>-0.86002301154184813</c:v>
                </c:pt>
                <c:pt idx="245">
                  <c:v>-0.85712862678012414</c:v>
                </c:pt>
                <c:pt idx="246">
                  <c:v>-0.85424140483057942</c:v>
                </c:pt>
                <c:pt idx="247">
                  <c:v>-0.85136128637899944</c:v>
                </c:pt>
                <c:pt idx="248">
                  <c:v>-0.84848821278331166</c:v>
                </c:pt>
                <c:pt idx="249">
                  <c:v>-0.84562212606304721</c:v>
                </c:pt>
                <c:pt idx="250">
                  <c:v>-0.84276296888901658</c:v>
                </c:pt>
                <c:pt idx="251">
                  <c:v>-0.83991068457318152</c:v>
                </c:pt>
                <c:pt idx="252">
                  <c:v>-0.83706521705872339</c:v>
                </c:pt>
                <c:pt idx="253">
                  <c:v>-0.83422651091030442</c:v>
                </c:pt>
                <c:pt idx="254">
                  <c:v>-0.83139451130451492</c:v>
                </c:pt>
                <c:pt idx="255">
                  <c:v>-0.82856916402050429</c:v>
                </c:pt>
                <c:pt idx="256">
                  <c:v>-0.82575041543078953</c:v>
                </c:pt>
                <c:pt idx="257">
                  <c:v>-0.82293821249223731</c:v>
                </c:pt>
                <c:pt idx="258">
                  <c:v>-0.82013250273722138</c:v>
                </c:pt>
                <c:pt idx="259">
                  <c:v>-0.81733323426494064</c:v>
                </c:pt>
                <c:pt idx="260">
                  <c:v>-0.81454035573290584</c:v>
                </c:pt>
                <c:pt idx="261">
                  <c:v>-0.81175381634857624</c:v>
                </c:pt>
                <c:pt idx="262">
                  <c:v>-0.80897356586116487</c:v>
                </c:pt>
                <c:pt idx="263">
                  <c:v>-0.80619955455358372</c:v>
                </c:pt>
                <c:pt idx="264">
                  <c:v>-0.80343173323454686</c:v>
                </c:pt>
                <c:pt idx="265">
                  <c:v>-0.80067005323081208</c:v>
                </c:pt>
                <c:pt idx="266">
                  <c:v>-0.79791446637956975</c:v>
                </c:pt>
                <c:pt idx="267">
                  <c:v>-0.79516492502096592</c:v>
                </c:pt>
                <c:pt idx="268">
                  <c:v>-0.79242138199076739</c:v>
                </c:pt>
                <c:pt idx="269">
                  <c:v>-0.7896837906131533</c:v>
                </c:pt>
                <c:pt idx="270">
                  <c:v>-0.78695210469364352</c:v>
                </c:pt>
                <c:pt idx="271">
                  <c:v>-0.78422627851214577</c:v>
                </c:pt>
                <c:pt idx="272">
                  <c:v>-0.78150626681613689</c:v>
                </c:pt>
                <c:pt idx="273">
                  <c:v>-0.77879202481396148</c:v>
                </c:pt>
                <c:pt idx="274">
                  <c:v>-0.77608350816824301</c:v>
                </c:pt>
                <c:pt idx="275">
                  <c:v>-0.77338067298942748</c:v>
                </c:pt>
                <c:pt idx="276">
                  <c:v>-0.77068347582942376</c:v>
                </c:pt>
                <c:pt idx="277">
                  <c:v>-0.76799187367536814</c:v>
                </c:pt>
                <c:pt idx="278">
                  <c:v>-0.76530582394349278</c:v>
                </c:pt>
                <c:pt idx="279">
                  <c:v>-0.76262528447310307</c:v>
                </c:pt>
                <c:pt idx="280">
                  <c:v>-0.75995021352065906</c:v>
                </c:pt>
                <c:pt idx="281">
                  <c:v>-0.7572805697539543</c:v>
                </c:pt>
                <c:pt idx="282">
                  <c:v>-0.75461631224640913</c:v>
                </c:pt>
                <c:pt idx="283">
                  <c:v>-0.75195740047144632</c:v>
                </c:pt>
                <c:pt idx="284">
                  <c:v>-0.74930379429697336</c:v>
                </c:pt>
                <c:pt idx="285">
                  <c:v>-0.74665545397995525</c:v>
                </c:pt>
                <c:pt idx="286">
                  <c:v>-0.74401234016107898</c:v>
                </c:pt>
                <c:pt idx="287">
                  <c:v>-0.74137441385951275</c:v>
                </c:pt>
                <c:pt idx="288">
                  <c:v>-0.73874163646774704</c:v>
                </c:pt>
                <c:pt idx="289">
                  <c:v>-0.73611396974652887</c:v>
                </c:pt>
                <c:pt idx="290">
                  <c:v>-0.73349137581987744</c:v>
                </c:pt>
                <c:pt idx="291">
                  <c:v>-0.73087381717018651</c:v>
                </c:pt>
                <c:pt idx="292">
                  <c:v>-0.7282612566334018</c:v>
                </c:pt>
                <c:pt idx="293">
                  <c:v>-0.72565365739428589</c:v>
                </c:pt>
                <c:pt idx="294">
                  <c:v>-0.72305098298175763</c:v>
                </c:pt>
                <c:pt idx="295">
                  <c:v>-0.72045319726431023</c:v>
                </c:pt>
                <c:pt idx="296">
                  <c:v>-0.71786026444549833</c:v>
                </c:pt>
                <c:pt idx="297">
                  <c:v>-0.71527214905951342</c:v>
                </c:pt>
                <c:pt idx="298">
                  <c:v>-0.71268881596681288</c:v>
                </c:pt>
                <c:pt idx="299">
                  <c:v>-0.71011023034983434</c:v>
                </c:pt>
                <c:pt idx="300">
                  <c:v>-0.7075363577087741</c:v>
                </c:pt>
                <c:pt idx="301">
                  <c:v>-0.70496716385743308</c:v>
                </c:pt>
                <c:pt idx="302">
                  <c:v>-0.70240261491912992</c:v>
                </c:pt>
                <c:pt idx="303">
                  <c:v>-0.69984267732268335</c:v>
                </c:pt>
                <c:pt idx="304">
                  <c:v>-0.69728731779845365</c:v>
                </c:pt>
                <c:pt idx="305">
                  <c:v>-0.69473650337444759</c:v>
                </c:pt>
                <c:pt idx="306">
                  <c:v>-0.69219020137249287</c:v>
                </c:pt>
                <c:pt idx="307">
                  <c:v>-0.68964837940445989</c:v>
                </c:pt>
                <c:pt idx="308">
                  <c:v>-0.68711100536855518</c:v>
                </c:pt>
                <c:pt idx="309">
                  <c:v>-0.68457804744566686</c:v>
                </c:pt>
                <c:pt idx="310">
                  <c:v>-0.68204947409576822</c:v>
                </c:pt>
                <c:pt idx="311">
                  <c:v>-0.67952525405437891</c:v>
                </c:pt>
                <c:pt idx="312">
                  <c:v>-0.67700535632907999</c:v>
                </c:pt>
                <c:pt idx="313">
                  <c:v>-0.67448975019608193</c:v>
                </c:pt>
                <c:pt idx="314">
                  <c:v>-0.6719784051968487</c:v>
                </c:pt>
                <c:pt idx="315">
                  <c:v>-0.66947129113477122</c:v>
                </c:pt>
                <c:pt idx="316">
                  <c:v>-0.66696837807189291</c:v>
                </c:pt>
                <c:pt idx="317">
                  <c:v>-0.66446963632568545</c:v>
                </c:pt>
                <c:pt idx="318">
                  <c:v>-0.6619750364658723</c:v>
                </c:pt>
                <c:pt idx="319">
                  <c:v>-0.65948454931130407</c:v>
                </c:pt>
                <c:pt idx="320">
                  <c:v>-0.65699814592687567</c:v>
                </c:pt>
                <c:pt idx="321">
                  <c:v>-0.65451579762049528</c:v>
                </c:pt>
                <c:pt idx="322">
                  <c:v>-0.65203747594009653</c:v>
                </c:pt>
                <c:pt idx="323">
                  <c:v>-0.64956315267069531</c:v>
                </c:pt>
                <c:pt idx="324">
                  <c:v>-0.64709279983148971</c:v>
                </c:pt>
                <c:pt idx="325">
                  <c:v>-0.644626389673008</c:v>
                </c:pt>
                <c:pt idx="326">
                  <c:v>-0.64216389467429247</c:v>
                </c:pt>
                <c:pt idx="327">
                  <c:v>-0.63970528754012834</c:v>
                </c:pt>
                <c:pt idx="328">
                  <c:v>-0.63725054119831448</c:v>
                </c:pt>
                <c:pt idx="329">
                  <c:v>-0.63479962879697216</c:v>
                </c:pt>
                <c:pt idx="330">
                  <c:v>-0.63235252370189377</c:v>
                </c:pt>
                <c:pt idx="331">
                  <c:v>-0.62990919949393132</c:v>
                </c:pt>
                <c:pt idx="332">
                  <c:v>-0.62746962996642153</c:v>
                </c:pt>
                <c:pt idx="333">
                  <c:v>-0.62503378912265017</c:v>
                </c:pt>
                <c:pt idx="334">
                  <c:v>-0.62260165117335065</c:v>
                </c:pt>
                <c:pt idx="335">
                  <c:v>-0.62017319053424136</c:v>
                </c:pt>
                <c:pt idx="336">
                  <c:v>-0.61774838182359582</c:v>
                </c:pt>
                <c:pt idx="337">
                  <c:v>-0.61532719985985007</c:v>
                </c:pt>
                <c:pt idx="338">
                  <c:v>-0.61290961965924273</c:v>
                </c:pt>
                <c:pt idx="339">
                  <c:v>-0.61049561643348849</c:v>
                </c:pt>
                <c:pt idx="340">
                  <c:v>-0.60808516558748693</c:v>
                </c:pt>
                <c:pt idx="341">
                  <c:v>-0.60567824271705972</c:v>
                </c:pt>
                <c:pt idx="342">
                  <c:v>-0.60327482360672458</c:v>
                </c:pt>
                <c:pt idx="343">
                  <c:v>-0.60087488422749591</c:v>
                </c:pt>
                <c:pt idx="344">
                  <c:v>-0.59847840073472047</c:v>
                </c:pt>
                <c:pt idx="345">
                  <c:v>-0.59608534946593994</c:v>
                </c:pt>
                <c:pt idx="346">
                  <c:v>-0.59369570693878382</c:v>
                </c:pt>
                <c:pt idx="347">
                  <c:v>-0.59130944984889577</c:v>
                </c:pt>
                <c:pt idx="348">
                  <c:v>-0.58892655506788127</c:v>
                </c:pt>
                <c:pt idx="349">
                  <c:v>-0.5865469996412902</c:v>
                </c:pt>
                <c:pt idx="350">
                  <c:v>-0.58417076078662311</c:v>
                </c:pt>
                <c:pt idx="351">
                  <c:v>-0.58179781589136859</c:v>
                </c:pt>
                <c:pt idx="352">
                  <c:v>-0.57942814251106189</c:v>
                </c:pt>
                <c:pt idx="353">
                  <c:v>-0.57706171836737574</c:v>
                </c:pt>
                <c:pt idx="354">
                  <c:v>-0.574698521346235</c:v>
                </c:pt>
                <c:pt idx="355">
                  <c:v>-0.57233852949595398</c:v>
                </c:pt>
                <c:pt idx="356">
                  <c:v>-0.56998172102540456</c:v>
                </c:pt>
                <c:pt idx="357">
                  <c:v>-0.56762807430220341</c:v>
                </c:pt>
                <c:pt idx="358">
                  <c:v>-0.56527756785092831</c:v>
                </c:pt>
                <c:pt idx="359">
                  <c:v>-0.56293018035135345</c:v>
                </c:pt>
                <c:pt idx="360">
                  <c:v>-0.56058589063671327</c:v>
                </c:pt>
                <c:pt idx="361">
                  <c:v>-0.55824467769198549</c:v>
                </c:pt>
                <c:pt idx="362">
                  <c:v>-0.55590652065219914</c:v>
                </c:pt>
                <c:pt idx="363">
                  <c:v>-0.55357139880076323</c:v>
                </c:pt>
                <c:pt idx="364">
                  <c:v>-0.55123929156782003</c:v>
                </c:pt>
                <c:pt idx="365">
                  <c:v>-0.54891017852861668</c:v>
                </c:pt>
                <c:pt idx="366">
                  <c:v>-0.54658403940190015</c:v>
                </c:pt>
                <c:pt idx="367">
                  <c:v>-0.54426085404833446</c:v>
                </c:pt>
                <c:pt idx="368">
                  <c:v>-0.54194060246893416</c:v>
                </c:pt>
                <c:pt idx="369">
                  <c:v>-0.53962326480352163</c:v>
                </c:pt>
                <c:pt idx="370">
                  <c:v>-0.53730882132920532</c:v>
                </c:pt>
                <c:pt idx="371">
                  <c:v>-0.53499725245887308</c:v>
                </c:pt>
                <c:pt idx="372">
                  <c:v>-0.53268853873970945</c:v>
                </c:pt>
                <c:pt idx="373">
                  <c:v>-0.53038266085172847</c:v>
                </c:pt>
                <c:pt idx="374">
                  <c:v>-0.52807959960632822</c:v>
                </c:pt>
                <c:pt idx="375">
                  <c:v>-0.52577933594486148</c:v>
                </c:pt>
                <c:pt idx="376">
                  <c:v>-0.52348185093722488</c:v>
                </c:pt>
                <c:pt idx="377">
                  <c:v>-0.521187125780468</c:v>
                </c:pt>
                <c:pt idx="378">
                  <c:v>-0.51889514179741658</c:v>
                </c:pt>
                <c:pt idx="379">
                  <c:v>-0.51660588043531575</c:v>
                </c:pt>
                <c:pt idx="380">
                  <c:v>-0.51431932326448959</c:v>
                </c:pt>
                <c:pt idx="381">
                  <c:v>-0.51203545197701639</c:v>
                </c:pt>
                <c:pt idx="382">
                  <c:v>-0.50975424838542183</c:v>
                </c:pt>
                <c:pt idx="383">
                  <c:v>-0.50747569442138774</c:v>
                </c:pt>
                <c:pt idx="384">
                  <c:v>-0.50519977213447687</c:v>
                </c:pt>
                <c:pt idx="385">
                  <c:v>-0.50292646369087257</c:v>
                </c:pt>
                <c:pt idx="386">
                  <c:v>-0.50065575137213691</c:v>
                </c:pt>
                <c:pt idx="387">
                  <c:v>-0.49838761757397926</c:v>
                </c:pt>
                <c:pt idx="388">
                  <c:v>-0.49612204480504479</c:v>
                </c:pt>
                <c:pt idx="389">
                  <c:v>-0.49385901568571405</c:v>
                </c:pt>
                <c:pt idx="390">
                  <c:v>-0.49159851294692014</c:v>
                </c:pt>
                <c:pt idx="391">
                  <c:v>-0.48934051942897694</c:v>
                </c:pt>
                <c:pt idx="392">
                  <c:v>-0.48708501808042487</c:v>
                </c:pt>
                <c:pt idx="393">
                  <c:v>-0.48483199195688781</c:v>
                </c:pt>
                <c:pt idx="394">
                  <c:v>-0.4825814242199451</c:v>
                </c:pt>
                <c:pt idx="395">
                  <c:v>-0.48033329813601716</c:v>
                </c:pt>
                <c:pt idx="396">
                  <c:v>-0.47808759707526399</c:v>
                </c:pt>
                <c:pt idx="397">
                  <c:v>-0.47584430451049581</c:v>
                </c:pt>
                <c:pt idx="398">
                  <c:v>-0.47360340401609913</c:v>
                </c:pt>
                <c:pt idx="399">
                  <c:v>-0.47136487926697263</c:v>
                </c:pt>
                <c:pt idx="400">
                  <c:v>-0.4691287140374773</c:v>
                </c:pt>
                <c:pt idx="401">
                  <c:v>-0.46689489220039887</c:v>
                </c:pt>
                <c:pt idx="402">
                  <c:v>-0.46466339772592158</c:v>
                </c:pt>
                <c:pt idx="403">
                  <c:v>-0.46243421468061463</c:v>
                </c:pt>
                <c:pt idx="404">
                  <c:v>-0.46020732722642965</c:v>
                </c:pt>
                <c:pt idx="405">
                  <c:v>-0.45798271961971027</c:v>
                </c:pt>
                <c:pt idx="406">
                  <c:v>-0.45576037621021431</c:v>
                </c:pt>
                <c:pt idx="407">
                  <c:v>-0.45354028144014408</c:v>
                </c:pt>
                <c:pt idx="408">
                  <c:v>-0.45132241984319144</c:v>
                </c:pt>
                <c:pt idx="409">
                  <c:v>-0.44910677604359084</c:v>
                </c:pt>
                <c:pt idx="410">
                  <c:v>-0.44689333475518556</c:v>
                </c:pt>
                <c:pt idx="411">
                  <c:v>-0.44468208078050236</c:v>
                </c:pt>
                <c:pt idx="412">
                  <c:v>-0.44247299900983833</c:v>
                </c:pt>
                <c:pt idx="413">
                  <c:v>-0.44026607442035703</c:v>
                </c:pt>
                <c:pt idx="414">
                  <c:v>-0.43806129207519545</c:v>
                </c:pt>
                <c:pt idx="415">
                  <c:v>-0.43585863712258077</c:v>
                </c:pt>
                <c:pt idx="416">
                  <c:v>-0.43365809479495632</c:v>
                </c:pt>
                <c:pt idx="417">
                  <c:v>-0.43145965040811818</c:v>
                </c:pt>
                <c:pt idx="418">
                  <c:v>-0.42926328936036173</c:v>
                </c:pt>
                <c:pt idx="419">
                  <c:v>-0.42706899713163576</c:v>
                </c:pt>
                <c:pt idx="420">
                  <c:v>-0.42487675928270802</c:v>
                </c:pt>
                <c:pt idx="421">
                  <c:v>-0.42268656145433925</c:v>
                </c:pt>
                <c:pt idx="422">
                  <c:v>-0.42049838936646489</c:v>
                </c:pt>
                <c:pt idx="423">
                  <c:v>-0.41831222881738783</c:v>
                </c:pt>
                <c:pt idx="424">
                  <c:v>-0.41612806568297905</c:v>
                </c:pt>
                <c:pt idx="425">
                  <c:v>-0.41394588591588732</c:v>
                </c:pt>
                <c:pt idx="426">
                  <c:v>-0.41176567554475518</c:v>
                </c:pt>
                <c:pt idx="427">
                  <c:v>-0.40958742067344739</c:v>
                </c:pt>
                <c:pt idx="428">
                  <c:v>-0.40741110748028431</c:v>
                </c:pt>
                <c:pt idx="429">
                  <c:v>-0.40523672221728529</c:v>
                </c:pt>
                <c:pt idx="430">
                  <c:v>-0.40306425120941847</c:v>
                </c:pt>
                <c:pt idx="431">
                  <c:v>-0.40089368085386107</c:v>
                </c:pt>
                <c:pt idx="432">
                  <c:v>-0.39872499761926478</c:v>
                </c:pt>
                <c:pt idx="433">
                  <c:v>-0.39655818804503096</c:v>
                </c:pt>
                <c:pt idx="434">
                  <c:v>-0.39439323874059246</c:v>
                </c:pt>
                <c:pt idx="435">
                  <c:v>-0.39223013638470289</c:v>
                </c:pt>
                <c:pt idx="436">
                  <c:v>-0.39006886772473359</c:v>
                </c:pt>
                <c:pt idx="437">
                  <c:v>-0.38790941957597869</c:v>
                </c:pt>
                <c:pt idx="438">
                  <c:v>-0.38575177882096578</c:v>
                </c:pt>
                <c:pt idx="439">
                  <c:v>-0.38359593240877499</c:v>
                </c:pt>
                <c:pt idx="440">
                  <c:v>-0.38144186735436381</c:v>
                </c:pt>
                <c:pt idx="441">
                  <c:v>-0.3792895707379012</c:v>
                </c:pt>
                <c:pt idx="442">
                  <c:v>-0.3771390297041054</c:v>
                </c:pt>
                <c:pt idx="443">
                  <c:v>-0.37499023146159088</c:v>
                </c:pt>
                <c:pt idx="444">
                  <c:v>-0.37284316328222122</c:v>
                </c:pt>
                <c:pt idx="445">
                  <c:v>-0.37069781250046735</c:v>
                </c:pt>
                <c:pt idx="446">
                  <c:v>-0.36855416651277412</c:v>
                </c:pt>
                <c:pt idx="447">
                  <c:v>-0.36641221277693303</c:v>
                </c:pt>
                <c:pt idx="448">
                  <c:v>-0.36427193881145892</c:v>
                </c:pt>
                <c:pt idx="449">
                  <c:v>-0.36213333219497562</c:v>
                </c:pt>
                <c:pt idx="450">
                  <c:v>-0.35999638056560684</c:v>
                </c:pt>
                <c:pt idx="451">
                  <c:v>-0.35786107162037184</c:v>
                </c:pt>
                <c:pt idx="452">
                  <c:v>-0.35572739311458912</c:v>
                </c:pt>
                <c:pt idx="453">
                  <c:v>-0.35359533286128414</c:v>
                </c:pt>
                <c:pt idx="454">
                  <c:v>-0.35146487873060422</c:v>
                </c:pt>
                <c:pt idx="455">
                  <c:v>-0.34933601864923775</c:v>
                </c:pt>
                <c:pt idx="456">
                  <c:v>-0.3472087405998403</c:v>
                </c:pt>
                <c:pt idx="457">
                  <c:v>-0.34508303262046608</c:v>
                </c:pt>
                <c:pt idx="458">
                  <c:v>-0.34295888280400344</c:v>
                </c:pt>
                <c:pt idx="459">
                  <c:v>-0.34083627929761778</c:v>
                </c:pt>
                <c:pt idx="460">
                  <c:v>-0.33871521030219887</c:v>
                </c:pt>
                <c:pt idx="461">
                  <c:v>-0.33659566407181285</c:v>
                </c:pt>
                <c:pt idx="462">
                  <c:v>-0.33447762891316019</c:v>
                </c:pt>
                <c:pt idx="463">
                  <c:v>-0.33236109318503904</c:v>
                </c:pt>
                <c:pt idx="464">
                  <c:v>-0.3302460452978121</c:v>
                </c:pt>
                <c:pt idx="465">
                  <c:v>-0.32813247371288057</c:v>
                </c:pt>
                <c:pt idx="466">
                  <c:v>-0.32602036694216147</c:v>
                </c:pt>
                <c:pt idx="467">
                  <c:v>-0.32390971354756987</c:v>
                </c:pt>
                <c:pt idx="468">
                  <c:v>-0.32180050214050659</c:v>
                </c:pt>
                <c:pt idx="469">
                  <c:v>-0.31969272138135096</c:v>
                </c:pt>
                <c:pt idx="470">
                  <c:v>-0.31758635997895618</c:v>
                </c:pt>
                <c:pt idx="471">
                  <c:v>-0.31548140669015162</c:v>
                </c:pt>
                <c:pt idx="472">
                  <c:v>-0.31337785031924825</c:v>
                </c:pt>
                <c:pt idx="473">
                  <c:v>-0.3112756797175496</c:v>
                </c:pt>
                <c:pt idx="474">
                  <c:v>-0.30917488378286528</c:v>
                </c:pt>
                <c:pt idx="475">
                  <c:v>-0.30707545145903087</c:v>
                </c:pt>
                <c:pt idx="476">
                  <c:v>-0.30497737173543138</c:v>
                </c:pt>
                <c:pt idx="477">
                  <c:v>-0.30288063364652795</c:v>
                </c:pt>
                <c:pt idx="478">
                  <c:v>-0.30078522627139009</c:v>
                </c:pt>
                <c:pt idx="479">
                  <c:v>-0.29869113873323189</c:v>
                </c:pt>
                <c:pt idx="480">
                  <c:v>-0.29659836019895114</c:v>
                </c:pt>
                <c:pt idx="481">
                  <c:v>-0.2945068798786733</c:v>
                </c:pt>
                <c:pt idx="482">
                  <c:v>-0.29241668702530038</c:v>
                </c:pt>
                <c:pt idx="483">
                  <c:v>-0.29032777093406098</c:v>
                </c:pt>
                <c:pt idx="484">
                  <c:v>-0.28824012094206697</c:v>
                </c:pt>
                <c:pt idx="485">
                  <c:v>-0.28615372642787296</c:v>
                </c:pt>
                <c:pt idx="486">
                  <c:v>-0.2840685768110387</c:v>
                </c:pt>
                <c:pt idx="487">
                  <c:v>-0.28198466155169616</c:v>
                </c:pt>
                <c:pt idx="488">
                  <c:v>-0.27990197015012003</c:v>
                </c:pt>
                <c:pt idx="489">
                  <c:v>-0.27782049214630206</c:v>
                </c:pt>
                <c:pt idx="490">
                  <c:v>-0.27574021711952784</c:v>
                </c:pt>
                <c:pt idx="491">
                  <c:v>-0.27366113468795827</c:v>
                </c:pt>
                <c:pt idx="492">
                  <c:v>-0.27158323450821464</c:v>
                </c:pt>
                <c:pt idx="493">
                  <c:v>-0.26950650627496547</c:v>
                </c:pt>
                <c:pt idx="494">
                  <c:v>-0.26743093972051812</c:v>
                </c:pt>
                <c:pt idx="495">
                  <c:v>-0.26535652461441417</c:v>
                </c:pt>
                <c:pt idx="496">
                  <c:v>-0.26328325076302611</c:v>
                </c:pt>
                <c:pt idx="497">
                  <c:v>-0.26121110800915892</c:v>
                </c:pt>
                <c:pt idx="498">
                  <c:v>-0.25914008623165485</c:v>
                </c:pt>
                <c:pt idx="499">
                  <c:v>-0.25707017534499943</c:v>
                </c:pt>
                <c:pt idx="500">
                  <c:v>-0.25500136529893319</c:v>
                </c:pt>
                <c:pt idx="501">
                  <c:v>-0.25293364607806496</c:v>
                </c:pt>
                <c:pt idx="502">
                  <c:v>-0.25086700770148768</c:v>
                </c:pt>
                <c:pt idx="503">
                  <c:v>-0.24880144022239872</c:v>
                </c:pt>
                <c:pt idx="504">
                  <c:v>-0.24673693372772171</c:v>
                </c:pt>
                <c:pt idx="505">
                  <c:v>-0.24467347833773251</c:v>
                </c:pt>
                <c:pt idx="506">
                  <c:v>-0.24261106420568665</c:v>
                </c:pt>
                <c:pt idx="507">
                  <c:v>-0.2405496815174506</c:v>
                </c:pt>
                <c:pt idx="508">
                  <c:v>-0.23848932049113589</c:v>
                </c:pt>
                <c:pt idx="509">
                  <c:v>-0.23642997137673497</c:v>
                </c:pt>
                <c:pt idx="510">
                  <c:v>-0.23437162445576049</c:v>
                </c:pt>
                <c:pt idx="511">
                  <c:v>-0.23231427004088778</c:v>
                </c:pt>
                <c:pt idx="512">
                  <c:v>-0.23025789847559838</c:v>
                </c:pt>
                <c:pt idx="513">
                  <c:v>-0.22820250013382753</c:v>
                </c:pt>
                <c:pt idx="514">
                  <c:v>-0.22614806541961399</c:v>
                </c:pt>
                <c:pt idx="515">
                  <c:v>-0.22409458476675168</c:v>
                </c:pt>
                <c:pt idx="516">
                  <c:v>-0.22204204863844443</c:v>
                </c:pt>
                <c:pt idx="517">
                  <c:v>-0.21999044752696323</c:v>
                </c:pt>
                <c:pt idx="518">
                  <c:v>-0.21793977195330541</c:v>
                </c:pt>
                <c:pt idx="519">
                  <c:v>-0.21589001246685627</c:v>
                </c:pt>
                <c:pt idx="520">
                  <c:v>-0.21384115964505368</c:v>
                </c:pt>
                <c:pt idx="521">
                  <c:v>-0.21179320409305458</c:v>
                </c:pt>
                <c:pt idx="522">
                  <c:v>-0.20974613644340317</c:v>
                </c:pt>
                <c:pt idx="523">
                  <c:v>-0.20769994735570219</c:v>
                </c:pt>
                <c:pt idx="524">
                  <c:v>-0.20565462751628658</c:v>
                </c:pt>
                <c:pt idx="525">
                  <c:v>-0.20361016763789802</c:v>
                </c:pt>
                <c:pt idx="526">
                  <c:v>-0.201566558459363</c:v>
                </c:pt>
                <c:pt idx="527">
                  <c:v>-0.19952379074527271</c:v>
                </c:pt>
                <c:pt idx="528">
                  <c:v>-0.19748185528566406</c:v>
                </c:pt>
                <c:pt idx="529">
                  <c:v>-0.19544074289570396</c:v>
                </c:pt>
                <c:pt idx="530">
                  <c:v>-0.19340044441537538</c:v>
                </c:pt>
                <c:pt idx="531">
                  <c:v>-0.19136095070916465</c:v>
                </c:pt>
                <c:pt idx="532">
                  <c:v>-0.18932225266575139</c:v>
                </c:pt>
                <c:pt idx="533">
                  <c:v>-0.1872843411977009</c:v>
                </c:pt>
                <c:pt idx="534">
                  <c:v>-0.18524720724115676</c:v>
                </c:pt>
                <c:pt idx="535">
                  <c:v>-0.18321084175553715</c:v>
                </c:pt>
                <c:pt idx="536">
                  <c:v>-0.1811752357232323</c:v>
                </c:pt>
                <c:pt idx="537">
                  <c:v>-0.17914038014930314</c:v>
                </c:pt>
                <c:pt idx="538">
                  <c:v>-0.17710626606118277</c:v>
                </c:pt>
                <c:pt idx="539">
                  <c:v>-0.17507288450837902</c:v>
                </c:pt>
                <c:pt idx="540">
                  <c:v>-0.17304022656217968</c:v>
                </c:pt>
                <c:pt idx="541">
                  <c:v>-0.17100828331535786</c:v>
                </c:pt>
                <c:pt idx="542">
                  <c:v>-0.16897704588188017</c:v>
                </c:pt>
                <c:pt idx="543">
                  <c:v>-0.16694650539661729</c:v>
                </c:pt>
                <c:pt idx="544">
                  <c:v>-0.1649166530150539</c:v>
                </c:pt>
                <c:pt idx="545">
                  <c:v>-0.16288747991300231</c:v>
                </c:pt>
                <c:pt idx="546">
                  <c:v>-0.16085897728631737</c:v>
                </c:pt>
                <c:pt idx="547">
                  <c:v>-0.15883113635061158</c:v>
                </c:pt>
                <c:pt idx="548">
                  <c:v>-0.15680394834097308</c:v>
                </c:pt>
                <c:pt idx="549">
                  <c:v>-0.15477740451168545</c:v>
                </c:pt>
                <c:pt idx="550">
                  <c:v>-0.15275149613594721</c:v>
                </c:pt>
                <c:pt idx="551">
                  <c:v>-0.1507262145055944</c:v>
                </c:pt>
                <c:pt idx="552">
                  <c:v>-0.14870155093082474</c:v>
                </c:pt>
                <c:pt idx="553">
                  <c:v>-0.14667749673992131</c:v>
                </c:pt>
                <c:pt idx="554">
                  <c:v>-0.14465404327897993</c:v>
                </c:pt>
                <c:pt idx="555">
                  <c:v>-0.14263118191163637</c:v>
                </c:pt>
                <c:pt idx="556">
                  <c:v>-0.14060890401879589</c:v>
                </c:pt>
                <c:pt idx="557">
                  <c:v>-0.13858720099836302</c:v>
                </c:pt>
                <c:pt idx="558">
                  <c:v>-0.13656606426497364</c:v>
                </c:pt>
                <c:pt idx="559">
                  <c:v>-0.13454548524972815</c:v>
                </c:pt>
                <c:pt idx="560">
                  <c:v>-0.13252545539992522</c:v>
                </c:pt>
                <c:pt idx="561">
                  <c:v>-0.13050596617879759</c:v>
                </c:pt>
                <c:pt idx="562">
                  <c:v>-0.12848700906524904</c:v>
                </c:pt>
                <c:pt idx="563">
                  <c:v>-0.12646857555359156</c:v>
                </c:pt>
                <c:pt idx="564">
                  <c:v>-0.12445065715328503</c:v>
                </c:pt>
                <c:pt idx="565">
                  <c:v>-0.12243324538867745</c:v>
                </c:pt>
                <c:pt idx="566">
                  <c:v>-0.12041633179874589</c:v>
                </c:pt>
                <c:pt idx="567">
                  <c:v>-0.11839990793683908</c:v>
                </c:pt>
                <c:pt idx="568">
                  <c:v>-0.11638396537042145</c:v>
                </c:pt>
                <c:pt idx="569">
                  <c:v>-0.11436849568081703</c:v>
                </c:pt>
                <c:pt idx="570">
                  <c:v>-0.11235349046295551</c:v>
                </c:pt>
                <c:pt idx="571">
                  <c:v>-0.11033894132511878</c:v>
                </c:pt>
                <c:pt idx="572">
                  <c:v>-0.10832483988868906</c:v>
                </c:pt>
                <c:pt idx="573">
                  <c:v>-0.10631117778789692</c:v>
                </c:pt>
                <c:pt idx="574">
                  <c:v>-0.10429794666957114</c:v>
                </c:pt>
                <c:pt idx="575">
                  <c:v>-0.10228513819288991</c:v>
                </c:pt>
                <c:pt idx="576">
                  <c:v>-0.10027274402913136</c:v>
                </c:pt>
                <c:pt idx="577">
                  <c:v>-9.8260755861426574E-2</c:v>
                </c:pt>
                <c:pt idx="578">
                  <c:v>-9.6249165384513127E-2</c:v>
                </c:pt>
                <c:pt idx="579">
                  <c:v>-9.4237964304488581E-2</c:v>
                </c:pt>
                <c:pt idx="580">
                  <c:v>-9.2227144338565867E-2</c:v>
                </c:pt>
                <c:pt idx="581">
                  <c:v>-9.0216697214829542E-2</c:v>
                </c:pt>
                <c:pt idx="582">
                  <c:v>-8.8206614671991687E-2</c:v>
                </c:pt>
                <c:pt idx="583">
                  <c:v>-8.6196888459149704E-2</c:v>
                </c:pt>
                <c:pt idx="584">
                  <c:v>-8.4187510335545057E-2</c:v>
                </c:pt>
                <c:pt idx="585">
                  <c:v>-8.2178472070321293E-2</c:v>
                </c:pt>
                <c:pt idx="586">
                  <c:v>-8.0169765442284449E-2</c:v>
                </c:pt>
                <c:pt idx="587">
                  <c:v>-7.8161382239663096E-2</c:v>
                </c:pt>
                <c:pt idx="588">
                  <c:v>-7.6153314259870111E-2</c:v>
                </c:pt>
                <c:pt idx="589">
                  <c:v>-7.4145553309263604E-2</c:v>
                </c:pt>
                <c:pt idx="590">
                  <c:v>-7.2138091202909815E-2</c:v>
                </c:pt>
                <c:pt idx="591">
                  <c:v>-7.0130919764346697E-2</c:v>
                </c:pt>
                <c:pt idx="592">
                  <c:v>-6.812403082534671E-2</c:v>
                </c:pt>
                <c:pt idx="593">
                  <c:v>-6.6117416225681749E-2</c:v>
                </c:pt>
                <c:pt idx="594">
                  <c:v>-6.411106781288832E-2</c:v>
                </c:pt>
                <c:pt idx="595">
                  <c:v>-6.2104977442032354E-2</c:v>
                </c:pt>
                <c:pt idx="596">
                  <c:v>-6.0099136975475621E-2</c:v>
                </c:pt>
                <c:pt idx="597">
                  <c:v>-5.8093538282642784E-2</c:v>
                </c:pt>
                <c:pt idx="598">
                  <c:v>-5.6088173239787632E-2</c:v>
                </c:pt>
                <c:pt idx="599">
                  <c:v>-5.4083033729761192E-2</c:v>
                </c:pt>
                <c:pt idx="600">
                  <c:v>-5.207811164178016E-2</c:v>
                </c:pt>
                <c:pt idx="601">
                  <c:v>-5.0073398871194746E-2</c:v>
                </c:pt>
                <c:pt idx="602">
                  <c:v>-4.8068887319258131E-2</c:v>
                </c:pt>
                <c:pt idx="603">
                  <c:v>-4.6064568892895778E-2</c:v>
                </c:pt>
                <c:pt idx="604">
                  <c:v>-4.4060435504475734E-2</c:v>
                </c:pt>
                <c:pt idx="605">
                  <c:v>-4.2056479071578133E-2</c:v>
                </c:pt>
                <c:pt idx="606">
                  <c:v>-4.0052691516766249E-2</c:v>
                </c:pt>
                <c:pt idx="607">
                  <c:v>-3.8049064767357928E-2</c:v>
                </c:pt>
                <c:pt idx="608">
                  <c:v>-3.6045590755196096E-2</c:v>
                </c:pt>
                <c:pt idx="609">
                  <c:v>-3.4042261416420902E-2</c:v>
                </c:pt>
                <c:pt idx="610">
                  <c:v>-3.2039068691242081E-2</c:v>
                </c:pt>
                <c:pt idx="611">
                  <c:v>-3.0036004523710504E-2</c:v>
                </c:pt>
                <c:pt idx="612">
                  <c:v>-2.803306086149111E-2</c:v>
                </c:pt>
                <c:pt idx="613">
                  <c:v>-2.60302296556362E-2</c:v>
                </c:pt>
                <c:pt idx="614">
                  <c:v>-2.4027502860357687E-2</c:v>
                </c:pt>
                <c:pt idx="615">
                  <c:v>-2.2024872432800827E-2</c:v>
                </c:pt>
                <c:pt idx="616">
                  <c:v>-2.0022330332818215E-2</c:v>
                </c:pt>
                <c:pt idx="617">
                  <c:v>-1.8019868522742614E-2</c:v>
                </c:pt>
                <c:pt idx="618">
                  <c:v>-1.6017478967161485E-2</c:v>
                </c:pt>
                <c:pt idx="619">
                  <c:v>-1.4015153632690777E-2</c:v>
                </c:pt>
                <c:pt idx="620">
                  <c:v>-1.2012884487749675E-2</c:v>
                </c:pt>
                <c:pt idx="621">
                  <c:v>-1.0010663502334174E-2</c:v>
                </c:pt>
                <c:pt idx="622">
                  <c:v>-8.0084826477919268E-3</c:v>
                </c:pt>
                <c:pt idx="623">
                  <c:v>-6.00633389659726E-3</c:v>
                </c:pt>
                <c:pt idx="624">
                  <c:v>-4.0042092221249702E-3</c:v>
                </c:pt>
                <c:pt idx="625">
                  <c:v>-2.0021005984254773E-3</c:v>
                </c:pt>
                <c:pt idx="626">
                  <c:v>0</c:v>
                </c:pt>
                <c:pt idx="627">
                  <c:v>2.0021005984254773E-3</c:v>
                </c:pt>
                <c:pt idx="628">
                  <c:v>4.0042092221248314E-3</c:v>
                </c:pt>
                <c:pt idx="629">
                  <c:v>6.0063338965971203E-3</c:v>
                </c:pt>
                <c:pt idx="630">
                  <c:v>8.0084826477920673E-3</c:v>
                </c:pt>
                <c:pt idx="631">
                  <c:v>1.0010663502334174E-2</c:v>
                </c:pt>
                <c:pt idx="632">
                  <c:v>1.2012884487749675E-2</c:v>
                </c:pt>
                <c:pt idx="633">
                  <c:v>1.4015153632690777E-2</c:v>
                </c:pt>
                <c:pt idx="634">
                  <c:v>1.6017478967161349E-2</c:v>
                </c:pt>
                <c:pt idx="635">
                  <c:v>1.8019868522742476E-2</c:v>
                </c:pt>
                <c:pt idx="636">
                  <c:v>2.0022330332818358E-2</c:v>
                </c:pt>
                <c:pt idx="637">
                  <c:v>2.202487243280097E-2</c:v>
                </c:pt>
                <c:pt idx="638">
                  <c:v>2.4027502860357687E-2</c:v>
                </c:pt>
                <c:pt idx="639">
                  <c:v>2.60302296556362E-2</c:v>
                </c:pt>
                <c:pt idx="640">
                  <c:v>2.803306086149111E-2</c:v>
                </c:pt>
                <c:pt idx="641">
                  <c:v>3.0036004523710365E-2</c:v>
                </c:pt>
                <c:pt idx="642">
                  <c:v>3.203906869124222E-2</c:v>
                </c:pt>
                <c:pt idx="643">
                  <c:v>3.4042261416421041E-2</c:v>
                </c:pt>
                <c:pt idx="644">
                  <c:v>3.6045590755196096E-2</c:v>
                </c:pt>
                <c:pt idx="645">
                  <c:v>3.8049064767357928E-2</c:v>
                </c:pt>
                <c:pt idx="646">
                  <c:v>4.0052691516766249E-2</c:v>
                </c:pt>
                <c:pt idx="647">
                  <c:v>4.2056479071577994E-2</c:v>
                </c:pt>
                <c:pt idx="648">
                  <c:v>4.4060435504475588E-2</c:v>
                </c:pt>
                <c:pt idx="649">
                  <c:v>4.6064568892895917E-2</c:v>
                </c:pt>
                <c:pt idx="650">
                  <c:v>4.8068887319258131E-2</c:v>
                </c:pt>
                <c:pt idx="651">
                  <c:v>5.0073398871194746E-2</c:v>
                </c:pt>
                <c:pt idx="652">
                  <c:v>5.207811164178016E-2</c:v>
                </c:pt>
                <c:pt idx="653">
                  <c:v>5.4083033729761192E-2</c:v>
                </c:pt>
                <c:pt idx="654">
                  <c:v>5.6088173239787487E-2</c:v>
                </c:pt>
                <c:pt idx="655">
                  <c:v>5.8093538282642923E-2</c:v>
                </c:pt>
                <c:pt idx="656">
                  <c:v>6.009913697547576E-2</c:v>
                </c:pt>
                <c:pt idx="657">
                  <c:v>6.2104977442032354E-2</c:v>
                </c:pt>
                <c:pt idx="658">
                  <c:v>6.411106781288832E-2</c:v>
                </c:pt>
                <c:pt idx="659">
                  <c:v>6.6117416225681749E-2</c:v>
                </c:pt>
                <c:pt idx="660">
                  <c:v>6.8124030825346571E-2</c:v>
                </c:pt>
                <c:pt idx="661">
                  <c:v>7.0130919764346544E-2</c:v>
                </c:pt>
                <c:pt idx="662">
                  <c:v>7.2138091202909954E-2</c:v>
                </c:pt>
                <c:pt idx="663">
                  <c:v>7.4145553309263604E-2</c:v>
                </c:pt>
                <c:pt idx="664">
                  <c:v>7.6153314259870111E-2</c:v>
                </c:pt>
                <c:pt idx="665">
                  <c:v>7.8161382239663096E-2</c:v>
                </c:pt>
                <c:pt idx="666">
                  <c:v>8.0169765442284296E-2</c:v>
                </c:pt>
                <c:pt idx="667">
                  <c:v>8.2178472070321154E-2</c:v>
                </c:pt>
                <c:pt idx="668">
                  <c:v>8.4187510335545196E-2</c:v>
                </c:pt>
                <c:pt idx="669">
                  <c:v>8.619688845914987E-2</c:v>
                </c:pt>
                <c:pt idx="670">
                  <c:v>8.8206614671991687E-2</c:v>
                </c:pt>
                <c:pt idx="671">
                  <c:v>9.0216697214829542E-2</c:v>
                </c:pt>
                <c:pt idx="672">
                  <c:v>9.2227144338565867E-2</c:v>
                </c:pt>
                <c:pt idx="673">
                  <c:v>9.4237964304488456E-2</c:v>
                </c:pt>
                <c:pt idx="674">
                  <c:v>9.6249165384513266E-2</c:v>
                </c:pt>
                <c:pt idx="675">
                  <c:v>9.8260755861426727E-2</c:v>
                </c:pt>
                <c:pt idx="676">
                  <c:v>0.10027274402913136</c:v>
                </c:pt>
                <c:pt idx="677">
                  <c:v>0.10228513819288991</c:v>
                </c:pt>
                <c:pt idx="678">
                  <c:v>0.10429794666957114</c:v>
                </c:pt>
                <c:pt idx="679">
                  <c:v>0.10631117778789677</c:v>
                </c:pt>
                <c:pt idx="680">
                  <c:v>0.10832483988868892</c:v>
                </c:pt>
                <c:pt idx="681">
                  <c:v>0.11033894132511891</c:v>
                </c:pt>
                <c:pt idx="682">
                  <c:v>0.11235349046295551</c:v>
                </c:pt>
                <c:pt idx="683">
                  <c:v>0.11436849568081703</c:v>
                </c:pt>
                <c:pt idx="684">
                  <c:v>0.11638396537042145</c:v>
                </c:pt>
                <c:pt idx="685">
                  <c:v>0.11839990793683908</c:v>
                </c:pt>
                <c:pt idx="686">
                  <c:v>0.12041633179874577</c:v>
                </c:pt>
                <c:pt idx="687">
                  <c:v>0.1224332453886776</c:v>
                </c:pt>
                <c:pt idx="688">
                  <c:v>0.12445065715328515</c:v>
                </c:pt>
                <c:pt idx="689">
                  <c:v>0.12646857555359156</c:v>
                </c:pt>
                <c:pt idx="690">
                  <c:v>0.12848700906524904</c:v>
                </c:pt>
                <c:pt idx="691">
                  <c:v>0.13050596617879759</c:v>
                </c:pt>
                <c:pt idx="692">
                  <c:v>0.13252545539992511</c:v>
                </c:pt>
                <c:pt idx="693">
                  <c:v>0.13454548524972801</c:v>
                </c:pt>
                <c:pt idx="694">
                  <c:v>0.13656606426497375</c:v>
                </c:pt>
                <c:pt idx="695">
                  <c:v>0.13858720099836302</c:v>
                </c:pt>
                <c:pt idx="696">
                  <c:v>0.14060890401879589</c:v>
                </c:pt>
                <c:pt idx="697">
                  <c:v>0.14263118191163637</c:v>
                </c:pt>
                <c:pt idx="698">
                  <c:v>0.14465404327897979</c:v>
                </c:pt>
                <c:pt idx="699">
                  <c:v>0.14667749673992117</c:v>
                </c:pt>
                <c:pt idx="700">
                  <c:v>0.14870155093082485</c:v>
                </c:pt>
                <c:pt idx="701">
                  <c:v>0.15072621450559454</c:v>
                </c:pt>
                <c:pt idx="702">
                  <c:v>0.15275149613594721</c:v>
                </c:pt>
                <c:pt idx="703">
                  <c:v>0.15477740451168545</c:v>
                </c:pt>
                <c:pt idx="704">
                  <c:v>0.15680394834097308</c:v>
                </c:pt>
                <c:pt idx="705">
                  <c:v>0.15883113635061141</c:v>
                </c:pt>
                <c:pt idx="706">
                  <c:v>0.16085897728631751</c:v>
                </c:pt>
                <c:pt idx="707">
                  <c:v>0.16288747991300248</c:v>
                </c:pt>
                <c:pt idx="708">
                  <c:v>0.1649166530150539</c:v>
                </c:pt>
                <c:pt idx="709">
                  <c:v>0.16694650539661729</c:v>
                </c:pt>
                <c:pt idx="710">
                  <c:v>0.16897704588188017</c:v>
                </c:pt>
                <c:pt idx="711">
                  <c:v>0.17100828331535772</c:v>
                </c:pt>
                <c:pt idx="712">
                  <c:v>0.17304022656217957</c:v>
                </c:pt>
                <c:pt idx="713">
                  <c:v>0.17507288450837918</c:v>
                </c:pt>
                <c:pt idx="714">
                  <c:v>0.17710626606118277</c:v>
                </c:pt>
                <c:pt idx="715">
                  <c:v>0.17914038014930314</c:v>
                </c:pt>
                <c:pt idx="716">
                  <c:v>0.1811752357232323</c:v>
                </c:pt>
                <c:pt idx="717">
                  <c:v>0.18321084175553715</c:v>
                </c:pt>
                <c:pt idx="718">
                  <c:v>0.18524720724115665</c:v>
                </c:pt>
                <c:pt idx="719">
                  <c:v>0.18728434119770102</c:v>
                </c:pt>
                <c:pt idx="720">
                  <c:v>0.18932225266575156</c:v>
                </c:pt>
                <c:pt idx="721">
                  <c:v>0.19136095070916465</c:v>
                </c:pt>
                <c:pt idx="722">
                  <c:v>0.19340044441537538</c:v>
                </c:pt>
                <c:pt idx="723">
                  <c:v>0.19544074289570396</c:v>
                </c:pt>
                <c:pt idx="724">
                  <c:v>0.19748185528566395</c:v>
                </c:pt>
                <c:pt idx="725">
                  <c:v>0.19952379074527257</c:v>
                </c:pt>
                <c:pt idx="726">
                  <c:v>0.20156655845936317</c:v>
                </c:pt>
                <c:pt idx="727">
                  <c:v>0.20361016763789802</c:v>
                </c:pt>
                <c:pt idx="728">
                  <c:v>0.20565462751628658</c:v>
                </c:pt>
                <c:pt idx="729">
                  <c:v>0.20769994735570219</c:v>
                </c:pt>
                <c:pt idx="730">
                  <c:v>0.20974613644340301</c:v>
                </c:pt>
                <c:pt idx="731">
                  <c:v>0.21179320409305447</c:v>
                </c:pt>
                <c:pt idx="732">
                  <c:v>0.21384115964505382</c:v>
                </c:pt>
                <c:pt idx="733">
                  <c:v>0.21589001246685627</c:v>
                </c:pt>
                <c:pt idx="734">
                  <c:v>0.21793977195330541</c:v>
                </c:pt>
                <c:pt idx="735">
                  <c:v>0.21999044752696323</c:v>
                </c:pt>
                <c:pt idx="736">
                  <c:v>0.22204204863844443</c:v>
                </c:pt>
                <c:pt idx="737">
                  <c:v>0.22409458476675156</c:v>
                </c:pt>
                <c:pt idx="738">
                  <c:v>0.2261480654196141</c:v>
                </c:pt>
                <c:pt idx="739">
                  <c:v>0.22820250013382765</c:v>
                </c:pt>
                <c:pt idx="740">
                  <c:v>0.23025789847559838</c:v>
                </c:pt>
                <c:pt idx="741">
                  <c:v>0.23231427004088778</c:v>
                </c:pt>
                <c:pt idx="742">
                  <c:v>0.23437162445576049</c:v>
                </c:pt>
                <c:pt idx="743">
                  <c:v>0.23642997137673485</c:v>
                </c:pt>
                <c:pt idx="744">
                  <c:v>0.23848932049113575</c:v>
                </c:pt>
                <c:pt idx="745">
                  <c:v>0.24054968151745071</c:v>
                </c:pt>
                <c:pt idx="746">
                  <c:v>0.24261106420568665</c:v>
                </c:pt>
                <c:pt idx="747">
                  <c:v>0.24467347833773251</c:v>
                </c:pt>
                <c:pt idx="748">
                  <c:v>0.24673693372772171</c:v>
                </c:pt>
                <c:pt idx="749">
                  <c:v>0.24880144022239856</c:v>
                </c:pt>
                <c:pt idx="750">
                  <c:v>0.25086700770148757</c:v>
                </c:pt>
                <c:pt idx="751">
                  <c:v>0.25293364607806507</c:v>
                </c:pt>
                <c:pt idx="752">
                  <c:v>0.25500136529893336</c:v>
                </c:pt>
                <c:pt idx="753">
                  <c:v>0.25707017534499943</c:v>
                </c:pt>
                <c:pt idx="754">
                  <c:v>0.25914008623165485</c:v>
                </c:pt>
                <c:pt idx="755">
                  <c:v>0.26121110800915892</c:v>
                </c:pt>
                <c:pt idx="756">
                  <c:v>0.26328325076302594</c:v>
                </c:pt>
                <c:pt idx="757">
                  <c:v>0.26535652461441434</c:v>
                </c:pt>
                <c:pt idx="758">
                  <c:v>0.26743093972051823</c:v>
                </c:pt>
                <c:pt idx="759">
                  <c:v>0.26950650627496547</c:v>
                </c:pt>
                <c:pt idx="760">
                  <c:v>0.27158323450821464</c:v>
                </c:pt>
                <c:pt idx="761">
                  <c:v>0.27366113468795827</c:v>
                </c:pt>
                <c:pt idx="762">
                  <c:v>0.27574021711952768</c:v>
                </c:pt>
                <c:pt idx="763">
                  <c:v>0.27782049214630183</c:v>
                </c:pt>
                <c:pt idx="764">
                  <c:v>0.27990197015012014</c:v>
                </c:pt>
                <c:pt idx="765">
                  <c:v>0.28198466155169616</c:v>
                </c:pt>
                <c:pt idx="766">
                  <c:v>0.2840685768110387</c:v>
                </c:pt>
                <c:pt idx="767">
                  <c:v>0.28615372642787296</c:v>
                </c:pt>
                <c:pt idx="768">
                  <c:v>0.28824012094206697</c:v>
                </c:pt>
                <c:pt idx="769">
                  <c:v>0.29032777093406087</c:v>
                </c:pt>
                <c:pt idx="770">
                  <c:v>0.29241668702530055</c:v>
                </c:pt>
                <c:pt idx="771">
                  <c:v>0.29450687987867352</c:v>
                </c:pt>
                <c:pt idx="772">
                  <c:v>0.29659836019895114</c:v>
                </c:pt>
                <c:pt idx="773">
                  <c:v>0.29869113873323189</c:v>
                </c:pt>
                <c:pt idx="774">
                  <c:v>0.30078522627139009</c:v>
                </c:pt>
                <c:pt idx="775">
                  <c:v>0.30288063364652773</c:v>
                </c:pt>
                <c:pt idx="776">
                  <c:v>0.30497737173543127</c:v>
                </c:pt>
                <c:pt idx="777">
                  <c:v>0.30707545145903103</c:v>
                </c:pt>
                <c:pt idx="778">
                  <c:v>0.30917488378286528</c:v>
                </c:pt>
                <c:pt idx="779">
                  <c:v>0.3112756797175496</c:v>
                </c:pt>
                <c:pt idx="780">
                  <c:v>0.31337785031924825</c:v>
                </c:pt>
                <c:pt idx="781">
                  <c:v>0.3154814066901514</c:v>
                </c:pt>
                <c:pt idx="782">
                  <c:v>0.31758635997895596</c:v>
                </c:pt>
                <c:pt idx="783">
                  <c:v>0.31969272138135102</c:v>
                </c:pt>
                <c:pt idx="784">
                  <c:v>0.32180050214050671</c:v>
                </c:pt>
                <c:pt idx="785">
                  <c:v>0.32390971354756987</c:v>
                </c:pt>
                <c:pt idx="786">
                  <c:v>0.32602036694216147</c:v>
                </c:pt>
                <c:pt idx="787">
                  <c:v>0.32813247371288057</c:v>
                </c:pt>
                <c:pt idx="788">
                  <c:v>0.33024604529781199</c:v>
                </c:pt>
                <c:pt idx="789">
                  <c:v>0.33236109318503909</c:v>
                </c:pt>
                <c:pt idx="790">
                  <c:v>0.3344776289131603</c:v>
                </c:pt>
                <c:pt idx="791">
                  <c:v>0.33659566407181285</c:v>
                </c:pt>
                <c:pt idx="792">
                  <c:v>0.33871521030219887</c:v>
                </c:pt>
                <c:pt idx="793">
                  <c:v>0.34083627929761778</c:v>
                </c:pt>
                <c:pt idx="794">
                  <c:v>0.34295888280400322</c:v>
                </c:pt>
                <c:pt idx="795">
                  <c:v>0.34508303262046586</c:v>
                </c:pt>
                <c:pt idx="796">
                  <c:v>0.34720874059984047</c:v>
                </c:pt>
                <c:pt idx="797">
                  <c:v>0.34933601864923775</c:v>
                </c:pt>
                <c:pt idx="798">
                  <c:v>0.35146487873060422</c:v>
                </c:pt>
                <c:pt idx="799">
                  <c:v>0.35359533286128414</c:v>
                </c:pt>
                <c:pt idx="800">
                  <c:v>0.35572739311458912</c:v>
                </c:pt>
                <c:pt idx="801">
                  <c:v>0.35786107162037167</c:v>
                </c:pt>
                <c:pt idx="802">
                  <c:v>0.3599963805656069</c:v>
                </c:pt>
                <c:pt idx="803">
                  <c:v>0.36213333219497579</c:v>
                </c:pt>
                <c:pt idx="804">
                  <c:v>0.36427193881145892</c:v>
                </c:pt>
                <c:pt idx="805">
                  <c:v>0.36641221277693303</c:v>
                </c:pt>
                <c:pt idx="806">
                  <c:v>0.36855416651277412</c:v>
                </c:pt>
                <c:pt idx="807">
                  <c:v>0.37069781250046707</c:v>
                </c:pt>
                <c:pt idx="808">
                  <c:v>0.37284316328222106</c:v>
                </c:pt>
                <c:pt idx="809">
                  <c:v>0.37499023146159105</c:v>
                </c:pt>
                <c:pt idx="810">
                  <c:v>0.3771390297041054</c:v>
                </c:pt>
                <c:pt idx="811">
                  <c:v>0.3792895707379012</c:v>
                </c:pt>
                <c:pt idx="812">
                  <c:v>0.38144186735436381</c:v>
                </c:pt>
                <c:pt idx="813">
                  <c:v>0.38359593240877488</c:v>
                </c:pt>
                <c:pt idx="814">
                  <c:v>0.38575177882096573</c:v>
                </c:pt>
                <c:pt idx="815">
                  <c:v>0.38790941957597891</c:v>
                </c:pt>
                <c:pt idx="816">
                  <c:v>0.3900688677247337</c:v>
                </c:pt>
                <c:pt idx="817">
                  <c:v>0.39223013638470289</c:v>
                </c:pt>
                <c:pt idx="818">
                  <c:v>0.39439323874059246</c:v>
                </c:pt>
                <c:pt idx="819">
                  <c:v>0.39655818804503096</c:v>
                </c:pt>
                <c:pt idx="820">
                  <c:v>0.39872499761926466</c:v>
                </c:pt>
                <c:pt idx="821">
                  <c:v>0.40089368085386123</c:v>
                </c:pt>
                <c:pt idx="822">
                  <c:v>0.40306425120941858</c:v>
                </c:pt>
                <c:pt idx="823">
                  <c:v>0.40523672221728529</c:v>
                </c:pt>
                <c:pt idx="824">
                  <c:v>0.40741110748028431</c:v>
                </c:pt>
                <c:pt idx="825">
                  <c:v>0.40958742067344739</c:v>
                </c:pt>
                <c:pt idx="826">
                  <c:v>0.41176567554475496</c:v>
                </c:pt>
                <c:pt idx="827">
                  <c:v>0.41394588591588705</c:v>
                </c:pt>
                <c:pt idx="828">
                  <c:v>0.41612806568297928</c:v>
                </c:pt>
                <c:pt idx="829">
                  <c:v>0.41831222881738783</c:v>
                </c:pt>
                <c:pt idx="830">
                  <c:v>0.42049838936646489</c:v>
                </c:pt>
                <c:pt idx="831">
                  <c:v>0.42268656145433925</c:v>
                </c:pt>
                <c:pt idx="832">
                  <c:v>0.42487675928270802</c:v>
                </c:pt>
                <c:pt idx="833">
                  <c:v>0.42706899713163571</c:v>
                </c:pt>
                <c:pt idx="834">
                  <c:v>0.42926328936036201</c:v>
                </c:pt>
                <c:pt idx="835">
                  <c:v>0.43145965040811834</c:v>
                </c:pt>
                <c:pt idx="836">
                  <c:v>0.43365809479495632</c:v>
                </c:pt>
                <c:pt idx="837">
                  <c:v>0.43585863712258077</c:v>
                </c:pt>
                <c:pt idx="838">
                  <c:v>0.43806129207519545</c:v>
                </c:pt>
                <c:pt idx="839">
                  <c:v>0.44026607442035687</c:v>
                </c:pt>
                <c:pt idx="840">
                  <c:v>0.44247299900983844</c:v>
                </c:pt>
                <c:pt idx="841">
                  <c:v>0.44468208078050253</c:v>
                </c:pt>
                <c:pt idx="842">
                  <c:v>0.44689333475518556</c:v>
                </c:pt>
                <c:pt idx="843">
                  <c:v>0.44910677604359084</c:v>
                </c:pt>
                <c:pt idx="844">
                  <c:v>0.45132241984319144</c:v>
                </c:pt>
                <c:pt idx="845">
                  <c:v>0.45354028144014391</c:v>
                </c:pt>
                <c:pt idx="846">
                  <c:v>0.45576037621021404</c:v>
                </c:pt>
                <c:pt idx="847">
                  <c:v>0.45798271961971038</c:v>
                </c:pt>
                <c:pt idx="848">
                  <c:v>0.46020732722642965</c:v>
                </c:pt>
                <c:pt idx="849">
                  <c:v>0.46243421468061463</c:v>
                </c:pt>
                <c:pt idx="850">
                  <c:v>0.46466339772592158</c:v>
                </c:pt>
                <c:pt idx="851">
                  <c:v>0.46689489220039887</c:v>
                </c:pt>
                <c:pt idx="852">
                  <c:v>0.46912871403747708</c:v>
                </c:pt>
                <c:pt idx="853">
                  <c:v>0.47136487926697268</c:v>
                </c:pt>
                <c:pt idx="854">
                  <c:v>0.47360340401609935</c:v>
                </c:pt>
                <c:pt idx="855">
                  <c:v>0.47584430451049581</c:v>
                </c:pt>
                <c:pt idx="856">
                  <c:v>0.47808759707526399</c:v>
                </c:pt>
                <c:pt idx="857">
                  <c:v>0.48033329813601716</c:v>
                </c:pt>
                <c:pt idx="858">
                  <c:v>0.48258142421994488</c:v>
                </c:pt>
                <c:pt idx="859">
                  <c:v>0.48483199195688748</c:v>
                </c:pt>
                <c:pt idx="860">
                  <c:v>0.48708501808042493</c:v>
                </c:pt>
                <c:pt idx="861">
                  <c:v>0.48934051942897694</c:v>
                </c:pt>
                <c:pt idx="862">
                  <c:v>0.49159851294692014</c:v>
                </c:pt>
                <c:pt idx="863">
                  <c:v>0.49385901568571405</c:v>
                </c:pt>
                <c:pt idx="864">
                  <c:v>0.49612204480504463</c:v>
                </c:pt>
                <c:pt idx="865">
                  <c:v>0.49838761757397904</c:v>
                </c:pt>
                <c:pt idx="866">
                  <c:v>0.50065575137213703</c:v>
                </c:pt>
                <c:pt idx="867">
                  <c:v>0.50292646369087279</c:v>
                </c:pt>
                <c:pt idx="868">
                  <c:v>0.50519977213447687</c:v>
                </c:pt>
                <c:pt idx="869">
                  <c:v>0.50747569442138774</c:v>
                </c:pt>
                <c:pt idx="870">
                  <c:v>0.50975424838542183</c:v>
                </c:pt>
                <c:pt idx="871">
                  <c:v>0.51203545197701628</c:v>
                </c:pt>
                <c:pt idx="872">
                  <c:v>0.51431932326448981</c:v>
                </c:pt>
                <c:pt idx="873">
                  <c:v>0.51660588043531597</c:v>
                </c:pt>
                <c:pt idx="874">
                  <c:v>0.51889514179741658</c:v>
                </c:pt>
                <c:pt idx="875">
                  <c:v>0.521187125780468</c:v>
                </c:pt>
                <c:pt idx="876">
                  <c:v>0.52348185093722488</c:v>
                </c:pt>
                <c:pt idx="877">
                  <c:v>0.52577933594486137</c:v>
                </c:pt>
                <c:pt idx="878">
                  <c:v>0.52807959960632811</c:v>
                </c:pt>
                <c:pt idx="879">
                  <c:v>0.53038266085172869</c:v>
                </c:pt>
                <c:pt idx="880">
                  <c:v>0.53268853873970945</c:v>
                </c:pt>
                <c:pt idx="881">
                  <c:v>0.53499725245887308</c:v>
                </c:pt>
                <c:pt idx="882">
                  <c:v>0.53730882132920532</c:v>
                </c:pt>
                <c:pt idx="883">
                  <c:v>0.53962326480352163</c:v>
                </c:pt>
                <c:pt idx="884">
                  <c:v>0.54194060246893383</c:v>
                </c:pt>
                <c:pt idx="885">
                  <c:v>0.5442608540483348</c:v>
                </c:pt>
                <c:pt idx="886">
                  <c:v>0.54658403940190059</c:v>
                </c:pt>
                <c:pt idx="887">
                  <c:v>0.54891017852861668</c:v>
                </c:pt>
                <c:pt idx="888">
                  <c:v>0.55123929156782003</c:v>
                </c:pt>
                <c:pt idx="889">
                  <c:v>0.55357139880076323</c:v>
                </c:pt>
                <c:pt idx="890">
                  <c:v>0.55590652065219881</c:v>
                </c:pt>
                <c:pt idx="891">
                  <c:v>0.55824467769198538</c:v>
                </c:pt>
                <c:pt idx="892">
                  <c:v>0.56058589063671327</c:v>
                </c:pt>
                <c:pt idx="893">
                  <c:v>0.56293018035135345</c:v>
                </c:pt>
                <c:pt idx="894">
                  <c:v>0.56527756785092831</c:v>
                </c:pt>
                <c:pt idx="895">
                  <c:v>0.56762807430220341</c:v>
                </c:pt>
                <c:pt idx="896">
                  <c:v>0.56998172102540434</c:v>
                </c:pt>
                <c:pt idx="897">
                  <c:v>0.57233852949595376</c:v>
                </c:pt>
                <c:pt idx="898">
                  <c:v>0.57469852134623489</c:v>
                </c:pt>
                <c:pt idx="899">
                  <c:v>0.57706171836737608</c:v>
                </c:pt>
                <c:pt idx="900">
                  <c:v>0.57942814251106189</c:v>
                </c:pt>
                <c:pt idx="901">
                  <c:v>0.58179781589136859</c:v>
                </c:pt>
                <c:pt idx="902">
                  <c:v>0.58417076078662311</c:v>
                </c:pt>
                <c:pt idx="903">
                  <c:v>0.58654699964128998</c:v>
                </c:pt>
                <c:pt idx="904">
                  <c:v>0.58892655506788139</c:v>
                </c:pt>
                <c:pt idx="905">
                  <c:v>0.59130944984889589</c:v>
                </c:pt>
                <c:pt idx="906">
                  <c:v>0.59369570693878382</c:v>
                </c:pt>
                <c:pt idx="907">
                  <c:v>0.59608534946593994</c:v>
                </c:pt>
                <c:pt idx="908">
                  <c:v>0.59847840073472047</c:v>
                </c:pt>
                <c:pt idx="909">
                  <c:v>0.6008748842274958</c:v>
                </c:pt>
                <c:pt idx="910">
                  <c:v>0.60327482360672424</c:v>
                </c:pt>
                <c:pt idx="911">
                  <c:v>0.60567824271706006</c:v>
                </c:pt>
                <c:pt idx="912">
                  <c:v>0.60808516558748693</c:v>
                </c:pt>
                <c:pt idx="913">
                  <c:v>0.61049561643348849</c:v>
                </c:pt>
                <c:pt idx="914">
                  <c:v>0.61290961965924273</c:v>
                </c:pt>
                <c:pt idx="915">
                  <c:v>0.61532719985985007</c:v>
                </c:pt>
                <c:pt idx="916">
                  <c:v>0.6177483818235957</c:v>
                </c:pt>
                <c:pt idx="917">
                  <c:v>0.62017319053424147</c:v>
                </c:pt>
                <c:pt idx="918">
                  <c:v>0.62260165117335076</c:v>
                </c:pt>
                <c:pt idx="919">
                  <c:v>0.62503378912265017</c:v>
                </c:pt>
                <c:pt idx="920">
                  <c:v>0.62746962996642153</c:v>
                </c:pt>
                <c:pt idx="921">
                  <c:v>0.62990919949393132</c:v>
                </c:pt>
                <c:pt idx="922">
                  <c:v>0.63235252370189365</c:v>
                </c:pt>
                <c:pt idx="923">
                  <c:v>0.63479962879697227</c:v>
                </c:pt>
                <c:pt idx="924">
                  <c:v>0.63725054119831459</c:v>
                </c:pt>
                <c:pt idx="925">
                  <c:v>0.63970528754012834</c:v>
                </c:pt>
                <c:pt idx="926">
                  <c:v>0.64216389467429247</c:v>
                </c:pt>
                <c:pt idx="927">
                  <c:v>0.644626389673008</c:v>
                </c:pt>
                <c:pt idx="928">
                  <c:v>0.64709279983148937</c:v>
                </c:pt>
                <c:pt idx="929">
                  <c:v>0.64956315267069464</c:v>
                </c:pt>
                <c:pt idx="930">
                  <c:v>0.65203747594009698</c:v>
                </c:pt>
                <c:pt idx="931">
                  <c:v>0.65451579762049583</c:v>
                </c:pt>
                <c:pt idx="932">
                  <c:v>0.65699814592687567</c:v>
                </c:pt>
                <c:pt idx="933">
                  <c:v>0.65948454931130407</c:v>
                </c:pt>
                <c:pt idx="934">
                  <c:v>0.6619750364658723</c:v>
                </c:pt>
                <c:pt idx="935">
                  <c:v>0.66446963632568534</c:v>
                </c:pt>
                <c:pt idx="936">
                  <c:v>0.66696837807189324</c:v>
                </c:pt>
                <c:pt idx="937">
                  <c:v>0.66947129113477133</c:v>
                </c:pt>
                <c:pt idx="938">
                  <c:v>0.6719784051968487</c:v>
                </c:pt>
                <c:pt idx="939">
                  <c:v>0.67448975019608193</c:v>
                </c:pt>
                <c:pt idx="940">
                  <c:v>0.67700535632907999</c:v>
                </c:pt>
                <c:pt idx="941">
                  <c:v>0.67952525405437891</c:v>
                </c:pt>
                <c:pt idx="942">
                  <c:v>0.68204947409576822</c:v>
                </c:pt>
                <c:pt idx="943">
                  <c:v>0.68457804744566686</c:v>
                </c:pt>
                <c:pt idx="944">
                  <c:v>0.68711100536855518</c:v>
                </c:pt>
                <c:pt idx="945">
                  <c:v>0.68964837940445989</c:v>
                </c:pt>
                <c:pt idx="946">
                  <c:v>0.69219020137249287</c:v>
                </c:pt>
                <c:pt idx="947">
                  <c:v>0.69473650337444759</c:v>
                </c:pt>
                <c:pt idx="948">
                  <c:v>0.69728731779845299</c:v>
                </c:pt>
                <c:pt idx="949">
                  <c:v>0.69984267732268368</c:v>
                </c:pt>
                <c:pt idx="950">
                  <c:v>0.70240261491912992</c:v>
                </c:pt>
                <c:pt idx="951">
                  <c:v>0.70496716385743308</c:v>
                </c:pt>
                <c:pt idx="952">
                  <c:v>0.7075363577087741</c:v>
                </c:pt>
                <c:pt idx="953">
                  <c:v>0.71011023034983434</c:v>
                </c:pt>
                <c:pt idx="954">
                  <c:v>0.71268881596681288</c:v>
                </c:pt>
                <c:pt idx="955">
                  <c:v>0.7152721490595142</c:v>
                </c:pt>
                <c:pt idx="956">
                  <c:v>0.71786026444549833</c:v>
                </c:pt>
                <c:pt idx="957">
                  <c:v>0.72045319726431023</c:v>
                </c:pt>
                <c:pt idx="958">
                  <c:v>0.72305098298175763</c:v>
                </c:pt>
                <c:pt idx="959">
                  <c:v>0.72565365739428589</c:v>
                </c:pt>
                <c:pt idx="960">
                  <c:v>0.7282612566334018</c:v>
                </c:pt>
                <c:pt idx="961">
                  <c:v>0.73087381717018618</c:v>
                </c:pt>
                <c:pt idx="962">
                  <c:v>0.733491375819878</c:v>
                </c:pt>
                <c:pt idx="963">
                  <c:v>0.73611396974652887</c:v>
                </c:pt>
                <c:pt idx="964">
                  <c:v>0.73874163646774704</c:v>
                </c:pt>
                <c:pt idx="965">
                  <c:v>0.74137441385951275</c:v>
                </c:pt>
                <c:pt idx="966">
                  <c:v>0.74401234016107898</c:v>
                </c:pt>
                <c:pt idx="967">
                  <c:v>0.74665545397995514</c:v>
                </c:pt>
                <c:pt idx="968">
                  <c:v>0.74930379429697314</c:v>
                </c:pt>
                <c:pt idx="969">
                  <c:v>0.75195740047144632</c:v>
                </c:pt>
                <c:pt idx="970">
                  <c:v>0.75461631224640913</c:v>
                </c:pt>
                <c:pt idx="971">
                  <c:v>0.7572805697539543</c:v>
                </c:pt>
                <c:pt idx="972">
                  <c:v>0.75995021352065906</c:v>
                </c:pt>
                <c:pt idx="973">
                  <c:v>0.76262528447310307</c:v>
                </c:pt>
                <c:pt idx="974">
                  <c:v>0.765305823943493</c:v>
                </c:pt>
                <c:pt idx="975">
                  <c:v>0.76799187367536814</c:v>
                </c:pt>
                <c:pt idx="976">
                  <c:v>0.77068347582942376</c:v>
                </c:pt>
                <c:pt idx="977">
                  <c:v>0.77338067298942748</c:v>
                </c:pt>
                <c:pt idx="978">
                  <c:v>0.77608350816824301</c:v>
                </c:pt>
                <c:pt idx="979">
                  <c:v>0.77879202481396148</c:v>
                </c:pt>
                <c:pt idx="980">
                  <c:v>0.78150626681613722</c:v>
                </c:pt>
                <c:pt idx="981">
                  <c:v>0.78422627851214588</c:v>
                </c:pt>
                <c:pt idx="982">
                  <c:v>0.78695210469364352</c:v>
                </c:pt>
                <c:pt idx="983">
                  <c:v>0.7896837906131533</c:v>
                </c:pt>
                <c:pt idx="984">
                  <c:v>0.79242138199076739</c:v>
                </c:pt>
                <c:pt idx="985">
                  <c:v>0.79516492502096592</c:v>
                </c:pt>
                <c:pt idx="986">
                  <c:v>0.79791446637956975</c:v>
                </c:pt>
                <c:pt idx="987">
                  <c:v>0.80067005323081231</c:v>
                </c:pt>
                <c:pt idx="988">
                  <c:v>0.80343173323454686</c:v>
                </c:pt>
                <c:pt idx="989">
                  <c:v>0.80619955455358372</c:v>
                </c:pt>
                <c:pt idx="990">
                  <c:v>0.80897356586116487</c:v>
                </c:pt>
                <c:pt idx="991">
                  <c:v>0.81175381634857624</c:v>
                </c:pt>
                <c:pt idx="992">
                  <c:v>0.81454035573290584</c:v>
                </c:pt>
                <c:pt idx="993">
                  <c:v>0.81733323426494164</c:v>
                </c:pt>
                <c:pt idx="994">
                  <c:v>0.82013250273722149</c:v>
                </c:pt>
                <c:pt idx="995">
                  <c:v>0.82293821249223731</c:v>
                </c:pt>
                <c:pt idx="996">
                  <c:v>0.82575041543078953</c:v>
                </c:pt>
                <c:pt idx="997">
                  <c:v>0.82856916402050429</c:v>
                </c:pt>
                <c:pt idx="998">
                  <c:v>0.83139451130451492</c:v>
                </c:pt>
                <c:pt idx="999">
                  <c:v>0.83422651091030342</c:v>
                </c:pt>
                <c:pt idx="1000">
                  <c:v>0.83706521705872317</c:v>
                </c:pt>
                <c:pt idx="1001">
                  <c:v>0.83991068457318152</c:v>
                </c:pt>
                <c:pt idx="1002">
                  <c:v>0.84276296888901658</c:v>
                </c:pt>
                <c:pt idx="1003">
                  <c:v>0.84562212606304721</c:v>
                </c:pt>
                <c:pt idx="1004">
                  <c:v>0.84848821278331166</c:v>
                </c:pt>
                <c:pt idx="1005">
                  <c:v>0.85136128637899944</c:v>
                </c:pt>
                <c:pt idx="1006">
                  <c:v>0.85424140483057875</c:v>
                </c:pt>
                <c:pt idx="1007">
                  <c:v>0.85712862678012414</c:v>
                </c:pt>
                <c:pt idx="1008">
                  <c:v>0.86002301154184813</c:v>
                </c:pt>
                <c:pt idx="1009">
                  <c:v>0.86292461911284923</c:v>
                </c:pt>
                <c:pt idx="1010">
                  <c:v>0.86583351018407173</c:v>
                </c:pt>
                <c:pt idx="1011">
                  <c:v>0.86874974615148604</c:v>
                </c:pt>
                <c:pt idx="1012">
                  <c:v>0.87167338912749104</c:v>
                </c:pt>
                <c:pt idx="1013">
                  <c:v>0.87460450195256512</c:v>
                </c:pt>
                <c:pt idx="1014">
                  <c:v>0.87754314820713331</c:v>
                </c:pt>
                <c:pt idx="1015">
                  <c:v>0.88048939222369371</c:v>
                </c:pt>
                <c:pt idx="1016">
                  <c:v>0.88344329909918407</c:v>
                </c:pt>
                <c:pt idx="1017">
                  <c:v>0.88640493470760906</c:v>
                </c:pt>
                <c:pt idx="1018">
                  <c:v>0.88937436571293493</c:v>
                </c:pt>
                <c:pt idx="1019">
                  <c:v>0.89235165958223883</c:v>
                </c:pt>
                <c:pt idx="1020">
                  <c:v>0.89533688459914473</c:v>
                </c:pt>
                <c:pt idx="1021">
                  <c:v>0.89833010987754269</c:v>
                </c:pt>
                <c:pt idx="1022">
                  <c:v>0.90133140537559198</c:v>
                </c:pt>
                <c:pt idx="1023">
                  <c:v>0.90434084191002306</c:v>
                </c:pt>
                <c:pt idx="1024">
                  <c:v>0.90735849117074663</c:v>
                </c:pt>
                <c:pt idx="1025">
                  <c:v>0.91038442573578049</c:v>
                </c:pt>
                <c:pt idx="1026">
                  <c:v>0.91341871908648453</c:v>
                </c:pt>
                <c:pt idx="1027">
                  <c:v>0.91646144562313392</c:v>
                </c:pt>
                <c:pt idx="1028">
                  <c:v>0.9195126806808277</c:v>
                </c:pt>
                <c:pt idx="1029">
                  <c:v>0.92257250054575202</c:v>
                </c:pt>
                <c:pt idx="1030">
                  <c:v>0.92564098247178539</c:v>
                </c:pt>
                <c:pt idx="1031">
                  <c:v>0.92871820469748234</c:v>
                </c:pt>
                <c:pt idx="1032">
                  <c:v>0.93180424646341875</c:v>
                </c:pt>
                <c:pt idx="1033">
                  <c:v>0.93489918802994199</c:v>
                </c:pt>
                <c:pt idx="1034">
                  <c:v>0.93800311069529396</c:v>
                </c:pt>
                <c:pt idx="1035">
                  <c:v>0.94111609681416231</c:v>
                </c:pt>
                <c:pt idx="1036">
                  <c:v>0.94423822981663508</c:v>
                </c:pt>
                <c:pt idx="1037">
                  <c:v>0.94736959422758116</c:v>
                </c:pt>
                <c:pt idx="1038">
                  <c:v>0.9505102756864916</c:v>
                </c:pt>
                <c:pt idx="1039">
                  <c:v>0.95366036096774787</c:v>
                </c:pt>
                <c:pt idx="1040">
                  <c:v>0.95681993800138099</c:v>
                </c:pt>
                <c:pt idx="1041">
                  <c:v>0.95998909589427739</c:v>
                </c:pt>
                <c:pt idx="1042">
                  <c:v>0.96316792495191172</c:v>
                </c:pt>
                <c:pt idx="1043">
                  <c:v>0.96635651670056555</c:v>
                </c:pt>
                <c:pt idx="1044">
                  <c:v>0.96955496391005858</c:v>
                </c:pt>
                <c:pt idx="1045">
                  <c:v>0.97276336061703583</c:v>
                </c:pt>
                <c:pt idx="1046">
                  <c:v>0.97598180214878272</c:v>
                </c:pt>
                <c:pt idx="1047">
                  <c:v>0.97921038514762337</c:v>
                </c:pt>
                <c:pt idx="1048">
                  <c:v>0.98244920759588783</c:v>
                </c:pt>
                <c:pt idx="1049">
                  <c:v>0.98569836884148365</c:v>
                </c:pt>
                <c:pt idx="1050">
                  <c:v>0.98895796962408822</c:v>
                </c:pt>
                <c:pt idx="1051">
                  <c:v>0.99222811210195816</c:v>
                </c:pt>
                <c:pt idx="1052">
                  <c:v>0.99550889987940594</c:v>
                </c:pt>
                <c:pt idx="1053">
                  <c:v>0.99880043803495266</c:v>
                </c:pt>
                <c:pt idx="1054">
                  <c:v>1.00210283315015</c:v>
                </c:pt>
                <c:pt idx="1055">
                  <c:v>1.0054161933391337</c:v>
                </c:pt>
                <c:pt idx="1056">
                  <c:v>1.0087406282789162</c:v>
                </c:pt>
                <c:pt idx="1057">
                  <c:v>1.0120762492404056</c:v>
                </c:pt>
                <c:pt idx="1058">
                  <c:v>1.0154231691202296</c:v>
                </c:pt>
                <c:pt idx="1059">
                  <c:v>1.0187815024733502</c:v>
                </c:pt>
                <c:pt idx="1060">
                  <c:v>1.0221513655465189</c:v>
                </c:pt>
                <c:pt idx="1061">
                  <c:v>1.025532876312556</c:v>
                </c:pt>
                <c:pt idx="1062">
                  <c:v>1.0289261545055295</c:v>
                </c:pt>
                <c:pt idx="1063">
                  <c:v>1.0323313216568455</c:v>
                </c:pt>
                <c:pt idx="1064">
                  <c:v>1.0357485011322543</c:v>
                </c:pt>
                <c:pt idx="1065">
                  <c:v>1.0391778181698266</c:v>
                </c:pt>
                <c:pt idx="1066">
                  <c:v>1.0426193999189224</c:v>
                </c:pt>
                <c:pt idx="1067">
                  <c:v>1.046073375480189</c:v>
                </c:pt>
                <c:pt idx="1068">
                  <c:v>1.0495398759466186</c:v>
                </c:pt>
                <c:pt idx="1069">
                  <c:v>1.0530190344456893</c:v>
                </c:pt>
                <c:pt idx="1070">
                  <c:v>1.0565109861826307</c:v>
                </c:pt>
                <c:pt idx="1071">
                  <c:v>1.0600158684848688</c:v>
                </c:pt>
                <c:pt idx="1072">
                  <c:v>1.0635338208476595</c:v>
                </c:pt>
                <c:pt idx="1073">
                  <c:v>1.0670649849809621</c:v>
                </c:pt>
                <c:pt idx="1074">
                  <c:v>1.0706095048576043</c:v>
                </c:pt>
                <c:pt idx="1075">
                  <c:v>1.0741675267627588</c:v>
                </c:pt>
                <c:pt idx="1076">
                  <c:v>1.0777391993447987</c:v>
                </c:pt>
                <c:pt idx="1077">
                  <c:v>1.0813246736675619</c:v>
                </c:pt>
                <c:pt idx="1078">
                  <c:v>1.0849241032640771</c:v>
                </c:pt>
                <c:pt idx="1079">
                  <c:v>1.0885376441918031</c:v>
                </c:pt>
                <c:pt idx="1080">
                  <c:v>1.0921654550894306</c:v>
                </c:pt>
                <c:pt idx="1081">
                  <c:v>1.0958076972353008</c:v>
                </c:pt>
                <c:pt idx="1082">
                  <c:v>1.0994645346074923</c:v>
                </c:pt>
                <c:pt idx="1083">
                  <c:v>1.1031361339456489</c:v>
                </c:pt>
                <c:pt idx="1084">
                  <c:v>1.106822664814584</c:v>
                </c:pt>
                <c:pt idx="1085">
                  <c:v>1.1105242996697522</c:v>
                </c:pt>
                <c:pt idx="1086">
                  <c:v>1.1142412139246307</c:v>
                </c:pt>
                <c:pt idx="1087">
                  <c:v>1.1179735860200952</c:v>
                </c:pt>
                <c:pt idx="1088">
                  <c:v>1.121721597495849</c:v>
                </c:pt>
                <c:pt idx="1089">
                  <c:v>1.1254854330639892</c:v>
                </c:pt>
                <c:pt idx="1090">
                  <c:v>1.1292652806847807</c:v>
                </c:pt>
                <c:pt idx="1091">
                  <c:v>1.1330613316447196</c:v>
                </c:pt>
                <c:pt idx="1092">
                  <c:v>1.1368737806369786</c:v>
                </c:pt>
                <c:pt idx="1093">
                  <c:v>1.1407028258443039</c:v>
                </c:pt>
                <c:pt idx="1094">
                  <c:v>1.1445486690244737</c:v>
                </c:pt>
                <c:pt idx="1095">
                  <c:v>1.1484115155984058</c:v>
                </c:pt>
                <c:pt idx="1096">
                  <c:v>1.1522915747410072</c:v>
                </c:pt>
                <c:pt idx="1097">
                  <c:v>1.1561890594748843</c:v>
                </c:pt>
                <c:pt idx="1098">
                  <c:v>1.1601041867670134</c:v>
                </c:pt>
                <c:pt idx="1099">
                  <c:v>1.1640371776284826</c:v>
                </c:pt>
                <c:pt idx="1100">
                  <c:v>1.1679882572174294</c:v>
                </c:pt>
                <c:pt idx="1101">
                  <c:v>1.1719576549453021</c:v>
                </c:pt>
                <c:pt idx="1102">
                  <c:v>1.1759456045865566</c:v>
                </c:pt>
                <c:pt idx="1103">
                  <c:v>1.1799523443919495</c:v>
                </c:pt>
                <c:pt idx="1104">
                  <c:v>1.1839781172055506</c:v>
                </c:pt>
                <c:pt idx="1105">
                  <c:v>1.1880231705856303</c:v>
                </c:pt>
                <c:pt idx="1106">
                  <c:v>1.1920877569295791</c:v>
                </c:pt>
                <c:pt idx="1107">
                  <c:v>1.1961721336030178</c:v>
                </c:pt>
                <c:pt idx="1108">
                  <c:v>1.200276563073275</c:v>
                </c:pt>
                <c:pt idx="1109">
                  <c:v>1.2044013130474023</c:v>
                </c:pt>
                <c:pt idx="1110">
                  <c:v>1.2085466566149283</c:v>
                </c:pt>
                <c:pt idx="1111">
                  <c:v>1.2127128723955336</c:v>
                </c:pt>
                <c:pt idx="1112">
                  <c:v>1.2169002446918644</c:v>
                </c:pt>
                <c:pt idx="1113">
                  <c:v>1.2211090636476916</c:v>
                </c:pt>
                <c:pt idx="1114">
                  <c:v>1.2253396254116564</c:v>
                </c:pt>
                <c:pt idx="1115">
                  <c:v>1.2295922323068302</c:v>
                </c:pt>
                <c:pt idx="1116">
                  <c:v>1.2338671930063319</c:v>
                </c:pt>
                <c:pt idx="1117">
                  <c:v>1.238164822715299</c:v>
                </c:pt>
                <c:pt idx="1118">
                  <c:v>1.2424854433594503</c:v>
                </c:pt>
                <c:pt idx="1119">
                  <c:v>1.2468293837805569</c:v>
                </c:pt>
                <c:pt idx="1120">
                  <c:v>1.2511969799391163</c:v>
                </c:pt>
                <c:pt idx="1121">
                  <c:v>1.2555885751245641</c:v>
                </c:pt>
                <c:pt idx="1122">
                  <c:v>1.2600045201733541</c:v>
                </c:pt>
                <c:pt idx="1123">
                  <c:v>1.2644451736952516</c:v>
                </c:pt>
                <c:pt idx="1124">
                  <c:v>1.2689109023082601</c:v>
                </c:pt>
                <c:pt idx="1125">
                  <c:v>1.2734020808825297</c:v>
                </c:pt>
                <c:pt idx="1126">
                  <c:v>1.2779190927936899</c:v>
                </c:pt>
                <c:pt idx="1127">
                  <c:v>1.2824623301860556</c:v>
                </c:pt>
                <c:pt idx="1128">
                  <c:v>1.2870321942461509</c:v>
                </c:pt>
                <c:pt idx="1129">
                  <c:v>1.2916290954870733</c:v>
                </c:pt>
                <c:pt idx="1130">
                  <c:v>1.2962534540441892</c:v>
                </c:pt>
                <c:pt idx="1131">
                  <c:v>1.3009056999827218</c:v>
                </c:pt>
                <c:pt idx="1132">
                  <c:v>1.3055862736178254</c:v>
                </c:pt>
                <c:pt idx="1133">
                  <c:v>1.3102956258477441</c:v>
                </c:pt>
                <c:pt idx="1134">
                  <c:v>1.3150342185007078</c:v>
                </c:pt>
                <c:pt idx="1135">
                  <c:v>1.3198025246962657</c:v>
                </c:pt>
                <c:pt idx="1136">
                  <c:v>1.324601029221772</c:v>
                </c:pt>
                <c:pt idx="1137">
                  <c:v>1.3294302289248148</c:v>
                </c:pt>
                <c:pt idx="1138">
                  <c:v>1.3342906331223829</c:v>
                </c:pt>
                <c:pt idx="1139">
                  <c:v>1.3391827640276721</c:v>
                </c:pt>
                <c:pt idx="1140">
                  <c:v>1.3441071571954235</c:v>
                </c:pt>
                <c:pt idx="1141">
                  <c:v>1.3490643619867897</c:v>
                </c:pt>
                <c:pt idx="1142">
                  <c:v>1.3540549420547721</c:v>
                </c:pt>
                <c:pt idx="1143">
                  <c:v>1.3590794758513209</c:v>
                </c:pt>
                <c:pt idx="1144">
                  <c:v>1.3641385571573073</c:v>
                </c:pt>
                <c:pt idx="1145">
                  <c:v>1.3692327956365586</c:v>
                </c:pt>
                <c:pt idx="1146">
                  <c:v>1.3743628174153739</c:v>
                </c:pt>
                <c:pt idx="1147">
                  <c:v>1.3795292656888585</c:v>
                </c:pt>
                <c:pt idx="1148">
                  <c:v>1.3847328013556541</c:v>
                </c:pt>
                <c:pt idx="1149">
                  <c:v>1.3899741036826332</c:v>
                </c:pt>
                <c:pt idx="1150">
                  <c:v>1.3952538710013354</c:v>
                </c:pt>
                <c:pt idx="1151">
                  <c:v>1.4005728214379083</c:v>
                </c:pt>
                <c:pt idx="1152">
                  <c:v>1.4059316936786133</c:v>
                </c:pt>
                <c:pt idx="1153">
                  <c:v>1.4113312477729172</c:v>
                </c:pt>
                <c:pt idx="1154">
                  <c:v>1.4167722659764788</c:v>
                </c:pt>
                <c:pt idx="1155">
                  <c:v>1.422255553636407</c:v>
                </c:pt>
                <c:pt idx="1156">
                  <c:v>1.427781940121386</c:v>
                </c:pt>
                <c:pt idx="1157">
                  <c:v>1.4333522797994338</c:v>
                </c:pt>
                <c:pt idx="1158">
                  <c:v>1.4389674530662808</c:v>
                </c:pt>
                <c:pt idx="1159">
                  <c:v>1.4446283674275</c:v>
                </c:pt>
                <c:pt idx="1160">
                  <c:v>1.4503359586379194</c:v>
                </c:pt>
                <c:pt idx="1161">
                  <c:v>1.4560911919018951</c:v>
                </c:pt>
                <c:pt idx="1162">
                  <c:v>1.4618950631384826</c:v>
                </c:pt>
                <c:pt idx="1163">
                  <c:v>1.4677486003157527</c:v>
                </c:pt>
                <c:pt idx="1164">
                  <c:v>1.4736528648588596</c:v>
                </c:pt>
                <c:pt idx="1165">
                  <c:v>1.4796089531368348</c:v>
                </c:pt>
                <c:pt idx="1166">
                  <c:v>1.4856179980334678</c:v>
                </c:pt>
                <c:pt idx="1167">
                  <c:v>1.4916811706080748</c:v>
                </c:pt>
                <c:pt idx="1168">
                  <c:v>1.4977996818524231</c:v>
                </c:pt>
                <c:pt idx="1169">
                  <c:v>1.5039747845506042</c:v>
                </c:pt>
                <c:pt idx="1170">
                  <c:v>1.510207775249208</c:v>
                </c:pt>
                <c:pt idx="1171">
                  <c:v>1.5164999963457824</c:v>
                </c:pt>
                <c:pt idx="1172">
                  <c:v>1.5228528383042352</c:v>
                </c:pt>
                <c:pt idx="1173">
                  <c:v>1.5292677420066052</c:v>
                </c:pt>
                <c:pt idx="1174">
                  <c:v>1.5357462012514234</c:v>
                </c:pt>
                <c:pt idx="1175">
                  <c:v>1.5422897654098506</c:v>
                </c:pt>
                <c:pt idx="1176">
                  <c:v>1.548900042251715</c:v>
                </c:pt>
                <c:pt idx="1177">
                  <c:v>1.5555787009547488</c:v>
                </c:pt>
                <c:pt idx="1178">
                  <c:v>1.5623274753115111</c:v>
                </c:pt>
                <c:pt idx="1179">
                  <c:v>1.5691481671498613</c:v>
                </c:pt>
                <c:pt idx="1180">
                  <c:v>1.5760426499843492</c:v>
                </c:pt>
                <c:pt idx="1181">
                  <c:v>1.5830128729175841</c:v>
                </c:pt>
                <c:pt idx="1182">
                  <c:v>1.5900608648124666</c:v>
                </c:pt>
                <c:pt idx="1183">
                  <c:v>1.5971887387582999</c:v>
                </c:pt>
                <c:pt idx="1184">
                  <c:v>1.6043986968560597</c:v>
                </c:pt>
                <c:pt idx="1185">
                  <c:v>1.6116930353507257</c:v>
                </c:pt>
                <c:pt idx="1186">
                  <c:v>1.6190741501414485</c:v>
                </c:pt>
                <c:pt idx="1187">
                  <c:v>1.6265445427035894</c:v>
                </c:pt>
                <c:pt idx="1188">
                  <c:v>1.6341068264602854</c:v>
                </c:pt>
                <c:pt idx="1189">
                  <c:v>1.641763733645309</c:v>
                </c:pt>
                <c:pt idx="1190">
                  <c:v>1.6495181227035913</c:v>
                </c:pt>
                <c:pt idx="1191">
                  <c:v>1.6573729862809787</c:v>
                </c:pt>
                <c:pt idx="1192">
                  <c:v>1.6653314598606916</c:v>
                </c:pt>
                <c:pt idx="1193">
                  <c:v>1.6733968311105887</c:v>
                </c:pt>
                <c:pt idx="1194">
                  <c:v>1.6815725500129504</c:v>
                </c:pt>
                <c:pt idx="1195">
                  <c:v>1.6898622398570504</c:v>
                </c:pt>
                <c:pt idx="1196">
                  <c:v>1.6982697091846284</c:v>
                </c:pt>
                <c:pt idx="1197">
                  <c:v>1.7067989647895703</c:v>
                </c:pt>
                <c:pt idx="1198">
                  <c:v>1.715454225885938</c:v>
                </c:pt>
                <c:pt idx="1199">
                  <c:v>1.7242399395731984</c:v>
                </c:pt>
                <c:pt idx="1200">
                  <c:v>1.7331607977444856</c:v>
                </c:pt>
                <c:pt idx="1201">
                  <c:v>1.7422217556032296</c:v>
                </c:pt>
                <c:pt idx="1202">
                  <c:v>1.7514280519761141</c:v>
                </c:pt>
                <c:pt idx="1203">
                  <c:v>1.7607852316365484</c:v>
                </c:pt>
                <c:pt idx="1204">
                  <c:v>1.7702991698832944</c:v>
                </c:pt>
                <c:pt idx="1205">
                  <c:v>1.7799760996544882</c:v>
                </c:pt>
                <c:pt idx="1206">
                  <c:v>1.7898226414988638</c:v>
                </c:pt>
                <c:pt idx="1207">
                  <c:v>1.7998458367748733</c:v>
                </c:pt>
                <c:pt idx="1208">
                  <c:v>1.8100531845058554</c:v>
                </c:pt>
                <c:pt idx="1209">
                  <c:v>1.8204526823874192</c:v>
                </c:pt>
                <c:pt idx="1210">
                  <c:v>1.8310528725237951</c:v>
                </c:pt>
                <c:pt idx="1211">
                  <c:v>1.8418628925658986</c:v>
                </c:pt>
                <c:pt idx="1212">
                  <c:v>1.8528925330385331</c:v>
                </c:pt>
                <c:pt idx="1213">
                  <c:v>1.864152301781886</c:v>
                </c:pt>
                <c:pt idx="1214">
                  <c:v>1.8756534965983558</c:v>
                </c:pt>
                <c:pt idx="1215">
                  <c:v>1.8874082873967684</c:v>
                </c:pt>
                <c:pt idx="1216">
                  <c:v>1.8994298093704893</c:v>
                </c:pt>
                <c:pt idx="1217">
                  <c:v>1.9117322690449214</c:v>
                </c:pt>
                <c:pt idx="1218">
                  <c:v>1.9243310653973653</c:v>
                </c:pt>
                <c:pt idx="1219">
                  <c:v>1.9372429287065138</c:v>
                </c:pt>
                <c:pt idx="1220">
                  <c:v>1.950486080353641</c:v>
                </c:pt>
                <c:pt idx="1221">
                  <c:v>1.9640804175042577</c:v>
                </c:pt>
                <c:pt idx="1222">
                  <c:v>1.9780477274889443</c:v>
                </c:pt>
                <c:pt idx="1223">
                  <c:v>1.9924119378306826</c:v>
                </c:pt>
                <c:pt idx="1224">
                  <c:v>2.0071994093079604</c:v>
                </c:pt>
                <c:pt idx="1225">
                  <c:v>2.0224392812996603</c:v>
                </c:pt>
                <c:pt idx="1226">
                  <c:v>2.0381638810689928</c:v>
                </c:pt>
                <c:pt idx="1227">
                  <c:v>2.0544092118030792</c:v>
                </c:pt>
                <c:pt idx="1228">
                  <c:v>2.0712155384048114</c:v>
                </c:pt>
                <c:pt idx="1229">
                  <c:v>2.0886280956212318</c:v>
                </c:pt>
                <c:pt idx="1230">
                  <c:v>2.1066979506460042</c:v>
                </c:pt>
                <c:pt idx="1231">
                  <c:v>2.1254830626678314</c:v>
                </c:pt>
                <c:pt idx="1232">
                  <c:v>2.1450495961618947</c:v>
                </c:pt>
                <c:pt idx="1233">
                  <c:v>2.1654735648631602</c:v>
                </c:pt>
                <c:pt idx="1234">
                  <c:v>2.1868429121239132</c:v>
                </c:pt>
                <c:pt idx="1235">
                  <c:v>2.209260175139105</c:v>
                </c:pt>
                <c:pt idx="1236">
                  <c:v>2.2328459423636922</c:v>
                </c:pt>
                <c:pt idx="1237">
                  <c:v>2.2577434068988107</c:v>
                </c:pt>
                <c:pt idx="1238">
                  <c:v>2.2841244631564788</c:v>
                </c:pt>
                <c:pt idx="1239">
                  <c:v>2.3121980235236075</c:v>
                </c:pt>
                <c:pt idx="1240">
                  <c:v>2.342221606715253</c:v>
                </c:pt>
                <c:pt idx="1241">
                  <c:v>2.3745178832011793</c:v>
                </c:pt>
                <c:pt idx="1242">
                  <c:v>2.4094989759606036</c:v>
                </c:pt>
                <c:pt idx="1243">
                  <c:v>2.4477033585225945</c:v>
                </c:pt>
                <c:pt idx="1244">
                  <c:v>2.4898541484898691</c:v>
                </c:pt>
                <c:pt idx="1245">
                  <c:v>2.536955753128654</c:v>
                </c:pt>
                <c:pt idx="1246">
                  <c:v>2.5904640018645773</c:v>
                </c:pt>
                <c:pt idx="1247">
                  <c:v>2.6526095495605531</c:v>
                </c:pt>
                <c:pt idx="1248">
                  <c:v>2.7270788722062234</c:v>
                </c:pt>
                <c:pt idx="1249">
                  <c:v>2.8206710107576534</c:v>
                </c:pt>
                <c:pt idx="1250">
                  <c:v>2.9483367635585283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4E-4649-9BE6-6E68DF5DD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884536"/>
        <c:axId val="681877648"/>
      </c:scatterChart>
      <c:valAx>
        <c:axId val="681884536"/>
        <c:scaling>
          <c:orientation val="minMax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681877648"/>
        <c:crossesAt val="-4"/>
        <c:crossBetween val="midCat"/>
      </c:valAx>
      <c:valAx>
        <c:axId val="681877648"/>
        <c:scaling>
          <c:orientation val="minMax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681884536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Daily logreturns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'7'!$A$4:$A$1255</c:f>
              <c:numCache>
                <c:formatCode>m/d/yyyy</c:formatCode>
                <c:ptCount val="1252"/>
                <c:pt idx="0">
                  <c:v>45391</c:v>
                </c:pt>
                <c:pt idx="1">
                  <c:v>45390</c:v>
                </c:pt>
                <c:pt idx="2">
                  <c:v>45387</c:v>
                </c:pt>
                <c:pt idx="3">
                  <c:v>45386</c:v>
                </c:pt>
                <c:pt idx="4">
                  <c:v>45385</c:v>
                </c:pt>
                <c:pt idx="5">
                  <c:v>45384</c:v>
                </c:pt>
                <c:pt idx="6">
                  <c:v>45379</c:v>
                </c:pt>
                <c:pt idx="7">
                  <c:v>45378</c:v>
                </c:pt>
                <c:pt idx="8">
                  <c:v>45377</c:v>
                </c:pt>
                <c:pt idx="9">
                  <c:v>45376</c:v>
                </c:pt>
                <c:pt idx="10">
                  <c:v>45373</c:v>
                </c:pt>
                <c:pt idx="11">
                  <c:v>45372</c:v>
                </c:pt>
                <c:pt idx="12">
                  <c:v>45371</c:v>
                </c:pt>
                <c:pt idx="13">
                  <c:v>45370</c:v>
                </c:pt>
                <c:pt idx="14">
                  <c:v>45369</c:v>
                </c:pt>
                <c:pt idx="15">
                  <c:v>45365</c:v>
                </c:pt>
                <c:pt idx="16">
                  <c:v>45364</c:v>
                </c:pt>
                <c:pt idx="17">
                  <c:v>45363</c:v>
                </c:pt>
                <c:pt idx="18">
                  <c:v>45362</c:v>
                </c:pt>
                <c:pt idx="19">
                  <c:v>45359</c:v>
                </c:pt>
                <c:pt idx="20">
                  <c:v>45358</c:v>
                </c:pt>
                <c:pt idx="21">
                  <c:v>45357</c:v>
                </c:pt>
                <c:pt idx="22">
                  <c:v>45356</c:v>
                </c:pt>
                <c:pt idx="23">
                  <c:v>45355</c:v>
                </c:pt>
                <c:pt idx="24">
                  <c:v>45352</c:v>
                </c:pt>
                <c:pt idx="25">
                  <c:v>45351</c:v>
                </c:pt>
                <c:pt idx="26">
                  <c:v>45350</c:v>
                </c:pt>
                <c:pt idx="27">
                  <c:v>45349</c:v>
                </c:pt>
                <c:pt idx="28">
                  <c:v>45348</c:v>
                </c:pt>
                <c:pt idx="29">
                  <c:v>45345</c:v>
                </c:pt>
                <c:pt idx="30">
                  <c:v>45344</c:v>
                </c:pt>
                <c:pt idx="31">
                  <c:v>45343</c:v>
                </c:pt>
                <c:pt idx="32">
                  <c:v>45342</c:v>
                </c:pt>
                <c:pt idx="33">
                  <c:v>45341</c:v>
                </c:pt>
                <c:pt idx="34">
                  <c:v>45338</c:v>
                </c:pt>
                <c:pt idx="35">
                  <c:v>45337</c:v>
                </c:pt>
                <c:pt idx="36">
                  <c:v>45336</c:v>
                </c:pt>
                <c:pt idx="37">
                  <c:v>45335</c:v>
                </c:pt>
                <c:pt idx="38">
                  <c:v>45334</c:v>
                </c:pt>
                <c:pt idx="39">
                  <c:v>45331</c:v>
                </c:pt>
                <c:pt idx="40">
                  <c:v>45330</c:v>
                </c:pt>
                <c:pt idx="41">
                  <c:v>45329</c:v>
                </c:pt>
                <c:pt idx="42">
                  <c:v>45328</c:v>
                </c:pt>
                <c:pt idx="43">
                  <c:v>45327</c:v>
                </c:pt>
                <c:pt idx="44">
                  <c:v>45324</c:v>
                </c:pt>
                <c:pt idx="45">
                  <c:v>45323</c:v>
                </c:pt>
                <c:pt idx="46">
                  <c:v>45322</c:v>
                </c:pt>
                <c:pt idx="47">
                  <c:v>45321</c:v>
                </c:pt>
                <c:pt idx="48">
                  <c:v>45320</c:v>
                </c:pt>
                <c:pt idx="49">
                  <c:v>45317</c:v>
                </c:pt>
                <c:pt idx="50">
                  <c:v>45316</c:v>
                </c:pt>
                <c:pt idx="51">
                  <c:v>45315</c:v>
                </c:pt>
                <c:pt idx="52">
                  <c:v>45314</c:v>
                </c:pt>
                <c:pt idx="53">
                  <c:v>45313</c:v>
                </c:pt>
                <c:pt idx="54">
                  <c:v>45310</c:v>
                </c:pt>
                <c:pt idx="55">
                  <c:v>45309</c:v>
                </c:pt>
                <c:pt idx="56">
                  <c:v>45308</c:v>
                </c:pt>
                <c:pt idx="57">
                  <c:v>45307</c:v>
                </c:pt>
                <c:pt idx="58">
                  <c:v>45306</c:v>
                </c:pt>
                <c:pt idx="59">
                  <c:v>45303</c:v>
                </c:pt>
                <c:pt idx="60">
                  <c:v>45302</c:v>
                </c:pt>
                <c:pt idx="61">
                  <c:v>45301</c:v>
                </c:pt>
                <c:pt idx="62">
                  <c:v>45300</c:v>
                </c:pt>
                <c:pt idx="63">
                  <c:v>45299</c:v>
                </c:pt>
                <c:pt idx="64">
                  <c:v>45296</c:v>
                </c:pt>
                <c:pt idx="65">
                  <c:v>45295</c:v>
                </c:pt>
                <c:pt idx="66">
                  <c:v>45294</c:v>
                </c:pt>
                <c:pt idx="67">
                  <c:v>45293</c:v>
                </c:pt>
                <c:pt idx="68">
                  <c:v>45289</c:v>
                </c:pt>
                <c:pt idx="69">
                  <c:v>45288</c:v>
                </c:pt>
                <c:pt idx="70">
                  <c:v>45287</c:v>
                </c:pt>
                <c:pt idx="71">
                  <c:v>45282</c:v>
                </c:pt>
                <c:pt idx="72">
                  <c:v>45281</c:v>
                </c:pt>
                <c:pt idx="73">
                  <c:v>45280</c:v>
                </c:pt>
                <c:pt idx="74">
                  <c:v>45279</c:v>
                </c:pt>
                <c:pt idx="75">
                  <c:v>45278</c:v>
                </c:pt>
                <c:pt idx="76">
                  <c:v>45275</c:v>
                </c:pt>
                <c:pt idx="77">
                  <c:v>45274</c:v>
                </c:pt>
                <c:pt idx="78">
                  <c:v>45273</c:v>
                </c:pt>
                <c:pt idx="79">
                  <c:v>45272</c:v>
                </c:pt>
                <c:pt idx="80">
                  <c:v>45271</c:v>
                </c:pt>
                <c:pt idx="81">
                  <c:v>45268</c:v>
                </c:pt>
                <c:pt idx="82">
                  <c:v>45267</c:v>
                </c:pt>
                <c:pt idx="83">
                  <c:v>45266</c:v>
                </c:pt>
                <c:pt idx="84">
                  <c:v>45265</c:v>
                </c:pt>
                <c:pt idx="85">
                  <c:v>45264</c:v>
                </c:pt>
                <c:pt idx="86">
                  <c:v>45261</c:v>
                </c:pt>
                <c:pt idx="87">
                  <c:v>45260</c:v>
                </c:pt>
                <c:pt idx="88">
                  <c:v>45259</c:v>
                </c:pt>
                <c:pt idx="89">
                  <c:v>45258</c:v>
                </c:pt>
                <c:pt idx="90">
                  <c:v>45257</c:v>
                </c:pt>
                <c:pt idx="91">
                  <c:v>45254</c:v>
                </c:pt>
                <c:pt idx="92">
                  <c:v>45253</c:v>
                </c:pt>
                <c:pt idx="93">
                  <c:v>45252</c:v>
                </c:pt>
                <c:pt idx="94">
                  <c:v>45251</c:v>
                </c:pt>
                <c:pt idx="95">
                  <c:v>45250</c:v>
                </c:pt>
                <c:pt idx="96">
                  <c:v>45247</c:v>
                </c:pt>
                <c:pt idx="97">
                  <c:v>45246</c:v>
                </c:pt>
                <c:pt idx="98">
                  <c:v>45245</c:v>
                </c:pt>
                <c:pt idx="99">
                  <c:v>45244</c:v>
                </c:pt>
                <c:pt idx="100">
                  <c:v>45243</c:v>
                </c:pt>
                <c:pt idx="101">
                  <c:v>45240</c:v>
                </c:pt>
                <c:pt idx="102">
                  <c:v>45239</c:v>
                </c:pt>
                <c:pt idx="103">
                  <c:v>45238</c:v>
                </c:pt>
                <c:pt idx="104">
                  <c:v>45237</c:v>
                </c:pt>
                <c:pt idx="105">
                  <c:v>45236</c:v>
                </c:pt>
                <c:pt idx="106">
                  <c:v>45233</c:v>
                </c:pt>
                <c:pt idx="107">
                  <c:v>45232</c:v>
                </c:pt>
                <c:pt idx="108">
                  <c:v>45230</c:v>
                </c:pt>
                <c:pt idx="109">
                  <c:v>45229</c:v>
                </c:pt>
                <c:pt idx="110">
                  <c:v>45226</c:v>
                </c:pt>
                <c:pt idx="111">
                  <c:v>45225</c:v>
                </c:pt>
                <c:pt idx="112">
                  <c:v>45224</c:v>
                </c:pt>
                <c:pt idx="113">
                  <c:v>45223</c:v>
                </c:pt>
                <c:pt idx="114">
                  <c:v>45219</c:v>
                </c:pt>
                <c:pt idx="115">
                  <c:v>45218</c:v>
                </c:pt>
                <c:pt idx="116">
                  <c:v>45217</c:v>
                </c:pt>
                <c:pt idx="117">
                  <c:v>45216</c:v>
                </c:pt>
                <c:pt idx="118">
                  <c:v>45215</c:v>
                </c:pt>
                <c:pt idx="119">
                  <c:v>45212</c:v>
                </c:pt>
                <c:pt idx="120">
                  <c:v>45211</c:v>
                </c:pt>
                <c:pt idx="121">
                  <c:v>45210</c:v>
                </c:pt>
                <c:pt idx="122">
                  <c:v>45209</c:v>
                </c:pt>
                <c:pt idx="123">
                  <c:v>45208</c:v>
                </c:pt>
                <c:pt idx="124">
                  <c:v>45205</c:v>
                </c:pt>
                <c:pt idx="125">
                  <c:v>45204</c:v>
                </c:pt>
                <c:pt idx="126">
                  <c:v>45203</c:v>
                </c:pt>
                <c:pt idx="127">
                  <c:v>45202</c:v>
                </c:pt>
                <c:pt idx="128">
                  <c:v>45201</c:v>
                </c:pt>
                <c:pt idx="129">
                  <c:v>45198</c:v>
                </c:pt>
                <c:pt idx="130">
                  <c:v>45197</c:v>
                </c:pt>
                <c:pt idx="131">
                  <c:v>45196</c:v>
                </c:pt>
                <c:pt idx="132">
                  <c:v>45195</c:v>
                </c:pt>
                <c:pt idx="133">
                  <c:v>45194</c:v>
                </c:pt>
                <c:pt idx="134">
                  <c:v>45191</c:v>
                </c:pt>
                <c:pt idx="135">
                  <c:v>45190</c:v>
                </c:pt>
                <c:pt idx="136">
                  <c:v>45189</c:v>
                </c:pt>
                <c:pt idx="137">
                  <c:v>45188</c:v>
                </c:pt>
                <c:pt idx="138">
                  <c:v>45187</c:v>
                </c:pt>
                <c:pt idx="139">
                  <c:v>45184</c:v>
                </c:pt>
                <c:pt idx="140">
                  <c:v>45183</c:v>
                </c:pt>
                <c:pt idx="141">
                  <c:v>45182</c:v>
                </c:pt>
                <c:pt idx="142">
                  <c:v>45181</c:v>
                </c:pt>
                <c:pt idx="143">
                  <c:v>45180</c:v>
                </c:pt>
                <c:pt idx="144">
                  <c:v>45177</c:v>
                </c:pt>
                <c:pt idx="145">
                  <c:v>45176</c:v>
                </c:pt>
                <c:pt idx="146">
                  <c:v>45175</c:v>
                </c:pt>
                <c:pt idx="147">
                  <c:v>45174</c:v>
                </c:pt>
                <c:pt idx="148">
                  <c:v>45173</c:v>
                </c:pt>
                <c:pt idx="149">
                  <c:v>45170</c:v>
                </c:pt>
                <c:pt idx="150">
                  <c:v>45169</c:v>
                </c:pt>
                <c:pt idx="151">
                  <c:v>45168</c:v>
                </c:pt>
                <c:pt idx="152">
                  <c:v>45167</c:v>
                </c:pt>
                <c:pt idx="153">
                  <c:v>45166</c:v>
                </c:pt>
                <c:pt idx="154">
                  <c:v>45163</c:v>
                </c:pt>
                <c:pt idx="155">
                  <c:v>45162</c:v>
                </c:pt>
                <c:pt idx="156">
                  <c:v>45161</c:v>
                </c:pt>
                <c:pt idx="157">
                  <c:v>45160</c:v>
                </c:pt>
                <c:pt idx="158">
                  <c:v>45159</c:v>
                </c:pt>
                <c:pt idx="159">
                  <c:v>45156</c:v>
                </c:pt>
                <c:pt idx="160">
                  <c:v>45155</c:v>
                </c:pt>
                <c:pt idx="161">
                  <c:v>45154</c:v>
                </c:pt>
                <c:pt idx="162">
                  <c:v>45153</c:v>
                </c:pt>
                <c:pt idx="163">
                  <c:v>45152</c:v>
                </c:pt>
                <c:pt idx="164">
                  <c:v>45149</c:v>
                </c:pt>
                <c:pt idx="165">
                  <c:v>45148</c:v>
                </c:pt>
                <c:pt idx="166">
                  <c:v>45147</c:v>
                </c:pt>
                <c:pt idx="167">
                  <c:v>45146</c:v>
                </c:pt>
                <c:pt idx="168">
                  <c:v>45145</c:v>
                </c:pt>
                <c:pt idx="169">
                  <c:v>45142</c:v>
                </c:pt>
                <c:pt idx="170">
                  <c:v>45141</c:v>
                </c:pt>
                <c:pt idx="171">
                  <c:v>45140</c:v>
                </c:pt>
                <c:pt idx="172">
                  <c:v>45139</c:v>
                </c:pt>
                <c:pt idx="173">
                  <c:v>45138</c:v>
                </c:pt>
                <c:pt idx="174">
                  <c:v>45135</c:v>
                </c:pt>
                <c:pt idx="175">
                  <c:v>45134</c:v>
                </c:pt>
                <c:pt idx="176">
                  <c:v>45133</c:v>
                </c:pt>
                <c:pt idx="177">
                  <c:v>45132</c:v>
                </c:pt>
                <c:pt idx="178">
                  <c:v>45131</c:v>
                </c:pt>
                <c:pt idx="179">
                  <c:v>45128</c:v>
                </c:pt>
                <c:pt idx="180">
                  <c:v>45127</c:v>
                </c:pt>
                <c:pt idx="181">
                  <c:v>45126</c:v>
                </c:pt>
                <c:pt idx="182">
                  <c:v>45125</c:v>
                </c:pt>
                <c:pt idx="183">
                  <c:v>45124</c:v>
                </c:pt>
                <c:pt idx="184">
                  <c:v>45121</c:v>
                </c:pt>
                <c:pt idx="185">
                  <c:v>45120</c:v>
                </c:pt>
                <c:pt idx="186">
                  <c:v>45119</c:v>
                </c:pt>
                <c:pt idx="187">
                  <c:v>45118</c:v>
                </c:pt>
                <c:pt idx="188">
                  <c:v>45117</c:v>
                </c:pt>
                <c:pt idx="189">
                  <c:v>45114</c:v>
                </c:pt>
                <c:pt idx="190">
                  <c:v>45113</c:v>
                </c:pt>
                <c:pt idx="191">
                  <c:v>45112</c:v>
                </c:pt>
                <c:pt idx="192">
                  <c:v>45111</c:v>
                </c:pt>
                <c:pt idx="193">
                  <c:v>45110</c:v>
                </c:pt>
                <c:pt idx="194">
                  <c:v>45107</c:v>
                </c:pt>
                <c:pt idx="195">
                  <c:v>45106</c:v>
                </c:pt>
                <c:pt idx="196">
                  <c:v>45105</c:v>
                </c:pt>
                <c:pt idx="197">
                  <c:v>45104</c:v>
                </c:pt>
                <c:pt idx="198">
                  <c:v>45103</c:v>
                </c:pt>
                <c:pt idx="199">
                  <c:v>45100</c:v>
                </c:pt>
                <c:pt idx="200">
                  <c:v>45099</c:v>
                </c:pt>
                <c:pt idx="201">
                  <c:v>45098</c:v>
                </c:pt>
                <c:pt idx="202">
                  <c:v>45097</c:v>
                </c:pt>
                <c:pt idx="203">
                  <c:v>45096</c:v>
                </c:pt>
                <c:pt idx="204">
                  <c:v>45093</c:v>
                </c:pt>
                <c:pt idx="205">
                  <c:v>45092</c:v>
                </c:pt>
                <c:pt idx="206">
                  <c:v>45091</c:v>
                </c:pt>
                <c:pt idx="207">
                  <c:v>45090</c:v>
                </c:pt>
                <c:pt idx="208">
                  <c:v>45089</c:v>
                </c:pt>
                <c:pt idx="209">
                  <c:v>45086</c:v>
                </c:pt>
                <c:pt idx="210">
                  <c:v>45085</c:v>
                </c:pt>
                <c:pt idx="211">
                  <c:v>45084</c:v>
                </c:pt>
                <c:pt idx="212">
                  <c:v>45083</c:v>
                </c:pt>
                <c:pt idx="213">
                  <c:v>45082</c:v>
                </c:pt>
                <c:pt idx="214">
                  <c:v>45079</c:v>
                </c:pt>
                <c:pt idx="215">
                  <c:v>45078</c:v>
                </c:pt>
                <c:pt idx="216">
                  <c:v>45077</c:v>
                </c:pt>
                <c:pt idx="217">
                  <c:v>45076</c:v>
                </c:pt>
                <c:pt idx="218">
                  <c:v>45072</c:v>
                </c:pt>
                <c:pt idx="219">
                  <c:v>45071</c:v>
                </c:pt>
                <c:pt idx="220">
                  <c:v>45070</c:v>
                </c:pt>
                <c:pt idx="221">
                  <c:v>45069</c:v>
                </c:pt>
                <c:pt idx="222">
                  <c:v>45068</c:v>
                </c:pt>
                <c:pt idx="223">
                  <c:v>45065</c:v>
                </c:pt>
                <c:pt idx="224">
                  <c:v>45064</c:v>
                </c:pt>
                <c:pt idx="225">
                  <c:v>45063</c:v>
                </c:pt>
                <c:pt idx="226">
                  <c:v>45062</c:v>
                </c:pt>
                <c:pt idx="227">
                  <c:v>45061</c:v>
                </c:pt>
                <c:pt idx="228">
                  <c:v>45058</c:v>
                </c:pt>
                <c:pt idx="229">
                  <c:v>45057</c:v>
                </c:pt>
                <c:pt idx="230">
                  <c:v>45056</c:v>
                </c:pt>
                <c:pt idx="231">
                  <c:v>45055</c:v>
                </c:pt>
                <c:pt idx="232">
                  <c:v>45054</c:v>
                </c:pt>
                <c:pt idx="233">
                  <c:v>45051</c:v>
                </c:pt>
                <c:pt idx="234">
                  <c:v>45050</c:v>
                </c:pt>
                <c:pt idx="235">
                  <c:v>45049</c:v>
                </c:pt>
                <c:pt idx="236">
                  <c:v>45048</c:v>
                </c:pt>
                <c:pt idx="237">
                  <c:v>45044</c:v>
                </c:pt>
                <c:pt idx="238">
                  <c:v>45043</c:v>
                </c:pt>
                <c:pt idx="239">
                  <c:v>45042</c:v>
                </c:pt>
                <c:pt idx="240">
                  <c:v>45041</c:v>
                </c:pt>
                <c:pt idx="241">
                  <c:v>45040</c:v>
                </c:pt>
                <c:pt idx="242">
                  <c:v>45037</c:v>
                </c:pt>
                <c:pt idx="243">
                  <c:v>45036</c:v>
                </c:pt>
                <c:pt idx="244">
                  <c:v>45035</c:v>
                </c:pt>
                <c:pt idx="245">
                  <c:v>45034</c:v>
                </c:pt>
                <c:pt idx="246">
                  <c:v>45033</c:v>
                </c:pt>
                <c:pt idx="247">
                  <c:v>45030</c:v>
                </c:pt>
                <c:pt idx="248">
                  <c:v>45029</c:v>
                </c:pt>
                <c:pt idx="249">
                  <c:v>45028</c:v>
                </c:pt>
                <c:pt idx="250">
                  <c:v>45027</c:v>
                </c:pt>
                <c:pt idx="251">
                  <c:v>45022</c:v>
                </c:pt>
                <c:pt idx="252">
                  <c:v>45021</c:v>
                </c:pt>
                <c:pt idx="253">
                  <c:v>45020</c:v>
                </c:pt>
                <c:pt idx="254">
                  <c:v>45019</c:v>
                </c:pt>
                <c:pt idx="255">
                  <c:v>45016</c:v>
                </c:pt>
                <c:pt idx="256">
                  <c:v>45015</c:v>
                </c:pt>
                <c:pt idx="257">
                  <c:v>45014</c:v>
                </c:pt>
                <c:pt idx="258">
                  <c:v>45013</c:v>
                </c:pt>
                <c:pt idx="259">
                  <c:v>45012</c:v>
                </c:pt>
                <c:pt idx="260">
                  <c:v>45009</c:v>
                </c:pt>
                <c:pt idx="261">
                  <c:v>45008</c:v>
                </c:pt>
                <c:pt idx="262">
                  <c:v>45007</c:v>
                </c:pt>
                <c:pt idx="263">
                  <c:v>45006</c:v>
                </c:pt>
                <c:pt idx="264">
                  <c:v>45005</c:v>
                </c:pt>
                <c:pt idx="265">
                  <c:v>45002</c:v>
                </c:pt>
                <c:pt idx="266">
                  <c:v>45001</c:v>
                </c:pt>
                <c:pt idx="267">
                  <c:v>44999</c:v>
                </c:pt>
                <c:pt idx="268">
                  <c:v>44998</c:v>
                </c:pt>
                <c:pt idx="269">
                  <c:v>44995</c:v>
                </c:pt>
                <c:pt idx="270">
                  <c:v>44994</c:v>
                </c:pt>
                <c:pt idx="271">
                  <c:v>44993</c:v>
                </c:pt>
                <c:pt idx="272">
                  <c:v>44992</c:v>
                </c:pt>
                <c:pt idx="273">
                  <c:v>44991</c:v>
                </c:pt>
                <c:pt idx="274">
                  <c:v>44988</c:v>
                </c:pt>
                <c:pt idx="275">
                  <c:v>44987</c:v>
                </c:pt>
                <c:pt idx="276">
                  <c:v>44986</c:v>
                </c:pt>
                <c:pt idx="277">
                  <c:v>44985</c:v>
                </c:pt>
                <c:pt idx="278">
                  <c:v>44984</c:v>
                </c:pt>
                <c:pt idx="279">
                  <c:v>44981</c:v>
                </c:pt>
                <c:pt idx="280">
                  <c:v>44980</c:v>
                </c:pt>
                <c:pt idx="281">
                  <c:v>44979</c:v>
                </c:pt>
                <c:pt idx="282">
                  <c:v>44978</c:v>
                </c:pt>
                <c:pt idx="283">
                  <c:v>44977</c:v>
                </c:pt>
                <c:pt idx="284">
                  <c:v>44974</c:v>
                </c:pt>
                <c:pt idx="285">
                  <c:v>44973</c:v>
                </c:pt>
                <c:pt idx="286">
                  <c:v>44972</c:v>
                </c:pt>
                <c:pt idx="287">
                  <c:v>44971</c:v>
                </c:pt>
                <c:pt idx="288">
                  <c:v>44970</c:v>
                </c:pt>
                <c:pt idx="289">
                  <c:v>44967</c:v>
                </c:pt>
                <c:pt idx="290">
                  <c:v>44966</c:v>
                </c:pt>
                <c:pt idx="291">
                  <c:v>44965</c:v>
                </c:pt>
                <c:pt idx="292">
                  <c:v>44964</c:v>
                </c:pt>
                <c:pt idx="293">
                  <c:v>44963</c:v>
                </c:pt>
                <c:pt idx="294">
                  <c:v>44960</c:v>
                </c:pt>
                <c:pt idx="295">
                  <c:v>44959</c:v>
                </c:pt>
                <c:pt idx="296">
                  <c:v>44958</c:v>
                </c:pt>
                <c:pt idx="297">
                  <c:v>44957</c:v>
                </c:pt>
                <c:pt idx="298">
                  <c:v>44956</c:v>
                </c:pt>
                <c:pt idx="299">
                  <c:v>44953</c:v>
                </c:pt>
                <c:pt idx="300">
                  <c:v>44952</c:v>
                </c:pt>
                <c:pt idx="301">
                  <c:v>44951</c:v>
                </c:pt>
                <c:pt idx="302">
                  <c:v>44950</c:v>
                </c:pt>
                <c:pt idx="303">
                  <c:v>44949</c:v>
                </c:pt>
                <c:pt idx="304">
                  <c:v>44946</c:v>
                </c:pt>
                <c:pt idx="305">
                  <c:v>44945</c:v>
                </c:pt>
                <c:pt idx="306">
                  <c:v>44944</c:v>
                </c:pt>
                <c:pt idx="307">
                  <c:v>44943</c:v>
                </c:pt>
                <c:pt idx="308">
                  <c:v>44942</c:v>
                </c:pt>
                <c:pt idx="309">
                  <c:v>44939</c:v>
                </c:pt>
                <c:pt idx="310">
                  <c:v>44938</c:v>
                </c:pt>
                <c:pt idx="311">
                  <c:v>44937</c:v>
                </c:pt>
                <c:pt idx="312">
                  <c:v>44936</c:v>
                </c:pt>
                <c:pt idx="313">
                  <c:v>44935</c:v>
                </c:pt>
                <c:pt idx="314">
                  <c:v>44932</c:v>
                </c:pt>
                <c:pt idx="315">
                  <c:v>44931</c:v>
                </c:pt>
                <c:pt idx="316">
                  <c:v>44930</c:v>
                </c:pt>
                <c:pt idx="317">
                  <c:v>44929</c:v>
                </c:pt>
                <c:pt idx="318">
                  <c:v>44928</c:v>
                </c:pt>
                <c:pt idx="319">
                  <c:v>44925</c:v>
                </c:pt>
                <c:pt idx="320">
                  <c:v>44924</c:v>
                </c:pt>
                <c:pt idx="321">
                  <c:v>44923</c:v>
                </c:pt>
                <c:pt idx="322">
                  <c:v>44922</c:v>
                </c:pt>
                <c:pt idx="323">
                  <c:v>44918</c:v>
                </c:pt>
                <c:pt idx="324">
                  <c:v>44917</c:v>
                </c:pt>
                <c:pt idx="325">
                  <c:v>44916</c:v>
                </c:pt>
                <c:pt idx="326">
                  <c:v>44915</c:v>
                </c:pt>
                <c:pt idx="327">
                  <c:v>44914</c:v>
                </c:pt>
                <c:pt idx="328">
                  <c:v>44911</c:v>
                </c:pt>
                <c:pt idx="329">
                  <c:v>44910</c:v>
                </c:pt>
                <c:pt idx="330">
                  <c:v>44909</c:v>
                </c:pt>
                <c:pt idx="331">
                  <c:v>44908</c:v>
                </c:pt>
                <c:pt idx="332">
                  <c:v>44907</c:v>
                </c:pt>
                <c:pt idx="333">
                  <c:v>44904</c:v>
                </c:pt>
                <c:pt idx="334">
                  <c:v>44903</c:v>
                </c:pt>
                <c:pt idx="335">
                  <c:v>44902</c:v>
                </c:pt>
                <c:pt idx="336">
                  <c:v>44901</c:v>
                </c:pt>
                <c:pt idx="337">
                  <c:v>44900</c:v>
                </c:pt>
                <c:pt idx="338">
                  <c:v>44897</c:v>
                </c:pt>
                <c:pt idx="339">
                  <c:v>44896</c:v>
                </c:pt>
                <c:pt idx="340">
                  <c:v>44895</c:v>
                </c:pt>
                <c:pt idx="341">
                  <c:v>44894</c:v>
                </c:pt>
                <c:pt idx="342">
                  <c:v>44893</c:v>
                </c:pt>
                <c:pt idx="343">
                  <c:v>44890</c:v>
                </c:pt>
                <c:pt idx="344">
                  <c:v>44889</c:v>
                </c:pt>
                <c:pt idx="345">
                  <c:v>44888</c:v>
                </c:pt>
                <c:pt idx="346">
                  <c:v>44887</c:v>
                </c:pt>
                <c:pt idx="347">
                  <c:v>44886</c:v>
                </c:pt>
                <c:pt idx="348">
                  <c:v>44883</c:v>
                </c:pt>
                <c:pt idx="349">
                  <c:v>44882</c:v>
                </c:pt>
                <c:pt idx="350">
                  <c:v>44881</c:v>
                </c:pt>
                <c:pt idx="351">
                  <c:v>44880</c:v>
                </c:pt>
                <c:pt idx="352">
                  <c:v>44879</c:v>
                </c:pt>
                <c:pt idx="353">
                  <c:v>44876</c:v>
                </c:pt>
                <c:pt idx="354">
                  <c:v>44875</c:v>
                </c:pt>
                <c:pt idx="355">
                  <c:v>44874</c:v>
                </c:pt>
                <c:pt idx="356">
                  <c:v>44873</c:v>
                </c:pt>
                <c:pt idx="357">
                  <c:v>44872</c:v>
                </c:pt>
                <c:pt idx="358">
                  <c:v>44869</c:v>
                </c:pt>
                <c:pt idx="359">
                  <c:v>44868</c:v>
                </c:pt>
                <c:pt idx="360">
                  <c:v>44867</c:v>
                </c:pt>
                <c:pt idx="361">
                  <c:v>44862</c:v>
                </c:pt>
                <c:pt idx="362">
                  <c:v>44861</c:v>
                </c:pt>
                <c:pt idx="363">
                  <c:v>44860</c:v>
                </c:pt>
                <c:pt idx="364">
                  <c:v>44859</c:v>
                </c:pt>
                <c:pt idx="365">
                  <c:v>44858</c:v>
                </c:pt>
                <c:pt idx="366">
                  <c:v>44855</c:v>
                </c:pt>
                <c:pt idx="367">
                  <c:v>44854</c:v>
                </c:pt>
                <c:pt idx="368">
                  <c:v>44853</c:v>
                </c:pt>
                <c:pt idx="369">
                  <c:v>44852</c:v>
                </c:pt>
                <c:pt idx="370">
                  <c:v>44851</c:v>
                </c:pt>
                <c:pt idx="371">
                  <c:v>44848</c:v>
                </c:pt>
                <c:pt idx="372">
                  <c:v>44847</c:v>
                </c:pt>
                <c:pt idx="373">
                  <c:v>44846</c:v>
                </c:pt>
                <c:pt idx="374">
                  <c:v>44845</c:v>
                </c:pt>
                <c:pt idx="375">
                  <c:v>44844</c:v>
                </c:pt>
                <c:pt idx="376">
                  <c:v>44841</c:v>
                </c:pt>
                <c:pt idx="377">
                  <c:v>44840</c:v>
                </c:pt>
                <c:pt idx="378">
                  <c:v>44839</c:v>
                </c:pt>
                <c:pt idx="379">
                  <c:v>44838</c:v>
                </c:pt>
                <c:pt idx="380">
                  <c:v>44837</c:v>
                </c:pt>
                <c:pt idx="381">
                  <c:v>44834</c:v>
                </c:pt>
                <c:pt idx="382">
                  <c:v>44833</c:v>
                </c:pt>
                <c:pt idx="383">
                  <c:v>44832</c:v>
                </c:pt>
                <c:pt idx="384">
                  <c:v>44831</c:v>
                </c:pt>
                <c:pt idx="385">
                  <c:v>44830</c:v>
                </c:pt>
                <c:pt idx="386">
                  <c:v>44827</c:v>
                </c:pt>
                <c:pt idx="387">
                  <c:v>44826</c:v>
                </c:pt>
                <c:pt idx="388">
                  <c:v>44825</c:v>
                </c:pt>
                <c:pt idx="389">
                  <c:v>44824</c:v>
                </c:pt>
                <c:pt idx="390">
                  <c:v>44823</c:v>
                </c:pt>
                <c:pt idx="391">
                  <c:v>44820</c:v>
                </c:pt>
                <c:pt idx="392">
                  <c:v>44819</c:v>
                </c:pt>
                <c:pt idx="393">
                  <c:v>44818</c:v>
                </c:pt>
                <c:pt idx="394">
                  <c:v>44817</c:v>
                </c:pt>
                <c:pt idx="395">
                  <c:v>44816</c:v>
                </c:pt>
                <c:pt idx="396">
                  <c:v>44813</c:v>
                </c:pt>
                <c:pt idx="397">
                  <c:v>44812</c:v>
                </c:pt>
                <c:pt idx="398">
                  <c:v>44811</c:v>
                </c:pt>
                <c:pt idx="399">
                  <c:v>44810</c:v>
                </c:pt>
                <c:pt idx="400">
                  <c:v>44809</c:v>
                </c:pt>
                <c:pt idx="401">
                  <c:v>44806</c:v>
                </c:pt>
                <c:pt idx="402">
                  <c:v>44805</c:v>
                </c:pt>
                <c:pt idx="403">
                  <c:v>44804</c:v>
                </c:pt>
                <c:pt idx="404">
                  <c:v>44803</c:v>
                </c:pt>
                <c:pt idx="405">
                  <c:v>44802</c:v>
                </c:pt>
                <c:pt idx="406">
                  <c:v>44799</c:v>
                </c:pt>
                <c:pt idx="407">
                  <c:v>44798</c:v>
                </c:pt>
                <c:pt idx="408">
                  <c:v>44797</c:v>
                </c:pt>
                <c:pt idx="409">
                  <c:v>44796</c:v>
                </c:pt>
                <c:pt idx="410">
                  <c:v>44795</c:v>
                </c:pt>
                <c:pt idx="411">
                  <c:v>44792</c:v>
                </c:pt>
                <c:pt idx="412">
                  <c:v>44791</c:v>
                </c:pt>
                <c:pt idx="413">
                  <c:v>44790</c:v>
                </c:pt>
                <c:pt idx="414">
                  <c:v>44789</c:v>
                </c:pt>
                <c:pt idx="415">
                  <c:v>44788</c:v>
                </c:pt>
                <c:pt idx="416">
                  <c:v>44785</c:v>
                </c:pt>
                <c:pt idx="417">
                  <c:v>44784</c:v>
                </c:pt>
                <c:pt idx="418">
                  <c:v>44783</c:v>
                </c:pt>
                <c:pt idx="419">
                  <c:v>44782</c:v>
                </c:pt>
                <c:pt idx="420">
                  <c:v>44781</c:v>
                </c:pt>
                <c:pt idx="421">
                  <c:v>44778</c:v>
                </c:pt>
                <c:pt idx="422">
                  <c:v>44777</c:v>
                </c:pt>
                <c:pt idx="423">
                  <c:v>44776</c:v>
                </c:pt>
                <c:pt idx="424">
                  <c:v>44775</c:v>
                </c:pt>
                <c:pt idx="425">
                  <c:v>44774</c:v>
                </c:pt>
                <c:pt idx="426">
                  <c:v>44771</c:v>
                </c:pt>
                <c:pt idx="427">
                  <c:v>44770</c:v>
                </c:pt>
                <c:pt idx="428">
                  <c:v>44769</c:v>
                </c:pt>
                <c:pt idx="429">
                  <c:v>44768</c:v>
                </c:pt>
                <c:pt idx="430">
                  <c:v>44767</c:v>
                </c:pt>
                <c:pt idx="431">
                  <c:v>44764</c:v>
                </c:pt>
                <c:pt idx="432">
                  <c:v>44763</c:v>
                </c:pt>
                <c:pt idx="433">
                  <c:v>44762</c:v>
                </c:pt>
                <c:pt idx="434">
                  <c:v>44761</c:v>
                </c:pt>
                <c:pt idx="435">
                  <c:v>44760</c:v>
                </c:pt>
                <c:pt idx="436">
                  <c:v>44757</c:v>
                </c:pt>
                <c:pt idx="437">
                  <c:v>44756</c:v>
                </c:pt>
                <c:pt idx="438">
                  <c:v>44755</c:v>
                </c:pt>
                <c:pt idx="439">
                  <c:v>44754</c:v>
                </c:pt>
                <c:pt idx="440">
                  <c:v>44753</c:v>
                </c:pt>
                <c:pt idx="441">
                  <c:v>44750</c:v>
                </c:pt>
                <c:pt idx="442">
                  <c:v>44749</c:v>
                </c:pt>
                <c:pt idx="443">
                  <c:v>44748</c:v>
                </c:pt>
                <c:pt idx="444">
                  <c:v>44747</c:v>
                </c:pt>
                <c:pt idx="445">
                  <c:v>44746</c:v>
                </c:pt>
                <c:pt idx="446">
                  <c:v>44743</c:v>
                </c:pt>
                <c:pt idx="447">
                  <c:v>44742</c:v>
                </c:pt>
                <c:pt idx="448">
                  <c:v>44741</c:v>
                </c:pt>
                <c:pt idx="449">
                  <c:v>44740</c:v>
                </c:pt>
                <c:pt idx="450">
                  <c:v>44739</c:v>
                </c:pt>
                <c:pt idx="451">
                  <c:v>44736</c:v>
                </c:pt>
                <c:pt idx="452">
                  <c:v>44735</c:v>
                </c:pt>
                <c:pt idx="453">
                  <c:v>44734</c:v>
                </c:pt>
                <c:pt idx="454">
                  <c:v>44733</c:v>
                </c:pt>
                <c:pt idx="455">
                  <c:v>44732</c:v>
                </c:pt>
                <c:pt idx="456">
                  <c:v>44729</c:v>
                </c:pt>
                <c:pt idx="457">
                  <c:v>44728</c:v>
                </c:pt>
                <c:pt idx="458">
                  <c:v>44727</c:v>
                </c:pt>
                <c:pt idx="459">
                  <c:v>44726</c:v>
                </c:pt>
                <c:pt idx="460">
                  <c:v>44725</c:v>
                </c:pt>
                <c:pt idx="461">
                  <c:v>44722</c:v>
                </c:pt>
                <c:pt idx="462">
                  <c:v>44721</c:v>
                </c:pt>
                <c:pt idx="463">
                  <c:v>44720</c:v>
                </c:pt>
                <c:pt idx="464">
                  <c:v>44719</c:v>
                </c:pt>
                <c:pt idx="465">
                  <c:v>44715</c:v>
                </c:pt>
                <c:pt idx="466">
                  <c:v>44714</c:v>
                </c:pt>
                <c:pt idx="467">
                  <c:v>44713</c:v>
                </c:pt>
                <c:pt idx="468">
                  <c:v>44712</c:v>
                </c:pt>
                <c:pt idx="469">
                  <c:v>44711</c:v>
                </c:pt>
                <c:pt idx="470">
                  <c:v>44708</c:v>
                </c:pt>
                <c:pt idx="471">
                  <c:v>44707</c:v>
                </c:pt>
                <c:pt idx="472">
                  <c:v>44706</c:v>
                </c:pt>
                <c:pt idx="473">
                  <c:v>44705</c:v>
                </c:pt>
                <c:pt idx="474">
                  <c:v>44704</c:v>
                </c:pt>
                <c:pt idx="475">
                  <c:v>44701</c:v>
                </c:pt>
                <c:pt idx="476">
                  <c:v>44700</c:v>
                </c:pt>
                <c:pt idx="477">
                  <c:v>44699</c:v>
                </c:pt>
                <c:pt idx="478">
                  <c:v>44698</c:v>
                </c:pt>
                <c:pt idx="479">
                  <c:v>44697</c:v>
                </c:pt>
                <c:pt idx="480">
                  <c:v>44694</c:v>
                </c:pt>
                <c:pt idx="481">
                  <c:v>44693</c:v>
                </c:pt>
                <c:pt idx="482">
                  <c:v>44692</c:v>
                </c:pt>
                <c:pt idx="483">
                  <c:v>44691</c:v>
                </c:pt>
                <c:pt idx="484">
                  <c:v>44690</c:v>
                </c:pt>
                <c:pt idx="485">
                  <c:v>44687</c:v>
                </c:pt>
                <c:pt idx="486">
                  <c:v>44686</c:v>
                </c:pt>
                <c:pt idx="487">
                  <c:v>44685</c:v>
                </c:pt>
                <c:pt idx="488">
                  <c:v>44684</c:v>
                </c:pt>
                <c:pt idx="489">
                  <c:v>44683</c:v>
                </c:pt>
                <c:pt idx="490">
                  <c:v>44680</c:v>
                </c:pt>
                <c:pt idx="491">
                  <c:v>44679</c:v>
                </c:pt>
                <c:pt idx="492">
                  <c:v>44678</c:v>
                </c:pt>
                <c:pt idx="493">
                  <c:v>44677</c:v>
                </c:pt>
                <c:pt idx="494">
                  <c:v>44676</c:v>
                </c:pt>
                <c:pt idx="495">
                  <c:v>44673</c:v>
                </c:pt>
                <c:pt idx="496">
                  <c:v>44672</c:v>
                </c:pt>
                <c:pt idx="497">
                  <c:v>44671</c:v>
                </c:pt>
                <c:pt idx="498">
                  <c:v>44670</c:v>
                </c:pt>
                <c:pt idx="499">
                  <c:v>44665</c:v>
                </c:pt>
                <c:pt idx="500">
                  <c:v>44664</c:v>
                </c:pt>
                <c:pt idx="501">
                  <c:v>44663</c:v>
                </c:pt>
                <c:pt idx="502">
                  <c:v>44662</c:v>
                </c:pt>
                <c:pt idx="503">
                  <c:v>44659</c:v>
                </c:pt>
                <c:pt idx="504">
                  <c:v>44658</c:v>
                </c:pt>
                <c:pt idx="505">
                  <c:v>44657</c:v>
                </c:pt>
                <c:pt idx="506">
                  <c:v>44656</c:v>
                </c:pt>
                <c:pt idx="507">
                  <c:v>44655</c:v>
                </c:pt>
                <c:pt idx="508">
                  <c:v>44652</c:v>
                </c:pt>
                <c:pt idx="509">
                  <c:v>44651</c:v>
                </c:pt>
                <c:pt idx="510">
                  <c:v>44650</c:v>
                </c:pt>
                <c:pt idx="511">
                  <c:v>44649</c:v>
                </c:pt>
                <c:pt idx="512">
                  <c:v>44648</c:v>
                </c:pt>
                <c:pt idx="513">
                  <c:v>44645</c:v>
                </c:pt>
                <c:pt idx="514">
                  <c:v>44644</c:v>
                </c:pt>
                <c:pt idx="515">
                  <c:v>44643</c:v>
                </c:pt>
                <c:pt idx="516">
                  <c:v>44642</c:v>
                </c:pt>
                <c:pt idx="517">
                  <c:v>44641</c:v>
                </c:pt>
                <c:pt idx="518">
                  <c:v>44638</c:v>
                </c:pt>
                <c:pt idx="519">
                  <c:v>44637</c:v>
                </c:pt>
                <c:pt idx="520">
                  <c:v>44636</c:v>
                </c:pt>
                <c:pt idx="521">
                  <c:v>44631</c:v>
                </c:pt>
                <c:pt idx="522">
                  <c:v>44630</c:v>
                </c:pt>
                <c:pt idx="523">
                  <c:v>44629</c:v>
                </c:pt>
                <c:pt idx="524">
                  <c:v>44628</c:v>
                </c:pt>
                <c:pt idx="525">
                  <c:v>44627</c:v>
                </c:pt>
                <c:pt idx="526">
                  <c:v>44624</c:v>
                </c:pt>
                <c:pt idx="527">
                  <c:v>44623</c:v>
                </c:pt>
                <c:pt idx="528">
                  <c:v>44622</c:v>
                </c:pt>
                <c:pt idx="529">
                  <c:v>44621</c:v>
                </c:pt>
                <c:pt idx="530">
                  <c:v>44620</c:v>
                </c:pt>
                <c:pt idx="531">
                  <c:v>44617</c:v>
                </c:pt>
                <c:pt idx="532">
                  <c:v>44616</c:v>
                </c:pt>
                <c:pt idx="533">
                  <c:v>44615</c:v>
                </c:pt>
                <c:pt idx="534">
                  <c:v>44614</c:v>
                </c:pt>
                <c:pt idx="535">
                  <c:v>44613</c:v>
                </c:pt>
                <c:pt idx="536">
                  <c:v>44610</c:v>
                </c:pt>
                <c:pt idx="537">
                  <c:v>44609</c:v>
                </c:pt>
                <c:pt idx="538">
                  <c:v>44608</c:v>
                </c:pt>
                <c:pt idx="539">
                  <c:v>44607</c:v>
                </c:pt>
                <c:pt idx="540">
                  <c:v>44606</c:v>
                </c:pt>
                <c:pt idx="541">
                  <c:v>44603</c:v>
                </c:pt>
                <c:pt idx="542">
                  <c:v>44602</c:v>
                </c:pt>
                <c:pt idx="543">
                  <c:v>44601</c:v>
                </c:pt>
                <c:pt idx="544">
                  <c:v>44600</c:v>
                </c:pt>
                <c:pt idx="545">
                  <c:v>44599</c:v>
                </c:pt>
                <c:pt idx="546">
                  <c:v>44596</c:v>
                </c:pt>
                <c:pt idx="547">
                  <c:v>44595</c:v>
                </c:pt>
                <c:pt idx="548">
                  <c:v>44594</c:v>
                </c:pt>
                <c:pt idx="549">
                  <c:v>44593</c:v>
                </c:pt>
                <c:pt idx="550">
                  <c:v>44592</c:v>
                </c:pt>
                <c:pt idx="551">
                  <c:v>44589</c:v>
                </c:pt>
                <c:pt idx="552">
                  <c:v>44588</c:v>
                </c:pt>
                <c:pt idx="553">
                  <c:v>44587</c:v>
                </c:pt>
                <c:pt idx="554">
                  <c:v>44586</c:v>
                </c:pt>
                <c:pt idx="555">
                  <c:v>44585</c:v>
                </c:pt>
                <c:pt idx="556">
                  <c:v>44582</c:v>
                </c:pt>
                <c:pt idx="557">
                  <c:v>44581</c:v>
                </c:pt>
                <c:pt idx="558">
                  <c:v>44580</c:v>
                </c:pt>
                <c:pt idx="559">
                  <c:v>44579</c:v>
                </c:pt>
                <c:pt idx="560">
                  <c:v>44578</c:v>
                </c:pt>
                <c:pt idx="561">
                  <c:v>44575</c:v>
                </c:pt>
                <c:pt idx="562">
                  <c:v>44574</c:v>
                </c:pt>
                <c:pt idx="563">
                  <c:v>44573</c:v>
                </c:pt>
                <c:pt idx="564">
                  <c:v>44572</c:v>
                </c:pt>
                <c:pt idx="565">
                  <c:v>44571</c:v>
                </c:pt>
                <c:pt idx="566">
                  <c:v>44568</c:v>
                </c:pt>
                <c:pt idx="567">
                  <c:v>44567</c:v>
                </c:pt>
                <c:pt idx="568">
                  <c:v>44566</c:v>
                </c:pt>
                <c:pt idx="569">
                  <c:v>44565</c:v>
                </c:pt>
                <c:pt idx="570">
                  <c:v>44564</c:v>
                </c:pt>
                <c:pt idx="571">
                  <c:v>44560</c:v>
                </c:pt>
                <c:pt idx="572">
                  <c:v>44559</c:v>
                </c:pt>
                <c:pt idx="573">
                  <c:v>44558</c:v>
                </c:pt>
                <c:pt idx="574">
                  <c:v>44557</c:v>
                </c:pt>
                <c:pt idx="575">
                  <c:v>44553</c:v>
                </c:pt>
                <c:pt idx="576">
                  <c:v>44552</c:v>
                </c:pt>
                <c:pt idx="577">
                  <c:v>44551</c:v>
                </c:pt>
                <c:pt idx="578">
                  <c:v>44550</c:v>
                </c:pt>
                <c:pt idx="579">
                  <c:v>44547</c:v>
                </c:pt>
                <c:pt idx="580">
                  <c:v>44546</c:v>
                </c:pt>
                <c:pt idx="581">
                  <c:v>44545</c:v>
                </c:pt>
                <c:pt idx="582">
                  <c:v>44544</c:v>
                </c:pt>
                <c:pt idx="583">
                  <c:v>44543</c:v>
                </c:pt>
                <c:pt idx="584">
                  <c:v>44540</c:v>
                </c:pt>
                <c:pt idx="585">
                  <c:v>44539</c:v>
                </c:pt>
                <c:pt idx="586">
                  <c:v>44538</c:v>
                </c:pt>
                <c:pt idx="587">
                  <c:v>44537</c:v>
                </c:pt>
                <c:pt idx="588">
                  <c:v>44536</c:v>
                </c:pt>
                <c:pt idx="589">
                  <c:v>44533</c:v>
                </c:pt>
                <c:pt idx="590">
                  <c:v>44532</c:v>
                </c:pt>
                <c:pt idx="591">
                  <c:v>44531</c:v>
                </c:pt>
                <c:pt idx="592">
                  <c:v>44530</c:v>
                </c:pt>
                <c:pt idx="593">
                  <c:v>44529</c:v>
                </c:pt>
                <c:pt idx="594">
                  <c:v>44526</c:v>
                </c:pt>
                <c:pt idx="595">
                  <c:v>44525</c:v>
                </c:pt>
                <c:pt idx="596">
                  <c:v>44524</c:v>
                </c:pt>
                <c:pt idx="597">
                  <c:v>44523</c:v>
                </c:pt>
                <c:pt idx="598">
                  <c:v>44522</c:v>
                </c:pt>
                <c:pt idx="599">
                  <c:v>44519</c:v>
                </c:pt>
                <c:pt idx="600">
                  <c:v>44518</c:v>
                </c:pt>
                <c:pt idx="601">
                  <c:v>44517</c:v>
                </c:pt>
                <c:pt idx="602">
                  <c:v>44516</c:v>
                </c:pt>
                <c:pt idx="603">
                  <c:v>44515</c:v>
                </c:pt>
                <c:pt idx="604">
                  <c:v>44512</c:v>
                </c:pt>
                <c:pt idx="605">
                  <c:v>44511</c:v>
                </c:pt>
                <c:pt idx="606">
                  <c:v>44510</c:v>
                </c:pt>
                <c:pt idx="607">
                  <c:v>44509</c:v>
                </c:pt>
                <c:pt idx="608">
                  <c:v>44508</c:v>
                </c:pt>
                <c:pt idx="609">
                  <c:v>44505</c:v>
                </c:pt>
                <c:pt idx="610">
                  <c:v>44504</c:v>
                </c:pt>
                <c:pt idx="611">
                  <c:v>44503</c:v>
                </c:pt>
                <c:pt idx="612">
                  <c:v>44502</c:v>
                </c:pt>
                <c:pt idx="613">
                  <c:v>44498</c:v>
                </c:pt>
                <c:pt idx="614">
                  <c:v>44497</c:v>
                </c:pt>
                <c:pt idx="615">
                  <c:v>44496</c:v>
                </c:pt>
                <c:pt idx="616">
                  <c:v>44495</c:v>
                </c:pt>
                <c:pt idx="617">
                  <c:v>44494</c:v>
                </c:pt>
                <c:pt idx="618">
                  <c:v>44491</c:v>
                </c:pt>
                <c:pt idx="619">
                  <c:v>44490</c:v>
                </c:pt>
                <c:pt idx="620">
                  <c:v>44489</c:v>
                </c:pt>
                <c:pt idx="621">
                  <c:v>44488</c:v>
                </c:pt>
                <c:pt idx="622">
                  <c:v>44487</c:v>
                </c:pt>
                <c:pt idx="623">
                  <c:v>44484</c:v>
                </c:pt>
                <c:pt idx="624">
                  <c:v>44483</c:v>
                </c:pt>
                <c:pt idx="625">
                  <c:v>44482</c:v>
                </c:pt>
                <c:pt idx="626">
                  <c:v>44481</c:v>
                </c:pt>
                <c:pt idx="627">
                  <c:v>44480</c:v>
                </c:pt>
                <c:pt idx="628">
                  <c:v>44477</c:v>
                </c:pt>
                <c:pt idx="629">
                  <c:v>44476</c:v>
                </c:pt>
                <c:pt idx="630">
                  <c:v>44475</c:v>
                </c:pt>
                <c:pt idx="631">
                  <c:v>44474</c:v>
                </c:pt>
                <c:pt idx="632">
                  <c:v>44473</c:v>
                </c:pt>
                <c:pt idx="633">
                  <c:v>44470</c:v>
                </c:pt>
                <c:pt idx="634">
                  <c:v>44469</c:v>
                </c:pt>
                <c:pt idx="635">
                  <c:v>44468</c:v>
                </c:pt>
                <c:pt idx="636">
                  <c:v>44467</c:v>
                </c:pt>
                <c:pt idx="637">
                  <c:v>44466</c:v>
                </c:pt>
                <c:pt idx="638">
                  <c:v>44463</c:v>
                </c:pt>
                <c:pt idx="639">
                  <c:v>44462</c:v>
                </c:pt>
                <c:pt idx="640">
                  <c:v>44461</c:v>
                </c:pt>
                <c:pt idx="641">
                  <c:v>44460</c:v>
                </c:pt>
                <c:pt idx="642">
                  <c:v>44459</c:v>
                </c:pt>
                <c:pt idx="643">
                  <c:v>44456</c:v>
                </c:pt>
                <c:pt idx="644">
                  <c:v>44455</c:v>
                </c:pt>
                <c:pt idx="645">
                  <c:v>44454</c:v>
                </c:pt>
                <c:pt idx="646">
                  <c:v>44453</c:v>
                </c:pt>
                <c:pt idx="647">
                  <c:v>44452</c:v>
                </c:pt>
                <c:pt idx="648">
                  <c:v>44449</c:v>
                </c:pt>
                <c:pt idx="649">
                  <c:v>44448</c:v>
                </c:pt>
                <c:pt idx="650">
                  <c:v>44447</c:v>
                </c:pt>
                <c:pt idx="651">
                  <c:v>44446</c:v>
                </c:pt>
                <c:pt idx="652">
                  <c:v>44445</c:v>
                </c:pt>
                <c:pt idx="653">
                  <c:v>44442</c:v>
                </c:pt>
                <c:pt idx="654">
                  <c:v>44441</c:v>
                </c:pt>
                <c:pt idx="655">
                  <c:v>44440</c:v>
                </c:pt>
                <c:pt idx="656">
                  <c:v>44439</c:v>
                </c:pt>
                <c:pt idx="657">
                  <c:v>44438</c:v>
                </c:pt>
                <c:pt idx="658">
                  <c:v>44435</c:v>
                </c:pt>
                <c:pt idx="659">
                  <c:v>44434</c:v>
                </c:pt>
                <c:pt idx="660">
                  <c:v>44433</c:v>
                </c:pt>
                <c:pt idx="661">
                  <c:v>44432</c:v>
                </c:pt>
                <c:pt idx="662">
                  <c:v>44431</c:v>
                </c:pt>
                <c:pt idx="663">
                  <c:v>44427</c:v>
                </c:pt>
                <c:pt idx="664">
                  <c:v>44426</c:v>
                </c:pt>
                <c:pt idx="665">
                  <c:v>44425</c:v>
                </c:pt>
                <c:pt idx="666">
                  <c:v>44424</c:v>
                </c:pt>
                <c:pt idx="667">
                  <c:v>44421</c:v>
                </c:pt>
                <c:pt idx="668">
                  <c:v>44420</c:v>
                </c:pt>
                <c:pt idx="669">
                  <c:v>44419</c:v>
                </c:pt>
                <c:pt idx="670">
                  <c:v>44418</c:v>
                </c:pt>
                <c:pt idx="671">
                  <c:v>44417</c:v>
                </c:pt>
                <c:pt idx="672">
                  <c:v>44414</c:v>
                </c:pt>
                <c:pt idx="673">
                  <c:v>44413</c:v>
                </c:pt>
                <c:pt idx="674">
                  <c:v>44412</c:v>
                </c:pt>
                <c:pt idx="675">
                  <c:v>44411</c:v>
                </c:pt>
                <c:pt idx="676">
                  <c:v>44410</c:v>
                </c:pt>
                <c:pt idx="677">
                  <c:v>44407</c:v>
                </c:pt>
                <c:pt idx="678">
                  <c:v>44406</c:v>
                </c:pt>
                <c:pt idx="679">
                  <c:v>44405</c:v>
                </c:pt>
                <c:pt idx="680">
                  <c:v>44404</c:v>
                </c:pt>
                <c:pt idx="681">
                  <c:v>44403</c:v>
                </c:pt>
                <c:pt idx="682">
                  <c:v>44400</c:v>
                </c:pt>
                <c:pt idx="683">
                  <c:v>44399</c:v>
                </c:pt>
                <c:pt idx="684">
                  <c:v>44398</c:v>
                </c:pt>
                <c:pt idx="685">
                  <c:v>44397</c:v>
                </c:pt>
                <c:pt idx="686">
                  <c:v>44396</c:v>
                </c:pt>
                <c:pt idx="687">
                  <c:v>44393</c:v>
                </c:pt>
                <c:pt idx="688">
                  <c:v>44392</c:v>
                </c:pt>
                <c:pt idx="689">
                  <c:v>44391</c:v>
                </c:pt>
                <c:pt idx="690">
                  <c:v>44390</c:v>
                </c:pt>
                <c:pt idx="691">
                  <c:v>44389</c:v>
                </c:pt>
                <c:pt idx="692">
                  <c:v>44386</c:v>
                </c:pt>
                <c:pt idx="693">
                  <c:v>44385</c:v>
                </c:pt>
                <c:pt idx="694">
                  <c:v>44384</c:v>
                </c:pt>
                <c:pt idx="695">
                  <c:v>44383</c:v>
                </c:pt>
                <c:pt idx="696">
                  <c:v>44382</c:v>
                </c:pt>
                <c:pt idx="697">
                  <c:v>44379</c:v>
                </c:pt>
                <c:pt idx="698">
                  <c:v>44378</c:v>
                </c:pt>
                <c:pt idx="699">
                  <c:v>44377</c:v>
                </c:pt>
                <c:pt idx="700">
                  <c:v>44376</c:v>
                </c:pt>
                <c:pt idx="701">
                  <c:v>44375</c:v>
                </c:pt>
                <c:pt idx="702">
                  <c:v>44372</c:v>
                </c:pt>
                <c:pt idx="703">
                  <c:v>44371</c:v>
                </c:pt>
                <c:pt idx="704">
                  <c:v>44370</c:v>
                </c:pt>
                <c:pt idx="705">
                  <c:v>44369</c:v>
                </c:pt>
                <c:pt idx="706">
                  <c:v>44368</c:v>
                </c:pt>
                <c:pt idx="707">
                  <c:v>44365</c:v>
                </c:pt>
                <c:pt idx="708">
                  <c:v>44364</c:v>
                </c:pt>
                <c:pt idx="709">
                  <c:v>44363</c:v>
                </c:pt>
                <c:pt idx="710">
                  <c:v>44362</c:v>
                </c:pt>
                <c:pt idx="711">
                  <c:v>44361</c:v>
                </c:pt>
                <c:pt idx="712">
                  <c:v>44358</c:v>
                </c:pt>
                <c:pt idx="713">
                  <c:v>44357</c:v>
                </c:pt>
                <c:pt idx="714">
                  <c:v>44356</c:v>
                </c:pt>
                <c:pt idx="715">
                  <c:v>44355</c:v>
                </c:pt>
                <c:pt idx="716">
                  <c:v>44354</c:v>
                </c:pt>
                <c:pt idx="717">
                  <c:v>44351</c:v>
                </c:pt>
                <c:pt idx="718">
                  <c:v>44350</c:v>
                </c:pt>
                <c:pt idx="719">
                  <c:v>44349</c:v>
                </c:pt>
                <c:pt idx="720">
                  <c:v>44348</c:v>
                </c:pt>
                <c:pt idx="721">
                  <c:v>44347</c:v>
                </c:pt>
                <c:pt idx="722">
                  <c:v>44344</c:v>
                </c:pt>
                <c:pt idx="723">
                  <c:v>44343</c:v>
                </c:pt>
                <c:pt idx="724">
                  <c:v>44342</c:v>
                </c:pt>
                <c:pt idx="725">
                  <c:v>44341</c:v>
                </c:pt>
                <c:pt idx="726">
                  <c:v>44337</c:v>
                </c:pt>
                <c:pt idx="727">
                  <c:v>44336</c:v>
                </c:pt>
                <c:pt idx="728">
                  <c:v>44335</c:v>
                </c:pt>
                <c:pt idx="729">
                  <c:v>44334</c:v>
                </c:pt>
                <c:pt idx="730">
                  <c:v>44333</c:v>
                </c:pt>
                <c:pt idx="731">
                  <c:v>44330</c:v>
                </c:pt>
                <c:pt idx="732">
                  <c:v>44329</c:v>
                </c:pt>
                <c:pt idx="733">
                  <c:v>44328</c:v>
                </c:pt>
                <c:pt idx="734">
                  <c:v>44327</c:v>
                </c:pt>
                <c:pt idx="735">
                  <c:v>44326</c:v>
                </c:pt>
                <c:pt idx="736">
                  <c:v>44323</c:v>
                </c:pt>
                <c:pt idx="737">
                  <c:v>44322</c:v>
                </c:pt>
                <c:pt idx="738">
                  <c:v>44321</c:v>
                </c:pt>
                <c:pt idx="739">
                  <c:v>44320</c:v>
                </c:pt>
                <c:pt idx="740">
                  <c:v>44319</c:v>
                </c:pt>
                <c:pt idx="741">
                  <c:v>44316</c:v>
                </c:pt>
                <c:pt idx="742">
                  <c:v>44315</c:v>
                </c:pt>
                <c:pt idx="743">
                  <c:v>44314</c:v>
                </c:pt>
                <c:pt idx="744">
                  <c:v>44313</c:v>
                </c:pt>
                <c:pt idx="745">
                  <c:v>44312</c:v>
                </c:pt>
                <c:pt idx="746">
                  <c:v>44309</c:v>
                </c:pt>
                <c:pt idx="747">
                  <c:v>44308</c:v>
                </c:pt>
                <c:pt idx="748">
                  <c:v>44307</c:v>
                </c:pt>
                <c:pt idx="749">
                  <c:v>44306</c:v>
                </c:pt>
                <c:pt idx="750">
                  <c:v>44305</c:v>
                </c:pt>
                <c:pt idx="751">
                  <c:v>44302</c:v>
                </c:pt>
                <c:pt idx="752">
                  <c:v>44301</c:v>
                </c:pt>
                <c:pt idx="753">
                  <c:v>44300</c:v>
                </c:pt>
                <c:pt idx="754">
                  <c:v>44299</c:v>
                </c:pt>
                <c:pt idx="755">
                  <c:v>44298</c:v>
                </c:pt>
                <c:pt idx="756">
                  <c:v>44295</c:v>
                </c:pt>
                <c:pt idx="757">
                  <c:v>44294</c:v>
                </c:pt>
                <c:pt idx="758">
                  <c:v>44293</c:v>
                </c:pt>
                <c:pt idx="759">
                  <c:v>44292</c:v>
                </c:pt>
                <c:pt idx="760">
                  <c:v>44287</c:v>
                </c:pt>
                <c:pt idx="761">
                  <c:v>44286</c:v>
                </c:pt>
                <c:pt idx="762">
                  <c:v>44285</c:v>
                </c:pt>
                <c:pt idx="763">
                  <c:v>44284</c:v>
                </c:pt>
                <c:pt idx="764">
                  <c:v>44281</c:v>
                </c:pt>
                <c:pt idx="765">
                  <c:v>44280</c:v>
                </c:pt>
                <c:pt idx="766">
                  <c:v>44279</c:v>
                </c:pt>
                <c:pt idx="767">
                  <c:v>44278</c:v>
                </c:pt>
                <c:pt idx="768">
                  <c:v>44277</c:v>
                </c:pt>
                <c:pt idx="769">
                  <c:v>44274</c:v>
                </c:pt>
                <c:pt idx="770">
                  <c:v>44273</c:v>
                </c:pt>
                <c:pt idx="771">
                  <c:v>44272</c:v>
                </c:pt>
                <c:pt idx="772">
                  <c:v>44271</c:v>
                </c:pt>
                <c:pt idx="773">
                  <c:v>44267</c:v>
                </c:pt>
                <c:pt idx="774">
                  <c:v>44266</c:v>
                </c:pt>
                <c:pt idx="775">
                  <c:v>44265</c:v>
                </c:pt>
                <c:pt idx="776">
                  <c:v>44264</c:v>
                </c:pt>
                <c:pt idx="777">
                  <c:v>44263</c:v>
                </c:pt>
                <c:pt idx="778">
                  <c:v>44260</c:v>
                </c:pt>
                <c:pt idx="779">
                  <c:v>44259</c:v>
                </c:pt>
                <c:pt idx="780">
                  <c:v>44258</c:v>
                </c:pt>
                <c:pt idx="781">
                  <c:v>44257</c:v>
                </c:pt>
                <c:pt idx="782">
                  <c:v>44256</c:v>
                </c:pt>
                <c:pt idx="783">
                  <c:v>44253</c:v>
                </c:pt>
                <c:pt idx="784">
                  <c:v>44252</c:v>
                </c:pt>
                <c:pt idx="785">
                  <c:v>44251</c:v>
                </c:pt>
                <c:pt idx="786">
                  <c:v>44250</c:v>
                </c:pt>
                <c:pt idx="787">
                  <c:v>44249</c:v>
                </c:pt>
                <c:pt idx="788">
                  <c:v>44246</c:v>
                </c:pt>
                <c:pt idx="789">
                  <c:v>44245</c:v>
                </c:pt>
                <c:pt idx="790">
                  <c:v>44244</c:v>
                </c:pt>
                <c:pt idx="791">
                  <c:v>44243</c:v>
                </c:pt>
                <c:pt idx="792">
                  <c:v>44242</c:v>
                </c:pt>
                <c:pt idx="793">
                  <c:v>44239</c:v>
                </c:pt>
                <c:pt idx="794">
                  <c:v>44238</c:v>
                </c:pt>
                <c:pt idx="795">
                  <c:v>44237</c:v>
                </c:pt>
                <c:pt idx="796">
                  <c:v>44236</c:v>
                </c:pt>
                <c:pt idx="797">
                  <c:v>44235</c:v>
                </c:pt>
                <c:pt idx="798">
                  <c:v>44232</c:v>
                </c:pt>
                <c:pt idx="799">
                  <c:v>44231</c:v>
                </c:pt>
                <c:pt idx="800">
                  <c:v>44230</c:v>
                </c:pt>
                <c:pt idx="801">
                  <c:v>44229</c:v>
                </c:pt>
                <c:pt idx="802">
                  <c:v>44228</c:v>
                </c:pt>
                <c:pt idx="803">
                  <c:v>44225</c:v>
                </c:pt>
                <c:pt idx="804">
                  <c:v>44224</c:v>
                </c:pt>
                <c:pt idx="805">
                  <c:v>44223</c:v>
                </c:pt>
                <c:pt idx="806">
                  <c:v>44222</c:v>
                </c:pt>
                <c:pt idx="807">
                  <c:v>44221</c:v>
                </c:pt>
                <c:pt idx="808">
                  <c:v>44218</c:v>
                </c:pt>
                <c:pt idx="809">
                  <c:v>44217</c:v>
                </c:pt>
                <c:pt idx="810">
                  <c:v>44216</c:v>
                </c:pt>
                <c:pt idx="811">
                  <c:v>44215</c:v>
                </c:pt>
                <c:pt idx="812">
                  <c:v>44214</c:v>
                </c:pt>
                <c:pt idx="813">
                  <c:v>44211</c:v>
                </c:pt>
                <c:pt idx="814">
                  <c:v>44210</c:v>
                </c:pt>
                <c:pt idx="815">
                  <c:v>44209</c:v>
                </c:pt>
                <c:pt idx="816">
                  <c:v>44208</c:v>
                </c:pt>
                <c:pt idx="817">
                  <c:v>44207</c:v>
                </c:pt>
                <c:pt idx="818">
                  <c:v>44204</c:v>
                </c:pt>
                <c:pt idx="819">
                  <c:v>44203</c:v>
                </c:pt>
                <c:pt idx="820">
                  <c:v>44202</c:v>
                </c:pt>
                <c:pt idx="821">
                  <c:v>44201</c:v>
                </c:pt>
                <c:pt idx="822">
                  <c:v>44200</c:v>
                </c:pt>
                <c:pt idx="823">
                  <c:v>44195</c:v>
                </c:pt>
                <c:pt idx="824">
                  <c:v>44194</c:v>
                </c:pt>
                <c:pt idx="825">
                  <c:v>44193</c:v>
                </c:pt>
                <c:pt idx="826">
                  <c:v>44188</c:v>
                </c:pt>
                <c:pt idx="827">
                  <c:v>44187</c:v>
                </c:pt>
                <c:pt idx="828">
                  <c:v>44186</c:v>
                </c:pt>
                <c:pt idx="829">
                  <c:v>44183</c:v>
                </c:pt>
                <c:pt idx="830">
                  <c:v>44182</c:v>
                </c:pt>
                <c:pt idx="831">
                  <c:v>44181</c:v>
                </c:pt>
                <c:pt idx="832">
                  <c:v>44180</c:v>
                </c:pt>
                <c:pt idx="833">
                  <c:v>44179</c:v>
                </c:pt>
                <c:pt idx="834">
                  <c:v>44176</c:v>
                </c:pt>
                <c:pt idx="835">
                  <c:v>44175</c:v>
                </c:pt>
                <c:pt idx="836">
                  <c:v>44174</c:v>
                </c:pt>
                <c:pt idx="837">
                  <c:v>44173</c:v>
                </c:pt>
                <c:pt idx="838">
                  <c:v>44172</c:v>
                </c:pt>
                <c:pt idx="839">
                  <c:v>44169</c:v>
                </c:pt>
                <c:pt idx="840">
                  <c:v>44168</c:v>
                </c:pt>
                <c:pt idx="841">
                  <c:v>44167</c:v>
                </c:pt>
                <c:pt idx="842">
                  <c:v>44166</c:v>
                </c:pt>
                <c:pt idx="843">
                  <c:v>44165</c:v>
                </c:pt>
                <c:pt idx="844">
                  <c:v>44162</c:v>
                </c:pt>
                <c:pt idx="845">
                  <c:v>44161</c:v>
                </c:pt>
                <c:pt idx="846">
                  <c:v>44160</c:v>
                </c:pt>
                <c:pt idx="847">
                  <c:v>44159</c:v>
                </c:pt>
                <c:pt idx="848">
                  <c:v>44158</c:v>
                </c:pt>
                <c:pt idx="849">
                  <c:v>44155</c:v>
                </c:pt>
                <c:pt idx="850">
                  <c:v>44154</c:v>
                </c:pt>
                <c:pt idx="851">
                  <c:v>44153</c:v>
                </c:pt>
                <c:pt idx="852">
                  <c:v>44152</c:v>
                </c:pt>
                <c:pt idx="853">
                  <c:v>44151</c:v>
                </c:pt>
                <c:pt idx="854">
                  <c:v>44148</c:v>
                </c:pt>
                <c:pt idx="855">
                  <c:v>44147</c:v>
                </c:pt>
                <c:pt idx="856">
                  <c:v>44146</c:v>
                </c:pt>
                <c:pt idx="857">
                  <c:v>44145</c:v>
                </c:pt>
                <c:pt idx="858">
                  <c:v>44144</c:v>
                </c:pt>
                <c:pt idx="859">
                  <c:v>44141</c:v>
                </c:pt>
                <c:pt idx="860">
                  <c:v>44140</c:v>
                </c:pt>
                <c:pt idx="861">
                  <c:v>44139</c:v>
                </c:pt>
                <c:pt idx="862">
                  <c:v>44138</c:v>
                </c:pt>
                <c:pt idx="863">
                  <c:v>44137</c:v>
                </c:pt>
                <c:pt idx="864">
                  <c:v>44134</c:v>
                </c:pt>
                <c:pt idx="865">
                  <c:v>44133</c:v>
                </c:pt>
                <c:pt idx="866">
                  <c:v>44132</c:v>
                </c:pt>
                <c:pt idx="867">
                  <c:v>44131</c:v>
                </c:pt>
                <c:pt idx="868">
                  <c:v>44130</c:v>
                </c:pt>
                <c:pt idx="869">
                  <c:v>44126</c:v>
                </c:pt>
                <c:pt idx="870">
                  <c:v>44125</c:v>
                </c:pt>
                <c:pt idx="871">
                  <c:v>44124</c:v>
                </c:pt>
                <c:pt idx="872">
                  <c:v>44123</c:v>
                </c:pt>
                <c:pt idx="873">
                  <c:v>44120</c:v>
                </c:pt>
                <c:pt idx="874">
                  <c:v>44119</c:v>
                </c:pt>
                <c:pt idx="875">
                  <c:v>44118</c:v>
                </c:pt>
                <c:pt idx="876">
                  <c:v>44117</c:v>
                </c:pt>
                <c:pt idx="877">
                  <c:v>44116</c:v>
                </c:pt>
                <c:pt idx="878">
                  <c:v>44113</c:v>
                </c:pt>
                <c:pt idx="879">
                  <c:v>44112</c:v>
                </c:pt>
                <c:pt idx="880">
                  <c:v>44111</c:v>
                </c:pt>
                <c:pt idx="881">
                  <c:v>44110</c:v>
                </c:pt>
                <c:pt idx="882">
                  <c:v>44109</c:v>
                </c:pt>
                <c:pt idx="883">
                  <c:v>44106</c:v>
                </c:pt>
                <c:pt idx="884">
                  <c:v>44105</c:v>
                </c:pt>
                <c:pt idx="885">
                  <c:v>44104</c:v>
                </c:pt>
                <c:pt idx="886">
                  <c:v>44103</c:v>
                </c:pt>
                <c:pt idx="887">
                  <c:v>44102</c:v>
                </c:pt>
                <c:pt idx="888">
                  <c:v>44099</c:v>
                </c:pt>
                <c:pt idx="889">
                  <c:v>44098</c:v>
                </c:pt>
                <c:pt idx="890">
                  <c:v>44097</c:v>
                </c:pt>
                <c:pt idx="891">
                  <c:v>44096</c:v>
                </c:pt>
                <c:pt idx="892">
                  <c:v>44095</c:v>
                </c:pt>
                <c:pt idx="893">
                  <c:v>44092</c:v>
                </c:pt>
                <c:pt idx="894">
                  <c:v>44091</c:v>
                </c:pt>
                <c:pt idx="895">
                  <c:v>44090</c:v>
                </c:pt>
                <c:pt idx="896">
                  <c:v>44089</c:v>
                </c:pt>
                <c:pt idx="897">
                  <c:v>44088</c:v>
                </c:pt>
                <c:pt idx="898">
                  <c:v>44085</c:v>
                </c:pt>
                <c:pt idx="899">
                  <c:v>44084</c:v>
                </c:pt>
                <c:pt idx="900">
                  <c:v>44083</c:v>
                </c:pt>
                <c:pt idx="901">
                  <c:v>44082</c:v>
                </c:pt>
                <c:pt idx="902">
                  <c:v>44081</c:v>
                </c:pt>
                <c:pt idx="903">
                  <c:v>44078</c:v>
                </c:pt>
                <c:pt idx="904">
                  <c:v>44077</c:v>
                </c:pt>
                <c:pt idx="905">
                  <c:v>44076</c:v>
                </c:pt>
                <c:pt idx="906">
                  <c:v>44075</c:v>
                </c:pt>
                <c:pt idx="907">
                  <c:v>44074</c:v>
                </c:pt>
                <c:pt idx="908">
                  <c:v>44071</c:v>
                </c:pt>
                <c:pt idx="909">
                  <c:v>44070</c:v>
                </c:pt>
                <c:pt idx="910">
                  <c:v>44069</c:v>
                </c:pt>
                <c:pt idx="911">
                  <c:v>44068</c:v>
                </c:pt>
                <c:pt idx="912">
                  <c:v>44067</c:v>
                </c:pt>
                <c:pt idx="913">
                  <c:v>44062</c:v>
                </c:pt>
                <c:pt idx="914">
                  <c:v>44061</c:v>
                </c:pt>
                <c:pt idx="915">
                  <c:v>44060</c:v>
                </c:pt>
                <c:pt idx="916">
                  <c:v>44057</c:v>
                </c:pt>
                <c:pt idx="917">
                  <c:v>44056</c:v>
                </c:pt>
                <c:pt idx="918">
                  <c:v>44055</c:v>
                </c:pt>
                <c:pt idx="919">
                  <c:v>44054</c:v>
                </c:pt>
                <c:pt idx="920">
                  <c:v>44053</c:v>
                </c:pt>
                <c:pt idx="921">
                  <c:v>44050</c:v>
                </c:pt>
                <c:pt idx="922">
                  <c:v>44049</c:v>
                </c:pt>
                <c:pt idx="923">
                  <c:v>44048</c:v>
                </c:pt>
                <c:pt idx="924">
                  <c:v>44047</c:v>
                </c:pt>
                <c:pt idx="925">
                  <c:v>44046</c:v>
                </c:pt>
                <c:pt idx="926">
                  <c:v>44043</c:v>
                </c:pt>
                <c:pt idx="927">
                  <c:v>44042</c:v>
                </c:pt>
                <c:pt idx="928">
                  <c:v>44041</c:v>
                </c:pt>
                <c:pt idx="929">
                  <c:v>44040</c:v>
                </c:pt>
                <c:pt idx="930">
                  <c:v>44039</c:v>
                </c:pt>
                <c:pt idx="931">
                  <c:v>44036</c:v>
                </c:pt>
                <c:pt idx="932">
                  <c:v>44035</c:v>
                </c:pt>
                <c:pt idx="933">
                  <c:v>44034</c:v>
                </c:pt>
                <c:pt idx="934">
                  <c:v>44033</c:v>
                </c:pt>
                <c:pt idx="935">
                  <c:v>44032</c:v>
                </c:pt>
                <c:pt idx="936">
                  <c:v>44029</c:v>
                </c:pt>
                <c:pt idx="937">
                  <c:v>44028</c:v>
                </c:pt>
                <c:pt idx="938">
                  <c:v>44027</c:v>
                </c:pt>
                <c:pt idx="939">
                  <c:v>44026</c:v>
                </c:pt>
                <c:pt idx="940">
                  <c:v>44025</c:v>
                </c:pt>
                <c:pt idx="941">
                  <c:v>44022</c:v>
                </c:pt>
                <c:pt idx="942">
                  <c:v>44021</c:v>
                </c:pt>
                <c:pt idx="943">
                  <c:v>44020</c:v>
                </c:pt>
                <c:pt idx="944">
                  <c:v>44019</c:v>
                </c:pt>
                <c:pt idx="945">
                  <c:v>44018</c:v>
                </c:pt>
                <c:pt idx="946">
                  <c:v>44015</c:v>
                </c:pt>
                <c:pt idx="947">
                  <c:v>44014</c:v>
                </c:pt>
                <c:pt idx="948">
                  <c:v>44013</c:v>
                </c:pt>
                <c:pt idx="949">
                  <c:v>44012</c:v>
                </c:pt>
                <c:pt idx="950">
                  <c:v>44011</c:v>
                </c:pt>
                <c:pt idx="951">
                  <c:v>44008</c:v>
                </c:pt>
                <c:pt idx="952">
                  <c:v>44007</c:v>
                </c:pt>
                <c:pt idx="953">
                  <c:v>44006</c:v>
                </c:pt>
                <c:pt idx="954">
                  <c:v>44005</c:v>
                </c:pt>
                <c:pt idx="955">
                  <c:v>44004</c:v>
                </c:pt>
                <c:pt idx="956">
                  <c:v>44001</c:v>
                </c:pt>
                <c:pt idx="957">
                  <c:v>44000</c:v>
                </c:pt>
                <c:pt idx="958">
                  <c:v>43999</c:v>
                </c:pt>
                <c:pt idx="959">
                  <c:v>43998</c:v>
                </c:pt>
                <c:pt idx="960">
                  <c:v>43997</c:v>
                </c:pt>
                <c:pt idx="961">
                  <c:v>43994</c:v>
                </c:pt>
                <c:pt idx="962">
                  <c:v>43993</c:v>
                </c:pt>
                <c:pt idx="963">
                  <c:v>43992</c:v>
                </c:pt>
                <c:pt idx="964">
                  <c:v>43991</c:v>
                </c:pt>
                <c:pt idx="965">
                  <c:v>43990</c:v>
                </c:pt>
                <c:pt idx="966">
                  <c:v>43987</c:v>
                </c:pt>
                <c:pt idx="967">
                  <c:v>43986</c:v>
                </c:pt>
                <c:pt idx="968">
                  <c:v>43985</c:v>
                </c:pt>
                <c:pt idx="969">
                  <c:v>43984</c:v>
                </c:pt>
                <c:pt idx="970">
                  <c:v>43980</c:v>
                </c:pt>
                <c:pt idx="971">
                  <c:v>43979</c:v>
                </c:pt>
                <c:pt idx="972">
                  <c:v>43978</c:v>
                </c:pt>
                <c:pt idx="973">
                  <c:v>43977</c:v>
                </c:pt>
                <c:pt idx="974">
                  <c:v>43976</c:v>
                </c:pt>
                <c:pt idx="975">
                  <c:v>43973</c:v>
                </c:pt>
                <c:pt idx="976">
                  <c:v>43972</c:v>
                </c:pt>
                <c:pt idx="977">
                  <c:v>43971</c:v>
                </c:pt>
                <c:pt idx="978">
                  <c:v>43970</c:v>
                </c:pt>
                <c:pt idx="979">
                  <c:v>43969</c:v>
                </c:pt>
                <c:pt idx="980">
                  <c:v>43966</c:v>
                </c:pt>
                <c:pt idx="981">
                  <c:v>43965</c:v>
                </c:pt>
                <c:pt idx="982">
                  <c:v>43964</c:v>
                </c:pt>
                <c:pt idx="983">
                  <c:v>43963</c:v>
                </c:pt>
                <c:pt idx="984">
                  <c:v>43962</c:v>
                </c:pt>
                <c:pt idx="985">
                  <c:v>43959</c:v>
                </c:pt>
                <c:pt idx="986">
                  <c:v>43958</c:v>
                </c:pt>
                <c:pt idx="987">
                  <c:v>43957</c:v>
                </c:pt>
                <c:pt idx="988">
                  <c:v>43956</c:v>
                </c:pt>
                <c:pt idx="989">
                  <c:v>43955</c:v>
                </c:pt>
                <c:pt idx="990">
                  <c:v>43951</c:v>
                </c:pt>
                <c:pt idx="991">
                  <c:v>43950</c:v>
                </c:pt>
                <c:pt idx="992">
                  <c:v>43949</c:v>
                </c:pt>
                <c:pt idx="993">
                  <c:v>43948</c:v>
                </c:pt>
                <c:pt idx="994">
                  <c:v>43945</c:v>
                </c:pt>
                <c:pt idx="995">
                  <c:v>43944</c:v>
                </c:pt>
                <c:pt idx="996">
                  <c:v>43943</c:v>
                </c:pt>
                <c:pt idx="997">
                  <c:v>43942</c:v>
                </c:pt>
                <c:pt idx="998">
                  <c:v>43941</c:v>
                </c:pt>
                <c:pt idx="999">
                  <c:v>43938</c:v>
                </c:pt>
                <c:pt idx="1000">
                  <c:v>43937</c:v>
                </c:pt>
                <c:pt idx="1001">
                  <c:v>43936</c:v>
                </c:pt>
                <c:pt idx="1002">
                  <c:v>43935</c:v>
                </c:pt>
                <c:pt idx="1003">
                  <c:v>43930</c:v>
                </c:pt>
                <c:pt idx="1004">
                  <c:v>43929</c:v>
                </c:pt>
                <c:pt idx="1005">
                  <c:v>43928</c:v>
                </c:pt>
                <c:pt idx="1006">
                  <c:v>43927</c:v>
                </c:pt>
                <c:pt idx="1007">
                  <c:v>43924</c:v>
                </c:pt>
                <c:pt idx="1008">
                  <c:v>43923</c:v>
                </c:pt>
                <c:pt idx="1009">
                  <c:v>43922</c:v>
                </c:pt>
                <c:pt idx="1010">
                  <c:v>43921</c:v>
                </c:pt>
                <c:pt idx="1011">
                  <c:v>43920</c:v>
                </c:pt>
                <c:pt idx="1012">
                  <c:v>43917</c:v>
                </c:pt>
                <c:pt idx="1013">
                  <c:v>43916</c:v>
                </c:pt>
                <c:pt idx="1014">
                  <c:v>43915</c:v>
                </c:pt>
                <c:pt idx="1015">
                  <c:v>43914</c:v>
                </c:pt>
                <c:pt idx="1016">
                  <c:v>43913</c:v>
                </c:pt>
                <c:pt idx="1017">
                  <c:v>43910</c:v>
                </c:pt>
                <c:pt idx="1018">
                  <c:v>43909</c:v>
                </c:pt>
                <c:pt idx="1019">
                  <c:v>43908</c:v>
                </c:pt>
                <c:pt idx="1020">
                  <c:v>43907</c:v>
                </c:pt>
                <c:pt idx="1021">
                  <c:v>43906</c:v>
                </c:pt>
                <c:pt idx="1022">
                  <c:v>43903</c:v>
                </c:pt>
                <c:pt idx="1023">
                  <c:v>43902</c:v>
                </c:pt>
                <c:pt idx="1024">
                  <c:v>43901</c:v>
                </c:pt>
                <c:pt idx="1025">
                  <c:v>43900</c:v>
                </c:pt>
                <c:pt idx="1026">
                  <c:v>43899</c:v>
                </c:pt>
                <c:pt idx="1027">
                  <c:v>43896</c:v>
                </c:pt>
                <c:pt idx="1028">
                  <c:v>43895</c:v>
                </c:pt>
                <c:pt idx="1029">
                  <c:v>43894</c:v>
                </c:pt>
                <c:pt idx="1030">
                  <c:v>43893</c:v>
                </c:pt>
                <c:pt idx="1031">
                  <c:v>43892</c:v>
                </c:pt>
                <c:pt idx="1032">
                  <c:v>43889</c:v>
                </c:pt>
                <c:pt idx="1033">
                  <c:v>43888</c:v>
                </c:pt>
                <c:pt idx="1034">
                  <c:v>43887</c:v>
                </c:pt>
                <c:pt idx="1035">
                  <c:v>43886</c:v>
                </c:pt>
                <c:pt idx="1036">
                  <c:v>43885</c:v>
                </c:pt>
                <c:pt idx="1037">
                  <c:v>43882</c:v>
                </c:pt>
                <c:pt idx="1038">
                  <c:v>43881</c:v>
                </c:pt>
                <c:pt idx="1039">
                  <c:v>43880</c:v>
                </c:pt>
                <c:pt idx="1040">
                  <c:v>43879</c:v>
                </c:pt>
                <c:pt idx="1041">
                  <c:v>43878</c:v>
                </c:pt>
                <c:pt idx="1042">
                  <c:v>43875</c:v>
                </c:pt>
                <c:pt idx="1043">
                  <c:v>43874</c:v>
                </c:pt>
                <c:pt idx="1044">
                  <c:v>43873</c:v>
                </c:pt>
                <c:pt idx="1045">
                  <c:v>43872</c:v>
                </c:pt>
                <c:pt idx="1046">
                  <c:v>43871</c:v>
                </c:pt>
                <c:pt idx="1047">
                  <c:v>43868</c:v>
                </c:pt>
                <c:pt idx="1048">
                  <c:v>43867</c:v>
                </c:pt>
                <c:pt idx="1049">
                  <c:v>43866</c:v>
                </c:pt>
                <c:pt idx="1050">
                  <c:v>43865</c:v>
                </c:pt>
                <c:pt idx="1051">
                  <c:v>43864</c:v>
                </c:pt>
                <c:pt idx="1052">
                  <c:v>43861</c:v>
                </c:pt>
                <c:pt idx="1053">
                  <c:v>43860</c:v>
                </c:pt>
                <c:pt idx="1054">
                  <c:v>43859</c:v>
                </c:pt>
                <c:pt idx="1055">
                  <c:v>43858</c:v>
                </c:pt>
                <c:pt idx="1056">
                  <c:v>43857</c:v>
                </c:pt>
                <c:pt idx="1057">
                  <c:v>43854</c:v>
                </c:pt>
                <c:pt idx="1058">
                  <c:v>43853</c:v>
                </c:pt>
                <c:pt idx="1059">
                  <c:v>43852</c:v>
                </c:pt>
                <c:pt idx="1060">
                  <c:v>43851</c:v>
                </c:pt>
                <c:pt idx="1061">
                  <c:v>43850</c:v>
                </c:pt>
                <c:pt idx="1062">
                  <c:v>43847</c:v>
                </c:pt>
                <c:pt idx="1063">
                  <c:v>43846</c:v>
                </c:pt>
                <c:pt idx="1064">
                  <c:v>43845</c:v>
                </c:pt>
                <c:pt idx="1065">
                  <c:v>43844</c:v>
                </c:pt>
                <c:pt idx="1066">
                  <c:v>43843</c:v>
                </c:pt>
                <c:pt idx="1067">
                  <c:v>43840</c:v>
                </c:pt>
                <c:pt idx="1068">
                  <c:v>43839</c:v>
                </c:pt>
                <c:pt idx="1069">
                  <c:v>43838</c:v>
                </c:pt>
                <c:pt idx="1070">
                  <c:v>43837</c:v>
                </c:pt>
                <c:pt idx="1071">
                  <c:v>43836</c:v>
                </c:pt>
                <c:pt idx="1072">
                  <c:v>43833</c:v>
                </c:pt>
                <c:pt idx="1073">
                  <c:v>43832</c:v>
                </c:pt>
                <c:pt idx="1074">
                  <c:v>43829</c:v>
                </c:pt>
                <c:pt idx="1075">
                  <c:v>43822</c:v>
                </c:pt>
                <c:pt idx="1076">
                  <c:v>43819</c:v>
                </c:pt>
                <c:pt idx="1077">
                  <c:v>43818</c:v>
                </c:pt>
                <c:pt idx="1078">
                  <c:v>43817</c:v>
                </c:pt>
                <c:pt idx="1079">
                  <c:v>43816</c:v>
                </c:pt>
                <c:pt idx="1080">
                  <c:v>43815</c:v>
                </c:pt>
                <c:pt idx="1081">
                  <c:v>43812</c:v>
                </c:pt>
                <c:pt idx="1082">
                  <c:v>43811</c:v>
                </c:pt>
                <c:pt idx="1083">
                  <c:v>43810</c:v>
                </c:pt>
                <c:pt idx="1084">
                  <c:v>43809</c:v>
                </c:pt>
                <c:pt idx="1085">
                  <c:v>43808</c:v>
                </c:pt>
                <c:pt idx="1086">
                  <c:v>43805</c:v>
                </c:pt>
                <c:pt idx="1087">
                  <c:v>43804</c:v>
                </c:pt>
                <c:pt idx="1088">
                  <c:v>43803</c:v>
                </c:pt>
                <c:pt idx="1089">
                  <c:v>43802</c:v>
                </c:pt>
                <c:pt idx="1090">
                  <c:v>43801</c:v>
                </c:pt>
                <c:pt idx="1091">
                  <c:v>43798</c:v>
                </c:pt>
                <c:pt idx="1092">
                  <c:v>43797</c:v>
                </c:pt>
                <c:pt idx="1093">
                  <c:v>43796</c:v>
                </c:pt>
                <c:pt idx="1094">
                  <c:v>43795</c:v>
                </c:pt>
                <c:pt idx="1095">
                  <c:v>43794</c:v>
                </c:pt>
                <c:pt idx="1096">
                  <c:v>43791</c:v>
                </c:pt>
                <c:pt idx="1097">
                  <c:v>43790</c:v>
                </c:pt>
                <c:pt idx="1098">
                  <c:v>43789</c:v>
                </c:pt>
                <c:pt idx="1099">
                  <c:v>43788</c:v>
                </c:pt>
                <c:pt idx="1100">
                  <c:v>43787</c:v>
                </c:pt>
                <c:pt idx="1101">
                  <c:v>43784</c:v>
                </c:pt>
                <c:pt idx="1102">
                  <c:v>43783</c:v>
                </c:pt>
                <c:pt idx="1103">
                  <c:v>43782</c:v>
                </c:pt>
                <c:pt idx="1104">
                  <c:v>43781</c:v>
                </c:pt>
                <c:pt idx="1105">
                  <c:v>43780</c:v>
                </c:pt>
                <c:pt idx="1106">
                  <c:v>43777</c:v>
                </c:pt>
                <c:pt idx="1107">
                  <c:v>43776</c:v>
                </c:pt>
                <c:pt idx="1108">
                  <c:v>43775</c:v>
                </c:pt>
                <c:pt idx="1109">
                  <c:v>43774</c:v>
                </c:pt>
                <c:pt idx="1110">
                  <c:v>43773</c:v>
                </c:pt>
                <c:pt idx="1111">
                  <c:v>43769</c:v>
                </c:pt>
                <c:pt idx="1112">
                  <c:v>43768</c:v>
                </c:pt>
                <c:pt idx="1113">
                  <c:v>43767</c:v>
                </c:pt>
                <c:pt idx="1114">
                  <c:v>43766</c:v>
                </c:pt>
                <c:pt idx="1115">
                  <c:v>43763</c:v>
                </c:pt>
                <c:pt idx="1116">
                  <c:v>43762</c:v>
                </c:pt>
                <c:pt idx="1117">
                  <c:v>43760</c:v>
                </c:pt>
                <c:pt idx="1118">
                  <c:v>43759</c:v>
                </c:pt>
                <c:pt idx="1119">
                  <c:v>43756</c:v>
                </c:pt>
                <c:pt idx="1120">
                  <c:v>43755</c:v>
                </c:pt>
                <c:pt idx="1121">
                  <c:v>43754</c:v>
                </c:pt>
                <c:pt idx="1122">
                  <c:v>43753</c:v>
                </c:pt>
                <c:pt idx="1123">
                  <c:v>43752</c:v>
                </c:pt>
                <c:pt idx="1124">
                  <c:v>43749</c:v>
                </c:pt>
                <c:pt idx="1125">
                  <c:v>43748</c:v>
                </c:pt>
                <c:pt idx="1126">
                  <c:v>43747</c:v>
                </c:pt>
                <c:pt idx="1127">
                  <c:v>43746</c:v>
                </c:pt>
                <c:pt idx="1128">
                  <c:v>43745</c:v>
                </c:pt>
                <c:pt idx="1129">
                  <c:v>43742</c:v>
                </c:pt>
                <c:pt idx="1130">
                  <c:v>43741</c:v>
                </c:pt>
                <c:pt idx="1131">
                  <c:v>43740</c:v>
                </c:pt>
                <c:pt idx="1132">
                  <c:v>43739</c:v>
                </c:pt>
                <c:pt idx="1133">
                  <c:v>43738</c:v>
                </c:pt>
                <c:pt idx="1134">
                  <c:v>43735</c:v>
                </c:pt>
                <c:pt idx="1135">
                  <c:v>43734</c:v>
                </c:pt>
                <c:pt idx="1136">
                  <c:v>43733</c:v>
                </c:pt>
                <c:pt idx="1137">
                  <c:v>43732</c:v>
                </c:pt>
                <c:pt idx="1138">
                  <c:v>43731</c:v>
                </c:pt>
                <c:pt idx="1139">
                  <c:v>43728</c:v>
                </c:pt>
                <c:pt idx="1140">
                  <c:v>43727</c:v>
                </c:pt>
                <c:pt idx="1141">
                  <c:v>43726</c:v>
                </c:pt>
                <c:pt idx="1142">
                  <c:v>43725</c:v>
                </c:pt>
                <c:pt idx="1143">
                  <c:v>43724</c:v>
                </c:pt>
                <c:pt idx="1144">
                  <c:v>43721</c:v>
                </c:pt>
                <c:pt idx="1145">
                  <c:v>43720</c:v>
                </c:pt>
                <c:pt idx="1146">
                  <c:v>43719</c:v>
                </c:pt>
                <c:pt idx="1147">
                  <c:v>43718</c:v>
                </c:pt>
                <c:pt idx="1148">
                  <c:v>43717</c:v>
                </c:pt>
                <c:pt idx="1149">
                  <c:v>43714</c:v>
                </c:pt>
                <c:pt idx="1150">
                  <c:v>43713</c:v>
                </c:pt>
                <c:pt idx="1151">
                  <c:v>43712</c:v>
                </c:pt>
                <c:pt idx="1152">
                  <c:v>43711</c:v>
                </c:pt>
                <c:pt idx="1153">
                  <c:v>43710</c:v>
                </c:pt>
                <c:pt idx="1154">
                  <c:v>43707</c:v>
                </c:pt>
                <c:pt idx="1155">
                  <c:v>43706</c:v>
                </c:pt>
                <c:pt idx="1156">
                  <c:v>43705</c:v>
                </c:pt>
                <c:pt idx="1157">
                  <c:v>43704</c:v>
                </c:pt>
                <c:pt idx="1158">
                  <c:v>43703</c:v>
                </c:pt>
                <c:pt idx="1159">
                  <c:v>43700</c:v>
                </c:pt>
                <c:pt idx="1160">
                  <c:v>43699</c:v>
                </c:pt>
                <c:pt idx="1161">
                  <c:v>43698</c:v>
                </c:pt>
                <c:pt idx="1162">
                  <c:v>43693</c:v>
                </c:pt>
                <c:pt idx="1163">
                  <c:v>43692</c:v>
                </c:pt>
                <c:pt idx="1164">
                  <c:v>43691</c:v>
                </c:pt>
                <c:pt idx="1165">
                  <c:v>43690</c:v>
                </c:pt>
                <c:pt idx="1166">
                  <c:v>43689</c:v>
                </c:pt>
                <c:pt idx="1167">
                  <c:v>43686</c:v>
                </c:pt>
                <c:pt idx="1168">
                  <c:v>43685</c:v>
                </c:pt>
                <c:pt idx="1169">
                  <c:v>43684</c:v>
                </c:pt>
                <c:pt idx="1170">
                  <c:v>43683</c:v>
                </c:pt>
                <c:pt idx="1171">
                  <c:v>43682</c:v>
                </c:pt>
                <c:pt idx="1172">
                  <c:v>43679</c:v>
                </c:pt>
                <c:pt idx="1173">
                  <c:v>43678</c:v>
                </c:pt>
                <c:pt idx="1174">
                  <c:v>43677</c:v>
                </c:pt>
                <c:pt idx="1175">
                  <c:v>43676</c:v>
                </c:pt>
                <c:pt idx="1176">
                  <c:v>43675</c:v>
                </c:pt>
                <c:pt idx="1177">
                  <c:v>43672</c:v>
                </c:pt>
                <c:pt idx="1178">
                  <c:v>43671</c:v>
                </c:pt>
                <c:pt idx="1179">
                  <c:v>43670</c:v>
                </c:pt>
                <c:pt idx="1180">
                  <c:v>43669</c:v>
                </c:pt>
                <c:pt idx="1181">
                  <c:v>43668</c:v>
                </c:pt>
                <c:pt idx="1182">
                  <c:v>43665</c:v>
                </c:pt>
                <c:pt idx="1183">
                  <c:v>43664</c:v>
                </c:pt>
                <c:pt idx="1184">
                  <c:v>43663</c:v>
                </c:pt>
                <c:pt idx="1185">
                  <c:v>43662</c:v>
                </c:pt>
                <c:pt idx="1186">
                  <c:v>43661</c:v>
                </c:pt>
                <c:pt idx="1187">
                  <c:v>43658</c:v>
                </c:pt>
                <c:pt idx="1188">
                  <c:v>43657</c:v>
                </c:pt>
                <c:pt idx="1189">
                  <c:v>43656</c:v>
                </c:pt>
                <c:pt idx="1190">
                  <c:v>43655</c:v>
                </c:pt>
                <c:pt idx="1191">
                  <c:v>43654</c:v>
                </c:pt>
                <c:pt idx="1192">
                  <c:v>43651</c:v>
                </c:pt>
                <c:pt idx="1193">
                  <c:v>43650</c:v>
                </c:pt>
                <c:pt idx="1194">
                  <c:v>43649</c:v>
                </c:pt>
                <c:pt idx="1195">
                  <c:v>43648</c:v>
                </c:pt>
                <c:pt idx="1196">
                  <c:v>43647</c:v>
                </c:pt>
                <c:pt idx="1197">
                  <c:v>43644</c:v>
                </c:pt>
                <c:pt idx="1198">
                  <c:v>43643</c:v>
                </c:pt>
                <c:pt idx="1199">
                  <c:v>43642</c:v>
                </c:pt>
                <c:pt idx="1200">
                  <c:v>43641</c:v>
                </c:pt>
                <c:pt idx="1201">
                  <c:v>43640</c:v>
                </c:pt>
                <c:pt idx="1202">
                  <c:v>43637</c:v>
                </c:pt>
                <c:pt idx="1203">
                  <c:v>43636</c:v>
                </c:pt>
                <c:pt idx="1204">
                  <c:v>43635</c:v>
                </c:pt>
                <c:pt idx="1205">
                  <c:v>43634</c:v>
                </c:pt>
                <c:pt idx="1206">
                  <c:v>43633</c:v>
                </c:pt>
                <c:pt idx="1207">
                  <c:v>43630</c:v>
                </c:pt>
                <c:pt idx="1208">
                  <c:v>43629</c:v>
                </c:pt>
                <c:pt idx="1209">
                  <c:v>43628</c:v>
                </c:pt>
                <c:pt idx="1210">
                  <c:v>43627</c:v>
                </c:pt>
                <c:pt idx="1211">
                  <c:v>43623</c:v>
                </c:pt>
                <c:pt idx="1212">
                  <c:v>43622</c:v>
                </c:pt>
                <c:pt idx="1213">
                  <c:v>43621</c:v>
                </c:pt>
                <c:pt idx="1214">
                  <c:v>43620</c:v>
                </c:pt>
                <c:pt idx="1215">
                  <c:v>43619</c:v>
                </c:pt>
                <c:pt idx="1216">
                  <c:v>43616</c:v>
                </c:pt>
                <c:pt idx="1217">
                  <c:v>43615</c:v>
                </c:pt>
                <c:pt idx="1218">
                  <c:v>43614</c:v>
                </c:pt>
                <c:pt idx="1219">
                  <c:v>43613</c:v>
                </c:pt>
                <c:pt idx="1220">
                  <c:v>43612</c:v>
                </c:pt>
                <c:pt idx="1221">
                  <c:v>43609</c:v>
                </c:pt>
                <c:pt idx="1222">
                  <c:v>43608</c:v>
                </c:pt>
                <c:pt idx="1223">
                  <c:v>43607</c:v>
                </c:pt>
                <c:pt idx="1224">
                  <c:v>43606</c:v>
                </c:pt>
                <c:pt idx="1225">
                  <c:v>43605</c:v>
                </c:pt>
                <c:pt idx="1226">
                  <c:v>43602</c:v>
                </c:pt>
                <c:pt idx="1227">
                  <c:v>43601</c:v>
                </c:pt>
                <c:pt idx="1228">
                  <c:v>43600</c:v>
                </c:pt>
                <c:pt idx="1229">
                  <c:v>43599</c:v>
                </c:pt>
                <c:pt idx="1230">
                  <c:v>43598</c:v>
                </c:pt>
                <c:pt idx="1231">
                  <c:v>43595</c:v>
                </c:pt>
                <c:pt idx="1232">
                  <c:v>43594</c:v>
                </c:pt>
                <c:pt idx="1233">
                  <c:v>43593</c:v>
                </c:pt>
                <c:pt idx="1234">
                  <c:v>43592</c:v>
                </c:pt>
                <c:pt idx="1235">
                  <c:v>43591</c:v>
                </c:pt>
                <c:pt idx="1236">
                  <c:v>43588</c:v>
                </c:pt>
                <c:pt idx="1237">
                  <c:v>43587</c:v>
                </c:pt>
                <c:pt idx="1238">
                  <c:v>43585</c:v>
                </c:pt>
                <c:pt idx="1239">
                  <c:v>43584</c:v>
                </c:pt>
                <c:pt idx="1240">
                  <c:v>43581</c:v>
                </c:pt>
                <c:pt idx="1241">
                  <c:v>43580</c:v>
                </c:pt>
                <c:pt idx="1242">
                  <c:v>43579</c:v>
                </c:pt>
                <c:pt idx="1243">
                  <c:v>43578</c:v>
                </c:pt>
                <c:pt idx="1244">
                  <c:v>43573</c:v>
                </c:pt>
                <c:pt idx="1245">
                  <c:v>43572</c:v>
                </c:pt>
                <c:pt idx="1246">
                  <c:v>43571</c:v>
                </c:pt>
                <c:pt idx="1247">
                  <c:v>43570</c:v>
                </c:pt>
                <c:pt idx="1248">
                  <c:v>43567</c:v>
                </c:pt>
                <c:pt idx="1249">
                  <c:v>43566</c:v>
                </c:pt>
                <c:pt idx="1250">
                  <c:v>43565</c:v>
                </c:pt>
                <c:pt idx="1251">
                  <c:v>43564</c:v>
                </c:pt>
              </c:numCache>
            </c:numRef>
          </c:cat>
          <c:val>
            <c:numRef>
              <c:f>'7'!$C$4:$C$1254</c:f>
              <c:numCache>
                <c:formatCode>0.00%</c:formatCode>
                <c:ptCount val="1251"/>
                <c:pt idx="0">
                  <c:v>-3.9215736531816913E-3</c:v>
                </c:pt>
                <c:pt idx="1">
                  <c:v>5.2321898303021065E-3</c:v>
                </c:pt>
                <c:pt idx="2">
                  <c:v>8.5611323020335865E-3</c:v>
                </c:pt>
                <c:pt idx="3">
                  <c:v>3.3123581129828744E-3</c:v>
                </c:pt>
                <c:pt idx="4">
                  <c:v>1.6728392770463365E-2</c:v>
                </c:pt>
                <c:pt idx="5">
                  <c:v>1.3504390978715467E-3</c:v>
                </c:pt>
                <c:pt idx="6">
                  <c:v>1.3605652055778678E-2</c:v>
                </c:pt>
                <c:pt idx="7">
                  <c:v>-1.3689256073417322E-3</c:v>
                </c:pt>
                <c:pt idx="8">
                  <c:v>2.0540917869382694E-3</c:v>
                </c:pt>
                <c:pt idx="9">
                  <c:v>-4.7863339238111728E-3</c:v>
                </c:pt>
                <c:pt idx="10">
                  <c:v>-2.7247973261851424E-3</c:v>
                </c:pt>
                <c:pt idx="11">
                  <c:v>-1.0152371464017962E-2</c:v>
                </c:pt>
                <c:pt idx="12">
                  <c:v>2.0222453807678706E-3</c:v>
                </c:pt>
                <c:pt idx="13">
                  <c:v>-2.6954194216723226E-3</c:v>
                </c:pt>
                <c:pt idx="14">
                  <c:v>1.4915530756447568E-2</c:v>
                </c:pt>
                <c:pt idx="15">
                  <c:v>3.4211459984711712E-3</c:v>
                </c:pt>
                <c:pt idx="16">
                  <c:v>-8.1911720786518784E-3</c:v>
                </c:pt>
                <c:pt idx="17">
                  <c:v>5.4533195813132691E-3</c:v>
                </c:pt>
                <c:pt idx="18">
                  <c:v>-4.0927751537530362E-3</c:v>
                </c:pt>
                <c:pt idx="19">
                  <c:v>-6.8050359890472621E-4</c:v>
                </c:pt>
                <c:pt idx="20">
                  <c:v>1.1632016202499162E-2</c:v>
                </c:pt>
                <c:pt idx="21">
                  <c:v>6.8846818554148454E-4</c:v>
                </c:pt>
                <c:pt idx="22">
                  <c:v>-4.8093531380442641E-3</c:v>
                </c:pt>
                <c:pt idx="23">
                  <c:v>-2.7378524973386935E-3</c:v>
                </c:pt>
                <c:pt idx="24">
                  <c:v>1.2379800473591744E-2</c:v>
                </c:pt>
                <c:pt idx="25">
                  <c:v>-3.4542348680875576E-3</c:v>
                </c:pt>
                <c:pt idx="26">
                  <c:v>2.7624326959100796E-3</c:v>
                </c:pt>
                <c:pt idx="27">
                  <c:v>-1.850001374392023E-2</c:v>
                </c:pt>
                <c:pt idx="28">
                  <c:v>4.763534016033486E-3</c:v>
                </c:pt>
                <c:pt idx="29">
                  <c:v>3.4164706958972777E-3</c:v>
                </c:pt>
                <c:pt idx="30">
                  <c:v>-9.5368570232206781E-3</c:v>
                </c:pt>
                <c:pt idx="31">
                  <c:v>5.4384906309384272E-3</c:v>
                </c:pt>
                <c:pt idx="32">
                  <c:v>-1.1521645584344046E-2</c:v>
                </c:pt>
                <c:pt idx="33">
                  <c:v>2.6990569691649835E-3</c:v>
                </c:pt>
                <c:pt idx="34">
                  <c:v>6.0996461567231781E-3</c:v>
                </c:pt>
                <c:pt idx="35">
                  <c:v>8.8768080328340011E-3</c:v>
                </c:pt>
                <c:pt idx="36">
                  <c:v>1.242251999855711E-2</c:v>
                </c:pt>
                <c:pt idx="37">
                  <c:v>-6.9204428445737952E-3</c:v>
                </c:pt>
                <c:pt idx="38">
                  <c:v>0</c:v>
                </c:pt>
                <c:pt idx="39">
                  <c:v>2.0711087831363196E-3</c:v>
                </c:pt>
                <c:pt idx="40">
                  <c:v>0</c:v>
                </c:pt>
                <c:pt idx="41">
                  <c:v>-7.5731859371195804E-3</c:v>
                </c:pt>
                <c:pt idx="42">
                  <c:v>9.6485931158319365E-3</c:v>
                </c:pt>
                <c:pt idx="43">
                  <c:v>-1.3755375068485344E-2</c:v>
                </c:pt>
                <c:pt idx="44">
                  <c:v>0</c:v>
                </c:pt>
                <c:pt idx="45">
                  <c:v>6.1665149156639584E-3</c:v>
                </c:pt>
                <c:pt idx="46">
                  <c:v>7.5888601528213322E-3</c:v>
                </c:pt>
                <c:pt idx="47">
                  <c:v>1.1842701975935158E-2</c:v>
                </c:pt>
                <c:pt idx="48">
                  <c:v>2.1045255049154431E-3</c:v>
                </c:pt>
                <c:pt idx="49">
                  <c:v>-3.5050859579463488E-3</c:v>
                </c:pt>
                <c:pt idx="50">
                  <c:v>0</c:v>
                </c:pt>
                <c:pt idx="51">
                  <c:v>1.3385194557653518E-2</c:v>
                </c:pt>
                <c:pt idx="52">
                  <c:v>-6.3626937878286573E-3</c:v>
                </c:pt>
                <c:pt idx="53">
                  <c:v>0</c:v>
                </c:pt>
                <c:pt idx="54">
                  <c:v>9.9150953921964442E-3</c:v>
                </c:pt>
                <c:pt idx="55">
                  <c:v>2.8510354308390845E-3</c:v>
                </c:pt>
                <c:pt idx="56">
                  <c:v>-1.4265337654539576E-3</c:v>
                </c:pt>
                <c:pt idx="57">
                  <c:v>-9.2231941512041435E-3</c:v>
                </c:pt>
                <c:pt idx="58">
                  <c:v>-2.1164029063776126E-3</c:v>
                </c:pt>
                <c:pt idx="59">
                  <c:v>1.1339597057581665E-2</c:v>
                </c:pt>
                <c:pt idx="60">
                  <c:v>-2.8469770119281513E-3</c:v>
                </c:pt>
                <c:pt idx="61">
                  <c:v>-6.376217139275997E-3</c:v>
                </c:pt>
                <c:pt idx="62">
                  <c:v>-1.411432838407736E-3</c:v>
                </c:pt>
                <c:pt idx="63">
                  <c:v>-7.0497006796982125E-4</c:v>
                </c:pt>
                <c:pt idx="64">
                  <c:v>6.3626937878286504E-3</c:v>
                </c:pt>
                <c:pt idx="65">
                  <c:v>-2.8328630843040899E-3</c:v>
                </c:pt>
                <c:pt idx="66">
                  <c:v>2.8328630843041072E-3</c:v>
                </c:pt>
                <c:pt idx="67">
                  <c:v>-2.1253993123134776E-3</c:v>
                </c:pt>
                <c:pt idx="68">
                  <c:v>0</c:v>
                </c:pt>
                <c:pt idx="69">
                  <c:v>2.8348707858471271E-3</c:v>
                </c:pt>
                <c:pt idx="70">
                  <c:v>-1.4184399541337456E-3</c:v>
                </c:pt>
                <c:pt idx="71">
                  <c:v>-2.8308582245239488E-3</c:v>
                </c:pt>
                <c:pt idx="72">
                  <c:v>-1.4124296133424374E-3</c:v>
                </c:pt>
                <c:pt idx="73">
                  <c:v>1.4124296133423584E-3</c:v>
                </c:pt>
                <c:pt idx="74">
                  <c:v>4.2492981786577486E-3</c:v>
                </c:pt>
                <c:pt idx="75">
                  <c:v>-4.9557623549848773E-3</c:v>
                </c:pt>
                <c:pt idx="76">
                  <c:v>5.6657375356772999E-3</c:v>
                </c:pt>
                <c:pt idx="77">
                  <c:v>7.1276139242321401E-3</c:v>
                </c:pt>
                <c:pt idx="78">
                  <c:v>-2.85714480077978E-3</c:v>
                </c:pt>
                <c:pt idx="79">
                  <c:v>1.726661602093155E-2</c:v>
                </c:pt>
                <c:pt idx="80">
                  <c:v>-3.6218800911543398E-3</c:v>
                </c:pt>
                <c:pt idx="81">
                  <c:v>-1.3644735929777186E-2</c:v>
                </c:pt>
                <c:pt idx="82">
                  <c:v>-2.1375141733107552E-3</c:v>
                </c:pt>
                <c:pt idx="83">
                  <c:v>-3.5524016043677721E-3</c:v>
                </c:pt>
                <c:pt idx="84">
                  <c:v>9.9787000498962695E-3</c:v>
                </c:pt>
                <c:pt idx="85">
                  <c:v>4.30725719758027E-3</c:v>
                </c:pt>
                <c:pt idx="86">
                  <c:v>0</c:v>
                </c:pt>
                <c:pt idx="87">
                  <c:v>0</c:v>
                </c:pt>
                <c:pt idx="88">
                  <c:v>-5.7388966690181667E-3</c:v>
                </c:pt>
                <c:pt idx="89">
                  <c:v>9.3425041723166034E-3</c:v>
                </c:pt>
                <c:pt idx="90">
                  <c:v>1.4545711002378716E-2</c:v>
                </c:pt>
                <c:pt idx="91">
                  <c:v>-6.5717651632345017E-3</c:v>
                </c:pt>
                <c:pt idx="92">
                  <c:v>-1.5884810540023102E-2</c:v>
                </c:pt>
                <c:pt idx="93">
                  <c:v>4.30725719758027E-3</c:v>
                </c:pt>
                <c:pt idx="94">
                  <c:v>-1.0733555643108664E-2</c:v>
                </c:pt>
                <c:pt idx="95">
                  <c:v>-7.1149060276404924E-4</c:v>
                </c:pt>
                <c:pt idx="96">
                  <c:v>-1.7624707185840704E-2</c:v>
                </c:pt>
                <c:pt idx="97">
                  <c:v>-4.8797587245410579E-3</c:v>
                </c:pt>
                <c:pt idx="98">
                  <c:v>1.2596387685685566E-2</c:v>
                </c:pt>
                <c:pt idx="99">
                  <c:v>2.114910904626034E-3</c:v>
                </c:pt>
                <c:pt idx="100">
                  <c:v>-3.522370672505781E-3</c:v>
                </c:pt>
                <c:pt idx="101">
                  <c:v>-4.2105325363434943E-3</c:v>
                </c:pt>
                <c:pt idx="102">
                  <c:v>-6.2827431794951804E-3</c:v>
                </c:pt>
                <c:pt idx="103">
                  <c:v>-1.7247754230698849E-2</c:v>
                </c:pt>
                <c:pt idx="104">
                  <c:v>3.4258341145190102E-3</c:v>
                </c:pt>
                <c:pt idx="105">
                  <c:v>4.8159707805846899E-3</c:v>
                </c:pt>
                <c:pt idx="106">
                  <c:v>2.7624326959100796E-3</c:v>
                </c:pt>
                <c:pt idx="107">
                  <c:v>5.547864437717963E-3</c:v>
                </c:pt>
                <c:pt idx="108">
                  <c:v>-6.9300346646696317E-3</c:v>
                </c:pt>
                <c:pt idx="109">
                  <c:v>7.6256868666368348E-3</c:v>
                </c:pt>
                <c:pt idx="110">
                  <c:v>-2.7797099204972067E-3</c:v>
                </c:pt>
                <c:pt idx="111">
                  <c:v>4.1724678058007031E-3</c:v>
                </c:pt>
                <c:pt idx="112">
                  <c:v>6.9710703415573443E-4</c:v>
                </c:pt>
                <c:pt idx="113">
                  <c:v>-1.1095814255054463E-2</c:v>
                </c:pt>
                <c:pt idx="114">
                  <c:v>2.7624326959100796E-3</c:v>
                </c:pt>
                <c:pt idx="115">
                  <c:v>-2.0725396019724233E-3</c:v>
                </c:pt>
                <c:pt idx="116">
                  <c:v>-1.0981579130485308E-2</c:v>
                </c:pt>
                <c:pt idx="117">
                  <c:v>3.04943933540671E-2</c:v>
                </c:pt>
                <c:pt idx="118">
                  <c:v>1.4888612493750559E-2</c:v>
                </c:pt>
                <c:pt idx="119">
                  <c:v>1.221718393859185E-2</c:v>
                </c:pt>
                <c:pt idx="120">
                  <c:v>-5.0486944599792225E-3</c:v>
                </c:pt>
                <c:pt idx="121">
                  <c:v>-7.168489478612516E-3</c:v>
                </c:pt>
                <c:pt idx="122">
                  <c:v>9.3290952885183385E-3</c:v>
                </c:pt>
                <c:pt idx="123">
                  <c:v>1.087361202900098E-2</c:v>
                </c:pt>
                <c:pt idx="124">
                  <c:v>-1.6624885969635423E-2</c:v>
                </c:pt>
                <c:pt idx="125">
                  <c:v>9.3626899278508625E-3</c:v>
                </c:pt>
                <c:pt idx="126">
                  <c:v>-7.2332733714302797E-4</c:v>
                </c:pt>
                <c:pt idx="127">
                  <c:v>7.2332733714302591E-4</c:v>
                </c:pt>
                <c:pt idx="128">
                  <c:v>-1.0795354929346572E-2</c:v>
                </c:pt>
                <c:pt idx="129">
                  <c:v>5.0233331322244775E-3</c:v>
                </c:pt>
                <c:pt idx="130">
                  <c:v>-5.0233331322243873E-3</c:v>
                </c:pt>
                <c:pt idx="131">
                  <c:v>1.2243581105711408E-2</c:v>
                </c:pt>
                <c:pt idx="132">
                  <c:v>-5.0596421635812688E-3</c:v>
                </c:pt>
                <c:pt idx="133">
                  <c:v>-4.3165534649740982E-3</c:v>
                </c:pt>
                <c:pt idx="134">
                  <c:v>-1.4347204756602941E-3</c:v>
                </c:pt>
                <c:pt idx="135">
                  <c:v>-8.5653628589230455E-3</c:v>
                </c:pt>
                <c:pt idx="136">
                  <c:v>1.937627896313868E-2</c:v>
                </c:pt>
                <c:pt idx="137">
                  <c:v>5.0853723832794311E-3</c:v>
                </c:pt>
                <c:pt idx="138">
                  <c:v>-5.8097476413211018E-3</c:v>
                </c:pt>
                <c:pt idx="139">
                  <c:v>1.2386315005884699E-2</c:v>
                </c:pt>
                <c:pt idx="140">
                  <c:v>7.3583849311871785E-3</c:v>
                </c:pt>
                <c:pt idx="141">
                  <c:v>1.4781968693109652E-3</c:v>
                </c:pt>
                <c:pt idx="142">
                  <c:v>9.6619109117368901E-3</c:v>
                </c:pt>
                <c:pt idx="143">
                  <c:v>3.7411192156035496E-3</c:v>
                </c:pt>
                <c:pt idx="144">
                  <c:v>-4.4876664693880167E-3</c:v>
                </c:pt>
                <c:pt idx="145">
                  <c:v>7.4906717291576587E-3</c:v>
                </c:pt>
                <c:pt idx="146">
                  <c:v>-1.5666116744399463E-2</c:v>
                </c:pt>
                <c:pt idx="147">
                  <c:v>1.2663111484629803E-2</c:v>
                </c:pt>
                <c:pt idx="148">
                  <c:v>2.2514080804574279E-3</c:v>
                </c:pt>
                <c:pt idx="149">
                  <c:v>0</c:v>
                </c:pt>
                <c:pt idx="150">
                  <c:v>-7.485064886566856E-3</c:v>
                </c:pt>
                <c:pt idx="151">
                  <c:v>-1.7738824337381633E-2</c:v>
                </c:pt>
                <c:pt idx="152">
                  <c:v>2.9347049675940221E-3</c:v>
                </c:pt>
                <c:pt idx="153">
                  <c:v>-8.7784031165050007E-3</c:v>
                </c:pt>
                <c:pt idx="154">
                  <c:v>7.2859748214053983E-4</c:v>
                </c:pt>
                <c:pt idx="155">
                  <c:v>3.6509715618810675E-3</c:v>
                </c:pt>
                <c:pt idx="156">
                  <c:v>1.3254980516193707E-2</c:v>
                </c:pt>
                <c:pt idx="157">
                  <c:v>-3.6995972644644575E-3</c:v>
                </c:pt>
                <c:pt idx="158">
                  <c:v>2.0896282726412412E-2</c:v>
                </c:pt>
                <c:pt idx="159">
                  <c:v>-1.6455120726444478E-2</c:v>
                </c:pt>
                <c:pt idx="160">
                  <c:v>1.2691473077140749E-2</c:v>
                </c:pt>
                <c:pt idx="161">
                  <c:v>-2.2514080804573707E-3</c:v>
                </c:pt>
                <c:pt idx="162">
                  <c:v>-8.9552837291040546E-3</c:v>
                </c:pt>
                <c:pt idx="163">
                  <c:v>8.2059393703231859E-3</c:v>
                </c:pt>
                <c:pt idx="164">
                  <c:v>-3.7383221106071039E-3</c:v>
                </c:pt>
                <c:pt idx="165">
                  <c:v>-6.6939632627988424E-3</c:v>
                </c:pt>
                <c:pt idx="166">
                  <c:v>1.5689526171376804E-2</c:v>
                </c:pt>
                <c:pt idx="167">
                  <c:v>-2.0127403277422063E-2</c:v>
                </c:pt>
                <c:pt idx="168">
                  <c:v>-1.0279091974647591E-2</c:v>
                </c:pt>
                <c:pt idx="169">
                  <c:v>-1.5223200836288526E-2</c:v>
                </c:pt>
                <c:pt idx="170">
                  <c:v>-8.5960414697979076E-3</c:v>
                </c:pt>
                <c:pt idx="171">
                  <c:v>4.2887842722177201E-3</c:v>
                </c:pt>
                <c:pt idx="172">
                  <c:v>4.30725719758027E-3</c:v>
                </c:pt>
                <c:pt idx="173">
                  <c:v>7.1968337039364299E-4</c:v>
                </c:pt>
                <c:pt idx="174">
                  <c:v>4.3290110895854786E-3</c:v>
                </c:pt>
                <c:pt idx="175">
                  <c:v>-1.4357748437702716E-2</c:v>
                </c:pt>
                <c:pt idx="176">
                  <c:v>-9.9291595882194973E-3</c:v>
                </c:pt>
                <c:pt idx="177">
                  <c:v>6.3717029726926867E-3</c:v>
                </c:pt>
                <c:pt idx="178">
                  <c:v>-2.2472855852058628E-2</c:v>
                </c:pt>
                <c:pt idx="179">
                  <c:v>3.4782643763247925E-3</c:v>
                </c:pt>
                <c:pt idx="180">
                  <c:v>-0.10570888702522342</c:v>
                </c:pt>
                <c:pt idx="181">
                  <c:v>1.5798116876591311E-2</c:v>
                </c:pt>
                <c:pt idx="182">
                  <c:v>6.3897980987709883E-3</c:v>
                </c:pt>
                <c:pt idx="183">
                  <c:v>7.7220460939103185E-3</c:v>
                </c:pt>
                <c:pt idx="184">
                  <c:v>5.1813587419975845E-3</c:v>
                </c:pt>
                <c:pt idx="185">
                  <c:v>2.6007817000574403E-3</c:v>
                </c:pt>
                <c:pt idx="186">
                  <c:v>1.5087199919261621E-2</c:v>
                </c:pt>
                <c:pt idx="187">
                  <c:v>7.2968814642759275E-3</c:v>
                </c:pt>
                <c:pt idx="188">
                  <c:v>0</c:v>
                </c:pt>
                <c:pt idx="189">
                  <c:v>-6.6555742889445402E-4</c:v>
                </c:pt>
                <c:pt idx="190">
                  <c:v>-1.1247224087347589E-2</c:v>
                </c:pt>
                <c:pt idx="191">
                  <c:v>1.1912781516241961E-2</c:v>
                </c:pt>
                <c:pt idx="192">
                  <c:v>1.9993342214822607E-3</c:v>
                </c:pt>
                <c:pt idx="193">
                  <c:v>3.3411324098351299E-3</c:v>
                </c:pt>
                <c:pt idx="194">
                  <c:v>-3.3411324098350879E-3</c:v>
                </c:pt>
                <c:pt idx="195">
                  <c:v>4.0107005634072747E-3</c:v>
                </c:pt>
                <c:pt idx="196">
                  <c:v>1.1451792378772615E-2</c:v>
                </c:pt>
                <c:pt idx="197">
                  <c:v>-1.1451792378772568E-2</c:v>
                </c:pt>
                <c:pt idx="198">
                  <c:v>-1.0659661228658537E-2</c:v>
                </c:pt>
                <c:pt idx="199">
                  <c:v>7.3162946906841974E-3</c:v>
                </c:pt>
                <c:pt idx="200">
                  <c:v>-2.0006675562971713E-3</c:v>
                </c:pt>
                <c:pt idx="201">
                  <c:v>3.3366730990394703E-3</c:v>
                </c:pt>
                <c:pt idx="202">
                  <c:v>1.2105057026275397E-2</c:v>
                </c:pt>
                <c:pt idx="203">
                  <c:v>-1.3522652500136498E-3</c:v>
                </c:pt>
                <c:pt idx="204">
                  <c:v>-5.3908486348764233E-3</c:v>
                </c:pt>
                <c:pt idx="205">
                  <c:v>-8.0321716972642666E-3</c:v>
                </c:pt>
                <c:pt idx="206">
                  <c:v>-1.324522675002068E-2</c:v>
                </c:pt>
                <c:pt idx="207">
                  <c:v>0</c:v>
                </c:pt>
                <c:pt idx="208">
                  <c:v>1.3245226750020723E-2</c:v>
                </c:pt>
                <c:pt idx="209">
                  <c:v>-3.327790092674691E-3</c:v>
                </c:pt>
                <c:pt idx="210">
                  <c:v>8.0053796437856307E-3</c:v>
                </c:pt>
                <c:pt idx="211">
                  <c:v>4.6995722614858243E-3</c:v>
                </c:pt>
                <c:pt idx="212">
                  <c:v>5.3981237695573097E-3</c:v>
                </c:pt>
                <c:pt idx="213">
                  <c:v>1.7059437937864273E-2</c:v>
                </c:pt>
                <c:pt idx="214">
                  <c:v>2.650085349294496E-2</c:v>
                </c:pt>
                <c:pt idx="215">
                  <c:v>3.5398267051239868E-3</c:v>
                </c:pt>
                <c:pt idx="216">
                  <c:v>-5.6577237198588374E-3</c:v>
                </c:pt>
                <c:pt idx="217">
                  <c:v>-1.052272073609902E-2</c:v>
                </c:pt>
                <c:pt idx="218">
                  <c:v>1.2640617750833808E-2</c:v>
                </c:pt>
                <c:pt idx="219">
                  <c:v>2.0707630327489544E-2</c:v>
                </c:pt>
                <c:pt idx="220">
                  <c:v>-2.162163004495237E-3</c:v>
                </c:pt>
                <c:pt idx="221">
                  <c:v>-8.6022035826631912E-3</c:v>
                </c:pt>
                <c:pt idx="222">
                  <c:v>7.1633544135640435E-3</c:v>
                </c:pt>
                <c:pt idx="223">
                  <c:v>-9.3023926623135612E-3</c:v>
                </c:pt>
                <c:pt idx="224">
                  <c:v>8.583743691391435E-3</c:v>
                </c:pt>
                <c:pt idx="225">
                  <c:v>1.0108389320761057E-2</c:v>
                </c:pt>
                <c:pt idx="226">
                  <c:v>5.0927720112894856E-3</c:v>
                </c:pt>
                <c:pt idx="227">
                  <c:v>-2.1857932199802082E-3</c:v>
                </c:pt>
                <c:pt idx="228">
                  <c:v>-6.5288588824635556E-3</c:v>
                </c:pt>
                <c:pt idx="229">
                  <c:v>-1.3644735929777186E-2</c:v>
                </c:pt>
                <c:pt idx="230">
                  <c:v>2.857144800779744E-3</c:v>
                </c:pt>
                <c:pt idx="231">
                  <c:v>1.0787591128997385E-2</c:v>
                </c:pt>
                <c:pt idx="232">
                  <c:v>-5.0486944599792225E-3</c:v>
                </c:pt>
                <c:pt idx="233">
                  <c:v>-7.168489478612516E-3</c:v>
                </c:pt>
                <c:pt idx="234">
                  <c:v>-2.1405644991109884E-3</c:v>
                </c:pt>
                <c:pt idx="235">
                  <c:v>2.0159070001789271E-2</c:v>
                </c:pt>
                <c:pt idx="236">
                  <c:v>2.9133305383573071E-3</c:v>
                </c:pt>
                <c:pt idx="237">
                  <c:v>2.9218428383647722E-3</c:v>
                </c:pt>
                <c:pt idx="238">
                  <c:v>3.9542637679393658E-2</c:v>
                </c:pt>
                <c:pt idx="239">
                  <c:v>4.5766670274118935E-3</c:v>
                </c:pt>
                <c:pt idx="240">
                  <c:v>-1.2158204479809519E-2</c:v>
                </c:pt>
                <c:pt idx="241">
                  <c:v>-2.240571697526678E-2</c:v>
                </c:pt>
                <c:pt idx="242">
                  <c:v>1.0393560527263302E-2</c:v>
                </c:pt>
                <c:pt idx="243">
                  <c:v>3.7383221106071581E-3</c:v>
                </c:pt>
                <c:pt idx="244">
                  <c:v>-1.6345089000519248E-2</c:v>
                </c:pt>
                <c:pt idx="245">
                  <c:v>0</c:v>
                </c:pt>
                <c:pt idx="246">
                  <c:v>5.9128036271133217E-3</c:v>
                </c:pt>
                <c:pt idx="247">
                  <c:v>3.2394546371379507E-2</c:v>
                </c:pt>
                <c:pt idx="248">
                  <c:v>-1.7457748876868923E-2</c:v>
                </c:pt>
                <c:pt idx="249">
                  <c:v>-1.9374674600555905E-2</c:v>
                </c:pt>
                <c:pt idx="250">
                  <c:v>-1.4749265210678676E-3</c:v>
                </c:pt>
                <c:pt idx="251">
                  <c:v>3.6914032319596769E-3</c:v>
                </c:pt>
                <c:pt idx="252">
                  <c:v>9.6619109117368901E-3</c:v>
                </c:pt>
                <c:pt idx="253">
                  <c:v>2.8789867178667126E-2</c:v>
                </c:pt>
                <c:pt idx="254">
                  <c:v>1.471184103188982E-2</c:v>
                </c:pt>
                <c:pt idx="255">
                  <c:v>2.5277807184268607E-2</c:v>
                </c:pt>
                <c:pt idx="256">
                  <c:v>-2.1370025736192521E-2</c:v>
                </c:pt>
                <c:pt idx="257">
                  <c:v>4.7095848430851669E-3</c:v>
                </c:pt>
                <c:pt idx="258">
                  <c:v>1.9865571842055504E-2</c:v>
                </c:pt>
                <c:pt idx="259">
                  <c:v>7.2493269549105347E-3</c:v>
                </c:pt>
                <c:pt idx="260">
                  <c:v>-2.8687226164918655E-2</c:v>
                </c:pt>
                <c:pt idx="261">
                  <c:v>3.4362150190943297E-2</c:v>
                </c:pt>
                <c:pt idx="262">
                  <c:v>-1.6129381929883644E-2</c:v>
                </c:pt>
                <c:pt idx="263">
                  <c:v>0</c:v>
                </c:pt>
                <c:pt idx="264">
                  <c:v>3.3349979681554121E-2</c:v>
                </c:pt>
                <c:pt idx="265">
                  <c:v>8.3056955872783996E-3</c:v>
                </c:pt>
                <c:pt idx="266">
                  <c:v>-2.5526293338948881E-2</c:v>
                </c:pt>
                <c:pt idx="267">
                  <c:v>-3.1215019347924526E-2</c:v>
                </c:pt>
                <c:pt idx="268">
                  <c:v>-1.0192169766227685E-2</c:v>
                </c:pt>
                <c:pt idx="269">
                  <c:v>-6.2208598751025057E-3</c:v>
                </c:pt>
                <c:pt idx="270">
                  <c:v>-1.5384918839479456E-2</c:v>
                </c:pt>
                <c:pt idx="271">
                  <c:v>-5.3292855480838452E-3</c:v>
                </c:pt>
                <c:pt idx="272">
                  <c:v>-2.1037590292658462E-2</c:v>
                </c:pt>
                <c:pt idx="273">
                  <c:v>1.0463473640827854E-2</c:v>
                </c:pt>
                <c:pt idx="274">
                  <c:v>-3.7495357014793633E-3</c:v>
                </c:pt>
                <c:pt idx="275">
                  <c:v>-1.559630573827806E-2</c:v>
                </c:pt>
                <c:pt idx="276">
                  <c:v>-2.9433428165969171E-3</c:v>
                </c:pt>
                <c:pt idx="277">
                  <c:v>-2.3957588669003129E-2</c:v>
                </c:pt>
                <c:pt idx="278">
                  <c:v>3.5932485661254862E-3</c:v>
                </c:pt>
                <c:pt idx="279">
                  <c:v>0</c:v>
                </c:pt>
                <c:pt idx="280">
                  <c:v>2.6999086151434419E-2</c:v>
                </c:pt>
                <c:pt idx="281">
                  <c:v>-6.6347460485566973E-3</c:v>
                </c:pt>
                <c:pt idx="282">
                  <c:v>8.1151312189910278E-3</c:v>
                </c:pt>
                <c:pt idx="283">
                  <c:v>-1.7621601349819559E-2</c:v>
                </c:pt>
                <c:pt idx="284">
                  <c:v>-1.5884810540023102E-2</c:v>
                </c:pt>
                <c:pt idx="285">
                  <c:v>-1.4316394714377388E-3</c:v>
                </c:pt>
                <c:pt idx="286">
                  <c:v>-2.85714480077978E-3</c:v>
                </c:pt>
                <c:pt idx="287">
                  <c:v>-5.6899157776785702E-3</c:v>
                </c:pt>
                <c:pt idx="288">
                  <c:v>8.5470605784583476E-3</c:v>
                </c:pt>
                <c:pt idx="289">
                  <c:v>1.1510918466140272E-2</c:v>
                </c:pt>
                <c:pt idx="290">
                  <c:v>7.238509183230779E-4</c:v>
                </c:pt>
                <c:pt idx="291">
                  <c:v>9.4580552267963941E-3</c:v>
                </c:pt>
                <c:pt idx="292">
                  <c:v>1.9934214900817329E-2</c:v>
                </c:pt>
                <c:pt idx="293">
                  <c:v>-2.1395135540492084E-2</c:v>
                </c:pt>
                <c:pt idx="294">
                  <c:v>-3.6429912785010919E-3</c:v>
                </c:pt>
                <c:pt idx="295">
                  <c:v>1.4652276786870415E-2</c:v>
                </c:pt>
                <c:pt idx="296">
                  <c:v>1.0385850032122834E-2</c:v>
                </c:pt>
                <c:pt idx="297">
                  <c:v>-7.4294546785203756E-3</c:v>
                </c:pt>
                <c:pt idx="298">
                  <c:v>-3.1332253360270373E-2</c:v>
                </c:pt>
                <c:pt idx="299">
                  <c:v>1.4451118538174506E-2</c:v>
                </c:pt>
                <c:pt idx="300">
                  <c:v>2.8794901947944641E-2</c:v>
                </c:pt>
                <c:pt idx="301">
                  <c:v>4.5045121211045079E-3</c:v>
                </c:pt>
                <c:pt idx="302">
                  <c:v>-6.7491819749284495E-3</c:v>
                </c:pt>
                <c:pt idx="303">
                  <c:v>-5.2180513477656709E-3</c:v>
                </c:pt>
                <c:pt idx="304">
                  <c:v>-3.7105793965356015E-3</c:v>
                </c:pt>
                <c:pt idx="305">
                  <c:v>4.4543503493803746E-3</c:v>
                </c:pt>
                <c:pt idx="306">
                  <c:v>7.443245598572956E-4</c:v>
                </c:pt>
                <c:pt idx="307">
                  <c:v>-8.1572569489827412E-3</c:v>
                </c:pt>
                <c:pt idx="308">
                  <c:v>7.4129323891255336E-3</c:v>
                </c:pt>
                <c:pt idx="309">
                  <c:v>-7.437709528446524E-4</c:v>
                </c:pt>
                <c:pt idx="310">
                  <c:v>-4.451045924259424E-3</c:v>
                </c:pt>
                <c:pt idx="311">
                  <c:v>8.1754450152418598E-3</c:v>
                </c:pt>
                <c:pt idx="312">
                  <c:v>7.4654725378456299E-4</c:v>
                </c:pt>
                <c:pt idx="313">
                  <c:v>1.1265609194219086E-2</c:v>
                </c:pt>
                <c:pt idx="314">
                  <c:v>1.139397058705351E-2</c:v>
                </c:pt>
                <c:pt idx="315">
                  <c:v>2.2944560735236254E-3</c:v>
                </c:pt>
                <c:pt idx="316">
                  <c:v>-1.4443428583946231E-2</c:v>
                </c:pt>
                <c:pt idx="317">
                  <c:v>1.5975995933724393E-2</c:v>
                </c:pt>
                <c:pt idx="318">
                  <c:v>2.3032639740930899E-3</c:v>
                </c:pt>
                <c:pt idx="319">
                  <c:v>-1.0703466099359698E-2</c:v>
                </c:pt>
                <c:pt idx="320">
                  <c:v>5.3374125947209753E-3</c:v>
                </c:pt>
                <c:pt idx="321">
                  <c:v>-6.0975798681184449E-3</c:v>
                </c:pt>
                <c:pt idx="322">
                  <c:v>-3.034903695154047E-3</c:v>
                </c:pt>
                <c:pt idx="323">
                  <c:v>0</c:v>
                </c:pt>
                <c:pt idx="324">
                  <c:v>3.0349036951541112E-3</c:v>
                </c:pt>
                <c:pt idx="325">
                  <c:v>-6.060624611690958E-3</c:v>
                </c:pt>
                <c:pt idx="326">
                  <c:v>1.5117160853219392E-3</c:v>
                </c:pt>
                <c:pt idx="327">
                  <c:v>1.0646488394487485E-2</c:v>
                </c:pt>
                <c:pt idx="328">
                  <c:v>3.0627895305457308E-3</c:v>
                </c:pt>
                <c:pt idx="329">
                  <c:v>-1.2952562035727092E-2</c:v>
                </c:pt>
                <c:pt idx="330">
                  <c:v>1.2952562035727146E-2</c:v>
                </c:pt>
                <c:pt idx="331">
                  <c:v>1.0794245130880394E-2</c:v>
                </c:pt>
                <c:pt idx="332">
                  <c:v>-7.7220460939102778E-3</c:v>
                </c:pt>
                <c:pt idx="333">
                  <c:v>7.695267790285181E-4</c:v>
                </c:pt>
                <c:pt idx="334">
                  <c:v>-5.5403389097371497E-2</c:v>
                </c:pt>
                <c:pt idx="335">
                  <c:v>-2.5882106130709188E-2</c:v>
                </c:pt>
                <c:pt idx="336">
                  <c:v>2.0796733747429758E-2</c:v>
                </c:pt>
                <c:pt idx="337">
                  <c:v>-2.9980832211935784E-2</c:v>
                </c:pt>
                <c:pt idx="338">
                  <c:v>2.8169032711133734E-3</c:v>
                </c:pt>
                <c:pt idx="339">
                  <c:v>5.6577237198588547E-3</c:v>
                </c:pt>
                <c:pt idx="340">
                  <c:v>1.069528911674795E-2</c:v>
                </c:pt>
                <c:pt idx="341">
                  <c:v>2.5409715525368221E-2</c:v>
                </c:pt>
                <c:pt idx="342">
                  <c:v>-1.749315744751723E-2</c:v>
                </c:pt>
                <c:pt idx="343">
                  <c:v>2.1699827683227275E-3</c:v>
                </c:pt>
                <c:pt idx="344">
                  <c:v>7.9971345871214759E-3</c:v>
                </c:pt>
                <c:pt idx="345">
                  <c:v>-1.0889399799268319E-2</c:v>
                </c:pt>
                <c:pt idx="346">
                  <c:v>2.633656241368305E-2</c:v>
                </c:pt>
                <c:pt idx="347">
                  <c:v>6.6939632627988147E-3</c:v>
                </c:pt>
                <c:pt idx="348">
                  <c:v>1.05027221991492E-2</c:v>
                </c:pt>
                <c:pt idx="349">
                  <c:v>1.7497593620962631E-2</c:v>
                </c:pt>
                <c:pt idx="350">
                  <c:v>-4.5941887850548457E-3</c:v>
                </c:pt>
                <c:pt idx="351">
                  <c:v>-9.8822545017316511E-3</c:v>
                </c:pt>
                <c:pt idx="352">
                  <c:v>8.3555366479318369E-3</c:v>
                </c:pt>
                <c:pt idx="353">
                  <c:v>-7.6248574033448168E-4</c:v>
                </c:pt>
                <c:pt idx="354">
                  <c:v>-1.0614201241773428E-2</c:v>
                </c:pt>
                <c:pt idx="355">
                  <c:v>9.0909717012521048E-3</c:v>
                </c:pt>
                <c:pt idx="356">
                  <c:v>-2.3318092991383644E-2</c:v>
                </c:pt>
                <c:pt idx="357">
                  <c:v>2.1037590292658347E-2</c:v>
                </c:pt>
                <c:pt idx="358">
                  <c:v>1.9939310896638644E-2</c:v>
                </c:pt>
                <c:pt idx="359">
                  <c:v>3.8694128353218379E-2</c:v>
                </c:pt>
                <c:pt idx="360">
                  <c:v>0</c:v>
                </c:pt>
                <c:pt idx="361">
                  <c:v>1.6116038943416128E-3</c:v>
                </c:pt>
                <c:pt idx="362">
                  <c:v>6.4725145056175196E-3</c:v>
                </c:pt>
                <c:pt idx="363">
                  <c:v>-2.4321049686124399E-3</c:v>
                </c:pt>
                <c:pt idx="364">
                  <c:v>8.1301260832503091E-3</c:v>
                </c:pt>
                <c:pt idx="365">
                  <c:v>1.6339872916549549E-3</c:v>
                </c:pt>
                <c:pt idx="366">
                  <c:v>3.2760062059007237E-3</c:v>
                </c:pt>
                <c:pt idx="367">
                  <c:v>1.6420364937443893E-3</c:v>
                </c:pt>
                <c:pt idx="368">
                  <c:v>-1.3872111477805996E-2</c:v>
                </c:pt>
                <c:pt idx="369">
                  <c:v>4.0600948992983599E-3</c:v>
                </c:pt>
                <c:pt idx="370">
                  <c:v>3.2599865872075008E-3</c:v>
                </c:pt>
                <c:pt idx="371">
                  <c:v>1.9786300898843895E-2</c:v>
                </c:pt>
                <c:pt idx="372">
                  <c:v>-1.4876307401287946E-2</c:v>
                </c:pt>
                <c:pt idx="373">
                  <c:v>-6.5413152296399423E-3</c:v>
                </c:pt>
                <c:pt idx="374">
                  <c:v>-6.4988043511661278E-3</c:v>
                </c:pt>
                <c:pt idx="375">
                  <c:v>-3.9687748267242577E-2</c:v>
                </c:pt>
                <c:pt idx="376">
                  <c:v>-2.763030719300515E-2</c:v>
                </c:pt>
                <c:pt idx="377">
                  <c:v>-2.2684319746281542E-3</c:v>
                </c:pt>
                <c:pt idx="378">
                  <c:v>9.1047669929190667E-3</c:v>
                </c:pt>
                <c:pt idx="379">
                  <c:v>6.2102466339690014E-2</c:v>
                </c:pt>
                <c:pt idx="380">
                  <c:v>2.4631787189665421E-2</c:v>
                </c:pt>
                <c:pt idx="381">
                  <c:v>3.3815563456014448E-2</c:v>
                </c:pt>
                <c:pt idx="382">
                  <c:v>-1.7050711459722343E-2</c:v>
                </c:pt>
                <c:pt idx="383">
                  <c:v>-2.0912514516373448E-2</c:v>
                </c:pt>
                <c:pt idx="384">
                  <c:v>-4.9545931246833411E-3</c:v>
                </c:pt>
                <c:pt idx="385">
                  <c:v>7.4411256946881749E-3</c:v>
                </c:pt>
                <c:pt idx="386">
                  <c:v>-2.7017607319786096E-2</c:v>
                </c:pt>
                <c:pt idx="387">
                  <c:v>-9.6463770518054499E-3</c:v>
                </c:pt>
                <c:pt idx="388">
                  <c:v>0</c:v>
                </c:pt>
                <c:pt idx="389">
                  <c:v>-6.3796069640390399E-3</c:v>
                </c:pt>
                <c:pt idx="390">
                  <c:v>0</c:v>
                </c:pt>
                <c:pt idx="391">
                  <c:v>-3.2841106189242221E-2</c:v>
                </c:pt>
                <c:pt idx="392">
                  <c:v>-2.9558802241544391E-2</c:v>
                </c:pt>
                <c:pt idx="393">
                  <c:v>-2.9828508320650245E-3</c:v>
                </c:pt>
                <c:pt idx="394">
                  <c:v>1.3493458102915032E-2</c:v>
                </c:pt>
                <c:pt idx="395">
                  <c:v>0</c:v>
                </c:pt>
                <c:pt idx="396">
                  <c:v>-6.0195817583860393E-3</c:v>
                </c:pt>
                <c:pt idx="397">
                  <c:v>-6.7289973529184709E-3</c:v>
                </c:pt>
                <c:pt idx="398">
                  <c:v>-5.9435539008479941E-3</c:v>
                </c:pt>
                <c:pt idx="399">
                  <c:v>2.2246950221111086E-3</c:v>
                </c:pt>
                <c:pt idx="400">
                  <c:v>-2.2027322318290819E-2</c:v>
                </c:pt>
                <c:pt idx="401">
                  <c:v>1.0953012019197145E-2</c:v>
                </c:pt>
                <c:pt idx="402">
                  <c:v>-9.499523391214031E-3</c:v>
                </c:pt>
                <c:pt idx="403">
                  <c:v>-1.5873349156290122E-2</c:v>
                </c:pt>
                <c:pt idx="404">
                  <c:v>1.2243581105711408E-2</c:v>
                </c:pt>
                <c:pt idx="405">
                  <c:v>-1.7241806434506103E-2</c:v>
                </c:pt>
                <c:pt idx="406">
                  <c:v>-8.5106896679086191E-3</c:v>
                </c:pt>
                <c:pt idx="407">
                  <c:v>1.1363758650315003E-2</c:v>
                </c:pt>
                <c:pt idx="408">
                  <c:v>-7.1403073365706277E-4</c:v>
                </c:pt>
                <c:pt idx="409">
                  <c:v>-7.1352125752835579E-4</c:v>
                </c:pt>
                <c:pt idx="410">
                  <c:v>-1.0642172096144981E-2</c:v>
                </c:pt>
                <c:pt idx="411">
                  <c:v>8.5046579228343581E-3</c:v>
                </c:pt>
                <c:pt idx="412">
                  <c:v>-1.8336197788604715E-2</c:v>
                </c:pt>
                <c:pt idx="413">
                  <c:v>-1.8692133012152522E-2</c:v>
                </c:pt>
                <c:pt idx="414">
                  <c:v>1.0341353794732531E-2</c:v>
                </c:pt>
                <c:pt idx="415">
                  <c:v>0</c:v>
                </c:pt>
                <c:pt idx="416">
                  <c:v>-2.3288723757508928E-2</c:v>
                </c:pt>
                <c:pt idx="417">
                  <c:v>2.0332097820978229E-3</c:v>
                </c:pt>
                <c:pt idx="418">
                  <c:v>4.6520015634892907E-2</c:v>
                </c:pt>
                <c:pt idx="419">
                  <c:v>-4.2441152060071811E-2</c:v>
                </c:pt>
                <c:pt idx="420">
                  <c:v>1.2337373759840784E-2</c:v>
                </c:pt>
                <c:pt idx="421">
                  <c:v>-3.3901551675681339E-2</c:v>
                </c:pt>
                <c:pt idx="422">
                  <c:v>2.156417791584064E-2</c:v>
                </c:pt>
                <c:pt idx="423">
                  <c:v>1.6483889721689415E-2</c:v>
                </c:pt>
                <c:pt idx="424">
                  <c:v>-7.5888601528213218E-3</c:v>
                </c:pt>
                <c:pt idx="425">
                  <c:v>1.3755160353098766E-3</c:v>
                </c:pt>
                <c:pt idx="426">
                  <c:v>8.9872710002366768E-3</c:v>
                </c:pt>
                <c:pt idx="427">
                  <c:v>1.7513582492708211E-2</c:v>
                </c:pt>
                <c:pt idx="428">
                  <c:v>1.280245082037618E-2</c:v>
                </c:pt>
                <c:pt idx="429">
                  <c:v>-1.6329791338344574E-2</c:v>
                </c:pt>
                <c:pt idx="430">
                  <c:v>-3.0515543925950489E-2</c:v>
                </c:pt>
                <c:pt idx="431">
                  <c:v>1.3755375068485419E-2</c:v>
                </c:pt>
                <c:pt idx="432">
                  <c:v>3.6675478558406568E-2</c:v>
                </c:pt>
                <c:pt idx="433">
                  <c:v>-8.8626451364927888E-2</c:v>
                </c:pt>
                <c:pt idx="434">
                  <c:v>7.2583624503229013E-3</c:v>
                </c:pt>
                <c:pt idx="435">
                  <c:v>2.548763052014855E-2</c:v>
                </c:pt>
                <c:pt idx="436">
                  <c:v>1.5058463874201535E-2</c:v>
                </c:pt>
                <c:pt idx="437">
                  <c:v>2.1611158254577524E-2</c:v>
                </c:pt>
                <c:pt idx="438">
                  <c:v>-2.8149209298096727E-3</c:v>
                </c:pt>
                <c:pt idx="439">
                  <c:v>-9.0941515183170975E-3</c:v>
                </c:pt>
                <c:pt idx="440">
                  <c:v>-1.4518056587035311E-2</c:v>
                </c:pt>
                <c:pt idx="441">
                  <c:v>8.9624867424333739E-3</c:v>
                </c:pt>
                <c:pt idx="442">
                  <c:v>-4.8359334314162635E-3</c:v>
                </c:pt>
                <c:pt idx="443">
                  <c:v>-1.0284629562409008E-2</c:v>
                </c:pt>
                <c:pt idx="444">
                  <c:v>-6.1203863273234134E-3</c:v>
                </c:pt>
                <c:pt idx="445">
                  <c:v>1.2965040017288876E-2</c:v>
                </c:pt>
                <c:pt idx="446">
                  <c:v>-2.0583197661543586E-3</c:v>
                </c:pt>
                <c:pt idx="447">
                  <c:v>-1.7663502714014311E-2</c:v>
                </c:pt>
                <c:pt idx="448">
                  <c:v>-7.3801072976225337E-3</c:v>
                </c:pt>
                <c:pt idx="449">
                  <c:v>2.7101929777791179E-2</c:v>
                </c:pt>
                <c:pt idx="450">
                  <c:v>-4.7961722634930551E-3</c:v>
                </c:pt>
                <c:pt idx="451">
                  <c:v>-1.366120431043414E-3</c:v>
                </c:pt>
                <c:pt idx="452">
                  <c:v>5.4757152559627631E-3</c:v>
                </c:pt>
                <c:pt idx="453">
                  <c:v>-3.9035911748264679E-2</c:v>
                </c:pt>
                <c:pt idx="454">
                  <c:v>4.385188252884941E-2</c:v>
                </c:pt>
                <c:pt idx="455">
                  <c:v>2.7624326959100796E-3</c:v>
                </c:pt>
                <c:pt idx="456">
                  <c:v>-2.7624326959100726E-3</c:v>
                </c:pt>
                <c:pt idx="457">
                  <c:v>0</c:v>
                </c:pt>
                <c:pt idx="458">
                  <c:v>3.7236476157658321E-2</c:v>
                </c:pt>
                <c:pt idx="459">
                  <c:v>6.3536875493261979E-2</c:v>
                </c:pt>
                <c:pt idx="460">
                  <c:v>-1.5140334631411749E-2</c:v>
                </c:pt>
                <c:pt idx="461">
                  <c:v>-3.1067587372859383E-2</c:v>
                </c:pt>
                <c:pt idx="462">
                  <c:v>-2.0188140569035919E-2</c:v>
                </c:pt>
                <c:pt idx="463">
                  <c:v>1.4285716715259137E-3</c:v>
                </c:pt>
                <c:pt idx="464">
                  <c:v>-1.5603153431619492E-2</c:v>
                </c:pt>
                <c:pt idx="465">
                  <c:v>1.5603153431619523E-2</c:v>
                </c:pt>
                <c:pt idx="466">
                  <c:v>1.0057556044042223E-2</c:v>
                </c:pt>
                <c:pt idx="467">
                  <c:v>4.1273359908193585E-2</c:v>
                </c:pt>
                <c:pt idx="468">
                  <c:v>5.4903621452859555E-2</c:v>
                </c:pt>
                <c:pt idx="469">
                  <c:v>-1.7336919653277039E-2</c:v>
                </c:pt>
                <c:pt idx="470">
                  <c:v>2.2117805253618974E-2</c:v>
                </c:pt>
                <c:pt idx="471">
                  <c:v>-9.589089991356009E-2</c:v>
                </c:pt>
                <c:pt idx="472">
                  <c:v>-4.1228298034565555E-2</c:v>
                </c:pt>
                <c:pt idx="473">
                  <c:v>1.0500621511068889E-2</c:v>
                </c:pt>
                <c:pt idx="474">
                  <c:v>5.1256256664625438E-2</c:v>
                </c:pt>
                <c:pt idx="475">
                  <c:v>-5.9084366861662831E-3</c:v>
                </c:pt>
                <c:pt idx="476">
                  <c:v>-5.5151820075080099E-2</c:v>
                </c:pt>
                <c:pt idx="477">
                  <c:v>1.2622888503040938E-2</c:v>
                </c:pt>
                <c:pt idx="478">
                  <c:v>1.2069724087330543E-2</c:v>
                </c:pt>
                <c:pt idx="479">
                  <c:v>-9.950330853168092E-3</c:v>
                </c:pt>
                <c:pt idx="480">
                  <c:v>3.1611827634347514E-2</c:v>
                </c:pt>
                <c:pt idx="481">
                  <c:v>-1.8800264500147146E-2</c:v>
                </c:pt>
                <c:pt idx="482">
                  <c:v>7.9108647008787995E-3</c:v>
                </c:pt>
                <c:pt idx="483">
                  <c:v>-3.8248288265928937E-2</c:v>
                </c:pt>
                <c:pt idx="484">
                  <c:v>-1.7223987633889101E-2</c:v>
                </c:pt>
                <c:pt idx="485">
                  <c:v>-2.095379130352994E-2</c:v>
                </c:pt>
                <c:pt idx="486">
                  <c:v>-1.2628948172607336E-2</c:v>
                </c:pt>
                <c:pt idx="487">
                  <c:v>-1.320132204922844E-3</c:v>
                </c:pt>
                <c:pt idx="488">
                  <c:v>4.1069386596724149E-2</c:v>
                </c:pt>
                <c:pt idx="489">
                  <c:v>-4.9608026323469362E-2</c:v>
                </c:pt>
                <c:pt idx="490">
                  <c:v>-3.916454092235273E-3</c:v>
                </c:pt>
                <c:pt idx="491">
                  <c:v>2.9754261081792716E-2</c:v>
                </c:pt>
                <c:pt idx="492">
                  <c:v>-6.688988150796652E-3</c:v>
                </c:pt>
                <c:pt idx="493">
                  <c:v>-3.327790092674691E-3</c:v>
                </c:pt>
                <c:pt idx="494">
                  <c:v>-1.6474837203505097E-2</c:v>
                </c:pt>
                <c:pt idx="495">
                  <c:v>-1.4276686356682862E-2</c:v>
                </c:pt>
                <c:pt idx="496">
                  <c:v>-1.6613800662655446E-2</c:v>
                </c:pt>
                <c:pt idx="497">
                  <c:v>2.6976587698202076E-2</c:v>
                </c:pt>
                <c:pt idx="498">
                  <c:v>2.3716526617316065E-2</c:v>
                </c:pt>
                <c:pt idx="499">
                  <c:v>3.8048067637529964E-2</c:v>
                </c:pt>
                <c:pt idx="500">
                  <c:v>3.0944803849421491E-2</c:v>
                </c:pt>
                <c:pt idx="501">
                  <c:v>0</c:v>
                </c:pt>
                <c:pt idx="502">
                  <c:v>5.7306747089850745E-3</c:v>
                </c:pt>
                <c:pt idx="503">
                  <c:v>1.2287830793693279E-2</c:v>
                </c:pt>
                <c:pt idx="504">
                  <c:v>2.1842018148412073E-3</c:v>
                </c:pt>
                <c:pt idx="505">
                  <c:v>-3.7902284416920347E-2</c:v>
                </c:pt>
                <c:pt idx="506">
                  <c:v>-3.1090587070031119E-2</c:v>
                </c:pt>
                <c:pt idx="507">
                  <c:v>1.094402167931721E-2</c:v>
                </c:pt>
                <c:pt idx="508">
                  <c:v>-7.5368633577029614E-3</c:v>
                </c:pt>
                <c:pt idx="509">
                  <c:v>-6.8027473227525231E-3</c:v>
                </c:pt>
                <c:pt idx="510">
                  <c:v>1.9165542142436268E-2</c:v>
                </c:pt>
                <c:pt idx="511">
                  <c:v>3.2306180294476815E-2</c:v>
                </c:pt>
                <c:pt idx="512">
                  <c:v>-2.8510354308390832E-3</c:v>
                </c:pt>
                <c:pt idx="513">
                  <c:v>7.1428875123802039E-3</c:v>
                </c:pt>
                <c:pt idx="514">
                  <c:v>-3.5778213478839666E-3</c:v>
                </c:pt>
                <c:pt idx="515">
                  <c:v>5.5059777183027389E-2</c:v>
                </c:pt>
                <c:pt idx="516">
                  <c:v>6.0560366770416093E-3</c:v>
                </c:pt>
                <c:pt idx="517">
                  <c:v>2.8496344829618107E-2</c:v>
                </c:pt>
                <c:pt idx="518">
                  <c:v>-3.3041807201292808E-2</c:v>
                </c:pt>
                <c:pt idx="519">
                  <c:v>2.2701485345390775E-3</c:v>
                </c:pt>
                <c:pt idx="520">
                  <c:v>1.9121041446778377E-2</c:v>
                </c:pt>
                <c:pt idx="521">
                  <c:v>1.3997118101098931E-2</c:v>
                </c:pt>
                <c:pt idx="522">
                  <c:v>-3.4632164379092306E-2</c:v>
                </c:pt>
                <c:pt idx="523">
                  <c:v>1.5140048312150113E-3</c:v>
                </c:pt>
                <c:pt idx="524">
                  <c:v>1.3730192811902037E-2</c:v>
                </c:pt>
                <c:pt idx="525">
                  <c:v>3.5969475740370502E-2</c:v>
                </c:pt>
                <c:pt idx="526">
                  <c:v>4.7885167317970939E-3</c:v>
                </c:pt>
                <c:pt idx="527">
                  <c:v>2.1019367224075342E-2</c:v>
                </c:pt>
                <c:pt idx="528">
                  <c:v>1.635323340730838E-3</c:v>
                </c:pt>
                <c:pt idx="529">
                  <c:v>-5.8021834402097537E-2</c:v>
                </c:pt>
                <c:pt idx="530">
                  <c:v>5.1496525767174846E-2</c:v>
                </c:pt>
                <c:pt idx="531">
                  <c:v>5.0010420574661416E-2</c:v>
                </c:pt>
                <c:pt idx="532">
                  <c:v>-7.4901308173117714E-2</c:v>
                </c:pt>
                <c:pt idx="533">
                  <c:v>-1.5735965931814706E-2</c:v>
                </c:pt>
                <c:pt idx="534">
                  <c:v>1.5625003178916343E-3</c:v>
                </c:pt>
                <c:pt idx="535">
                  <c:v>-2.1655912045379217E-2</c:v>
                </c:pt>
                <c:pt idx="536">
                  <c:v>-1.4432457121585817E-2</c:v>
                </c:pt>
                <c:pt idx="537">
                  <c:v>-3.7636476493038331E-3</c:v>
                </c:pt>
                <c:pt idx="538">
                  <c:v>5.2730818981580408E-3</c:v>
                </c:pt>
                <c:pt idx="539">
                  <c:v>0</c:v>
                </c:pt>
                <c:pt idx="540">
                  <c:v>-8.2738343373963599E-3</c:v>
                </c:pt>
                <c:pt idx="541">
                  <c:v>0</c:v>
                </c:pt>
                <c:pt idx="542">
                  <c:v>-1.1913767125848931E-2</c:v>
                </c:pt>
                <c:pt idx="543">
                  <c:v>-2.9563953536023775E-3</c:v>
                </c:pt>
                <c:pt idx="544">
                  <c:v>1.7870914918689682E-2</c:v>
                </c:pt>
                <c:pt idx="545">
                  <c:v>-5.9925272960608981E-3</c:v>
                </c:pt>
                <c:pt idx="546">
                  <c:v>-1.4925375905059655E-3</c:v>
                </c:pt>
                <c:pt idx="547">
                  <c:v>-1.0385850032122721E-2</c:v>
                </c:pt>
                <c:pt idx="548">
                  <c:v>3.6968618813262026E-3</c:v>
                </c:pt>
                <c:pt idx="549">
                  <c:v>-1.8349138668196541E-2</c:v>
                </c:pt>
                <c:pt idx="550">
                  <c:v>8.0321716972642527E-3</c:v>
                </c:pt>
                <c:pt idx="551">
                  <c:v>-8.0321716972642666E-3</c:v>
                </c:pt>
                <c:pt idx="552">
                  <c:v>2.9522439266321834E-2</c:v>
                </c:pt>
                <c:pt idx="553">
                  <c:v>3.7523496185503718E-3</c:v>
                </c:pt>
                <c:pt idx="554">
                  <c:v>1.5151805020602246E-2</c:v>
                </c:pt>
                <c:pt idx="555">
                  <c:v>-2.4133901336429859E-2</c:v>
                </c:pt>
                <c:pt idx="556">
                  <c:v>1.1994146785819242E-2</c:v>
                </c:pt>
                <c:pt idx="557">
                  <c:v>-3.0120504699916095E-3</c:v>
                </c:pt>
                <c:pt idx="558">
                  <c:v>1.3626251711765056E-2</c:v>
                </c:pt>
                <c:pt idx="559">
                  <c:v>-1.6629256971534719E-2</c:v>
                </c:pt>
                <c:pt idx="560">
                  <c:v>6.015055729761189E-3</c:v>
                </c:pt>
                <c:pt idx="561">
                  <c:v>-1.2739025777429714E-2</c:v>
                </c:pt>
                <c:pt idx="562">
                  <c:v>-1.4880955127019556E-3</c:v>
                </c:pt>
                <c:pt idx="563">
                  <c:v>1.5736555538985966E-2</c:v>
                </c:pt>
                <c:pt idx="564">
                  <c:v>4.5420214345009858E-3</c:v>
                </c:pt>
                <c:pt idx="565">
                  <c:v>1.3751171612824419E-2</c:v>
                </c:pt>
                <c:pt idx="566">
                  <c:v>-3.8387763071657129E-3</c:v>
                </c:pt>
                <c:pt idx="567">
                  <c:v>-3.0604461531060934E-3</c:v>
                </c:pt>
                <c:pt idx="568">
                  <c:v>6.8992224602719334E-3</c:v>
                </c:pt>
                <c:pt idx="569">
                  <c:v>6.1728591070810161E-3</c:v>
                </c:pt>
                <c:pt idx="570">
                  <c:v>2.5079684397023391E-2</c:v>
                </c:pt>
                <c:pt idx="571">
                  <c:v>7.9681696491768813E-3</c:v>
                </c:pt>
                <c:pt idx="572">
                  <c:v>2.4292692569044483E-2</c:v>
                </c:pt>
                <c:pt idx="573">
                  <c:v>-5.7213069836091653E-3</c:v>
                </c:pt>
                <c:pt idx="574">
                  <c:v>-6.4988043511661278E-3</c:v>
                </c:pt>
                <c:pt idx="575">
                  <c:v>0</c:v>
                </c:pt>
                <c:pt idx="576">
                  <c:v>1.2220111334775397E-2</c:v>
                </c:pt>
                <c:pt idx="577">
                  <c:v>8.2000824603074601E-4</c:v>
                </c:pt>
                <c:pt idx="578">
                  <c:v>-4.9099934975557818E-3</c:v>
                </c:pt>
                <c:pt idx="579">
                  <c:v>4.0899852515250664E-3</c:v>
                </c:pt>
                <c:pt idx="580">
                  <c:v>8.2304991365154435E-3</c:v>
                </c:pt>
                <c:pt idx="581">
                  <c:v>-4.1237171838620409E-3</c:v>
                </c:pt>
                <c:pt idx="582">
                  <c:v>3.2976122215566729E-3</c:v>
                </c:pt>
                <c:pt idx="583">
                  <c:v>-9.8603921340801402E-3</c:v>
                </c:pt>
                <c:pt idx="584">
                  <c:v>-4.0799730199154189E-3</c:v>
                </c:pt>
                <c:pt idx="585">
                  <c:v>8.1466399617628358E-4</c:v>
                </c:pt>
                <c:pt idx="586">
                  <c:v>-8.1466399617633573E-4</c:v>
                </c:pt>
                <c:pt idx="587">
                  <c:v>8.9980157195605828E-3</c:v>
                </c:pt>
                <c:pt idx="588">
                  <c:v>9.9092470627717682E-3</c:v>
                </c:pt>
                <c:pt idx="589">
                  <c:v>-9.9092470627718046E-3</c:v>
                </c:pt>
                <c:pt idx="590">
                  <c:v>-4.9180426996451448E-3</c:v>
                </c:pt>
                <c:pt idx="591">
                  <c:v>1.2340757192412188E-2</c:v>
                </c:pt>
                <c:pt idx="592">
                  <c:v>-9.8847592325419734E-3</c:v>
                </c:pt>
                <c:pt idx="593">
                  <c:v>-4.0899852515251661E-3</c:v>
                </c:pt>
                <c:pt idx="594">
                  <c:v>-9.7482494136605907E-3</c:v>
                </c:pt>
                <c:pt idx="595">
                  <c:v>-2.5540095321899797E-2</c:v>
                </c:pt>
                <c:pt idx="596">
                  <c:v>-3.1471308430188502E-3</c:v>
                </c:pt>
                <c:pt idx="597">
                  <c:v>4.663224278275778E-2</c:v>
                </c:pt>
                <c:pt idx="598">
                  <c:v>-2.4660924951935542E-3</c:v>
                </c:pt>
                <c:pt idx="599">
                  <c:v>-3.3107585774504879E-2</c:v>
                </c:pt>
                <c:pt idx="600">
                  <c:v>3.9793128514810537E-3</c:v>
                </c:pt>
                <c:pt idx="601">
                  <c:v>2.3952107259548501E-3</c:v>
                </c:pt>
                <c:pt idx="602">
                  <c:v>-5.5799267934746504E-3</c:v>
                </c:pt>
                <c:pt idx="603">
                  <c:v>1.9262232795052708E-2</c:v>
                </c:pt>
                <c:pt idx="604">
                  <c:v>-3.2685253127193351E-2</c:v>
                </c:pt>
                <c:pt idx="605">
                  <c:v>-4.8976888098645949E-2</c:v>
                </c:pt>
                <c:pt idx="606">
                  <c:v>-1.7031141018285189E-2</c:v>
                </c:pt>
                <c:pt idx="607">
                  <c:v>8.8496152769826E-3</c:v>
                </c:pt>
                <c:pt idx="608">
                  <c:v>-2.0528580141128707E-2</c:v>
                </c:pt>
                <c:pt idx="609">
                  <c:v>-1.3693907683357985E-2</c:v>
                </c:pt>
                <c:pt idx="610">
                  <c:v>2.317265163790163E-2</c:v>
                </c:pt>
                <c:pt idx="611">
                  <c:v>1.9978466930886295E-2</c:v>
                </c:pt>
                <c:pt idx="612">
                  <c:v>5.9970194723742657E-3</c:v>
                </c:pt>
                <c:pt idx="613">
                  <c:v>2.2581868835918847E-3</c:v>
                </c:pt>
                <c:pt idx="614">
                  <c:v>-2.8233673286852612E-2</c:v>
                </c:pt>
                <c:pt idx="615">
                  <c:v>-5.8436981489109197E-3</c:v>
                </c:pt>
                <c:pt idx="616">
                  <c:v>-7.2806701432362008E-4</c:v>
                </c:pt>
                <c:pt idx="617">
                  <c:v>-7.9739458391442277E-3</c:v>
                </c:pt>
                <c:pt idx="618">
                  <c:v>3.6166404701885148E-3</c:v>
                </c:pt>
                <c:pt idx="619">
                  <c:v>1.4598799421152631E-2</c:v>
                </c:pt>
                <c:pt idx="620">
                  <c:v>-2.9368596733097135E-3</c:v>
                </c:pt>
                <c:pt idx="621">
                  <c:v>2.9368596733097057E-3</c:v>
                </c:pt>
                <c:pt idx="622">
                  <c:v>-6.5958465583511889E-3</c:v>
                </c:pt>
                <c:pt idx="623">
                  <c:v>-1.0897310889166002E-2</c:v>
                </c:pt>
                <c:pt idx="624">
                  <c:v>2.7097959767250993E-2</c:v>
                </c:pt>
                <c:pt idx="625">
                  <c:v>-1.6930842411806604E-2</c:v>
                </c:pt>
                <c:pt idx="626">
                  <c:v>1.1747565349950235E-2</c:v>
                </c:pt>
                <c:pt idx="627">
                  <c:v>8.9021359405932511E-3</c:v>
                </c:pt>
                <c:pt idx="628">
                  <c:v>1.4914245866701199E-3</c:v>
                </c:pt>
                <c:pt idx="629">
                  <c:v>-2.9806281381377893E-3</c:v>
                </c:pt>
                <c:pt idx="630">
                  <c:v>1.0471299867295437E-2</c:v>
                </c:pt>
                <c:pt idx="631">
                  <c:v>2.0509644090954363E-2</c:v>
                </c:pt>
                <c:pt idx="632">
                  <c:v>4.6153928084011831E-3</c:v>
                </c:pt>
                <c:pt idx="633">
                  <c:v>3.8624999738967676E-3</c:v>
                </c:pt>
                <c:pt idx="634">
                  <c:v>1.7962216628159416E-2</c:v>
                </c:pt>
                <c:pt idx="635">
                  <c:v>2.4732014469846349E-2</c:v>
                </c:pt>
                <c:pt idx="636">
                  <c:v>5.6703270600879496E-3</c:v>
                </c:pt>
                <c:pt idx="637">
                  <c:v>8.1267781799025782E-4</c:v>
                </c:pt>
                <c:pt idx="638">
                  <c:v>5.7073126792908727E-3</c:v>
                </c:pt>
                <c:pt idx="639">
                  <c:v>1.4827289762416932E-2</c:v>
                </c:pt>
                <c:pt idx="640">
                  <c:v>1.9271647958711828E-2</c:v>
                </c:pt>
                <c:pt idx="641">
                  <c:v>-5.9046987247383326E-3</c:v>
                </c:pt>
                <c:pt idx="642">
                  <c:v>-2.409755157906053E-2</c:v>
                </c:pt>
                <c:pt idx="643">
                  <c:v>-8.2068121142922067E-4</c:v>
                </c:pt>
                <c:pt idx="644">
                  <c:v>-2.4580102502691154E-3</c:v>
                </c:pt>
                <c:pt idx="645">
                  <c:v>1.9835361056145896E-2</c:v>
                </c:pt>
                <c:pt idx="646">
                  <c:v>-8.34376352119561E-4</c:v>
                </c:pt>
                <c:pt idx="647">
                  <c:v>-8.3368074857745312E-4</c:v>
                </c:pt>
                <c:pt idx="648">
                  <c:v>0</c:v>
                </c:pt>
                <c:pt idx="649">
                  <c:v>-3.327790092674691E-3</c:v>
                </c:pt>
                <c:pt idx="650">
                  <c:v>3.3277900926747457E-3</c:v>
                </c:pt>
                <c:pt idx="651">
                  <c:v>-4.158010148663677E-3</c:v>
                </c:pt>
                <c:pt idx="652">
                  <c:v>-4.1407926660313879E-3</c:v>
                </c:pt>
                <c:pt idx="653">
                  <c:v>4.1407926660313871E-3</c:v>
                </c:pt>
                <c:pt idx="654">
                  <c:v>-5.7923207045044332E-3</c:v>
                </c:pt>
                <c:pt idx="655">
                  <c:v>0</c:v>
                </c:pt>
                <c:pt idx="656">
                  <c:v>1.6515280384729392E-3</c:v>
                </c:pt>
                <c:pt idx="657">
                  <c:v>9.1324835632724723E-3</c:v>
                </c:pt>
                <c:pt idx="658">
                  <c:v>1.0901575469843402E-2</c:v>
                </c:pt>
                <c:pt idx="659">
                  <c:v>-1.4232136417008162E-2</c:v>
                </c:pt>
                <c:pt idx="660">
                  <c:v>2.4968801985871458E-3</c:v>
                </c:pt>
                <c:pt idx="661">
                  <c:v>-2.4968801985871545E-3</c:v>
                </c:pt>
                <c:pt idx="662">
                  <c:v>1.8456899777316474E-2</c:v>
                </c:pt>
                <c:pt idx="663">
                  <c:v>-1.9287809671404029E-2</c:v>
                </c:pt>
                <c:pt idx="664">
                  <c:v>-2.4885952287651311E-3</c:v>
                </c:pt>
                <c:pt idx="665">
                  <c:v>9.9917567319203985E-3</c:v>
                </c:pt>
                <c:pt idx="666">
                  <c:v>-1.6597891409037828E-2</c:v>
                </c:pt>
                <c:pt idx="667">
                  <c:v>0</c:v>
                </c:pt>
                <c:pt idx="668">
                  <c:v>-6.5627799125235484E-3</c:v>
                </c:pt>
                <c:pt idx="669">
                  <c:v>1.8152313607188851E-2</c:v>
                </c:pt>
                <c:pt idx="670">
                  <c:v>-3.9188688045594118E-2</c:v>
                </c:pt>
                <c:pt idx="671">
                  <c:v>-1.1938064581225007E-2</c:v>
                </c:pt>
                <c:pt idx="672">
                  <c:v>1.5145765807994841E-2</c:v>
                </c:pt>
                <c:pt idx="673">
                  <c:v>0</c:v>
                </c:pt>
                <c:pt idx="674">
                  <c:v>2.7689065345715646E-2</c:v>
                </c:pt>
                <c:pt idx="675">
                  <c:v>7.4596284579393568E-3</c:v>
                </c:pt>
                <c:pt idx="676">
                  <c:v>-2.4927308296024725E-3</c:v>
                </c:pt>
                <c:pt idx="677">
                  <c:v>1.0846998299460354E-2</c:v>
                </c:pt>
                <c:pt idx="678">
                  <c:v>-8.3857447262102741E-4</c:v>
                </c:pt>
                <c:pt idx="679">
                  <c:v>2.0322460625847766E-2</c:v>
                </c:pt>
                <c:pt idx="680">
                  <c:v>-4.2680389159732929E-3</c:v>
                </c:pt>
                <c:pt idx="681">
                  <c:v>-9.3260531811897775E-3</c:v>
                </c:pt>
                <c:pt idx="682">
                  <c:v>-7.5662403833158132E-3</c:v>
                </c:pt>
                <c:pt idx="683">
                  <c:v>1.3490929741015288E-2</c:v>
                </c:pt>
                <c:pt idx="684">
                  <c:v>2.0583917143487191E-2</c:v>
                </c:pt>
                <c:pt idx="685">
                  <c:v>2.6030383461622081E-3</c:v>
                </c:pt>
                <c:pt idx="686">
                  <c:v>-3.9187296836090499E-2</c:v>
                </c:pt>
                <c:pt idx="687">
                  <c:v>1.6722411923621328E-3</c:v>
                </c:pt>
                <c:pt idx="688">
                  <c:v>-5.0083577143725192E-3</c:v>
                </c:pt>
                <c:pt idx="689">
                  <c:v>-5.8115564147766616E-3</c:v>
                </c:pt>
                <c:pt idx="690">
                  <c:v>2.1758180528716777E-2</c:v>
                </c:pt>
                <c:pt idx="691">
                  <c:v>-5.9046987247383326E-3</c:v>
                </c:pt>
                <c:pt idx="692">
                  <c:v>4.2140812468308931E-3</c:v>
                </c:pt>
                <c:pt idx="693">
                  <c:v>-1.4256006636032588E-2</c:v>
                </c:pt>
                <c:pt idx="694">
                  <c:v>1.6666670524692463E-3</c:v>
                </c:pt>
                <c:pt idx="695">
                  <c:v>8.3752583367324891E-3</c:v>
                </c:pt>
                <c:pt idx="696">
                  <c:v>-8.4068941479323528E-4</c:v>
                </c:pt>
                <c:pt idx="697">
                  <c:v>2.5241914959069226E-3</c:v>
                </c:pt>
                <c:pt idx="698">
                  <c:v>6.7624940722971708E-3</c:v>
                </c:pt>
                <c:pt idx="699">
                  <c:v>-7.6045993852193036E-3</c:v>
                </c:pt>
                <c:pt idx="700">
                  <c:v>-1.0050335853501451E-2</c:v>
                </c:pt>
                <c:pt idx="701">
                  <c:v>8.3368074857740867E-4</c:v>
                </c:pt>
                <c:pt idx="702">
                  <c:v>-8.3368074857745312E-4</c:v>
                </c:pt>
                <c:pt idx="703">
                  <c:v>-1.6652793190612089E-3</c:v>
                </c:pt>
                <c:pt idx="704">
                  <c:v>1.087421840437109E-2</c:v>
                </c:pt>
                <c:pt idx="705">
                  <c:v>1.6108868898979972E-2</c:v>
                </c:pt>
                <c:pt idx="706">
                  <c:v>8.583743691391435E-3</c:v>
                </c:pt>
                <c:pt idx="707">
                  <c:v>-3.1398421457562872E-2</c:v>
                </c:pt>
                <c:pt idx="708">
                  <c:v>-8.3195155395583888E-3</c:v>
                </c:pt>
                <c:pt idx="709">
                  <c:v>-1.235091863400917E-2</c:v>
                </c:pt>
                <c:pt idx="710">
                  <c:v>7.3922307874905169E-3</c:v>
                </c:pt>
                <c:pt idx="711">
                  <c:v>-4.9342205372213442E-3</c:v>
                </c:pt>
                <c:pt idx="712">
                  <c:v>2.0721835528724128E-2</c:v>
                </c:pt>
                <c:pt idx="713">
                  <c:v>-1.6736405580296484E-3</c:v>
                </c:pt>
                <c:pt idx="714">
                  <c:v>1.6736405580296937E-3</c:v>
                </c:pt>
                <c:pt idx="715">
                  <c:v>-8.3717041306365862E-4</c:v>
                </c:pt>
                <c:pt idx="716">
                  <c:v>-1.2474174225175688E-2</c:v>
                </c:pt>
                <c:pt idx="717">
                  <c:v>1.0801933032813679E-2</c:v>
                </c:pt>
                <c:pt idx="718">
                  <c:v>5.8651194523980576E-3</c:v>
                </c:pt>
                <c:pt idx="719">
                  <c:v>2.1232220105774118E-2</c:v>
                </c:pt>
                <c:pt idx="720">
                  <c:v>8.6207430439069546E-3</c:v>
                </c:pt>
                <c:pt idx="721">
                  <c:v>6.9505058265233316E-3</c:v>
                </c:pt>
                <c:pt idx="722">
                  <c:v>1.316385836624254E-2</c:v>
                </c:pt>
                <c:pt idx="723">
                  <c:v>-2.6466711523747601E-3</c:v>
                </c:pt>
                <c:pt idx="724">
                  <c:v>7.0734158757266991E-3</c:v>
                </c:pt>
                <c:pt idx="725">
                  <c:v>-8.8339797107597519E-3</c:v>
                </c:pt>
                <c:pt idx="726">
                  <c:v>-5.263170044274644E-3</c:v>
                </c:pt>
                <c:pt idx="727">
                  <c:v>1.5873349156290163E-2</c:v>
                </c:pt>
                <c:pt idx="728">
                  <c:v>-1.2367648808661643E-2</c:v>
                </c:pt>
                <c:pt idx="729">
                  <c:v>0</c:v>
                </c:pt>
                <c:pt idx="730">
                  <c:v>-2.6304267687734108E-3</c:v>
                </c:pt>
                <c:pt idx="731">
                  <c:v>1.0563478509569246E-2</c:v>
                </c:pt>
                <c:pt idx="732">
                  <c:v>2.6907452919924402E-2</c:v>
                </c:pt>
                <c:pt idx="733">
                  <c:v>-3.6297680505787237E-3</c:v>
                </c:pt>
                <c:pt idx="734">
                  <c:v>-1.6172859245600957E-2</c:v>
                </c:pt>
                <c:pt idx="735">
                  <c:v>2.0712131679020165E-2</c:v>
                </c:pt>
                <c:pt idx="736">
                  <c:v>2.0221277247232858E-2</c:v>
                </c:pt>
                <c:pt idx="737">
                  <c:v>-2.7816429618768026E-3</c:v>
                </c:pt>
                <c:pt idx="738">
                  <c:v>9.3023926623134103E-3</c:v>
                </c:pt>
                <c:pt idx="739">
                  <c:v>3.5191458336313326E-2</c:v>
                </c:pt>
                <c:pt idx="740">
                  <c:v>-1.9342365798308656E-3</c:v>
                </c:pt>
                <c:pt idx="741">
                  <c:v>-2.0086758566737344E-2</c:v>
                </c:pt>
                <c:pt idx="742">
                  <c:v>3.7950709685515343E-3</c:v>
                </c:pt>
                <c:pt idx="743">
                  <c:v>2.3077947282544673E-2</c:v>
                </c:pt>
                <c:pt idx="744">
                  <c:v>-1.9436352085710144E-3</c:v>
                </c:pt>
                <c:pt idx="745">
                  <c:v>1.7630231376270501E-2</c:v>
                </c:pt>
                <c:pt idx="746">
                  <c:v>-1.0810916104215617E-2</c:v>
                </c:pt>
                <c:pt idx="747">
                  <c:v>0</c:v>
                </c:pt>
                <c:pt idx="748">
                  <c:v>9.7799518797670989E-4</c:v>
                </c:pt>
                <c:pt idx="749">
                  <c:v>6.8728792877620504E-3</c:v>
                </c:pt>
                <c:pt idx="750">
                  <c:v>-2.0478531343540676E-2</c:v>
                </c:pt>
                <c:pt idx="751">
                  <c:v>9.6571711995901315E-4</c:v>
                </c:pt>
                <c:pt idx="752">
                  <c:v>1.1661939747842957E-2</c:v>
                </c:pt>
                <c:pt idx="753">
                  <c:v>-1.6481226183791921E-2</c:v>
                </c:pt>
                <c:pt idx="754">
                  <c:v>-2.093320966646579E-2</c:v>
                </c:pt>
                <c:pt idx="755">
                  <c:v>-1.0304540828814331E-2</c:v>
                </c:pt>
                <c:pt idx="756">
                  <c:v>-1.8621979310646511E-3</c:v>
                </c:pt>
                <c:pt idx="757">
                  <c:v>-1.0180559932117604E-2</c:v>
                </c:pt>
                <c:pt idx="758">
                  <c:v>3.6900410874539631E-3</c:v>
                </c:pt>
                <c:pt idx="759">
                  <c:v>1.5836381262901395E-2</c:v>
                </c:pt>
                <c:pt idx="760">
                  <c:v>-4.8566575571519013E-2</c:v>
                </c:pt>
                <c:pt idx="761">
                  <c:v>-1.6851840035491585E-2</c:v>
                </c:pt>
                <c:pt idx="762">
                  <c:v>6.1755820441498624E-3</c:v>
                </c:pt>
                <c:pt idx="763">
                  <c:v>1.6957122066756293E-2</c:v>
                </c:pt>
                <c:pt idx="764">
                  <c:v>9.950330853168092E-3</c:v>
                </c:pt>
                <c:pt idx="765">
                  <c:v>7.2993024816115351E-3</c:v>
                </c:pt>
                <c:pt idx="766">
                  <c:v>2.8799017690867224E-2</c:v>
                </c:pt>
                <c:pt idx="767">
                  <c:v>-1.1246604016715298E-2</c:v>
                </c:pt>
                <c:pt idx="768">
                  <c:v>-6.5025774875669571E-3</c:v>
                </c:pt>
                <c:pt idx="769">
                  <c:v>-1.8349138668196541E-2</c:v>
                </c:pt>
                <c:pt idx="770">
                  <c:v>2.2059718064732257E-2</c:v>
                </c:pt>
                <c:pt idx="771">
                  <c:v>-1.8416726786231151E-2</c:v>
                </c:pt>
                <c:pt idx="772">
                  <c:v>-1.2692826798418958E-2</c:v>
                </c:pt>
                <c:pt idx="773">
                  <c:v>2.7063615977428457E-3</c:v>
                </c:pt>
                <c:pt idx="774">
                  <c:v>9.0375062635667913E-4</c:v>
                </c:pt>
                <c:pt idx="775">
                  <c:v>-8.1045018119390699E-3</c:v>
                </c:pt>
                <c:pt idx="776">
                  <c:v>-2.0417930792057119E-2</c:v>
                </c:pt>
                <c:pt idx="777">
                  <c:v>2.9427000734422937E-2</c:v>
                </c:pt>
                <c:pt idx="778">
                  <c:v>2.1958796312644965E-2</c:v>
                </c:pt>
                <c:pt idx="779">
                  <c:v>-2.1958796312644947E-2</c:v>
                </c:pt>
                <c:pt idx="780">
                  <c:v>-2.7667985329243517E-2</c:v>
                </c:pt>
                <c:pt idx="781">
                  <c:v>8.8066936559370499E-4</c:v>
                </c:pt>
                <c:pt idx="782">
                  <c:v>5.1525178446560668E-2</c:v>
                </c:pt>
                <c:pt idx="783">
                  <c:v>-1.9293202934678896E-2</c:v>
                </c:pt>
                <c:pt idx="784">
                  <c:v>1.6514136764413014E-2</c:v>
                </c:pt>
                <c:pt idx="785">
                  <c:v>5.5658770774451765E-3</c:v>
                </c:pt>
                <c:pt idx="786">
                  <c:v>-1.2020486854124776E-2</c:v>
                </c:pt>
                <c:pt idx="787">
                  <c:v>-2.271792385965684E-2</c:v>
                </c:pt>
                <c:pt idx="788">
                  <c:v>-6.2696130135953742E-3</c:v>
                </c:pt>
                <c:pt idx="789">
                  <c:v>0</c:v>
                </c:pt>
                <c:pt idx="790">
                  <c:v>-2.2075951699199847E-2</c:v>
                </c:pt>
                <c:pt idx="791">
                  <c:v>1.4958483930335824E-2</c:v>
                </c:pt>
                <c:pt idx="792">
                  <c:v>9.7996329888035607E-3</c:v>
                </c:pt>
                <c:pt idx="793">
                  <c:v>8.089931761971484E-3</c:v>
                </c:pt>
                <c:pt idx="794">
                  <c:v>-3.2848048681110888E-2</c:v>
                </c:pt>
                <c:pt idx="795">
                  <c:v>-1.8174450922097702E-2</c:v>
                </c:pt>
                <c:pt idx="796">
                  <c:v>2.3428403463255629E-2</c:v>
                </c:pt>
                <c:pt idx="797">
                  <c:v>7.9330517407959211E-3</c:v>
                </c:pt>
                <c:pt idx="798">
                  <c:v>0</c:v>
                </c:pt>
                <c:pt idx="799">
                  <c:v>1.3363227812167158E-2</c:v>
                </c:pt>
                <c:pt idx="800">
                  <c:v>-8.9286307443013184E-3</c:v>
                </c:pt>
                <c:pt idx="801">
                  <c:v>1.3423020332140771E-2</c:v>
                </c:pt>
                <c:pt idx="802">
                  <c:v>0</c:v>
                </c:pt>
                <c:pt idx="803">
                  <c:v>-1.1643660432063345E-2</c:v>
                </c:pt>
                <c:pt idx="804">
                  <c:v>1.7063727901402471E-2</c:v>
                </c:pt>
                <c:pt idx="805">
                  <c:v>-1.4388737452099556E-2</c:v>
                </c:pt>
                <c:pt idx="806">
                  <c:v>8.0681746495101792E-3</c:v>
                </c:pt>
                <c:pt idx="807">
                  <c:v>-7.1749186722952054E-3</c:v>
                </c:pt>
                <c:pt idx="808">
                  <c:v>-2.384218896275964E-2</c:v>
                </c:pt>
                <c:pt idx="809">
                  <c:v>-4.3535114471977754E-3</c:v>
                </c:pt>
                <c:pt idx="810">
                  <c:v>-1.1231219569500449E-2</c:v>
                </c:pt>
                <c:pt idx="811">
                  <c:v>-2.2090957814191972E-2</c:v>
                </c:pt>
                <c:pt idx="812">
                  <c:v>1.0984478845298302E-2</c:v>
                </c:pt>
                <c:pt idx="813">
                  <c:v>-2.5169113837254776E-2</c:v>
                </c:pt>
                <c:pt idx="814">
                  <c:v>-2.4824174932553066E-3</c:v>
                </c:pt>
                <c:pt idx="815">
                  <c:v>3.3112613036560051E-3</c:v>
                </c:pt>
                <c:pt idx="816">
                  <c:v>-1.3179762444409847E-2</c:v>
                </c:pt>
                <c:pt idx="817">
                  <c:v>-8.179959556316983E-4</c:v>
                </c:pt>
                <c:pt idx="818">
                  <c:v>8.210226743122143E-3</c:v>
                </c:pt>
                <c:pt idx="819">
                  <c:v>4.1234280652667071E-2</c:v>
                </c:pt>
                <c:pt idx="820">
                  <c:v>4.750233398500326E-2</c:v>
                </c:pt>
                <c:pt idx="821">
                  <c:v>9.0130695601288848E-4</c:v>
                </c:pt>
                <c:pt idx="822">
                  <c:v>1.2704345099765861E-2</c:v>
                </c:pt>
                <c:pt idx="823">
                  <c:v>9.1365926867476726E-4</c:v>
                </c:pt>
                <c:pt idx="824">
                  <c:v>-2.7384772933036873E-3</c:v>
                </c:pt>
                <c:pt idx="825">
                  <c:v>2.4920532819278467E-2</c:v>
                </c:pt>
                <c:pt idx="826">
                  <c:v>1.8868484304382736E-2</c:v>
                </c:pt>
                <c:pt idx="827">
                  <c:v>1.9231361927887592E-2</c:v>
                </c:pt>
                <c:pt idx="828">
                  <c:v>-2.8710105882431367E-2</c:v>
                </c:pt>
                <c:pt idx="829">
                  <c:v>-2.4232313387767972E-2</c:v>
                </c:pt>
                <c:pt idx="830">
                  <c:v>0</c:v>
                </c:pt>
                <c:pt idx="831">
                  <c:v>-4.5934853391900949E-3</c:v>
                </c:pt>
                <c:pt idx="832">
                  <c:v>-1.093903342043161E-2</c:v>
                </c:pt>
                <c:pt idx="833">
                  <c:v>3.0375091797550543E-2</c:v>
                </c:pt>
                <c:pt idx="834">
                  <c:v>1.6015415321976274E-2</c:v>
                </c:pt>
                <c:pt idx="835">
                  <c:v>1.9176043014336959E-2</c:v>
                </c:pt>
                <c:pt idx="836">
                  <c:v>3.3467690471084929E-2</c:v>
                </c:pt>
                <c:pt idx="837">
                  <c:v>-2.00000066666711E-3</c:v>
                </c:pt>
                <c:pt idx="838">
                  <c:v>-6.9686693160933158E-3</c:v>
                </c:pt>
                <c:pt idx="839">
                  <c:v>1.8018505502678212E-2</c:v>
                </c:pt>
                <c:pt idx="840">
                  <c:v>-2.7890253981832439E-2</c:v>
                </c:pt>
                <c:pt idx="841">
                  <c:v>1.1857846450783468E-2</c:v>
                </c:pt>
                <c:pt idx="842">
                  <c:v>-9.9354205887778983E-4</c:v>
                </c:pt>
                <c:pt idx="843">
                  <c:v>-3.4166329594749981E-2</c:v>
                </c:pt>
                <c:pt idx="844">
                  <c:v>1.6449330740803687E-2</c:v>
                </c:pt>
                <c:pt idx="845">
                  <c:v>-8.742163495865915E-3</c:v>
                </c:pt>
                <c:pt idx="846">
                  <c:v>-9.6665063109498996E-4</c:v>
                </c:pt>
                <c:pt idx="847">
                  <c:v>2.8419355039785019E-2</c:v>
                </c:pt>
                <c:pt idx="848">
                  <c:v>6.4821967192298545E-3</c:v>
                </c:pt>
                <c:pt idx="849">
                  <c:v>1.0055388897834243E-2</c:v>
                </c:pt>
                <c:pt idx="850">
                  <c:v>-1.6537585617064057E-2</c:v>
                </c:pt>
                <c:pt idx="851">
                  <c:v>1.9067311226202945E-2</c:v>
                </c:pt>
                <c:pt idx="852">
                  <c:v>2.9300476947782383E-2</c:v>
                </c:pt>
                <c:pt idx="853">
                  <c:v>1.1542625529117672E-2</c:v>
                </c:pt>
                <c:pt idx="854">
                  <c:v>1.0610179112015469E-2</c:v>
                </c:pt>
                <c:pt idx="855">
                  <c:v>-1.1137744410455872E-2</c:v>
                </c:pt>
                <c:pt idx="856">
                  <c:v>2.5642430613337652E-2</c:v>
                </c:pt>
                <c:pt idx="857">
                  <c:v>7.1779682394130739E-2</c:v>
                </c:pt>
                <c:pt idx="858">
                  <c:v>4.3976188570483507E-2</c:v>
                </c:pt>
                <c:pt idx="859">
                  <c:v>1.4071813722423939E-2</c:v>
                </c:pt>
                <c:pt idx="860">
                  <c:v>3.0854698961542233E-3</c:v>
                </c:pt>
                <c:pt idx="861">
                  <c:v>3.6504997374854353E-2</c:v>
                </c:pt>
                <c:pt idx="862">
                  <c:v>2.5975486403260736E-2</c:v>
                </c:pt>
                <c:pt idx="863">
                  <c:v>-4.5946913783104174E-3</c:v>
                </c:pt>
                <c:pt idx="864">
                  <c:v>8.5498712212382609E-3</c:v>
                </c:pt>
                <c:pt idx="865">
                  <c:v>-1.5727716068195154E-2</c:v>
                </c:pt>
                <c:pt idx="866">
                  <c:v>-2.3772401194144113E-2</c:v>
                </c:pt>
                <c:pt idx="867">
                  <c:v>8.9286307443013982E-3</c:v>
                </c:pt>
                <c:pt idx="868">
                  <c:v>-3.7099507710997702E-2</c:v>
                </c:pt>
                <c:pt idx="869">
                  <c:v>-5.5401803756153561E-3</c:v>
                </c:pt>
                <c:pt idx="870">
                  <c:v>-4.2879085606471849E-3</c:v>
                </c:pt>
                <c:pt idx="871">
                  <c:v>-2.2961733886728296E-2</c:v>
                </c:pt>
                <c:pt idx="872">
                  <c:v>5.390848634876373E-3</c:v>
                </c:pt>
                <c:pt idx="873">
                  <c:v>5.4200674693391133E-3</c:v>
                </c:pt>
                <c:pt idx="874">
                  <c:v>1.208459361568327E-3</c:v>
                </c:pt>
                <c:pt idx="875">
                  <c:v>8.5003547653925253E-3</c:v>
                </c:pt>
                <c:pt idx="876">
                  <c:v>2.1572485254127763E-2</c:v>
                </c:pt>
                <c:pt idx="877">
                  <c:v>-3.9699869846684582E-2</c:v>
                </c:pt>
                <c:pt idx="878">
                  <c:v>0</c:v>
                </c:pt>
                <c:pt idx="879">
                  <c:v>1.8127384592556701E-2</c:v>
                </c:pt>
                <c:pt idx="880">
                  <c:v>-1.8726007777149632E-2</c:v>
                </c:pt>
                <c:pt idx="881">
                  <c:v>-2.3909156637731428E-3</c:v>
                </c:pt>
                <c:pt idx="882">
                  <c:v>5.3876215323788211E-3</c:v>
                </c:pt>
                <c:pt idx="883">
                  <c:v>-1.430298519033114E-2</c:v>
                </c:pt>
                <c:pt idx="884">
                  <c:v>-5.9154098146113783E-4</c:v>
                </c:pt>
                <c:pt idx="885">
                  <c:v>2.2728251077556091E-2</c:v>
                </c:pt>
                <c:pt idx="886">
                  <c:v>-6.6325235601296722E-3</c:v>
                </c:pt>
                <c:pt idx="887">
                  <c:v>6.5179752323377305E-2</c:v>
                </c:pt>
                <c:pt idx="888">
                  <c:v>4.5001683146124434E-3</c:v>
                </c:pt>
                <c:pt idx="889">
                  <c:v>-4.1646396875272974E-2</c:v>
                </c:pt>
                <c:pt idx="890">
                  <c:v>-1.0451985712916787E-2</c:v>
                </c:pt>
                <c:pt idx="891">
                  <c:v>2.2264370497399506E-2</c:v>
                </c:pt>
                <c:pt idx="892">
                  <c:v>-1.9201580966853787E-2</c:v>
                </c:pt>
                <c:pt idx="893">
                  <c:v>6.1538655743782859E-3</c:v>
                </c:pt>
                <c:pt idx="894">
                  <c:v>0</c:v>
                </c:pt>
                <c:pt idx="895">
                  <c:v>3.0911925696728796E-3</c:v>
                </c:pt>
                <c:pt idx="896">
                  <c:v>-1.9620494520883457E-2</c:v>
                </c:pt>
                <c:pt idx="897">
                  <c:v>-1.3269193484194782E-2</c:v>
                </c:pt>
                <c:pt idx="898">
                  <c:v>-4.7818381613737313E-3</c:v>
                </c:pt>
                <c:pt idx="899">
                  <c:v>7.782140442054949E-3</c:v>
                </c:pt>
                <c:pt idx="900">
                  <c:v>1.2092045765028772E-2</c:v>
                </c:pt>
                <c:pt idx="901">
                  <c:v>-3.5259105046563079E-2</c:v>
                </c:pt>
                <c:pt idx="902">
                  <c:v>7.0713317641079299E-3</c:v>
                </c:pt>
                <c:pt idx="903">
                  <c:v>9.5069046394134545E-3</c:v>
                </c:pt>
                <c:pt idx="904">
                  <c:v>1.080442683260383E-2</c:v>
                </c:pt>
                <c:pt idx="905">
                  <c:v>-1.7350121135237855E-2</c:v>
                </c:pt>
                <c:pt idx="906">
                  <c:v>5.9488575197724838E-3</c:v>
                </c:pt>
                <c:pt idx="907">
                  <c:v>3.5863756312276532E-3</c:v>
                </c:pt>
                <c:pt idx="908">
                  <c:v>-1.1904902506318314E-2</c:v>
                </c:pt>
                <c:pt idx="909">
                  <c:v>-2.1078063726254131E-2</c:v>
                </c:pt>
                <c:pt idx="910">
                  <c:v>7.5603733192533672E-3</c:v>
                </c:pt>
                <c:pt idx="911">
                  <c:v>1.7528488274143868E-3</c:v>
                </c:pt>
                <c:pt idx="912">
                  <c:v>-5.2493558861436782E-3</c:v>
                </c:pt>
                <c:pt idx="913">
                  <c:v>-5.2219439811517126E-3</c:v>
                </c:pt>
                <c:pt idx="914">
                  <c:v>-2.9086738301834267E-2</c:v>
                </c:pt>
                <c:pt idx="915">
                  <c:v>5.0718620979603489E-3</c:v>
                </c:pt>
                <c:pt idx="916">
                  <c:v>-8.4388686458645949E-3</c:v>
                </c:pt>
                <c:pt idx="917">
                  <c:v>-1.280284673838236E-2</c:v>
                </c:pt>
                <c:pt idx="918">
                  <c:v>7.2162400297426264E-3</c:v>
                </c:pt>
                <c:pt idx="919">
                  <c:v>-8.3218233374922172E-3</c:v>
                </c:pt>
                <c:pt idx="920">
                  <c:v>-1.6438726343159835E-2</c:v>
                </c:pt>
                <c:pt idx="921">
                  <c:v>2.5875376997898495E-2</c:v>
                </c:pt>
                <c:pt idx="922">
                  <c:v>-5.5756901360858621E-4</c:v>
                </c:pt>
                <c:pt idx="923">
                  <c:v>4.9710319824300783E-2</c:v>
                </c:pt>
                <c:pt idx="924">
                  <c:v>-8.7489621932355377E-3</c:v>
                </c:pt>
                <c:pt idx="925">
                  <c:v>2.9078240902005552E-3</c:v>
                </c:pt>
                <c:pt idx="926">
                  <c:v>-4.9982009869505788E-2</c:v>
                </c:pt>
                <c:pt idx="927">
                  <c:v>1.9581045199106563E-2</c:v>
                </c:pt>
                <c:pt idx="928">
                  <c:v>2.4014876203873919E-2</c:v>
                </c:pt>
                <c:pt idx="929">
                  <c:v>-6.9204428445737952E-3</c:v>
                </c:pt>
                <c:pt idx="930">
                  <c:v>6.3419065252842228E-3</c:v>
                </c:pt>
                <c:pt idx="931">
                  <c:v>-2.5693677186234297E-2</c:v>
                </c:pt>
                <c:pt idx="932">
                  <c:v>1.3049830583672956E-2</c:v>
                </c:pt>
                <c:pt idx="933">
                  <c:v>-5.126755746345627E-3</c:v>
                </c:pt>
                <c:pt idx="934">
                  <c:v>5.6980211146377959E-3</c:v>
                </c:pt>
                <c:pt idx="935">
                  <c:v>-1.4184634991956413E-2</c:v>
                </c:pt>
                <c:pt idx="936">
                  <c:v>-8.9737001511956214E-3</c:v>
                </c:pt>
                <c:pt idx="937">
                  <c:v>-1.0552722199159615E-2</c:v>
                </c:pt>
                <c:pt idx="938">
                  <c:v>7.7648753977266017E-3</c:v>
                </c:pt>
                <c:pt idx="939">
                  <c:v>1.1142062434035577E-3</c:v>
                </c:pt>
                <c:pt idx="940">
                  <c:v>-2.2051610197668783E-2</c:v>
                </c:pt>
                <c:pt idx="941">
                  <c:v>-1.6761679261505746E-2</c:v>
                </c:pt>
                <c:pt idx="942">
                  <c:v>-5.3604932937325071E-4</c:v>
                </c:pt>
                <c:pt idx="943">
                  <c:v>2.386230358738551E-2</c:v>
                </c:pt>
                <c:pt idx="944">
                  <c:v>-2.0103909901540387E-2</c:v>
                </c:pt>
                <c:pt idx="945">
                  <c:v>5.3806834766008144E-4</c:v>
                </c:pt>
                <c:pt idx="946">
                  <c:v>-1.0758473334631254E-3</c:v>
                </c:pt>
                <c:pt idx="947">
                  <c:v>2.1190686979639054E-2</c:v>
                </c:pt>
                <c:pt idx="948">
                  <c:v>-2.0114839646175872E-2</c:v>
                </c:pt>
                <c:pt idx="949">
                  <c:v>-4.29646203350534E-3</c:v>
                </c:pt>
                <c:pt idx="950">
                  <c:v>-6.9426180061762273E-3</c:v>
                </c:pt>
                <c:pt idx="951">
                  <c:v>-1.269186788268423E-2</c:v>
                </c:pt>
                <c:pt idx="952">
                  <c:v>-4.7182263151970541E-3</c:v>
                </c:pt>
                <c:pt idx="953">
                  <c:v>-1.0923385596984289E-2</c:v>
                </c:pt>
                <c:pt idx="954">
                  <c:v>2.1438729596507389E-2</c:v>
                </c:pt>
                <c:pt idx="955">
                  <c:v>-1.1560822401075971E-2</c:v>
                </c:pt>
                <c:pt idx="956">
                  <c:v>4.7132844520981366E-3</c:v>
                </c:pt>
                <c:pt idx="957">
                  <c:v>-1.2001187609689542E-2</c:v>
                </c:pt>
                <c:pt idx="958">
                  <c:v>-1.390699724897526E-2</c:v>
                </c:pt>
                <c:pt idx="959">
                  <c:v>7.1868892504559582E-3</c:v>
                </c:pt>
                <c:pt idx="960">
                  <c:v>-1.0761056956298146E-2</c:v>
                </c:pt>
                <c:pt idx="961">
                  <c:v>6.1349885675159293E-3</c:v>
                </c:pt>
                <c:pt idx="962">
                  <c:v>-1.121888360478829E-2</c:v>
                </c:pt>
                <c:pt idx="963">
                  <c:v>-2.0080996057049133E-2</c:v>
                </c:pt>
                <c:pt idx="964">
                  <c:v>-1.3820555618632199E-2</c:v>
                </c:pt>
                <c:pt idx="965">
                  <c:v>1.980262729617973E-2</c:v>
                </c:pt>
                <c:pt idx="966">
                  <c:v>1.6637641153023224E-2</c:v>
                </c:pt>
                <c:pt idx="967">
                  <c:v>-2.2619712830570793E-2</c:v>
                </c:pt>
                <c:pt idx="968">
                  <c:v>4.8889572688824011E-2</c:v>
                </c:pt>
                <c:pt idx="969">
                  <c:v>-2.7793863201228331E-2</c:v>
                </c:pt>
                <c:pt idx="970">
                  <c:v>-8.5924208197826913E-3</c:v>
                </c:pt>
                <c:pt idx="971">
                  <c:v>-3.0150776609779214E-3</c:v>
                </c:pt>
                <c:pt idx="972">
                  <c:v>-1.0481753065712895E-2</c:v>
                </c:pt>
                <c:pt idx="973">
                  <c:v>6.9756137364251382E-3</c:v>
                </c:pt>
                <c:pt idx="974">
                  <c:v>0</c:v>
                </c:pt>
                <c:pt idx="975">
                  <c:v>-1.9802627296179754E-2</c:v>
                </c:pt>
                <c:pt idx="976">
                  <c:v>-7.8125397367936247E-3</c:v>
                </c:pt>
                <c:pt idx="977">
                  <c:v>0</c:v>
                </c:pt>
                <c:pt idx="978">
                  <c:v>-1.160554612030789E-2</c:v>
                </c:pt>
                <c:pt idx="979">
                  <c:v>4.1723843371399769E-2</c:v>
                </c:pt>
                <c:pt idx="980">
                  <c:v>1.5048911794203067E-3</c:v>
                </c:pt>
                <c:pt idx="981">
                  <c:v>-4.0080213975388218E-3</c:v>
                </c:pt>
                <c:pt idx="982">
                  <c:v>-2.4692612590371522E-2</c:v>
                </c:pt>
                <c:pt idx="983">
                  <c:v>9.7608597305545892E-4</c:v>
                </c:pt>
                <c:pt idx="984">
                  <c:v>2.9339874347875704E-3</c:v>
                </c:pt>
                <c:pt idx="985">
                  <c:v>-1.9569477869609241E-3</c:v>
                </c:pt>
                <c:pt idx="986">
                  <c:v>2.9368596733097057E-3</c:v>
                </c:pt>
                <c:pt idx="987">
                  <c:v>-4.8899852941917919E-3</c:v>
                </c:pt>
                <c:pt idx="988">
                  <c:v>8.8192634340813359E-3</c:v>
                </c:pt>
                <c:pt idx="989">
                  <c:v>-4.9091900262384081E-3</c:v>
                </c:pt>
                <c:pt idx="990">
                  <c:v>-3.9100734078430007E-3</c:v>
                </c:pt>
                <c:pt idx="991">
                  <c:v>3.5248126529888055E-2</c:v>
                </c:pt>
                <c:pt idx="992">
                  <c:v>-1.2553516602189743E-2</c:v>
                </c:pt>
                <c:pt idx="993">
                  <c:v>-2.9895388483660483E-3</c:v>
                </c:pt>
                <c:pt idx="994">
                  <c:v>0</c:v>
                </c:pt>
                <c:pt idx="995">
                  <c:v>1.0000083334583399E-2</c:v>
                </c:pt>
                <c:pt idx="996">
                  <c:v>4.4703050422388486E-2</c:v>
                </c:pt>
                <c:pt idx="997">
                  <c:v>-5.4703133756971958E-2</c:v>
                </c:pt>
                <c:pt idx="998">
                  <c:v>-3.2308243232657775E-2</c:v>
                </c:pt>
                <c:pt idx="999">
                  <c:v>2.7345453890528837E-2</c:v>
                </c:pt>
                <c:pt idx="1000">
                  <c:v>-4.9382816405825663E-3</c:v>
                </c:pt>
                <c:pt idx="1001">
                  <c:v>-7.5865750774713483E-2</c:v>
                </c:pt>
                <c:pt idx="1002">
                  <c:v>6.8992871486951421E-2</c:v>
                </c:pt>
                <c:pt idx="1003">
                  <c:v>5.1705368154584888E-2</c:v>
                </c:pt>
                <c:pt idx="1004">
                  <c:v>1.6100062128334699E-2</c:v>
                </c:pt>
                <c:pt idx="1005">
                  <c:v>-2.9914556571523126E-2</c:v>
                </c:pt>
                <c:pt idx="1006">
                  <c:v>4.3089977730087617E-2</c:v>
                </c:pt>
                <c:pt idx="1007">
                  <c:v>-5.9219359659971216E-2</c:v>
                </c:pt>
                <c:pt idx="1008">
                  <c:v>5.7099592040572897E-2</c:v>
                </c:pt>
                <c:pt idx="1009">
                  <c:v>-2.1472414397421671E-2</c:v>
                </c:pt>
                <c:pt idx="1010">
                  <c:v>4.2875050511806366E-2</c:v>
                </c:pt>
                <c:pt idx="1011">
                  <c:v>-1.9282868494986304E-2</c:v>
                </c:pt>
                <c:pt idx="1012">
                  <c:v>9.5949563403885194E-3</c:v>
                </c:pt>
                <c:pt idx="1013">
                  <c:v>-2.1722708466509234E-2</c:v>
                </c:pt>
                <c:pt idx="1014">
                  <c:v>-4.7091607533850569E-2</c:v>
                </c:pt>
                <c:pt idx="1015">
                  <c:v>6.6674133267992666E-2</c:v>
                </c:pt>
                <c:pt idx="1016">
                  <c:v>1.5621109458837467E-2</c:v>
                </c:pt>
                <c:pt idx="1017">
                  <c:v>0.12534412205141435</c:v>
                </c:pt>
                <c:pt idx="1018">
                  <c:v>7.8710262439757719E-2</c:v>
                </c:pt>
                <c:pt idx="1019">
                  <c:v>-0.11793097559303904</c:v>
                </c:pt>
                <c:pt idx="1020">
                  <c:v>-1.7595761890379601E-2</c:v>
                </c:pt>
                <c:pt idx="1021">
                  <c:v>-7.2861348264871714E-2</c:v>
                </c:pt>
                <c:pt idx="1022">
                  <c:v>2.9623669210225502E-2</c:v>
                </c:pt>
                <c:pt idx="1023">
                  <c:v>-6.4677709668661001E-2</c:v>
                </c:pt>
                <c:pt idx="1024">
                  <c:v>-5.3847441049610832E-2</c:v>
                </c:pt>
                <c:pt idx="1025">
                  <c:v>1.0939940038334263E-2</c:v>
                </c:pt>
                <c:pt idx="1026">
                  <c:v>-0.12575120530556039</c:v>
                </c:pt>
                <c:pt idx="1027">
                  <c:v>-3.9763233172013121E-2</c:v>
                </c:pt>
                <c:pt idx="1028">
                  <c:v>-4.6365920557925655E-2</c:v>
                </c:pt>
                <c:pt idx="1029">
                  <c:v>-2.3191763143984506E-2</c:v>
                </c:pt>
                <c:pt idx="1030">
                  <c:v>3.7041271680349076E-2</c:v>
                </c:pt>
                <c:pt idx="1031">
                  <c:v>3.0822931515227983E-2</c:v>
                </c:pt>
                <c:pt idx="1032">
                  <c:v>-3.8992911599991346E-2</c:v>
                </c:pt>
                <c:pt idx="1033">
                  <c:v>-2.4910890379488883E-2</c:v>
                </c:pt>
                <c:pt idx="1034">
                  <c:v>1.2779726646399021E-2</c:v>
                </c:pt>
                <c:pt idx="1035">
                  <c:v>-2.4614184293401748E-2</c:v>
                </c:pt>
                <c:pt idx="1036">
                  <c:v>-5.5675833879725835E-2</c:v>
                </c:pt>
                <c:pt idx="1037">
                  <c:v>1.4947961435873148E-2</c:v>
                </c:pt>
                <c:pt idx="1038">
                  <c:v>-4.5078964391898173E-3</c:v>
                </c:pt>
                <c:pt idx="1039">
                  <c:v>1.0550210895152392E-2</c:v>
                </c:pt>
                <c:pt idx="1040">
                  <c:v>1.449853706791132E-2</c:v>
                </c:pt>
                <c:pt idx="1041">
                  <c:v>1.7836843575025088E-2</c:v>
                </c:pt>
                <c:pt idx="1042">
                  <c:v>-1.5637219761827587E-3</c:v>
                </c:pt>
                <c:pt idx="1043">
                  <c:v>0</c:v>
                </c:pt>
                <c:pt idx="1044">
                  <c:v>-1.5504186535965199E-2</c:v>
                </c:pt>
                <c:pt idx="1045">
                  <c:v>-1.2992158293652887E-2</c:v>
                </c:pt>
                <c:pt idx="1046">
                  <c:v>-3.7893186683505909E-3</c:v>
                </c:pt>
                <c:pt idx="1047">
                  <c:v>-3.0211503341762112E-3</c:v>
                </c:pt>
                <c:pt idx="1048">
                  <c:v>1.2903404835907782E-2</c:v>
                </c:pt>
                <c:pt idx="1049">
                  <c:v>0</c:v>
                </c:pt>
                <c:pt idx="1050">
                  <c:v>1.850476858057969E-2</c:v>
                </c:pt>
                <c:pt idx="1051">
                  <c:v>-3.883500026397633E-3</c:v>
                </c:pt>
                <c:pt idx="1052">
                  <c:v>-1.0794245130880512E-2</c:v>
                </c:pt>
                <c:pt idx="1053">
                  <c:v>-1.5975995933724296E-2</c:v>
                </c:pt>
                <c:pt idx="1054">
                  <c:v>-6.7694880552464816E-3</c:v>
                </c:pt>
                <c:pt idx="1055">
                  <c:v>2.2514080804574279E-3</c:v>
                </c:pt>
                <c:pt idx="1056">
                  <c:v>-1.7870914918689626E-2</c:v>
                </c:pt>
                <c:pt idx="1057">
                  <c:v>-4.4182693376647771E-3</c:v>
                </c:pt>
                <c:pt idx="1058">
                  <c:v>-9.5064701308286183E-3</c:v>
                </c:pt>
                <c:pt idx="1059">
                  <c:v>1.762160134981941E-2</c:v>
                </c:pt>
                <c:pt idx="1060">
                  <c:v>-3.7081674904531924E-2</c:v>
                </c:pt>
                <c:pt idx="1061">
                  <c:v>-1.8388071139829366E-2</c:v>
                </c:pt>
                <c:pt idx="1062">
                  <c:v>1.1984634104622418E-2</c:v>
                </c:pt>
                <c:pt idx="1063">
                  <c:v>-1.4174346809733935E-3</c:v>
                </c:pt>
                <c:pt idx="1064">
                  <c:v>-9.1646746495635204E-3</c:v>
                </c:pt>
                <c:pt idx="1065">
                  <c:v>-1.1859225142143479E-2</c:v>
                </c:pt>
                <c:pt idx="1066">
                  <c:v>6.937218453723083E-4</c:v>
                </c:pt>
                <c:pt idx="1067">
                  <c:v>-2.7720045470104892E-3</c:v>
                </c:pt>
                <c:pt idx="1068">
                  <c:v>6.9228109376093412E-4</c:v>
                </c:pt>
                <c:pt idx="1069">
                  <c:v>5.5555698446019637E-3</c:v>
                </c:pt>
                <c:pt idx="1070">
                  <c:v>-3.4758463913525414E-3</c:v>
                </c:pt>
                <c:pt idx="1071">
                  <c:v>-2.3320672774398081E-2</c:v>
                </c:pt>
                <c:pt idx="1072">
                  <c:v>-3.3840979842405684E-3</c:v>
                </c:pt>
                <c:pt idx="1073">
                  <c:v>6.7796869853787691E-3</c:v>
                </c:pt>
                <c:pt idx="1074">
                  <c:v>0</c:v>
                </c:pt>
                <c:pt idx="1075">
                  <c:v>5.4570394630581174E-3</c:v>
                </c:pt>
                <c:pt idx="1076">
                  <c:v>3.4258341145190102E-3</c:v>
                </c:pt>
                <c:pt idx="1077">
                  <c:v>1.0348488350310443E-2</c:v>
                </c:pt>
                <c:pt idx="1078">
                  <c:v>4.1695682367248309E-3</c:v>
                </c:pt>
                <c:pt idx="1079">
                  <c:v>-3.4758463913525414E-3</c:v>
                </c:pt>
                <c:pt idx="1080">
                  <c:v>-8.2930675707608339E-3</c:v>
                </c:pt>
                <c:pt idx="1081">
                  <c:v>2.0668281556628885E-3</c:v>
                </c:pt>
                <c:pt idx="1082">
                  <c:v>6.920442844573757E-3</c:v>
                </c:pt>
                <c:pt idx="1083">
                  <c:v>0</c:v>
                </c:pt>
                <c:pt idx="1084">
                  <c:v>-4.158010148663677E-3</c:v>
                </c:pt>
                <c:pt idx="1085">
                  <c:v>6.9396531105404002E-3</c:v>
                </c:pt>
                <c:pt idx="1086">
                  <c:v>4.187026354216453E-3</c:v>
                </c:pt>
                <c:pt idx="1087">
                  <c:v>5.6101128907667828E-3</c:v>
                </c:pt>
                <c:pt idx="1088">
                  <c:v>1.559209475983628E-2</c:v>
                </c:pt>
                <c:pt idx="1089">
                  <c:v>-1.9102101873486401E-2</c:v>
                </c:pt>
                <c:pt idx="1090">
                  <c:v>-2.7645160666145353E-2</c:v>
                </c:pt>
                <c:pt idx="1091">
                  <c:v>4.098366392282185E-3</c:v>
                </c:pt>
                <c:pt idx="1092">
                  <c:v>-2.7341097004681724E-3</c:v>
                </c:pt>
                <c:pt idx="1093">
                  <c:v>1.3661204310434418E-3</c:v>
                </c:pt>
                <c:pt idx="1094">
                  <c:v>-2.6973988732850219E-2</c:v>
                </c:pt>
                <c:pt idx="1095">
                  <c:v>1.070244329281933E-2</c:v>
                </c:pt>
                <c:pt idx="1096">
                  <c:v>1.8324231757772959E-2</c:v>
                </c:pt>
                <c:pt idx="1097">
                  <c:v>-2.9026675050592345E-2</c:v>
                </c:pt>
                <c:pt idx="1098">
                  <c:v>1.331558119512613E-3</c:v>
                </c:pt>
                <c:pt idx="1099">
                  <c:v>-1.0603147715070324E-2</c:v>
                </c:pt>
                <c:pt idx="1100">
                  <c:v>1.3939820814109587E-2</c:v>
                </c:pt>
                <c:pt idx="1101">
                  <c:v>-2.6702285558789208E-3</c:v>
                </c:pt>
                <c:pt idx="1102">
                  <c:v>-5.3191614775999329E-3</c:v>
                </c:pt>
                <c:pt idx="1103">
                  <c:v>-2.0348585270977899E-2</c:v>
                </c:pt>
                <c:pt idx="1104">
                  <c:v>1.9023204029909289E-2</c:v>
                </c:pt>
                <c:pt idx="1105">
                  <c:v>-7.9156086126610861E-3</c:v>
                </c:pt>
                <c:pt idx="1106">
                  <c:v>3.949972219314069E-3</c:v>
                </c:pt>
                <c:pt idx="1107">
                  <c:v>9.9437345688549259E-3</c:v>
                </c:pt>
                <c:pt idx="1108">
                  <c:v>-1.3236460625830931E-2</c:v>
                </c:pt>
                <c:pt idx="1109">
                  <c:v>1.257045993521279E-2</c:v>
                </c:pt>
                <c:pt idx="1110">
                  <c:v>3.1104603567448881E-2</c:v>
                </c:pt>
                <c:pt idx="1111">
                  <c:v>-2.1739986636405875E-2</c:v>
                </c:pt>
                <c:pt idx="1112">
                  <c:v>1.2851039219159924E-2</c:v>
                </c:pt>
                <c:pt idx="1113">
                  <c:v>2.8307033274347509E-2</c:v>
                </c:pt>
                <c:pt idx="1114">
                  <c:v>-2.7972046210612538E-3</c:v>
                </c:pt>
                <c:pt idx="1115">
                  <c:v>-2.0049064230108538E-2</c:v>
                </c:pt>
                <c:pt idx="1116">
                  <c:v>2.7416055554947178E-3</c:v>
                </c:pt>
                <c:pt idx="1117">
                  <c:v>1.8705082941251863E-2</c:v>
                </c:pt>
                <c:pt idx="1118">
                  <c:v>4.9071251641006957E-3</c:v>
                </c:pt>
                <c:pt idx="1119">
                  <c:v>-1.4044946128985581E-3</c:v>
                </c:pt>
                <c:pt idx="1120">
                  <c:v>1.4134510934904716E-2</c:v>
                </c:pt>
                <c:pt idx="1121">
                  <c:v>-1.2730016322006285E-2</c:v>
                </c:pt>
                <c:pt idx="1122">
                  <c:v>-1.5342002456680177E-2</c:v>
                </c:pt>
                <c:pt idx="1123">
                  <c:v>5.5517144675077115E-3</c:v>
                </c:pt>
                <c:pt idx="1124">
                  <c:v>1.6135039622506814E-2</c:v>
                </c:pt>
                <c:pt idx="1125">
                  <c:v>-1.413427797146964E-3</c:v>
                </c:pt>
                <c:pt idx="1126">
                  <c:v>4.246290881451004E-3</c:v>
                </c:pt>
                <c:pt idx="1127">
                  <c:v>-5.6577237198588374E-3</c:v>
                </c:pt>
                <c:pt idx="1128">
                  <c:v>3.5323244075452938E-3</c:v>
                </c:pt>
                <c:pt idx="1129">
                  <c:v>7.815315089992031E-3</c:v>
                </c:pt>
                <c:pt idx="1130">
                  <c:v>1.4275519911853237E-3</c:v>
                </c:pt>
                <c:pt idx="1131">
                  <c:v>-2.4692612590371522E-2</c:v>
                </c:pt>
                <c:pt idx="1132">
                  <c:v>-6.9444723528110461E-3</c:v>
                </c:pt>
                <c:pt idx="1133">
                  <c:v>-1.7153079226249469E-2</c:v>
                </c:pt>
                <c:pt idx="1134">
                  <c:v>6.1412680220824288E-3</c:v>
                </c:pt>
                <c:pt idx="1135">
                  <c:v>-1.0214593409718295E-2</c:v>
                </c:pt>
                <c:pt idx="1136">
                  <c:v>-8.0972102326193618E-3</c:v>
                </c:pt>
                <c:pt idx="1137">
                  <c:v>-6.7181729097181805E-4</c:v>
                </c:pt>
                <c:pt idx="1138">
                  <c:v>-9.3583570689655289E-3</c:v>
                </c:pt>
                <c:pt idx="1139">
                  <c:v>1.9980026626730579E-3</c:v>
                </c:pt>
                <c:pt idx="1140">
                  <c:v>0</c:v>
                </c:pt>
                <c:pt idx="1141">
                  <c:v>1.8163970627671121E-2</c:v>
                </c:pt>
                <c:pt idx="1142">
                  <c:v>-1.0131798930406952E-2</c:v>
                </c:pt>
                <c:pt idx="1143">
                  <c:v>2.655927307235488E-2</c:v>
                </c:pt>
                <c:pt idx="1144">
                  <c:v>2.7643417741498857E-3</c:v>
                </c:pt>
                <c:pt idx="1145">
                  <c:v>-6.8965790590603286E-3</c:v>
                </c:pt>
                <c:pt idx="1146">
                  <c:v>-6.1665149156640148E-3</c:v>
                </c:pt>
                <c:pt idx="1147">
                  <c:v>-1.2220111334775333E-2</c:v>
                </c:pt>
                <c:pt idx="1148">
                  <c:v>1.3587165546308356E-2</c:v>
                </c:pt>
                <c:pt idx="1149">
                  <c:v>1.0312913678239985E-2</c:v>
                </c:pt>
                <c:pt idx="1150">
                  <c:v>4.8493340614376504E-3</c:v>
                </c:pt>
                <c:pt idx="1151">
                  <c:v>2.0855064910213611E-3</c:v>
                </c:pt>
                <c:pt idx="1152">
                  <c:v>-1.0384309305716493E-2</c:v>
                </c:pt>
                <c:pt idx="1153">
                  <c:v>-1.5037877364540559E-2</c:v>
                </c:pt>
                <c:pt idx="1154">
                  <c:v>2.2642476749759752E-2</c:v>
                </c:pt>
                <c:pt idx="1155">
                  <c:v>4.8695748399565156E-3</c:v>
                </c:pt>
                <c:pt idx="1156">
                  <c:v>-2.7855171214263121E-3</c:v>
                </c:pt>
                <c:pt idx="1157">
                  <c:v>-3.4710204928788554E-3</c:v>
                </c:pt>
                <c:pt idx="1158">
                  <c:v>1.3956960684018537E-2</c:v>
                </c:pt>
                <c:pt idx="1159">
                  <c:v>7.0298772666621111E-4</c:v>
                </c:pt>
                <c:pt idx="1160">
                  <c:v>-1.4659948410684629E-2</c:v>
                </c:pt>
                <c:pt idx="1161">
                  <c:v>-2.734278336406127E-2</c:v>
                </c:pt>
                <c:pt idx="1162">
                  <c:v>2.0249753797713828E-3</c:v>
                </c:pt>
                <c:pt idx="1163">
                  <c:v>-3.3726844786392302E-3</c:v>
                </c:pt>
                <c:pt idx="1164">
                  <c:v>-1.0050335853501451E-2</c:v>
                </c:pt>
                <c:pt idx="1165">
                  <c:v>-8.6293266980545253E-3</c:v>
                </c:pt>
                <c:pt idx="1166">
                  <c:v>1.3976933024649823E-2</c:v>
                </c:pt>
                <c:pt idx="1167">
                  <c:v>6.7046599896778368E-4</c:v>
                </c:pt>
                <c:pt idx="1168">
                  <c:v>2.0140993717011856E-3</c:v>
                </c:pt>
                <c:pt idx="1169">
                  <c:v>0</c:v>
                </c:pt>
                <c:pt idx="1170">
                  <c:v>1.2170535620255114E-2</c:v>
                </c:pt>
                <c:pt idx="1171">
                  <c:v>-1.0152371464017962E-2</c:v>
                </c:pt>
                <c:pt idx="1172">
                  <c:v>-1.1382781087280068E-2</c:v>
                </c:pt>
                <c:pt idx="1173">
                  <c:v>1.3324452337786948E-3</c:v>
                </c:pt>
                <c:pt idx="1174">
                  <c:v>-1.3324452337786009E-3</c:v>
                </c:pt>
                <c:pt idx="1175">
                  <c:v>-6.6357244153982678E-3</c:v>
                </c:pt>
                <c:pt idx="1176">
                  <c:v>6.6159446673871847E-4</c:v>
                </c:pt>
                <c:pt idx="1177">
                  <c:v>-2.1604768311981874E-2</c:v>
                </c:pt>
                <c:pt idx="1178">
                  <c:v>-3.8784793285708565E-3</c:v>
                </c:pt>
                <c:pt idx="1179">
                  <c:v>5.8233745931765999E-3</c:v>
                </c:pt>
                <c:pt idx="1180">
                  <c:v>-6.46832785642303E-3</c:v>
                </c:pt>
                <c:pt idx="1181">
                  <c:v>5.171310813378004E-3</c:v>
                </c:pt>
                <c:pt idx="1182">
                  <c:v>1.8313134419691412E-2</c:v>
                </c:pt>
                <c:pt idx="1183">
                  <c:v>7.2872134336842802E-3</c:v>
                </c:pt>
                <c:pt idx="1184">
                  <c:v>-3.9814252991849219E-3</c:v>
                </c:pt>
                <c:pt idx="1185">
                  <c:v>1.1322132269779725E-2</c:v>
                </c:pt>
                <c:pt idx="1186">
                  <c:v>8.7454307810297151E-3</c:v>
                </c:pt>
                <c:pt idx="1187">
                  <c:v>0</c:v>
                </c:pt>
                <c:pt idx="1188">
                  <c:v>-6.7544750963807797E-4</c:v>
                </c:pt>
                <c:pt idx="1189">
                  <c:v>-6.7499158823336523E-4</c:v>
                </c:pt>
                <c:pt idx="1190">
                  <c:v>-2.72895470391296E-2</c:v>
                </c:pt>
                <c:pt idx="1191">
                  <c:v>-4.5856614913193199E-3</c:v>
                </c:pt>
                <c:pt idx="1192">
                  <c:v>-1.3063359140554128E-3</c:v>
                </c:pt>
                <c:pt idx="1193">
                  <c:v>-1.9563097207609425E-3</c:v>
                </c:pt>
                <c:pt idx="1194">
                  <c:v>-1.1014040721866493E-2</c:v>
                </c:pt>
                <c:pt idx="1195">
                  <c:v>-4.5001683146124538E-3</c:v>
                </c:pt>
                <c:pt idx="1196">
                  <c:v>-1.0845401360047963E-2</c:v>
                </c:pt>
                <c:pt idx="1197">
                  <c:v>0</c:v>
                </c:pt>
                <c:pt idx="1198">
                  <c:v>2.3107575010149491E-2</c:v>
                </c:pt>
                <c:pt idx="1199">
                  <c:v>2.6007817000574403E-3</c:v>
                </c:pt>
                <c:pt idx="1200">
                  <c:v>-1.0362787035546547E-2</c:v>
                </c:pt>
                <c:pt idx="1201">
                  <c:v>-6.4412240552302088E-4</c:v>
                </c:pt>
                <c:pt idx="1202">
                  <c:v>-1.4066728111046362E-2</c:v>
                </c:pt>
                <c:pt idx="1203">
                  <c:v>-5.0665086212787272E-3</c:v>
                </c:pt>
                <c:pt idx="1204">
                  <c:v>6.3371568227343711E-3</c:v>
                </c:pt>
                <c:pt idx="1205">
                  <c:v>-1.2706482014556528E-3</c:v>
                </c:pt>
                <c:pt idx="1206">
                  <c:v>-3.7387532071620329E-2</c:v>
                </c:pt>
                <c:pt idx="1207">
                  <c:v>-6.1143383133855928E-4</c:v>
                </c:pt>
                <c:pt idx="1208">
                  <c:v>-2.4420036555517443E-3</c:v>
                </c:pt>
                <c:pt idx="1209">
                  <c:v>-7.8955770027800392E-3</c:v>
                </c:pt>
                <c:pt idx="1210">
                  <c:v>6.0679797837560473E-3</c:v>
                </c:pt>
                <c:pt idx="1211">
                  <c:v>6.1050250668028827E-3</c:v>
                </c:pt>
                <c:pt idx="1212">
                  <c:v>-9.1436174989519194E-3</c:v>
                </c:pt>
                <c:pt idx="1213">
                  <c:v>-1.266221319241812E-2</c:v>
                </c:pt>
                <c:pt idx="1214">
                  <c:v>1.084347974170698E-2</c:v>
                </c:pt>
                <c:pt idx="1215">
                  <c:v>7.9051795071132473E-3</c:v>
                </c:pt>
                <c:pt idx="1216">
                  <c:v>-1.2202564052293744E-3</c:v>
                </c:pt>
                <c:pt idx="1217">
                  <c:v>1.1036286142885859E-2</c:v>
                </c:pt>
                <c:pt idx="1218">
                  <c:v>-1.8478600884796138E-3</c:v>
                </c:pt>
                <c:pt idx="1219">
                  <c:v>2.1773799549560754E-2</c:v>
                </c:pt>
                <c:pt idx="1220">
                  <c:v>-9.3897403498390316E-3</c:v>
                </c:pt>
                <c:pt idx="1221">
                  <c:v>8.7610072263292985E-3</c:v>
                </c:pt>
                <c:pt idx="1222">
                  <c:v>-8.1377600886729032E-3</c:v>
                </c:pt>
                <c:pt idx="1223">
                  <c:v>1.8245237166726391E-2</c:v>
                </c:pt>
                <c:pt idx="1224">
                  <c:v>4.4543503493803746E-3</c:v>
                </c:pt>
                <c:pt idx="1225">
                  <c:v>-3.8192280669953841E-3</c:v>
                </c:pt>
                <c:pt idx="1226">
                  <c:v>-2.2614029001160142E-2</c:v>
                </c:pt>
                <c:pt idx="1227">
                  <c:v>7.4813316522887663E-3</c:v>
                </c:pt>
                <c:pt idx="1228">
                  <c:v>4.3900979884331824E-3</c:v>
                </c:pt>
                <c:pt idx="1229">
                  <c:v>1.711610723253058E-2</c:v>
                </c:pt>
                <c:pt idx="1230">
                  <c:v>4.4857492712579534E-3</c:v>
                </c:pt>
                <c:pt idx="1231">
                  <c:v>1.8801202107532597E-2</c:v>
                </c:pt>
                <c:pt idx="1232">
                  <c:v>-1.2357880846600276E-2</c:v>
                </c:pt>
                <c:pt idx="1233">
                  <c:v>-6.4620357660626776E-4</c:v>
                </c:pt>
                <c:pt idx="1234">
                  <c:v>-1.7291497110060994E-2</c:v>
                </c:pt>
                <c:pt idx="1235">
                  <c:v>-1.449757506648653E-2</c:v>
                </c:pt>
                <c:pt idx="1236">
                  <c:v>-3.0809584143197077E-2</c:v>
                </c:pt>
                <c:pt idx="1237">
                  <c:v>-6.049625225823225E-3</c:v>
                </c:pt>
                <c:pt idx="1238">
                  <c:v>-9.0063652915837195E-3</c:v>
                </c:pt>
                <c:pt idx="1239">
                  <c:v>-1.011010693029519E-2</c:v>
                </c:pt>
                <c:pt idx="1240">
                  <c:v>-6.4877844787426244E-3</c:v>
                </c:pt>
                <c:pt idx="1241">
                  <c:v>-1.4010737069598333E-2</c:v>
                </c:pt>
                <c:pt idx="1242">
                  <c:v>2.0498521548340969E-2</c:v>
                </c:pt>
                <c:pt idx="1243">
                  <c:v>2.0927520105955819E-2</c:v>
                </c:pt>
                <c:pt idx="1244">
                  <c:v>7.2771697738952222E-3</c:v>
                </c:pt>
                <c:pt idx="1245">
                  <c:v>0</c:v>
                </c:pt>
                <c:pt idx="1246">
                  <c:v>-3.6452045223308092E-3</c:v>
                </c:pt>
                <c:pt idx="1247">
                  <c:v>-9.6560798549453503E-3</c:v>
                </c:pt>
                <c:pt idx="1248">
                  <c:v>1.5738823670714455E-2</c:v>
                </c:pt>
                <c:pt idx="1249">
                  <c:v>-6.0994207441442225E-4</c:v>
                </c:pt>
                <c:pt idx="1250">
                  <c:v>6.0994207441441065E-4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1-40FC-949A-6AC010F0E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1722399"/>
        <c:axId val="1188602927"/>
      </c:lineChart>
      <c:dateAx>
        <c:axId val="121172239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188602927"/>
        <c:crosses val="autoZero"/>
        <c:auto val="1"/>
        <c:lblOffset val="100"/>
        <c:baseTimeUnit val="days"/>
      </c:dateAx>
      <c:valAx>
        <c:axId val="118860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211722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'8'!$E$10:$E$262</c:f>
              <c:numCache>
                <c:formatCode>0.00</c:formatCode>
                <c:ptCount val="253"/>
                <c:pt idx="0" formatCode="General">
                  <c:v>1000</c:v>
                </c:pt>
                <c:pt idx="1">
                  <c:v>1003.4457815041558</c:v>
                </c:pt>
                <c:pt idx="2">
                  <c:v>997.53929501837615</c:v>
                </c:pt>
                <c:pt idx="3">
                  <c:v>999.00155671141977</c:v>
                </c:pt>
                <c:pt idx="4">
                  <c:v>959.38002797874356</c:v>
                </c:pt>
                <c:pt idx="5">
                  <c:v>959.80959312684183</c:v>
                </c:pt>
                <c:pt idx="6">
                  <c:v>966.06344964280197</c:v>
                </c:pt>
                <c:pt idx="7">
                  <c:v>937.97195122681194</c:v>
                </c:pt>
                <c:pt idx="8">
                  <c:v>943.42547698241526</c:v>
                </c:pt>
                <c:pt idx="9">
                  <c:v>948.06410404164569</c:v>
                </c:pt>
                <c:pt idx="10">
                  <c:v>953.83348883772771</c:v>
                </c:pt>
                <c:pt idx="11">
                  <c:v>956.66979274913615</c:v>
                </c:pt>
                <c:pt idx="12">
                  <c:v>915.10680749864264</c:v>
                </c:pt>
                <c:pt idx="13">
                  <c:v>929.33095379623376</c:v>
                </c:pt>
                <c:pt idx="14">
                  <c:v>941.95053452018249</c:v>
                </c:pt>
                <c:pt idx="15">
                  <c:v>933.23852031088063</c:v>
                </c:pt>
                <c:pt idx="16">
                  <c:v>948.02155381963064</c:v>
                </c:pt>
                <c:pt idx="17">
                  <c:v>936.76979279363741</c:v>
                </c:pt>
                <c:pt idx="18">
                  <c:v>936.79551982318856</c:v>
                </c:pt>
                <c:pt idx="19">
                  <c:v>923.14852113650375</c:v>
                </c:pt>
                <c:pt idx="20">
                  <c:v>933.34523364836821</c:v>
                </c:pt>
                <c:pt idx="21">
                  <c:v>927.84176694536131</c:v>
                </c:pt>
                <c:pt idx="22">
                  <c:v>922.58797676917118</c:v>
                </c:pt>
                <c:pt idx="23">
                  <c:v>923.54039022507141</c:v>
                </c:pt>
                <c:pt idx="24">
                  <c:v>945.80944564387778</c:v>
                </c:pt>
                <c:pt idx="25">
                  <c:v>925.9361057358974</c:v>
                </c:pt>
                <c:pt idx="26">
                  <c:v>949.35420868186804</c:v>
                </c:pt>
                <c:pt idx="27">
                  <c:v>964.02523910241666</c:v>
                </c:pt>
                <c:pt idx="28">
                  <c:v>940.07164731510443</c:v>
                </c:pt>
                <c:pt idx="29">
                  <c:v>913.31075979179229</c:v>
                </c:pt>
                <c:pt idx="30">
                  <c:v>927.78264830591786</c:v>
                </c:pt>
                <c:pt idx="31">
                  <c:v>942.65246512663543</c:v>
                </c:pt>
                <c:pt idx="32">
                  <c:v>935.57753129668208</c:v>
                </c:pt>
                <c:pt idx="33">
                  <c:v>964.62148940658869</c:v>
                </c:pt>
                <c:pt idx="34">
                  <c:v>959.19650994076517</c:v>
                </c:pt>
                <c:pt idx="35">
                  <c:v>951.10164398646918</c:v>
                </c:pt>
                <c:pt idx="36">
                  <c:v>968.55823501729242</c:v>
                </c:pt>
                <c:pt idx="37">
                  <c:v>953.31526129125984</c:v>
                </c:pt>
                <c:pt idx="38">
                  <c:v>976.3861209322713</c:v>
                </c:pt>
                <c:pt idx="39">
                  <c:v>967.13848107028866</c:v>
                </c:pt>
                <c:pt idx="40">
                  <c:v>967.22513816364153</c:v>
                </c:pt>
                <c:pt idx="41">
                  <c:v>931.71656057183918</c:v>
                </c:pt>
                <c:pt idx="42">
                  <c:v>956.16645638036368</c:v>
                </c:pt>
                <c:pt idx="43">
                  <c:v>969.46835404526189</c:v>
                </c:pt>
                <c:pt idx="44">
                  <c:v>1006.8864622737532</c:v>
                </c:pt>
                <c:pt idx="45">
                  <c:v>1008.7192695722514</c:v>
                </c:pt>
                <c:pt idx="46">
                  <c:v>995.54199422342799</c:v>
                </c:pt>
                <c:pt idx="47">
                  <c:v>993.83590332144263</c:v>
                </c:pt>
                <c:pt idx="48">
                  <c:v>1010.0190993996735</c:v>
                </c:pt>
                <c:pt idx="49">
                  <c:v>986.53855053170957</c:v>
                </c:pt>
                <c:pt idx="50">
                  <c:v>1014.5369907775629</c:v>
                </c:pt>
                <c:pt idx="51">
                  <c:v>998.98750804180679</c:v>
                </c:pt>
                <c:pt idx="52">
                  <c:v>991.45253247451319</c:v>
                </c:pt>
                <c:pt idx="53">
                  <c:v>973.42169241036947</c:v>
                </c:pt>
                <c:pt idx="54">
                  <c:v>984.48797495456881</c:v>
                </c:pt>
                <c:pt idx="55">
                  <c:v>995.41436313802706</c:v>
                </c:pt>
                <c:pt idx="56">
                  <c:v>990.02195667204296</c:v>
                </c:pt>
                <c:pt idx="57">
                  <c:v>981.36413119433462</c:v>
                </c:pt>
                <c:pt idx="58">
                  <c:v>966.70807958773526</c:v>
                </c:pt>
                <c:pt idx="59">
                  <c:v>983.04896463492855</c:v>
                </c:pt>
                <c:pt idx="60">
                  <c:v>959.93847367445676</c:v>
                </c:pt>
                <c:pt idx="61">
                  <c:v>966.70006418530795</c:v>
                </c:pt>
                <c:pt idx="62">
                  <c:v>922.370953878808</c:v>
                </c:pt>
                <c:pt idx="63">
                  <c:v>914.52927820248362</c:v>
                </c:pt>
                <c:pt idx="64">
                  <c:v>919.91073312666015</c:v>
                </c:pt>
                <c:pt idx="65">
                  <c:v>954.2085814809725</c:v>
                </c:pt>
                <c:pt idx="66">
                  <c:v>919.28794993635586</c:v>
                </c:pt>
                <c:pt idx="67">
                  <c:v>907.07839056020191</c:v>
                </c:pt>
                <c:pt idx="68">
                  <c:v>895.79199956282787</c:v>
                </c:pt>
                <c:pt idx="69">
                  <c:v>905.96851988034496</c:v>
                </c:pt>
                <c:pt idx="70">
                  <c:v>890.92416776748246</c:v>
                </c:pt>
                <c:pt idx="71">
                  <c:v>894.38217295874415</c:v>
                </c:pt>
                <c:pt idx="72">
                  <c:v>891.33572975374739</c:v>
                </c:pt>
                <c:pt idx="73">
                  <c:v>904.62194536006916</c:v>
                </c:pt>
                <c:pt idx="74">
                  <c:v>905.48521079350428</c:v>
                </c:pt>
                <c:pt idx="75">
                  <c:v>858.00690530614713</c:v>
                </c:pt>
                <c:pt idx="76">
                  <c:v>834.43987232849634</c:v>
                </c:pt>
                <c:pt idx="77">
                  <c:v>841.9367530157283</c:v>
                </c:pt>
                <c:pt idx="78">
                  <c:v>853.76084086736103</c:v>
                </c:pt>
                <c:pt idx="79">
                  <c:v>827.561387980728</c:v>
                </c:pt>
                <c:pt idx="80">
                  <c:v>842.33210502051566</c:v>
                </c:pt>
                <c:pt idx="81">
                  <c:v>833.09108651182862</c:v>
                </c:pt>
                <c:pt idx="82">
                  <c:v>849.54856977423628</c:v>
                </c:pt>
                <c:pt idx="83">
                  <c:v>879.53234225880885</c:v>
                </c:pt>
                <c:pt idx="84">
                  <c:v>889.61974313795793</c:v>
                </c:pt>
                <c:pt idx="85">
                  <c:v>870.16566140176258</c:v>
                </c:pt>
                <c:pt idx="86">
                  <c:v>895.26728004435324</c:v>
                </c:pt>
                <c:pt idx="87">
                  <c:v>930.11816182032953</c:v>
                </c:pt>
                <c:pt idx="88">
                  <c:v>948.18353262489904</c:v>
                </c:pt>
                <c:pt idx="89">
                  <c:v>914.91333250517778</c:v>
                </c:pt>
                <c:pt idx="90">
                  <c:v>913.42312322447867</c:v>
                </c:pt>
                <c:pt idx="91">
                  <c:v>910.79513088790418</c:v>
                </c:pt>
                <c:pt idx="92">
                  <c:v>912.52812692912744</c:v>
                </c:pt>
                <c:pt idx="93">
                  <c:v>941.72405379540737</c:v>
                </c:pt>
                <c:pt idx="94">
                  <c:v>910.93500550776707</c:v>
                </c:pt>
                <c:pt idx="95">
                  <c:v>915.21807169638612</c:v>
                </c:pt>
                <c:pt idx="96">
                  <c:v>930.3124963713758</c:v>
                </c:pt>
                <c:pt idx="97">
                  <c:v>956.24144290539425</c:v>
                </c:pt>
                <c:pt idx="98">
                  <c:v>938.44705381657627</c:v>
                </c:pt>
                <c:pt idx="99">
                  <c:v>913.25171256684837</c:v>
                </c:pt>
                <c:pt idx="100">
                  <c:v>900.07888416890239</c:v>
                </c:pt>
                <c:pt idx="101">
                  <c:v>927.9735853966414</c:v>
                </c:pt>
                <c:pt idx="102">
                  <c:v>906.57464763574364</c:v>
                </c:pt>
                <c:pt idx="103">
                  <c:v>890.05148227415566</c:v>
                </c:pt>
                <c:pt idx="104">
                  <c:v>890.04525750595747</c:v>
                </c:pt>
                <c:pt idx="105">
                  <c:v>911.14680686455358</c:v>
                </c:pt>
                <c:pt idx="106">
                  <c:v>904.49478520772743</c:v>
                </c:pt>
                <c:pt idx="107">
                  <c:v>913.29536073302552</c:v>
                </c:pt>
                <c:pt idx="108">
                  <c:v>908.38352275102227</c:v>
                </c:pt>
                <c:pt idx="109">
                  <c:v>899.16974229568041</c:v>
                </c:pt>
                <c:pt idx="110">
                  <c:v>904.91611186730597</c:v>
                </c:pt>
                <c:pt idx="111">
                  <c:v>902.43791292510355</c:v>
                </c:pt>
                <c:pt idx="112">
                  <c:v>898.3105549804369</c:v>
                </c:pt>
                <c:pt idx="113">
                  <c:v>933.46529117103114</c:v>
                </c:pt>
                <c:pt idx="114">
                  <c:v>928.4160365788739</c:v>
                </c:pt>
                <c:pt idx="115">
                  <c:v>925.07085371621201</c:v>
                </c:pt>
                <c:pt idx="116">
                  <c:v>926.61641007541277</c:v>
                </c:pt>
                <c:pt idx="117">
                  <c:v>926.44247234241868</c:v>
                </c:pt>
                <c:pt idx="118">
                  <c:v>913.85286883488448</c:v>
                </c:pt>
                <c:pt idx="119">
                  <c:v>911.03511656108742</c:v>
                </c:pt>
                <c:pt idx="120">
                  <c:v>913.94243710043031</c:v>
                </c:pt>
                <c:pt idx="121">
                  <c:v>917.10324321530572</c:v>
                </c:pt>
                <c:pt idx="122">
                  <c:v>891.84972020915416</c:v>
                </c:pt>
                <c:pt idx="123">
                  <c:v>870.18445155107815</c:v>
                </c:pt>
                <c:pt idx="124">
                  <c:v>909.99924031929697</c:v>
                </c:pt>
                <c:pt idx="125">
                  <c:v>895.89805782687324</c:v>
                </c:pt>
                <c:pt idx="126">
                  <c:v>882.06060340802935</c:v>
                </c:pt>
                <c:pt idx="127">
                  <c:v>899.04239616726227</c:v>
                </c:pt>
                <c:pt idx="128">
                  <c:v>907.33800391596492</c:v>
                </c:pt>
                <c:pt idx="129">
                  <c:v>901.22423367339059</c:v>
                </c:pt>
                <c:pt idx="130">
                  <c:v>921.87741295687329</c:v>
                </c:pt>
                <c:pt idx="131">
                  <c:v>941.64674599415434</c:v>
                </c:pt>
                <c:pt idx="132">
                  <c:v>924.43607949378099</c:v>
                </c:pt>
                <c:pt idx="133">
                  <c:v>942.44171770423088</c:v>
                </c:pt>
                <c:pt idx="134">
                  <c:v>958.23304971629773</c:v>
                </c:pt>
                <c:pt idx="135">
                  <c:v>938.40085993490698</c:v>
                </c:pt>
                <c:pt idx="136">
                  <c:v>929.71241071191446</c:v>
                </c:pt>
                <c:pt idx="137">
                  <c:v>959.08179962197869</c:v>
                </c:pt>
                <c:pt idx="138">
                  <c:v>939.81262521130304</c:v>
                </c:pt>
                <c:pt idx="139">
                  <c:v>935.11950278611994</c:v>
                </c:pt>
                <c:pt idx="140">
                  <c:v>953.45916395899542</c:v>
                </c:pt>
                <c:pt idx="141">
                  <c:v>940.49585534637993</c:v>
                </c:pt>
                <c:pt idx="142">
                  <c:v>953.65555254310834</c:v>
                </c:pt>
                <c:pt idx="143">
                  <c:v>990.21336823736533</c:v>
                </c:pt>
                <c:pt idx="144">
                  <c:v>951.13357056362679</c:v>
                </c:pt>
                <c:pt idx="145">
                  <c:v>961.39176524568495</c:v>
                </c:pt>
                <c:pt idx="146">
                  <c:v>960.0900893756932</c:v>
                </c:pt>
                <c:pt idx="147">
                  <c:v>942.49649979894946</c:v>
                </c:pt>
                <c:pt idx="148">
                  <c:v>938.9588957529063</c:v>
                </c:pt>
                <c:pt idx="149">
                  <c:v>917.99945133322115</c:v>
                </c:pt>
                <c:pt idx="150">
                  <c:v>959.3144515528179</c:v>
                </c:pt>
                <c:pt idx="151">
                  <c:v>957.02309079972224</c:v>
                </c:pt>
                <c:pt idx="152">
                  <c:v>944.51206232041841</c:v>
                </c:pt>
                <c:pt idx="153">
                  <c:v>962.56668705756852</c:v>
                </c:pt>
                <c:pt idx="154">
                  <c:v>981.62846914168449</c:v>
                </c:pt>
                <c:pt idx="155">
                  <c:v>977.29473276661656</c:v>
                </c:pt>
                <c:pt idx="156">
                  <c:v>1006.4746980708096</c:v>
                </c:pt>
                <c:pt idx="157">
                  <c:v>1028.0396680464921</c:v>
                </c:pt>
                <c:pt idx="158">
                  <c:v>1063.5470363112718</c:v>
                </c:pt>
                <c:pt idx="159">
                  <c:v>1063.1997769548047</c:v>
                </c:pt>
                <c:pt idx="160">
                  <c:v>1068.6059991296361</c:v>
                </c:pt>
                <c:pt idx="161">
                  <c:v>1059.7346666142246</c:v>
                </c:pt>
                <c:pt idx="162">
                  <c:v>1044.3640412868904</c:v>
                </c:pt>
                <c:pt idx="163">
                  <c:v>1082.999523323105</c:v>
                </c:pt>
                <c:pt idx="164">
                  <c:v>1069.1698338149301</c:v>
                </c:pt>
                <c:pt idx="165">
                  <c:v>1062.536740050703</c:v>
                </c:pt>
                <c:pt idx="166">
                  <c:v>1044.9407170042232</c:v>
                </c:pt>
                <c:pt idx="167">
                  <c:v>1031.3399279149075</c:v>
                </c:pt>
                <c:pt idx="168">
                  <c:v>991.87673822541365</c:v>
                </c:pt>
                <c:pt idx="169">
                  <c:v>1025.7806589406464</c:v>
                </c:pt>
                <c:pt idx="170">
                  <c:v>1023.7316794282178</c:v>
                </c:pt>
                <c:pt idx="171">
                  <c:v>1034.407149544433</c:v>
                </c:pt>
                <c:pt idx="172">
                  <c:v>1037.6260853132878</c:v>
                </c:pt>
                <c:pt idx="173">
                  <c:v>1000.0562967811238</c:v>
                </c:pt>
                <c:pt idx="174">
                  <c:v>1012.9900072813255</c:v>
                </c:pt>
                <c:pt idx="175">
                  <c:v>984.72424479334404</c:v>
                </c:pt>
                <c:pt idx="176">
                  <c:v>981.20009114140407</c:v>
                </c:pt>
                <c:pt idx="177">
                  <c:v>973.63784330304691</c:v>
                </c:pt>
                <c:pt idx="178">
                  <c:v>960.07709837805589</c:v>
                </c:pt>
                <c:pt idx="179">
                  <c:v>949.86589735144821</c:v>
                </c:pt>
                <c:pt idx="180">
                  <c:v>976.14906661880855</c:v>
                </c:pt>
                <c:pt idx="181">
                  <c:v>999.24705585707727</c:v>
                </c:pt>
                <c:pt idx="182">
                  <c:v>1027.8238475147386</c:v>
                </c:pt>
                <c:pt idx="183">
                  <c:v>1049.9652624744213</c:v>
                </c:pt>
                <c:pt idx="184">
                  <c:v>1064.4622308732921</c:v>
                </c:pt>
                <c:pt idx="185">
                  <c:v>1062.1784293129033</c:v>
                </c:pt>
                <c:pt idx="186">
                  <c:v>1040.8902254233085</c:v>
                </c:pt>
                <c:pt idx="187">
                  <c:v>1040.8750034899506</c:v>
                </c:pt>
                <c:pt idx="188">
                  <c:v>1024.9518520330089</c:v>
                </c:pt>
                <c:pt idx="189">
                  <c:v>1038.385836139134</c:v>
                </c:pt>
                <c:pt idx="190">
                  <c:v>1046.7805949821204</c:v>
                </c:pt>
                <c:pt idx="191">
                  <c:v>1063.3275762221208</c:v>
                </c:pt>
                <c:pt idx="192">
                  <c:v>1070.3486360991653</c:v>
                </c:pt>
                <c:pt idx="193">
                  <c:v>1039.1545866929621</c:v>
                </c:pt>
                <c:pt idx="194">
                  <c:v>1071.9019517742288</c:v>
                </c:pt>
                <c:pt idx="195">
                  <c:v>1098.5709722263898</c:v>
                </c:pt>
                <c:pt idx="196">
                  <c:v>1102.0699455531367</c:v>
                </c:pt>
                <c:pt idx="197">
                  <c:v>1097.8191736075933</c:v>
                </c:pt>
                <c:pt idx="198">
                  <c:v>1069.0876933040749</c:v>
                </c:pt>
                <c:pt idx="199">
                  <c:v>1062.6750730181661</c:v>
                </c:pt>
                <c:pt idx="200">
                  <c:v>1064.8299129078753</c:v>
                </c:pt>
                <c:pt idx="201">
                  <c:v>1033.8588065938156</c:v>
                </c:pt>
                <c:pt idx="202">
                  <c:v>1030.9214070373896</c:v>
                </c:pt>
                <c:pt idx="203">
                  <c:v>1026.4406803815957</c:v>
                </c:pt>
                <c:pt idx="204">
                  <c:v>1003.3026040416854</c:v>
                </c:pt>
                <c:pt idx="205">
                  <c:v>989.89311519701846</c:v>
                </c:pt>
                <c:pt idx="206">
                  <c:v>1013.5449768693244</c:v>
                </c:pt>
                <c:pt idx="207">
                  <c:v>1057.2134094950175</c:v>
                </c:pt>
                <c:pt idx="208">
                  <c:v>1085.0622862329653</c:v>
                </c:pt>
                <c:pt idx="209">
                  <c:v>1079.7835096772685</c:v>
                </c:pt>
                <c:pt idx="210">
                  <c:v>1062.5034753617977</c:v>
                </c:pt>
                <c:pt idx="211">
                  <c:v>1016.6636128271745</c:v>
                </c:pt>
                <c:pt idx="212">
                  <c:v>972.04795324762131</c:v>
                </c:pt>
                <c:pt idx="213">
                  <c:v>959.46970951048866</c:v>
                </c:pt>
                <c:pt idx="214">
                  <c:v>965.28941391246144</c:v>
                </c:pt>
                <c:pt idx="215">
                  <c:v>1009.4496652219119</c:v>
                </c:pt>
                <c:pt idx="216">
                  <c:v>984.21761628412946</c:v>
                </c:pt>
                <c:pt idx="217">
                  <c:v>962.59160343131862</c:v>
                </c:pt>
                <c:pt idx="218">
                  <c:v>988.87142328224786</c:v>
                </c:pt>
                <c:pt idx="219">
                  <c:v>1026.5250308268915</c:v>
                </c:pt>
                <c:pt idx="220">
                  <c:v>1018.39711069081</c:v>
                </c:pt>
                <c:pt idx="221">
                  <c:v>983.98490411790624</c:v>
                </c:pt>
                <c:pt idx="222">
                  <c:v>991.10850692894178</c:v>
                </c:pt>
                <c:pt idx="223">
                  <c:v>1030.2723016928746</c:v>
                </c:pt>
                <c:pt idx="224">
                  <c:v>1020.6327567904665</c:v>
                </c:pt>
                <c:pt idx="225">
                  <c:v>1011.0738781825992</c:v>
                </c:pt>
                <c:pt idx="226">
                  <c:v>1035.2989300977247</c:v>
                </c:pt>
                <c:pt idx="227">
                  <c:v>1065.5066271437781</c:v>
                </c:pt>
                <c:pt idx="228">
                  <c:v>1067.4974302617054</c:v>
                </c:pt>
                <c:pt idx="229">
                  <c:v>1085.4362282006853</c:v>
                </c:pt>
                <c:pt idx="230">
                  <c:v>1129.4800252962884</c:v>
                </c:pt>
                <c:pt idx="231">
                  <c:v>1105.7560681138507</c:v>
                </c:pt>
                <c:pt idx="232">
                  <c:v>1100.2568480217897</c:v>
                </c:pt>
                <c:pt idx="233">
                  <c:v>1121.225673336299</c:v>
                </c:pt>
                <c:pt idx="234">
                  <c:v>1137.1160974464726</c:v>
                </c:pt>
                <c:pt idx="235">
                  <c:v>1157.2054895300168</c:v>
                </c:pt>
                <c:pt idx="236">
                  <c:v>1167.0447760565871</c:v>
                </c:pt>
                <c:pt idx="237">
                  <c:v>1145.1871452331336</c:v>
                </c:pt>
                <c:pt idx="238">
                  <c:v>1118.8800273923357</c:v>
                </c:pt>
                <c:pt idx="239">
                  <c:v>1121.6771262961854</c:v>
                </c:pt>
                <c:pt idx="240">
                  <c:v>1132.1565502685592</c:v>
                </c:pt>
                <c:pt idx="241">
                  <c:v>1148.6126768710521</c:v>
                </c:pt>
                <c:pt idx="242">
                  <c:v>1117.3066807023854</c:v>
                </c:pt>
                <c:pt idx="243">
                  <c:v>1124.8805719118275</c:v>
                </c:pt>
                <c:pt idx="244">
                  <c:v>1096.8050388632937</c:v>
                </c:pt>
                <c:pt idx="245">
                  <c:v>1121.1745298393917</c:v>
                </c:pt>
                <c:pt idx="246">
                  <c:v>1133.5085921474104</c:v>
                </c:pt>
                <c:pt idx="247">
                  <c:v>1128.4442943662343</c:v>
                </c:pt>
                <c:pt idx="248">
                  <c:v>1114.8740779479192</c:v>
                </c:pt>
                <c:pt idx="249">
                  <c:v>1096.2152394028899</c:v>
                </c:pt>
                <c:pt idx="250">
                  <c:v>1079.0871798867242</c:v>
                </c:pt>
                <c:pt idx="251">
                  <c:v>1108.6592935686151</c:v>
                </c:pt>
                <c:pt idx="252">
                  <c:v>1138.2645871953066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FF-4B74-8726-0032718DB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760064"/>
        <c:axId val="278774144"/>
      </c:lineChart>
      <c:catAx>
        <c:axId val="278760064"/>
        <c:scaling>
          <c:orientation val="minMax"/>
        </c:scaling>
        <c:delete val="0"/>
        <c:axPos val="b"/>
        <c:majorTickMark val="out"/>
        <c:minorTickMark val="none"/>
        <c:tickLblPos val="nextTo"/>
        <c:crossAx val="278774144"/>
        <c:crosses val="autoZero"/>
        <c:auto val="1"/>
        <c:lblAlgn val="ctr"/>
        <c:lblOffset val="100"/>
        <c:noMultiLvlLbl val="0"/>
      </c:catAx>
      <c:valAx>
        <c:axId val="27877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760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'8'!$V$5</c:f>
              <c:strCache>
                <c:ptCount val="1"/>
                <c:pt idx="0">
                  <c:v>Stock price</c:v>
                </c:pt>
              </c:strCache>
            </c:strRef>
          </c:tx>
          <c:invertIfNegative val="0"/>
          <c:cat>
            <c:numRef>
              <c:f>'8'!$W$6:$W$16</c:f>
              <c:numCache>
                <c:formatCode>0</c:formatCode>
                <c:ptCount val="11"/>
                <c:pt idx="0">
                  <c:v>396.63449048333882</c:v>
                </c:pt>
                <c:pt idx="1">
                  <c:v>680.35666500144896</c:v>
                </c:pt>
                <c:pt idx="2">
                  <c:v>964.0788395195591</c:v>
                </c:pt>
                <c:pt idx="3">
                  <c:v>1247.8010140376691</c:v>
                </c:pt>
                <c:pt idx="4">
                  <c:v>1531.5231885557791</c:v>
                </c:pt>
                <c:pt idx="5">
                  <c:v>1815.2453630738892</c:v>
                </c:pt>
                <c:pt idx="6">
                  <c:v>2098.9675375919992</c:v>
                </c:pt>
                <c:pt idx="7">
                  <c:v>2382.6897121101092</c:v>
                </c:pt>
                <c:pt idx="8">
                  <c:v>2666.4118866282192</c:v>
                </c:pt>
                <c:pt idx="9">
                  <c:v>2950.1340611463293</c:v>
                </c:pt>
                <c:pt idx="10">
                  <c:v>3233.8562356644402</c:v>
                </c:pt>
              </c:numCache>
            </c:numRef>
          </c:cat>
          <c:val>
            <c:numRef>
              <c:f>'8'!$X$6:$X$17</c:f>
              <c:numCache>
                <c:formatCode>General</c:formatCode>
                <c:ptCount val="12"/>
                <c:pt idx="0">
                  <c:v>1</c:v>
                </c:pt>
                <c:pt idx="1">
                  <c:v>29</c:v>
                </c:pt>
                <c:pt idx="2">
                  <c:v>211</c:v>
                </c:pt>
                <c:pt idx="3">
                  <c:v>348</c:v>
                </c:pt>
                <c:pt idx="4">
                  <c:v>229</c:v>
                </c:pt>
                <c:pt idx="5">
                  <c:v>118</c:v>
                </c:pt>
                <c:pt idx="6">
                  <c:v>40</c:v>
                </c:pt>
                <c:pt idx="7">
                  <c:v>16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5-45C3-9ADA-3D346D536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789504"/>
        <c:axId val="278791296"/>
      </c:barChart>
      <c:catAx>
        <c:axId val="2787895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2700000"/>
          <a:lstStyle/>
          <a:p>
            <a:pPr>
              <a:defRPr/>
            </a:pPr>
            <a:endParaRPr lang="hu-HU"/>
          </a:p>
        </c:txPr>
        <c:crossAx val="278791296"/>
        <c:crosses val="autoZero"/>
        <c:auto val="1"/>
        <c:lblAlgn val="ctr"/>
        <c:lblOffset val="100"/>
        <c:noMultiLvlLbl val="0"/>
      </c:catAx>
      <c:valAx>
        <c:axId val="278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789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'8'!$Z$5</c:f>
              <c:strCache>
                <c:ptCount val="1"/>
                <c:pt idx="0">
                  <c:v>logreturn</c:v>
                </c:pt>
              </c:strCache>
            </c:strRef>
          </c:tx>
          <c:invertIfNegative val="0"/>
          <c:cat>
            <c:numRef>
              <c:f>'8'!$AA$6:$AA$16</c:f>
              <c:numCache>
                <c:formatCode>0%</c:formatCode>
                <c:ptCount val="11"/>
                <c:pt idx="0">
                  <c:v>-0.92474010126334472</c:v>
                </c:pt>
                <c:pt idx="1">
                  <c:v>-0.71489856052340817</c:v>
                </c:pt>
                <c:pt idx="2">
                  <c:v>-0.50505701978347162</c:v>
                </c:pt>
                <c:pt idx="3">
                  <c:v>-0.29521547904353512</c:v>
                </c:pt>
                <c:pt idx="4">
                  <c:v>-8.5373938303598629E-2</c:v>
                </c:pt>
                <c:pt idx="5">
                  <c:v>0.12446760243633787</c:v>
                </c:pt>
                <c:pt idx="6">
                  <c:v>0.33430914317627436</c:v>
                </c:pt>
                <c:pt idx="7">
                  <c:v>0.54415068391621091</c:v>
                </c:pt>
                <c:pt idx="8">
                  <c:v>0.75399222465614746</c:v>
                </c:pt>
                <c:pt idx="9">
                  <c:v>0.96383376539608401</c:v>
                </c:pt>
                <c:pt idx="10">
                  <c:v>1.1736753061360201</c:v>
                </c:pt>
              </c:numCache>
            </c:numRef>
          </c:cat>
          <c:val>
            <c:numRef>
              <c:f>'8'!$AB$6:$AB$17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11</c:v>
                </c:pt>
                <c:pt idx="3">
                  <c:v>44</c:v>
                </c:pt>
                <c:pt idx="4">
                  <c:v>145</c:v>
                </c:pt>
                <c:pt idx="5">
                  <c:v>264</c:v>
                </c:pt>
                <c:pt idx="6">
                  <c:v>266</c:v>
                </c:pt>
                <c:pt idx="7">
                  <c:v>173</c:v>
                </c:pt>
                <c:pt idx="8">
                  <c:v>73</c:v>
                </c:pt>
                <c:pt idx="9">
                  <c:v>19</c:v>
                </c:pt>
                <c:pt idx="10">
                  <c:v>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DF-4190-9680-CCD9E3068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811776"/>
        <c:axId val="278813312"/>
      </c:barChart>
      <c:catAx>
        <c:axId val="27881177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txPr>
          <a:bodyPr rot="2700000"/>
          <a:lstStyle/>
          <a:p>
            <a:pPr>
              <a:defRPr/>
            </a:pPr>
            <a:endParaRPr lang="hu-HU"/>
          </a:p>
        </c:txPr>
        <c:crossAx val="278813312"/>
        <c:crosses val="autoZero"/>
        <c:auto val="1"/>
        <c:lblAlgn val="ctr"/>
        <c:lblOffset val="100"/>
        <c:noMultiLvlLbl val="0"/>
      </c:catAx>
      <c:valAx>
        <c:axId val="27881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811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0</xdr:row>
      <xdr:rowOff>104775</xdr:rowOff>
    </xdr:from>
    <xdr:to>
      <xdr:col>16</xdr:col>
      <xdr:colOff>209551</xdr:colOff>
      <xdr:row>21</xdr:row>
      <xdr:rowOff>104775</xdr:rowOff>
    </xdr:to>
    <xdr:graphicFrame macro="">
      <xdr:nvGraphicFramePr>
        <xdr:cNvPr id="1128" name="Chart 5">
          <a:extLst>
            <a:ext uri="{FF2B5EF4-FFF2-40B4-BE49-F238E27FC236}">
              <a16:creationId xmlns:a16="http://schemas.microsoft.com/office/drawing/2014/main" id="{00000000-0008-0000-0100-00006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238125</xdr:colOff>
      <xdr:row>25</xdr:row>
      <xdr:rowOff>142875</xdr:rowOff>
    </xdr:from>
    <xdr:to>
      <xdr:col>17</xdr:col>
      <xdr:colOff>466725</xdr:colOff>
      <xdr:row>43</xdr:row>
      <xdr:rowOff>85725</xdr:rowOff>
    </xdr:to>
    <xdr:graphicFrame macro="">
      <xdr:nvGraphicFramePr>
        <xdr:cNvPr id="1129" name="Diagram 1">
          <a:extLst>
            <a:ext uri="{FF2B5EF4-FFF2-40B4-BE49-F238E27FC236}">
              <a16:creationId xmlns:a16="http://schemas.microsoft.com/office/drawing/2014/main" id="{00000000-0008-0000-0100-000069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1</xdr:row>
      <xdr:rowOff>0</xdr:rowOff>
    </xdr:from>
    <xdr:to>
      <xdr:col>35</xdr:col>
      <xdr:colOff>301803</xdr:colOff>
      <xdr:row>17</xdr:row>
      <xdr:rowOff>153256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14</xdr:col>
      <xdr:colOff>62787</xdr:colOff>
      <xdr:row>62</xdr:row>
      <xdr:rowOff>146122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DBB604-F3D0-441A-AD73-D0E65F2EC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7</xdr:row>
      <xdr:rowOff>0</xdr:rowOff>
    </xdr:from>
    <xdr:to>
      <xdr:col>14</xdr:col>
      <xdr:colOff>600075</xdr:colOff>
      <xdr:row>23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581025</xdr:colOff>
      <xdr:row>18</xdr:row>
      <xdr:rowOff>142875</xdr:rowOff>
    </xdr:from>
    <xdr:to>
      <xdr:col>27</xdr:col>
      <xdr:colOff>276225</xdr:colOff>
      <xdr:row>35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552450</xdr:colOff>
      <xdr:row>18</xdr:row>
      <xdr:rowOff>76200</xdr:rowOff>
    </xdr:from>
    <xdr:to>
      <xdr:col>36</xdr:col>
      <xdr:colOff>247650</xdr:colOff>
      <xdr:row>35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D14"/>
  <sheetViews>
    <sheetView workbookViewId="0">
      <selection activeCell="C17" sqref="C17"/>
    </sheetView>
  </sheetViews>
  <sheetFormatPr defaultRowHeight="12.5" x14ac:dyDescent="0.25"/>
  <sheetData>
    <row r="1" spans="1:4" x14ac:dyDescent="0.25">
      <c r="A1" s="28"/>
      <c r="B1" s="28" t="s">
        <v>19</v>
      </c>
      <c r="C1" s="28" t="s">
        <v>20</v>
      </c>
      <c r="D1" s="10" t="s">
        <v>23</v>
      </c>
    </row>
    <row r="2" spans="1:4" x14ac:dyDescent="0.25">
      <c r="A2" s="28">
        <v>1</v>
      </c>
      <c r="B2" s="34">
        <v>0.4</v>
      </c>
      <c r="C2" s="28">
        <v>0.1</v>
      </c>
      <c r="D2">
        <f>+(B2-$C$8)^2</f>
        <v>7.5625000000000012E-2</v>
      </c>
    </row>
    <row r="3" spans="1:4" x14ac:dyDescent="0.25">
      <c r="A3" s="28">
        <v>2</v>
      </c>
      <c r="B3" s="34">
        <v>0.3</v>
      </c>
      <c r="C3" s="28">
        <v>0.2</v>
      </c>
      <c r="D3">
        <f t="shared" ref="D3:D6" si="0">+(B3-$C$8)^2</f>
        <v>3.0624999999999996E-2</v>
      </c>
    </row>
    <row r="4" spans="1:4" x14ac:dyDescent="0.25">
      <c r="A4" s="28">
        <v>3</v>
      </c>
      <c r="B4" s="34">
        <v>0.15</v>
      </c>
      <c r="C4" s="28">
        <v>0.35</v>
      </c>
      <c r="D4">
        <f t="shared" si="0"/>
        <v>6.2500000000000045E-4</v>
      </c>
    </row>
    <row r="5" spans="1:4" x14ac:dyDescent="0.25">
      <c r="A5" s="28">
        <v>4</v>
      </c>
      <c r="B5" s="34">
        <v>-0.05</v>
      </c>
      <c r="C5" s="28">
        <v>0.25</v>
      </c>
      <c r="D5">
        <f t="shared" si="0"/>
        <v>3.0624999999999996E-2</v>
      </c>
    </row>
    <row r="6" spans="1:4" x14ac:dyDescent="0.25">
      <c r="A6" s="28">
        <v>5</v>
      </c>
      <c r="B6" s="34">
        <v>-0.15</v>
      </c>
      <c r="C6" s="28">
        <v>0.1</v>
      </c>
      <c r="D6">
        <f t="shared" si="0"/>
        <v>7.5624999999999984E-2</v>
      </c>
    </row>
    <row r="7" spans="1:4" x14ac:dyDescent="0.25">
      <c r="A7" t="s">
        <v>56</v>
      </c>
    </row>
    <row r="8" spans="1:4" ht="13" x14ac:dyDescent="0.3">
      <c r="A8" t="s">
        <v>21</v>
      </c>
      <c r="C8" s="35">
        <f>+SUMPRODUCT(B2:B6,C2:C6)</f>
        <v>0.12499999999999999</v>
      </c>
    </row>
    <row r="9" spans="1:4" ht="13" x14ac:dyDescent="0.3">
      <c r="A9" t="s">
        <v>22</v>
      </c>
      <c r="C9" s="35">
        <f>+(SUMPRODUCT(C2:C6,D2:D6))^0.5</f>
        <v>0.17066048165876013</v>
      </c>
    </row>
    <row r="10" spans="1:4" x14ac:dyDescent="0.25">
      <c r="A10" t="s">
        <v>57</v>
      </c>
    </row>
    <row r="11" spans="1:4" x14ac:dyDescent="0.25">
      <c r="A11" s="10" t="s">
        <v>24</v>
      </c>
    </row>
    <row r="12" spans="1:4" x14ac:dyDescent="0.25">
      <c r="A12" s="10" t="s">
        <v>25</v>
      </c>
      <c r="B12">
        <v>0.15</v>
      </c>
    </row>
    <row r="13" spans="1:4" ht="13" x14ac:dyDescent="0.3">
      <c r="A13" t="s">
        <v>21</v>
      </c>
      <c r="C13" s="35">
        <f>+C8</f>
        <v>0.12499999999999999</v>
      </c>
    </row>
    <row r="14" spans="1:4" ht="13" x14ac:dyDescent="0.3">
      <c r="A14" t="s">
        <v>22</v>
      </c>
      <c r="C14" s="35">
        <f>+(2*(0.5*C9)^2+0.15*2*0.5*0.5*C9^2)^0.5</f>
        <v>0.12940971756402223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A1267"/>
  <sheetViews>
    <sheetView topLeftCell="P2" zoomScale="89" zoomScaleNormal="89" workbookViewId="0">
      <selection activeCell="AA12" sqref="AA12"/>
    </sheetView>
  </sheetViews>
  <sheetFormatPr defaultRowHeight="12.5" x14ac:dyDescent="0.25"/>
  <cols>
    <col min="1" max="1" width="12" customWidth="1"/>
    <col min="2" max="2" width="12.54296875" bestFit="1" customWidth="1"/>
    <col min="3" max="3" width="16.81640625" bestFit="1" customWidth="1"/>
    <col min="5" max="5" width="15.7265625" customWidth="1"/>
    <col min="6" max="6" width="13.7265625" bestFit="1" customWidth="1"/>
    <col min="8" max="8" width="12.453125" bestFit="1" customWidth="1"/>
    <col min="18" max="18" width="9.1796875" style="28"/>
    <col min="19" max="19" width="11.453125" style="28" customWidth="1"/>
    <col min="20" max="20" width="9.1796875" style="28"/>
    <col min="21" max="21" width="9.1796875" style="4"/>
    <col min="22" max="22" width="9.1796875" style="15"/>
    <col min="23" max="23" width="11.453125" style="4" bestFit="1" customWidth="1"/>
    <col min="24" max="24" width="9.54296875" style="4" bestFit="1" customWidth="1"/>
  </cols>
  <sheetData>
    <row r="1" spans="1:27" x14ac:dyDescent="0.25">
      <c r="A1" s="10" t="s">
        <v>58</v>
      </c>
      <c r="R1" s="11" t="s">
        <v>53</v>
      </c>
      <c r="S1" s="11" t="s">
        <v>16</v>
      </c>
      <c r="T1" s="11" t="s">
        <v>44</v>
      </c>
      <c r="U1" s="31" t="s">
        <v>54</v>
      </c>
      <c r="V1" s="30" t="s">
        <v>15</v>
      </c>
      <c r="W1" s="31" t="s">
        <v>18</v>
      </c>
    </row>
    <row r="2" spans="1:27" x14ac:dyDescent="0.25">
      <c r="R2" s="28">
        <v>1</v>
      </c>
      <c r="S2" s="29">
        <v>-0.12575120530556039</v>
      </c>
      <c r="T2" s="41">
        <f>+IF(OR(S2&lt;($Z$3-3*$Z$4^0.5),S2&gt;($Z$3+3*$Z$4^0.5)),1,0)</f>
        <v>1</v>
      </c>
      <c r="U2" s="4">
        <f>+(S2-AVERAGE($S$2:$S$1252))/_xlfn.STDEV.S($S$2:$S$1252)</f>
        <v>-6.6286021917468076</v>
      </c>
      <c r="V2" s="32">
        <v>1.0000000000000001E-15</v>
      </c>
      <c r="W2" s="33">
        <f>+_xlfn.NORM.S.INV(V2)</f>
        <v>-7.9413453261709952</v>
      </c>
      <c r="X2" s="4">
        <f>+U2</f>
        <v>-6.6286021917468076</v>
      </c>
    </row>
    <row r="3" spans="1:27" ht="13.5" thickBot="1" x14ac:dyDescent="0.35">
      <c r="A3" s="36" t="s">
        <v>26</v>
      </c>
      <c r="B3" s="36" t="s">
        <v>27</v>
      </c>
      <c r="C3" s="36" t="s">
        <v>28</v>
      </c>
      <c r="R3" s="28">
        <v>2</v>
      </c>
      <c r="S3" s="29">
        <v>-0.11793097559303904</v>
      </c>
      <c r="T3" s="41">
        <f t="shared" ref="T3:T66" si="0">+IF(OR(S3&lt;($Z$3-3*$Z$4^0.5),S3&gt;($Z$3+3*$Z$4^0.5)),1,0)</f>
        <v>1</v>
      </c>
      <c r="U3" s="4">
        <f t="shared" ref="U3:U66" si="1">+(S3-AVERAGE($S$2:$S$1252))/_xlfn.STDEV.S($S$2:$S$1252)</f>
        <v>-6.2161963980596475</v>
      </c>
      <c r="V3" s="15">
        <f>+R2/1252</f>
        <v>7.9872204472843447E-4</v>
      </c>
      <c r="W3" s="33">
        <f t="shared" ref="W3:W66" si="2">+_xlfn.NORM.S.INV(V3)</f>
        <v>-3.1563730486655528</v>
      </c>
      <c r="X3" s="4">
        <f t="shared" ref="X3:X66" si="3">+U3</f>
        <v>-6.2161963980596475</v>
      </c>
      <c r="Y3" s="31" t="s">
        <v>39</v>
      </c>
      <c r="Z3" s="5">
        <f>AVERAGE(S2:S1252)</f>
        <v>-5.6579755016135768E-5</v>
      </c>
    </row>
    <row r="4" spans="1:27" ht="15" thickTop="1" x14ac:dyDescent="0.35">
      <c r="A4" s="52">
        <v>45391</v>
      </c>
      <c r="B4" s="51">
        <v>3054</v>
      </c>
      <c r="C4" s="1">
        <f t="shared" ref="C4:C67" si="4">+LN(B4/B5)</f>
        <v>-3.9215736531816913E-3</v>
      </c>
      <c r="E4" t="s">
        <v>0</v>
      </c>
      <c r="F4" s="5">
        <f>MIN(C4:C1254)</f>
        <v>-0.12575120530556039</v>
      </c>
      <c r="R4" s="28">
        <v>3</v>
      </c>
      <c r="S4" s="29">
        <v>-0.10570888702522342</v>
      </c>
      <c r="T4" s="41">
        <f t="shared" si="0"/>
        <v>1</v>
      </c>
      <c r="U4" s="4">
        <f t="shared" si="1"/>
        <v>-5.5716552117241323</v>
      </c>
      <c r="V4" s="15">
        <f t="shared" ref="V4:V67" si="5">+R3/1252</f>
        <v>1.5974440894568689E-3</v>
      </c>
      <c r="W4" s="33">
        <f t="shared" si="2"/>
        <v>-2.9483367635585207</v>
      </c>
      <c r="X4" s="4">
        <f t="shared" si="3"/>
        <v>-5.5716552117241323</v>
      </c>
      <c r="Y4" s="10" t="s">
        <v>45</v>
      </c>
      <c r="Z4">
        <f>+_xlfn.VAR.S(S2:S1252)</f>
        <v>3.5957501302639463E-4</v>
      </c>
    </row>
    <row r="5" spans="1:27" ht="14.5" x14ac:dyDescent="0.35">
      <c r="A5" s="52">
        <v>45390</v>
      </c>
      <c r="B5" s="51">
        <v>3066</v>
      </c>
      <c r="C5" s="1">
        <f t="shared" si="4"/>
        <v>5.2321898303021065E-3</v>
      </c>
      <c r="F5" s="5">
        <f>+F4+($F$14-$F$4)/10</f>
        <v>-0.10064167256986292</v>
      </c>
      <c r="R5" s="28">
        <v>4</v>
      </c>
      <c r="S5" s="29">
        <v>-9.589089991356009E-2</v>
      </c>
      <c r="T5" s="41">
        <f t="shared" si="0"/>
        <v>1</v>
      </c>
      <c r="U5" s="4">
        <f t="shared" si="1"/>
        <v>-5.0538961539930307</v>
      </c>
      <c r="V5" s="15">
        <f t="shared" si="5"/>
        <v>2.3961661341853034E-3</v>
      </c>
      <c r="W5" s="33">
        <f t="shared" si="2"/>
        <v>-2.8206710107576471</v>
      </c>
      <c r="X5" s="4">
        <f t="shared" si="3"/>
        <v>-5.0538961539930307</v>
      </c>
      <c r="Y5" s="10" t="s">
        <v>46</v>
      </c>
      <c r="Z5">
        <f>+SKEW(S2:S1252)</f>
        <v>-0.42354408705143703</v>
      </c>
    </row>
    <row r="6" spans="1:27" ht="14.5" x14ac:dyDescent="0.35">
      <c r="A6" s="52">
        <v>45387</v>
      </c>
      <c r="B6" s="51">
        <v>3050</v>
      </c>
      <c r="C6" s="1">
        <f t="shared" si="4"/>
        <v>8.5611323020335865E-3</v>
      </c>
      <c r="F6" s="5">
        <f t="shared" ref="F6:F13" si="6">+F5+($F$14-$F$4)/10</f>
        <v>-7.5532139834165457E-2</v>
      </c>
      <c r="R6" s="28">
        <v>5</v>
      </c>
      <c r="S6" s="29">
        <v>-8.8626451364927888E-2</v>
      </c>
      <c r="T6" s="41">
        <f t="shared" si="0"/>
        <v>1</v>
      </c>
      <c r="U6" s="4">
        <f t="shared" si="1"/>
        <v>-4.6707999049658033</v>
      </c>
      <c r="V6" s="15">
        <f t="shared" si="5"/>
        <v>3.1948881789137379E-3</v>
      </c>
      <c r="W6" s="33">
        <f t="shared" si="2"/>
        <v>-2.7270788722062282</v>
      </c>
      <c r="X6" s="4">
        <f t="shared" si="3"/>
        <v>-4.6707999049658033</v>
      </c>
      <c r="Y6" s="10" t="s">
        <v>47</v>
      </c>
      <c r="Z6">
        <f>+KURT(S2:S1252)</f>
        <v>6.9692663361914251</v>
      </c>
    </row>
    <row r="7" spans="1:27" ht="14.5" x14ac:dyDescent="0.35">
      <c r="A7" s="52">
        <v>45386</v>
      </c>
      <c r="B7" s="51">
        <v>3024</v>
      </c>
      <c r="C7" s="1">
        <f t="shared" si="4"/>
        <v>3.3123581129828744E-3</v>
      </c>
      <c r="F7" s="5">
        <f t="shared" si="6"/>
        <v>-5.0422607098467985E-2</v>
      </c>
      <c r="R7" s="28">
        <v>6</v>
      </c>
      <c r="S7" s="29">
        <v>-7.5865750774713483E-2</v>
      </c>
      <c r="T7" s="41">
        <f t="shared" si="0"/>
        <v>1</v>
      </c>
      <c r="U7" s="4">
        <f t="shared" si="1"/>
        <v>-3.9978546017753622</v>
      </c>
      <c r="V7" s="15">
        <f t="shared" si="5"/>
        <v>3.9936102236421724E-3</v>
      </c>
      <c r="W7" s="33">
        <f t="shared" si="2"/>
        <v>-2.6526095495605553</v>
      </c>
      <c r="X7" s="4">
        <f t="shared" si="3"/>
        <v>-3.9978546017753622</v>
      </c>
    </row>
    <row r="8" spans="1:27" ht="14.5" x14ac:dyDescent="0.35">
      <c r="A8" s="52">
        <v>45385</v>
      </c>
      <c r="B8" s="51">
        <v>3014</v>
      </c>
      <c r="C8" s="1">
        <f t="shared" si="4"/>
        <v>1.6728392770463365E-2</v>
      </c>
      <c r="F8" s="5">
        <f t="shared" si="6"/>
        <v>-2.5313074362770513E-2</v>
      </c>
      <c r="R8" s="28">
        <v>7</v>
      </c>
      <c r="S8" s="29">
        <v>-7.4901308173117714E-2</v>
      </c>
      <c r="T8" s="41">
        <f t="shared" si="0"/>
        <v>1</v>
      </c>
      <c r="U8" s="4">
        <f t="shared" si="1"/>
        <v>-3.9469939837119354</v>
      </c>
      <c r="V8" s="15">
        <f t="shared" si="5"/>
        <v>4.7923322683706068E-3</v>
      </c>
      <c r="W8" s="33">
        <f t="shared" si="2"/>
        <v>-2.5904640018645773</v>
      </c>
      <c r="X8" s="4">
        <f t="shared" si="3"/>
        <v>-3.9469939837119354</v>
      </c>
    </row>
    <row r="9" spans="1:27" ht="14.5" x14ac:dyDescent="0.35">
      <c r="A9" s="52">
        <v>45384</v>
      </c>
      <c r="B9" s="51">
        <v>2964</v>
      </c>
      <c r="C9" s="1">
        <f t="shared" si="4"/>
        <v>1.3504390978715467E-3</v>
      </c>
      <c r="F9" s="5">
        <f t="shared" si="6"/>
        <v>-2.0354162707304085E-4</v>
      </c>
      <c r="R9" s="28">
        <v>8</v>
      </c>
      <c r="S9" s="29">
        <v>-7.2861348264871714E-2</v>
      </c>
      <c r="T9" s="41">
        <f t="shared" si="0"/>
        <v>1</v>
      </c>
      <c r="U9" s="4">
        <f t="shared" si="1"/>
        <v>-3.8394151380799273</v>
      </c>
      <c r="V9" s="15">
        <f t="shared" si="5"/>
        <v>5.5910543130990413E-3</v>
      </c>
      <c r="W9" s="33">
        <f t="shared" si="2"/>
        <v>-2.5369557531286526</v>
      </c>
      <c r="X9" s="4">
        <f t="shared" si="3"/>
        <v>-3.8394151380799273</v>
      </c>
    </row>
    <row r="10" spans="1:27" ht="14.5" x14ac:dyDescent="0.35">
      <c r="A10" s="52">
        <v>45379</v>
      </c>
      <c r="B10" s="51">
        <v>2960</v>
      </c>
      <c r="C10" s="1">
        <f t="shared" si="4"/>
        <v>1.3605652055778678E-2</v>
      </c>
      <c r="F10" s="5">
        <f t="shared" si="6"/>
        <v>2.4905991108624431E-2</v>
      </c>
      <c r="R10" s="28">
        <v>9</v>
      </c>
      <c r="S10" s="29">
        <v>-6.4677709668661001E-2</v>
      </c>
      <c r="T10" s="41">
        <f t="shared" si="0"/>
        <v>1</v>
      </c>
      <c r="U10" s="4">
        <f t="shared" si="1"/>
        <v>-3.4078446990280788</v>
      </c>
      <c r="V10" s="15">
        <f t="shared" si="5"/>
        <v>6.3897763578274758E-3</v>
      </c>
      <c r="W10" s="33">
        <f t="shared" si="2"/>
        <v>-2.4898541484898677</v>
      </c>
      <c r="X10" s="4">
        <f t="shared" si="3"/>
        <v>-3.4078446990280788</v>
      </c>
      <c r="Z10" s="10" t="s">
        <v>17</v>
      </c>
      <c r="AA10">
        <f>1252*((Z5^2)/6+(Z6^2)/24)</f>
        <v>2571.2027505259975</v>
      </c>
    </row>
    <row r="11" spans="1:27" ht="14.5" x14ac:dyDescent="0.35">
      <c r="A11" s="52">
        <v>45378</v>
      </c>
      <c r="B11" s="51">
        <v>2920</v>
      </c>
      <c r="C11" s="1">
        <f t="shared" si="4"/>
        <v>-1.3689256073417322E-3</v>
      </c>
      <c r="F11" s="5">
        <f t="shared" si="6"/>
        <v>5.0015523844321903E-2</v>
      </c>
      <c r="R11" s="28">
        <v>10</v>
      </c>
      <c r="S11" s="29">
        <v>-5.9219359659971216E-2</v>
      </c>
      <c r="T11" s="41">
        <f t="shared" si="0"/>
        <v>1</v>
      </c>
      <c r="U11" s="4">
        <f t="shared" si="1"/>
        <v>-3.1199944375515201</v>
      </c>
      <c r="V11" s="15">
        <f t="shared" si="5"/>
        <v>7.1884984025559102E-3</v>
      </c>
      <c r="W11" s="33">
        <f t="shared" si="2"/>
        <v>-2.4477033585225918</v>
      </c>
      <c r="X11" s="4">
        <f t="shared" si="3"/>
        <v>-3.1199944375515201</v>
      </c>
    </row>
    <row r="12" spans="1:27" ht="14.5" x14ac:dyDescent="0.35">
      <c r="A12" s="52">
        <v>45377</v>
      </c>
      <c r="B12" s="51">
        <v>2924</v>
      </c>
      <c r="C12" s="1">
        <f t="shared" si="4"/>
        <v>2.0540917869382694E-3</v>
      </c>
      <c r="F12" s="5">
        <f t="shared" si="6"/>
        <v>7.5125056580019375E-2</v>
      </c>
      <c r="R12" s="28">
        <v>11</v>
      </c>
      <c r="S12" s="29">
        <v>-5.8021834402097537E-2</v>
      </c>
      <c r="T12" s="41">
        <f t="shared" si="0"/>
        <v>1</v>
      </c>
      <c r="U12" s="4">
        <f t="shared" si="1"/>
        <v>-3.0568420273808745</v>
      </c>
      <c r="V12" s="15">
        <f t="shared" si="5"/>
        <v>7.9872204472843447E-3</v>
      </c>
      <c r="W12" s="33">
        <f t="shared" si="2"/>
        <v>-2.4094989759606067</v>
      </c>
      <c r="X12" s="4">
        <f t="shared" si="3"/>
        <v>-3.0568420273808745</v>
      </c>
      <c r="Z12" s="10" t="s">
        <v>43</v>
      </c>
      <c r="AA12">
        <f>+_xlfn.CHISQ.INV.RT(0.05,2)</f>
        <v>5.9914645471079817</v>
      </c>
    </row>
    <row r="13" spans="1:27" ht="14.5" x14ac:dyDescent="0.35">
      <c r="A13" s="52">
        <v>45376</v>
      </c>
      <c r="B13" s="51">
        <v>2918</v>
      </c>
      <c r="C13" s="1">
        <f t="shared" si="4"/>
        <v>-4.7863339238111728E-3</v>
      </c>
      <c r="F13" s="5">
        <f t="shared" si="6"/>
        <v>0.10023458931571685</v>
      </c>
      <c r="R13" s="28">
        <v>12</v>
      </c>
      <c r="S13" s="29">
        <v>-5.5675833879725835E-2</v>
      </c>
      <c r="T13" s="41">
        <f t="shared" si="0"/>
        <v>0</v>
      </c>
      <c r="U13" s="4">
        <f t="shared" si="1"/>
        <v>-2.9331238959466952</v>
      </c>
      <c r="V13" s="15">
        <f t="shared" si="5"/>
        <v>8.7859424920127792E-3</v>
      </c>
      <c r="W13" s="33">
        <f t="shared" si="2"/>
        <v>-2.3745178832011802</v>
      </c>
      <c r="X13" s="4">
        <f t="shared" si="3"/>
        <v>-2.9331238959466952</v>
      </c>
    </row>
    <row r="14" spans="1:27" ht="14.5" x14ac:dyDescent="0.35">
      <c r="A14" s="52">
        <v>45373</v>
      </c>
      <c r="B14" s="51">
        <v>2932</v>
      </c>
      <c r="C14" s="1">
        <f t="shared" si="4"/>
        <v>-2.7247973261851424E-3</v>
      </c>
      <c r="E14" t="s">
        <v>1</v>
      </c>
      <c r="F14" s="5">
        <f>MAX(C4:C1254)</f>
        <v>0.12534412205141435</v>
      </c>
      <c r="R14" s="28">
        <v>13</v>
      </c>
      <c r="S14" s="29">
        <v>-5.5403389097371497E-2</v>
      </c>
      <c r="T14" s="41">
        <f t="shared" si="0"/>
        <v>0</v>
      </c>
      <c r="U14" s="4">
        <f t="shared" si="1"/>
        <v>-2.9187563120222912</v>
      </c>
      <c r="V14" s="15">
        <f t="shared" si="5"/>
        <v>9.5846645367412137E-3</v>
      </c>
      <c r="W14" s="33">
        <f t="shared" si="2"/>
        <v>-2.342221606715253</v>
      </c>
      <c r="X14" s="4">
        <f t="shared" si="3"/>
        <v>-2.9187563120222912</v>
      </c>
    </row>
    <row r="15" spans="1:27" ht="14.5" x14ac:dyDescent="0.35">
      <c r="A15" s="52">
        <v>45372</v>
      </c>
      <c r="B15" s="51">
        <v>2940</v>
      </c>
      <c r="C15" s="1">
        <f t="shared" si="4"/>
        <v>-1.0152371464017962E-2</v>
      </c>
      <c r="R15" s="28">
        <v>14</v>
      </c>
      <c r="S15" s="29">
        <v>-5.5151820075080099E-2</v>
      </c>
      <c r="T15" s="41">
        <f t="shared" si="0"/>
        <v>0</v>
      </c>
      <c r="U15" s="4">
        <f t="shared" si="1"/>
        <v>-2.9054896272676136</v>
      </c>
      <c r="V15" s="15">
        <f t="shared" si="5"/>
        <v>1.0383386581469648E-2</v>
      </c>
      <c r="W15" s="33">
        <f t="shared" si="2"/>
        <v>-2.3121980235236075</v>
      </c>
      <c r="X15" s="4">
        <f t="shared" si="3"/>
        <v>-2.9054896272676136</v>
      </c>
    </row>
    <row r="16" spans="1:27" ht="14.5" x14ac:dyDescent="0.35">
      <c r="A16" s="52">
        <v>45371</v>
      </c>
      <c r="B16" s="51">
        <v>2970</v>
      </c>
      <c r="C16" s="1">
        <f t="shared" si="4"/>
        <v>2.0222453807678706E-3</v>
      </c>
      <c r="R16" s="28">
        <v>15</v>
      </c>
      <c r="S16" s="29">
        <v>-5.4703133756971958E-2</v>
      </c>
      <c r="T16" s="41">
        <f t="shared" si="0"/>
        <v>0</v>
      </c>
      <c r="U16" s="4">
        <f t="shared" si="1"/>
        <v>-2.8818278111908198</v>
      </c>
      <c r="V16" s="15">
        <f t="shared" si="5"/>
        <v>1.1182108626198083E-2</v>
      </c>
      <c r="W16" s="33">
        <f t="shared" si="2"/>
        <v>-2.2841244631564783</v>
      </c>
      <c r="X16" s="4">
        <f t="shared" si="3"/>
        <v>-2.8818278111908198</v>
      </c>
    </row>
    <row r="17" spans="1:24" ht="14.5" x14ac:dyDescent="0.35">
      <c r="A17" s="52">
        <v>45370</v>
      </c>
      <c r="B17" s="51">
        <v>2964</v>
      </c>
      <c r="C17" s="1">
        <f t="shared" si="4"/>
        <v>-2.6954194216723226E-3</v>
      </c>
      <c r="F17" s="1"/>
      <c r="R17" s="28">
        <v>16</v>
      </c>
      <c r="S17" s="29">
        <v>-5.3847441049610832E-2</v>
      </c>
      <c r="T17" s="41">
        <f t="shared" si="0"/>
        <v>0</v>
      </c>
      <c r="U17" s="4">
        <f t="shared" si="1"/>
        <v>-2.8367022019562795</v>
      </c>
      <c r="V17" s="15">
        <f t="shared" si="5"/>
        <v>1.1980830670926517E-2</v>
      </c>
      <c r="W17" s="33">
        <f t="shared" si="2"/>
        <v>-2.2577434068988094</v>
      </c>
      <c r="X17" s="4">
        <f t="shared" si="3"/>
        <v>-2.8367022019562795</v>
      </c>
    </row>
    <row r="18" spans="1:24" ht="14.5" x14ac:dyDescent="0.35">
      <c r="A18" s="52">
        <v>45369</v>
      </c>
      <c r="B18" s="51">
        <v>2972</v>
      </c>
      <c r="C18" s="1">
        <f t="shared" si="4"/>
        <v>1.4915530756447568E-2</v>
      </c>
      <c r="R18" s="28">
        <v>17</v>
      </c>
      <c r="S18" s="29">
        <v>-4.9982009869505788E-2</v>
      </c>
      <c r="T18" s="41">
        <f t="shared" si="0"/>
        <v>0</v>
      </c>
      <c r="U18" s="4">
        <f t="shared" si="1"/>
        <v>-2.6328557329424753</v>
      </c>
      <c r="V18" s="15">
        <f t="shared" si="5"/>
        <v>1.2779552715654952E-2</v>
      </c>
      <c r="W18" s="33">
        <f t="shared" si="2"/>
        <v>-2.2328459423636926</v>
      </c>
      <c r="X18" s="4">
        <f t="shared" si="3"/>
        <v>-2.6328557329424753</v>
      </c>
    </row>
    <row r="19" spans="1:24" ht="14.5" x14ac:dyDescent="0.35">
      <c r="A19" s="52">
        <v>45365</v>
      </c>
      <c r="B19" s="51">
        <v>2928</v>
      </c>
      <c r="C19" s="1">
        <f t="shared" si="4"/>
        <v>3.4211459984711712E-3</v>
      </c>
      <c r="F19" s="6"/>
      <c r="R19" s="28">
        <v>18</v>
      </c>
      <c r="S19" s="29">
        <v>-4.9608026323469362E-2</v>
      </c>
      <c r="T19" s="41">
        <f t="shared" si="0"/>
        <v>0</v>
      </c>
      <c r="U19" s="4">
        <f t="shared" si="1"/>
        <v>-2.613133424672919</v>
      </c>
      <c r="V19" s="15">
        <f t="shared" si="5"/>
        <v>1.3578274760383386E-2</v>
      </c>
      <c r="W19" s="33">
        <f t="shared" si="2"/>
        <v>-2.2092601751391063</v>
      </c>
      <c r="X19" s="4">
        <f t="shared" si="3"/>
        <v>-2.613133424672919</v>
      </c>
    </row>
    <row r="20" spans="1:24" ht="14.5" x14ac:dyDescent="0.35">
      <c r="A20" s="52">
        <v>45364</v>
      </c>
      <c r="B20" s="51">
        <v>2918</v>
      </c>
      <c r="C20" s="1">
        <f t="shared" si="4"/>
        <v>-8.1911720786518784E-3</v>
      </c>
      <c r="R20" s="28">
        <v>19</v>
      </c>
      <c r="S20" s="29">
        <v>-4.8976888098645949E-2</v>
      </c>
      <c r="T20" s="41">
        <f t="shared" si="0"/>
        <v>0</v>
      </c>
      <c r="U20" s="4">
        <f t="shared" si="1"/>
        <v>-2.5798498677822752</v>
      </c>
      <c r="V20" s="15">
        <f t="shared" si="5"/>
        <v>1.437699680511182E-2</v>
      </c>
      <c r="W20" s="33">
        <f t="shared" si="2"/>
        <v>-2.1868429121239132</v>
      </c>
      <c r="X20" s="4">
        <f t="shared" si="3"/>
        <v>-2.5798498677822752</v>
      </c>
    </row>
    <row r="21" spans="1:24" ht="14.5" x14ac:dyDescent="0.35">
      <c r="A21" s="52">
        <v>45363</v>
      </c>
      <c r="B21" s="51">
        <v>2942</v>
      </c>
      <c r="C21" s="1">
        <f t="shared" si="4"/>
        <v>5.4533195813132691E-3</v>
      </c>
      <c r="R21" s="28">
        <v>20</v>
      </c>
      <c r="S21" s="29">
        <v>-4.8566575571519013E-2</v>
      </c>
      <c r="T21" s="41">
        <f t="shared" si="0"/>
        <v>0</v>
      </c>
      <c r="U21" s="4">
        <f t="shared" si="1"/>
        <v>-2.5582117229156829</v>
      </c>
      <c r="V21" s="15">
        <f t="shared" si="5"/>
        <v>1.5175718849840255E-2</v>
      </c>
      <c r="W21" s="33">
        <f t="shared" si="2"/>
        <v>-2.1654735648631602</v>
      </c>
      <c r="X21" s="4">
        <f t="shared" si="3"/>
        <v>-2.5582117229156829</v>
      </c>
    </row>
    <row r="22" spans="1:24" ht="14.5" x14ac:dyDescent="0.35">
      <c r="A22" s="52">
        <v>45362</v>
      </c>
      <c r="B22" s="51">
        <v>2926</v>
      </c>
      <c r="C22" s="1">
        <f t="shared" si="4"/>
        <v>-4.0927751537530362E-3</v>
      </c>
      <c r="R22" s="28">
        <v>21</v>
      </c>
      <c r="S22" s="29">
        <v>-4.7091607533850569E-2</v>
      </c>
      <c r="T22" s="41">
        <f t="shared" si="0"/>
        <v>0</v>
      </c>
      <c r="U22" s="4">
        <f t="shared" si="1"/>
        <v>-2.4804281556038568</v>
      </c>
      <c r="V22" s="15">
        <f t="shared" si="5"/>
        <v>1.5974440894568689E-2</v>
      </c>
      <c r="W22" s="33">
        <f t="shared" si="2"/>
        <v>-2.1450495961618947</v>
      </c>
      <c r="X22" s="4">
        <f t="shared" si="3"/>
        <v>-2.4804281556038568</v>
      </c>
    </row>
    <row r="23" spans="1:24" ht="14.5" x14ac:dyDescent="0.35">
      <c r="A23" s="52">
        <v>45359</v>
      </c>
      <c r="B23" s="51">
        <v>2938</v>
      </c>
      <c r="C23" s="1">
        <f t="shared" si="4"/>
        <v>-6.8050359890472621E-4</v>
      </c>
      <c r="R23" s="28">
        <v>22</v>
      </c>
      <c r="S23" s="29">
        <v>-4.6365920557925655E-2</v>
      </c>
      <c r="T23" s="41">
        <f t="shared" si="0"/>
        <v>0</v>
      </c>
      <c r="U23" s="4">
        <f t="shared" si="1"/>
        <v>-2.4421584980264637</v>
      </c>
      <c r="V23" s="15">
        <f t="shared" si="5"/>
        <v>1.6773162939297124E-2</v>
      </c>
      <c r="W23" s="33">
        <f t="shared" si="2"/>
        <v>-2.1254830626678305</v>
      </c>
      <c r="X23" s="4">
        <f t="shared" si="3"/>
        <v>-2.4421584980264637</v>
      </c>
    </row>
    <row r="24" spans="1:24" ht="14.5" x14ac:dyDescent="0.35">
      <c r="A24" s="52">
        <v>45358</v>
      </c>
      <c r="B24" s="51">
        <v>2940</v>
      </c>
      <c r="C24" s="1">
        <f t="shared" si="4"/>
        <v>1.1632016202499162E-2</v>
      </c>
      <c r="R24" s="28">
        <v>23</v>
      </c>
      <c r="S24" s="29">
        <v>-4.2441152060071811E-2</v>
      </c>
      <c r="T24" s="41">
        <f t="shared" si="0"/>
        <v>0</v>
      </c>
      <c r="U24" s="4">
        <f t="shared" si="1"/>
        <v>-2.2351828301884509</v>
      </c>
      <c r="V24" s="15">
        <f t="shared" si="5"/>
        <v>1.7571884984025558E-2</v>
      </c>
      <c r="W24" s="33">
        <f t="shared" si="2"/>
        <v>-2.1066979506460028</v>
      </c>
      <c r="X24" s="4">
        <f t="shared" si="3"/>
        <v>-2.2351828301884509</v>
      </c>
    </row>
    <row r="25" spans="1:24" ht="14.5" x14ac:dyDescent="0.35">
      <c r="A25" s="52">
        <v>45357</v>
      </c>
      <c r="B25" s="51">
        <v>2906</v>
      </c>
      <c r="C25" s="1">
        <f t="shared" si="4"/>
        <v>6.8846818554148454E-4</v>
      </c>
      <c r="F25" s="11" t="s">
        <v>33</v>
      </c>
      <c r="G25" s="11" t="s">
        <v>34</v>
      </c>
      <c r="R25" s="28">
        <v>24</v>
      </c>
      <c r="S25" s="29">
        <v>-4.1646396875272974E-2</v>
      </c>
      <c r="T25" s="41">
        <f t="shared" si="0"/>
        <v>0</v>
      </c>
      <c r="U25" s="4">
        <f t="shared" si="1"/>
        <v>-2.1932708078025671</v>
      </c>
      <c r="V25" s="15">
        <f t="shared" si="5"/>
        <v>1.8370607028753993E-2</v>
      </c>
      <c r="W25" s="33">
        <f t="shared" si="2"/>
        <v>-2.0886280956212326</v>
      </c>
      <c r="X25" s="4">
        <f t="shared" si="3"/>
        <v>-2.1932708078025671</v>
      </c>
    </row>
    <row r="26" spans="1:24" ht="14.5" x14ac:dyDescent="0.35">
      <c r="A26" s="52">
        <v>45356</v>
      </c>
      <c r="B26" s="51">
        <v>2904</v>
      </c>
      <c r="C26" s="1">
        <f t="shared" si="4"/>
        <v>-4.8093531380442641E-3</v>
      </c>
      <c r="E26" s="10" t="s">
        <v>21</v>
      </c>
      <c r="F26" s="12">
        <f>AVERAGE(C4:C1254)</f>
        <v>-5.6579755016144922E-5</v>
      </c>
      <c r="G26" s="15">
        <f>+F26*250</f>
        <v>-1.414493875403623E-2</v>
      </c>
      <c r="R26" s="28">
        <v>25</v>
      </c>
      <c r="S26" s="29">
        <v>-4.1228298034565555E-2</v>
      </c>
      <c r="T26" s="41">
        <f t="shared" si="0"/>
        <v>0</v>
      </c>
      <c r="U26" s="4">
        <f t="shared" si="1"/>
        <v>-2.1712220457354445</v>
      </c>
      <c r="V26" s="15">
        <f t="shared" si="5"/>
        <v>1.9169329073482427E-2</v>
      </c>
      <c r="W26" s="33">
        <f t="shared" si="2"/>
        <v>-2.0712155384048128</v>
      </c>
      <c r="X26" s="4">
        <f t="shared" si="3"/>
        <v>-2.1712220457354445</v>
      </c>
    </row>
    <row r="27" spans="1:24" ht="14.5" x14ac:dyDescent="0.35">
      <c r="A27" s="52">
        <v>45355</v>
      </c>
      <c r="B27" s="51">
        <v>2918</v>
      </c>
      <c r="C27" s="1">
        <f t="shared" si="4"/>
        <v>-2.7378524973386935E-3</v>
      </c>
      <c r="E27" s="10" t="s">
        <v>29</v>
      </c>
      <c r="F27" s="13">
        <f>_xlfn.STDEV.S(C4:C1254)</f>
        <v>1.8962463263679508E-2</v>
      </c>
      <c r="G27" s="15">
        <f>+F27*250^0.5</f>
        <v>0.2998228698024864</v>
      </c>
      <c r="R27" s="28">
        <v>26</v>
      </c>
      <c r="S27" s="29">
        <v>-3.9763233172013121E-2</v>
      </c>
      <c r="T27" s="41">
        <f t="shared" si="0"/>
        <v>0</v>
      </c>
      <c r="U27" s="4">
        <f t="shared" si="1"/>
        <v>-2.0939607299358984</v>
      </c>
      <c r="V27" s="15">
        <f t="shared" si="5"/>
        <v>1.9968051118210862E-2</v>
      </c>
      <c r="W27" s="33">
        <f t="shared" si="2"/>
        <v>-2.0544092118030792</v>
      </c>
      <c r="X27" s="4">
        <f t="shared" si="3"/>
        <v>-2.0939607299358984</v>
      </c>
    </row>
    <row r="28" spans="1:24" ht="15" thickBot="1" x14ac:dyDescent="0.4">
      <c r="A28" s="52">
        <v>45352</v>
      </c>
      <c r="B28" s="51">
        <v>2926</v>
      </c>
      <c r="C28" s="1">
        <f t="shared" si="4"/>
        <v>1.2379800473591744E-2</v>
      </c>
      <c r="F28" s="8"/>
      <c r="J28" s="3"/>
      <c r="K28" s="3"/>
      <c r="L28" s="3"/>
      <c r="R28" s="28">
        <v>27</v>
      </c>
      <c r="S28" s="29">
        <v>-3.9699869846684582E-2</v>
      </c>
      <c r="T28" s="41">
        <f t="shared" si="0"/>
        <v>0</v>
      </c>
      <c r="U28" s="4">
        <f t="shared" si="1"/>
        <v>-2.0906192165234558</v>
      </c>
      <c r="V28" s="15">
        <f t="shared" si="5"/>
        <v>2.0766773162939296E-2</v>
      </c>
      <c r="W28" s="33">
        <f t="shared" si="2"/>
        <v>-2.0381638810689928</v>
      </c>
      <c r="X28" s="4">
        <f t="shared" si="3"/>
        <v>-2.0906192165234558</v>
      </c>
    </row>
    <row r="29" spans="1:24" ht="14.5" x14ac:dyDescent="0.35">
      <c r="A29" s="52">
        <v>45351</v>
      </c>
      <c r="B29" s="51">
        <v>2890</v>
      </c>
      <c r="C29" s="1">
        <f t="shared" si="4"/>
        <v>-3.4542348680875576E-3</v>
      </c>
      <c r="H29" s="7" t="s">
        <v>31</v>
      </c>
      <c r="I29" s="7" t="s">
        <v>30</v>
      </c>
      <c r="J29" s="3"/>
      <c r="R29" s="28">
        <v>28</v>
      </c>
      <c r="S29" s="29">
        <v>-3.9687748267242577E-2</v>
      </c>
      <c r="T29" s="41">
        <f t="shared" si="0"/>
        <v>0</v>
      </c>
      <c r="U29" s="4">
        <f t="shared" si="1"/>
        <v>-2.0899799757627249</v>
      </c>
      <c r="V29" s="15">
        <f t="shared" si="5"/>
        <v>2.1565495207667731E-2</v>
      </c>
      <c r="W29" s="33">
        <f t="shared" si="2"/>
        <v>-2.0224392812996594</v>
      </c>
      <c r="X29" s="4">
        <f t="shared" si="3"/>
        <v>-2.0899799757627249</v>
      </c>
    </row>
    <row r="30" spans="1:24" ht="14.5" x14ac:dyDescent="0.35">
      <c r="A30" s="52">
        <v>45350</v>
      </c>
      <c r="B30" s="51">
        <v>2900</v>
      </c>
      <c r="C30" s="1">
        <f t="shared" si="4"/>
        <v>2.7624326959100796E-3</v>
      </c>
      <c r="F30" s="1"/>
      <c r="H30" s="5">
        <f>+F4</f>
        <v>-0.12575120530556039</v>
      </c>
      <c r="I30" s="2">
        <f t="array" ref="I30:I41">+FREQUENCY(C4:C1254,H30:H40)</f>
        <v>1</v>
      </c>
      <c r="J30" s="3"/>
      <c r="R30" s="28">
        <v>29</v>
      </c>
      <c r="S30" s="29">
        <v>-3.9188688045594118E-2</v>
      </c>
      <c r="T30" s="41">
        <f t="shared" si="0"/>
        <v>0</v>
      </c>
      <c r="U30" s="4">
        <f t="shared" si="1"/>
        <v>-2.0636616533639489</v>
      </c>
      <c r="V30" s="15">
        <f t="shared" si="5"/>
        <v>2.2364217252396165E-2</v>
      </c>
      <c r="W30" s="33">
        <f t="shared" si="2"/>
        <v>-2.0071994093079599</v>
      </c>
      <c r="X30" s="4">
        <f t="shared" si="3"/>
        <v>-2.0636616533639489</v>
      </c>
    </row>
    <row r="31" spans="1:24" ht="14.5" x14ac:dyDescent="0.35">
      <c r="A31" s="52">
        <v>45349</v>
      </c>
      <c r="B31" s="51">
        <v>2892</v>
      </c>
      <c r="C31" s="1">
        <f t="shared" si="4"/>
        <v>-1.850001374392023E-2</v>
      </c>
      <c r="H31" s="5">
        <f t="shared" ref="H31:H40" si="7">+F5</f>
        <v>-0.10064167256986292</v>
      </c>
      <c r="I31" s="2">
        <v>2</v>
      </c>
      <c r="J31" s="3"/>
      <c r="R31" s="28">
        <v>30</v>
      </c>
      <c r="S31" s="29">
        <v>-3.9187296836090499E-2</v>
      </c>
      <c r="T31" s="41">
        <f t="shared" si="0"/>
        <v>0</v>
      </c>
      <c r="U31" s="4">
        <f t="shared" si="1"/>
        <v>-2.063588286866977</v>
      </c>
      <c r="V31" s="15">
        <f t="shared" si="5"/>
        <v>2.31629392971246E-2</v>
      </c>
      <c r="W31" s="33">
        <f t="shared" si="2"/>
        <v>-1.9924119378306833</v>
      </c>
      <c r="X31" s="4">
        <f t="shared" si="3"/>
        <v>-2.063588286866977</v>
      </c>
    </row>
    <row r="32" spans="1:24" ht="14.5" x14ac:dyDescent="0.35">
      <c r="A32" s="52">
        <v>45348</v>
      </c>
      <c r="B32" s="51">
        <v>2946</v>
      </c>
      <c r="C32" s="1">
        <f t="shared" si="4"/>
        <v>4.763534016033486E-3</v>
      </c>
      <c r="F32" s="4"/>
      <c r="H32" s="5">
        <f t="shared" si="7"/>
        <v>-7.5532139834165457E-2</v>
      </c>
      <c r="I32" s="2">
        <v>3</v>
      </c>
      <c r="J32" s="3"/>
      <c r="R32" s="28">
        <v>31</v>
      </c>
      <c r="S32" s="29">
        <v>-3.9035911748264679E-2</v>
      </c>
      <c r="T32" s="41">
        <f t="shared" si="0"/>
        <v>0</v>
      </c>
      <c r="U32" s="4">
        <f t="shared" si="1"/>
        <v>-2.0556048785027388</v>
      </c>
      <c r="V32" s="15">
        <f t="shared" si="5"/>
        <v>2.3961661341853034E-2</v>
      </c>
      <c r="W32" s="33">
        <f t="shared" si="2"/>
        <v>-1.978047727488945</v>
      </c>
      <c r="X32" s="4">
        <f t="shared" si="3"/>
        <v>-2.0556048785027388</v>
      </c>
    </row>
    <row r="33" spans="1:24" ht="14.5" x14ac:dyDescent="0.35">
      <c r="A33" s="52">
        <v>45345</v>
      </c>
      <c r="B33" s="51">
        <v>2932</v>
      </c>
      <c r="C33" s="1">
        <f t="shared" si="4"/>
        <v>3.4164706958972777E-3</v>
      </c>
      <c r="H33" s="5">
        <f t="shared" si="7"/>
        <v>-5.0422607098467985E-2</v>
      </c>
      <c r="I33" s="2">
        <v>10</v>
      </c>
      <c r="J33" s="3"/>
      <c r="R33" s="28">
        <v>32</v>
      </c>
      <c r="S33" s="29">
        <v>-3.8992911599991346E-2</v>
      </c>
      <c r="T33" s="41">
        <f t="shared" si="0"/>
        <v>0</v>
      </c>
      <c r="U33" s="4">
        <f t="shared" si="1"/>
        <v>-2.0533372328031585</v>
      </c>
      <c r="V33" s="15">
        <f t="shared" si="5"/>
        <v>2.4760383386581469E-2</v>
      </c>
      <c r="W33" s="33">
        <f t="shared" si="2"/>
        <v>-1.9640804175042579</v>
      </c>
      <c r="X33" s="4">
        <f t="shared" si="3"/>
        <v>-2.0533372328031585</v>
      </c>
    </row>
    <row r="34" spans="1:24" ht="14.5" x14ac:dyDescent="0.35">
      <c r="A34" s="52">
        <v>45344</v>
      </c>
      <c r="B34" s="51">
        <v>2922</v>
      </c>
      <c r="C34" s="1">
        <f t="shared" si="4"/>
        <v>-9.5368570232206781E-3</v>
      </c>
      <c r="H34" s="5">
        <f t="shared" si="7"/>
        <v>-2.5313074362770513E-2</v>
      </c>
      <c r="I34" s="2">
        <v>59</v>
      </c>
      <c r="J34" s="3"/>
      <c r="R34" s="28">
        <v>33</v>
      </c>
      <c r="S34" s="29">
        <v>-3.8248288265928937E-2</v>
      </c>
      <c r="T34" s="41">
        <f t="shared" si="0"/>
        <v>0</v>
      </c>
      <c r="U34" s="4">
        <f t="shared" si="1"/>
        <v>-2.014068951899556</v>
      </c>
      <c r="V34" s="15">
        <f t="shared" si="5"/>
        <v>2.5559105431309903E-2</v>
      </c>
      <c r="W34" s="33">
        <f t="shared" si="2"/>
        <v>-1.950486080353641</v>
      </c>
      <c r="X34" s="4">
        <f t="shared" si="3"/>
        <v>-2.014068951899556</v>
      </c>
    </row>
    <row r="35" spans="1:24" ht="14.5" x14ac:dyDescent="0.35">
      <c r="A35" s="52">
        <v>45343</v>
      </c>
      <c r="B35" s="51">
        <v>2950</v>
      </c>
      <c r="C35" s="1">
        <f t="shared" si="4"/>
        <v>5.4384906309384272E-3</v>
      </c>
      <c r="H35" s="5">
        <f t="shared" si="7"/>
        <v>-2.0354162707304085E-4</v>
      </c>
      <c r="I35" s="2">
        <v>526</v>
      </c>
      <c r="J35" s="3"/>
      <c r="R35" s="28">
        <v>34</v>
      </c>
      <c r="S35" s="29">
        <v>-3.7902284416920347E-2</v>
      </c>
      <c r="T35" s="41">
        <f t="shared" si="0"/>
        <v>0</v>
      </c>
      <c r="U35" s="4">
        <f t="shared" si="1"/>
        <v>-1.9958221743476476</v>
      </c>
      <c r="V35" s="15">
        <f t="shared" si="5"/>
        <v>2.6357827476038338E-2</v>
      </c>
      <c r="W35" s="33">
        <f t="shared" si="2"/>
        <v>-1.9372429287065134</v>
      </c>
      <c r="X35" s="4">
        <f t="shared" si="3"/>
        <v>-1.9958221743476476</v>
      </c>
    </row>
    <row r="36" spans="1:24" ht="14.5" x14ac:dyDescent="0.35">
      <c r="A36" s="52">
        <v>45342</v>
      </c>
      <c r="B36" s="51">
        <v>2934</v>
      </c>
      <c r="C36" s="1">
        <f t="shared" si="4"/>
        <v>-1.1521645584344046E-2</v>
      </c>
      <c r="H36" s="5">
        <f t="shared" si="7"/>
        <v>2.4905991108624431E-2</v>
      </c>
      <c r="I36" s="2">
        <v>569</v>
      </c>
      <c r="J36" s="3"/>
      <c r="R36" s="28">
        <v>35</v>
      </c>
      <c r="S36" s="29">
        <v>-3.7387532071620329E-2</v>
      </c>
      <c r="T36" s="41">
        <f t="shared" si="0"/>
        <v>0</v>
      </c>
      <c r="U36" s="4">
        <f t="shared" si="1"/>
        <v>-1.9686763158090068</v>
      </c>
      <c r="V36" s="15">
        <f t="shared" si="5"/>
        <v>2.7156549520766772E-2</v>
      </c>
      <c r="W36" s="33">
        <f t="shared" si="2"/>
        <v>-1.9243310653973646</v>
      </c>
      <c r="X36" s="4">
        <f t="shared" si="3"/>
        <v>-1.9686763158090068</v>
      </c>
    </row>
    <row r="37" spans="1:24" ht="14.5" x14ac:dyDescent="0.35">
      <c r="A37" s="52">
        <v>45341</v>
      </c>
      <c r="B37" s="51">
        <v>2968</v>
      </c>
      <c r="C37" s="1">
        <f t="shared" si="4"/>
        <v>2.6990569691649835E-3</v>
      </c>
      <c r="H37" s="5">
        <f t="shared" si="7"/>
        <v>5.0015523844321903E-2</v>
      </c>
      <c r="I37" s="2">
        <v>66</v>
      </c>
      <c r="J37" s="3"/>
      <c r="R37" s="28">
        <v>36</v>
      </c>
      <c r="S37" s="29">
        <v>-3.7099507710997702E-2</v>
      </c>
      <c r="T37" s="41">
        <f t="shared" si="0"/>
        <v>0</v>
      </c>
      <c r="U37" s="4">
        <f t="shared" si="1"/>
        <v>-1.9534871309115833</v>
      </c>
      <c r="V37" s="15">
        <f t="shared" si="5"/>
        <v>2.7955271565495207E-2</v>
      </c>
      <c r="W37" s="33">
        <f t="shared" si="2"/>
        <v>-1.9117322690449208</v>
      </c>
      <c r="X37" s="4">
        <f t="shared" si="3"/>
        <v>-1.9534871309115833</v>
      </c>
    </row>
    <row r="38" spans="1:24" ht="14.5" x14ac:dyDescent="0.35">
      <c r="A38" s="52">
        <v>45338</v>
      </c>
      <c r="B38" s="51">
        <v>2960</v>
      </c>
      <c r="C38" s="1">
        <f t="shared" si="4"/>
        <v>6.0996461567231781E-3</v>
      </c>
      <c r="H38" s="5">
        <f t="shared" si="7"/>
        <v>7.5125056580019375E-2</v>
      </c>
      <c r="I38" s="2">
        <v>13</v>
      </c>
      <c r="J38" s="3"/>
      <c r="R38" s="28">
        <v>37</v>
      </c>
      <c r="S38" s="29">
        <v>-3.7081674904531924E-2</v>
      </c>
      <c r="T38" s="41">
        <f t="shared" si="0"/>
        <v>0</v>
      </c>
      <c r="U38" s="4">
        <f t="shared" si="1"/>
        <v>-1.9525467042266214</v>
      </c>
      <c r="V38" s="15">
        <f t="shared" si="5"/>
        <v>2.8753993610223641E-2</v>
      </c>
      <c r="W38" s="33">
        <f t="shared" si="2"/>
        <v>-1.8994298093704896</v>
      </c>
      <c r="X38" s="4">
        <f t="shared" si="3"/>
        <v>-1.9525467042266214</v>
      </c>
    </row>
    <row r="39" spans="1:24" ht="14.5" x14ac:dyDescent="0.35">
      <c r="A39" s="52">
        <v>45337</v>
      </c>
      <c r="B39" s="51">
        <v>2942</v>
      </c>
      <c r="C39" s="1">
        <f t="shared" si="4"/>
        <v>8.8768080328340011E-3</v>
      </c>
      <c r="H39" s="5">
        <f t="shared" si="7"/>
        <v>0.10023458931571685</v>
      </c>
      <c r="I39" s="2">
        <v>1</v>
      </c>
      <c r="J39" s="3"/>
      <c r="R39" s="28">
        <v>38</v>
      </c>
      <c r="S39" s="29">
        <v>-3.5259105046563079E-2</v>
      </c>
      <c r="T39" s="41">
        <f t="shared" si="0"/>
        <v>0</v>
      </c>
      <c r="U39" s="4">
        <f t="shared" si="1"/>
        <v>-1.8564320891249126</v>
      </c>
      <c r="V39" s="15">
        <f t="shared" si="5"/>
        <v>2.9552715654952075E-2</v>
      </c>
      <c r="W39" s="33">
        <f t="shared" si="2"/>
        <v>-1.8874082873967688</v>
      </c>
      <c r="X39" s="4">
        <f t="shared" si="3"/>
        <v>-1.8564320891249126</v>
      </c>
    </row>
    <row r="40" spans="1:24" ht="14.5" x14ac:dyDescent="0.35">
      <c r="A40" s="52">
        <v>45336</v>
      </c>
      <c r="B40" s="51">
        <v>2916</v>
      </c>
      <c r="C40" s="1">
        <f t="shared" si="4"/>
        <v>1.242251999855711E-2</v>
      </c>
      <c r="H40" s="5">
        <f t="shared" si="7"/>
        <v>0.12534412205141435</v>
      </c>
      <c r="I40" s="2">
        <v>1</v>
      </c>
      <c r="J40" s="3"/>
      <c r="R40" s="28">
        <v>39</v>
      </c>
      <c r="S40" s="29">
        <v>-3.4632164379092306E-2</v>
      </c>
      <c r="T40" s="41">
        <f t="shared" si="0"/>
        <v>0</v>
      </c>
      <c r="U40" s="4">
        <f t="shared" si="1"/>
        <v>-1.8233698936309544</v>
      </c>
      <c r="V40" s="15">
        <f t="shared" si="5"/>
        <v>3.035143769968051E-2</v>
      </c>
      <c r="W40" s="33">
        <f t="shared" si="2"/>
        <v>-1.8756534965983558</v>
      </c>
      <c r="X40" s="4">
        <f t="shared" si="3"/>
        <v>-1.8233698936309544</v>
      </c>
    </row>
    <row r="41" spans="1:24" ht="15" thickBot="1" x14ac:dyDescent="0.4">
      <c r="A41" s="52">
        <v>45335</v>
      </c>
      <c r="B41" s="51">
        <v>2880</v>
      </c>
      <c r="C41" s="1">
        <f t="shared" si="4"/>
        <v>-6.9204428445737952E-3</v>
      </c>
      <c r="H41" s="37" t="s">
        <v>32</v>
      </c>
      <c r="I41" s="2">
        <v>0</v>
      </c>
      <c r="J41" s="3"/>
      <c r="K41" s="3"/>
      <c r="L41" s="3"/>
      <c r="R41" s="28">
        <v>40</v>
      </c>
      <c r="S41" s="29">
        <v>-3.4166329594749981E-2</v>
      </c>
      <c r="T41" s="41">
        <f t="shared" si="0"/>
        <v>0</v>
      </c>
      <c r="U41" s="4">
        <f t="shared" si="1"/>
        <v>-1.7988037400745975</v>
      </c>
      <c r="V41" s="15">
        <f t="shared" si="5"/>
        <v>3.1150159744408944E-2</v>
      </c>
      <c r="W41" s="33">
        <f t="shared" si="2"/>
        <v>-1.8641523017818853</v>
      </c>
      <c r="X41" s="4">
        <f t="shared" si="3"/>
        <v>-1.7988037400745975</v>
      </c>
    </row>
    <row r="42" spans="1:24" ht="14.5" x14ac:dyDescent="0.35">
      <c r="A42" s="52">
        <v>45334</v>
      </c>
      <c r="B42" s="51">
        <v>2900</v>
      </c>
      <c r="C42" s="1">
        <f t="shared" si="4"/>
        <v>0</v>
      </c>
      <c r="R42" s="28">
        <v>41</v>
      </c>
      <c r="S42" s="29">
        <v>-3.3901551675681339E-2</v>
      </c>
      <c r="T42" s="41">
        <f t="shared" si="0"/>
        <v>0</v>
      </c>
      <c r="U42" s="4">
        <f t="shared" si="1"/>
        <v>-1.7848404740480897</v>
      </c>
      <c r="V42" s="15">
        <f t="shared" si="5"/>
        <v>3.1948881789137379E-2</v>
      </c>
      <c r="W42" s="33">
        <f t="shared" si="2"/>
        <v>-1.8528925330385324</v>
      </c>
      <c r="X42" s="4">
        <f t="shared" si="3"/>
        <v>-1.7848404740480897</v>
      </c>
    </row>
    <row r="43" spans="1:24" ht="14.5" x14ac:dyDescent="0.35">
      <c r="A43" s="52">
        <v>45331</v>
      </c>
      <c r="B43" s="51">
        <v>2900</v>
      </c>
      <c r="C43" s="1">
        <f t="shared" si="4"/>
        <v>2.0711087831363196E-3</v>
      </c>
      <c r="R43" s="28">
        <v>42</v>
      </c>
      <c r="S43" s="29">
        <v>-3.3107585774504879E-2</v>
      </c>
      <c r="T43" s="41">
        <f t="shared" si="0"/>
        <v>0</v>
      </c>
      <c r="U43" s="4">
        <f t="shared" si="1"/>
        <v>-1.7429700751375634</v>
      </c>
      <c r="V43" s="15">
        <f t="shared" si="5"/>
        <v>3.2747603833865817E-2</v>
      </c>
      <c r="W43" s="33">
        <f t="shared" si="2"/>
        <v>-1.8418628925658975</v>
      </c>
      <c r="X43" s="4">
        <f t="shared" si="3"/>
        <v>-1.7429700751375634</v>
      </c>
    </row>
    <row r="44" spans="1:24" ht="14.5" x14ac:dyDescent="0.35">
      <c r="A44" s="52">
        <v>45330</v>
      </c>
      <c r="B44" s="51">
        <v>2894</v>
      </c>
      <c r="C44" s="1">
        <f t="shared" si="4"/>
        <v>0</v>
      </c>
      <c r="R44" s="28">
        <v>43</v>
      </c>
      <c r="S44" s="29">
        <v>-3.3041807201292808E-2</v>
      </c>
      <c r="T44" s="41">
        <f t="shared" si="0"/>
        <v>0</v>
      </c>
      <c r="U44" s="4">
        <f t="shared" si="1"/>
        <v>-1.7395011917811452</v>
      </c>
      <c r="V44" s="15">
        <f t="shared" si="5"/>
        <v>3.3546325878594248E-2</v>
      </c>
      <c r="W44" s="33">
        <f t="shared" si="2"/>
        <v>-1.8310528725237958</v>
      </c>
      <c r="X44" s="4">
        <f t="shared" si="3"/>
        <v>-1.7395011917811452</v>
      </c>
    </row>
    <row r="45" spans="1:24" ht="14.5" x14ac:dyDescent="0.35">
      <c r="A45" s="52">
        <v>45329</v>
      </c>
      <c r="B45" s="51">
        <v>2894</v>
      </c>
      <c r="C45" s="1">
        <f t="shared" si="4"/>
        <v>-7.5731859371195804E-3</v>
      </c>
      <c r="R45" s="28">
        <v>44</v>
      </c>
      <c r="S45" s="29">
        <v>-3.2848048681110888E-2</v>
      </c>
      <c r="T45" s="41">
        <f t="shared" si="0"/>
        <v>0</v>
      </c>
      <c r="U45" s="4">
        <f t="shared" si="1"/>
        <v>-1.7292831880604449</v>
      </c>
      <c r="V45" s="15">
        <f t="shared" si="5"/>
        <v>3.4345047923322686E-2</v>
      </c>
      <c r="W45" s="33">
        <f t="shared" si="2"/>
        <v>-1.8204526823874192</v>
      </c>
      <c r="X45" s="4">
        <f t="shared" si="3"/>
        <v>-1.7292831880604449</v>
      </c>
    </row>
    <row r="46" spans="1:24" ht="14.5" x14ac:dyDescent="0.35">
      <c r="A46" s="52">
        <v>45328</v>
      </c>
      <c r="B46" s="51">
        <v>2916</v>
      </c>
      <c r="C46" s="1">
        <f t="shared" si="4"/>
        <v>9.6485931158319365E-3</v>
      </c>
      <c r="G46" s="10"/>
      <c r="H46" s="10"/>
      <c r="R46" s="28">
        <v>45</v>
      </c>
      <c r="S46" s="29">
        <v>-3.2841106189242221E-2</v>
      </c>
      <c r="T46" s="41">
        <f t="shared" si="0"/>
        <v>0</v>
      </c>
      <c r="U46" s="4">
        <f t="shared" si="1"/>
        <v>-1.728917070443122</v>
      </c>
      <c r="V46" s="15">
        <f t="shared" si="5"/>
        <v>3.5143769968051117E-2</v>
      </c>
      <c r="W46" s="33">
        <f t="shared" si="2"/>
        <v>-1.8100531845058558</v>
      </c>
      <c r="X46" s="4">
        <f t="shared" si="3"/>
        <v>-1.728917070443122</v>
      </c>
    </row>
    <row r="47" spans="1:24" ht="14.5" x14ac:dyDescent="0.35">
      <c r="A47" s="52">
        <v>45327</v>
      </c>
      <c r="B47" s="51">
        <v>2888</v>
      </c>
      <c r="C47" s="1">
        <f t="shared" si="4"/>
        <v>-1.3755375068485344E-2</v>
      </c>
      <c r="R47" s="28">
        <v>46</v>
      </c>
      <c r="S47" s="29">
        <v>-3.2685253127193351E-2</v>
      </c>
      <c r="T47" s="41">
        <f t="shared" si="0"/>
        <v>0</v>
      </c>
      <c r="U47" s="4">
        <f t="shared" si="1"/>
        <v>-1.7206980400417613</v>
      </c>
      <c r="V47" s="15">
        <f t="shared" si="5"/>
        <v>3.5942492012779555E-2</v>
      </c>
      <c r="W47" s="33">
        <f t="shared" si="2"/>
        <v>-1.7998458367748733</v>
      </c>
      <c r="X47" s="4">
        <f t="shared" si="3"/>
        <v>-1.7206980400417613</v>
      </c>
    </row>
    <row r="48" spans="1:24" ht="14.5" x14ac:dyDescent="0.35">
      <c r="A48" s="52">
        <v>45324</v>
      </c>
      <c r="B48" s="51">
        <v>2928</v>
      </c>
      <c r="C48" s="1">
        <f t="shared" si="4"/>
        <v>0</v>
      </c>
      <c r="R48" s="28">
        <v>47</v>
      </c>
      <c r="S48" s="29">
        <v>-3.2308243232657775E-2</v>
      </c>
      <c r="T48" s="41">
        <f t="shared" si="0"/>
        <v>0</v>
      </c>
      <c r="U48" s="4">
        <f t="shared" si="1"/>
        <v>-1.7008161349699822</v>
      </c>
      <c r="V48" s="15">
        <f t="shared" si="5"/>
        <v>3.6741214057507986E-2</v>
      </c>
      <c r="W48" s="33">
        <f t="shared" si="2"/>
        <v>-1.7898226414988636</v>
      </c>
      <c r="X48" s="4">
        <f t="shared" si="3"/>
        <v>-1.7008161349699822</v>
      </c>
    </row>
    <row r="49" spans="1:24" ht="14.5" x14ac:dyDescent="0.35">
      <c r="A49" s="52">
        <v>45323</v>
      </c>
      <c r="B49" s="51">
        <v>2928</v>
      </c>
      <c r="C49" s="1">
        <f t="shared" si="4"/>
        <v>6.1665149156639584E-3</v>
      </c>
      <c r="R49" s="28">
        <v>48</v>
      </c>
      <c r="S49" s="29">
        <v>-3.1398421457562872E-2</v>
      </c>
      <c r="T49" s="41">
        <f t="shared" si="0"/>
        <v>0</v>
      </c>
      <c r="U49" s="4">
        <f t="shared" si="1"/>
        <v>-1.6528359879583032</v>
      </c>
      <c r="V49" s="15">
        <f t="shared" si="5"/>
        <v>3.7539936102236424E-2</v>
      </c>
      <c r="W49" s="33">
        <f t="shared" si="2"/>
        <v>-1.779976099654488</v>
      </c>
      <c r="X49" s="4">
        <f t="shared" si="3"/>
        <v>-1.6528359879583032</v>
      </c>
    </row>
    <row r="50" spans="1:24" ht="14.5" x14ac:dyDescent="0.35">
      <c r="A50" s="52">
        <v>45322</v>
      </c>
      <c r="B50" s="51">
        <v>2910</v>
      </c>
      <c r="C50" s="1">
        <f t="shared" si="4"/>
        <v>7.5888601528213322E-3</v>
      </c>
      <c r="R50" s="28">
        <v>49</v>
      </c>
      <c r="S50" s="29">
        <v>-3.1332253360270373E-2</v>
      </c>
      <c r="T50" s="41">
        <f t="shared" si="0"/>
        <v>0</v>
      </c>
      <c r="U50" s="4">
        <f t="shared" si="1"/>
        <v>-1.649346562751651</v>
      </c>
      <c r="V50" s="15">
        <f t="shared" si="5"/>
        <v>3.8338658146964855E-2</v>
      </c>
      <c r="W50" s="33">
        <f t="shared" si="2"/>
        <v>-1.7702991698832953</v>
      </c>
      <c r="X50" s="4">
        <f t="shared" si="3"/>
        <v>-1.649346562751651</v>
      </c>
    </row>
    <row r="51" spans="1:24" ht="14.5" x14ac:dyDescent="0.35">
      <c r="A51" s="52">
        <v>45321</v>
      </c>
      <c r="B51" s="51">
        <v>2888</v>
      </c>
      <c r="C51" s="1">
        <f t="shared" si="4"/>
        <v>1.1842701975935158E-2</v>
      </c>
      <c r="R51" s="28">
        <v>50</v>
      </c>
      <c r="S51" s="29">
        <v>-3.1215019347924526E-2</v>
      </c>
      <c r="T51" s="41">
        <f t="shared" si="0"/>
        <v>0</v>
      </c>
      <c r="U51" s="4">
        <f t="shared" si="1"/>
        <v>-1.6431641374667252</v>
      </c>
      <c r="V51" s="15">
        <f t="shared" si="5"/>
        <v>3.9137380191693293E-2</v>
      </c>
      <c r="W51" s="33">
        <f t="shared" si="2"/>
        <v>-1.7607852316365484</v>
      </c>
      <c r="X51" s="4">
        <f t="shared" si="3"/>
        <v>-1.6431641374667252</v>
      </c>
    </row>
    <row r="52" spans="1:24" ht="14.5" x14ac:dyDescent="0.35">
      <c r="A52" s="52">
        <v>45320</v>
      </c>
      <c r="B52" s="51">
        <v>2854</v>
      </c>
      <c r="C52" s="1">
        <f t="shared" si="4"/>
        <v>2.1045255049154431E-3</v>
      </c>
      <c r="R52" s="28">
        <v>51</v>
      </c>
      <c r="S52" s="29">
        <v>-3.1090587070031119E-2</v>
      </c>
      <c r="T52" s="41">
        <f t="shared" si="0"/>
        <v>0</v>
      </c>
      <c r="U52" s="4">
        <f t="shared" si="1"/>
        <v>-1.6366021061439411</v>
      </c>
      <c r="V52" s="15">
        <f t="shared" si="5"/>
        <v>3.9936102236421724E-2</v>
      </c>
      <c r="W52" s="33">
        <f t="shared" si="2"/>
        <v>-1.7514280519761141</v>
      </c>
      <c r="X52" s="4">
        <f t="shared" si="3"/>
        <v>-1.6366021061439411</v>
      </c>
    </row>
    <row r="53" spans="1:24" ht="14.5" x14ac:dyDescent="0.35">
      <c r="A53" s="52">
        <v>45317</v>
      </c>
      <c r="B53" s="51">
        <v>2848</v>
      </c>
      <c r="C53" s="1">
        <f t="shared" si="4"/>
        <v>-3.5050859579463488E-3</v>
      </c>
      <c r="R53" s="28">
        <v>52</v>
      </c>
      <c r="S53" s="29">
        <v>-3.1067587372859383E-2</v>
      </c>
      <c r="T53" s="41">
        <f t="shared" si="0"/>
        <v>0</v>
      </c>
      <c r="U53" s="4">
        <f t="shared" si="1"/>
        <v>-1.6353891995266985</v>
      </c>
      <c r="V53" s="15">
        <f t="shared" si="5"/>
        <v>4.0734824281150162E-2</v>
      </c>
      <c r="W53" s="33">
        <f t="shared" si="2"/>
        <v>-1.7422217556032296</v>
      </c>
      <c r="X53" s="4">
        <f t="shared" si="3"/>
        <v>-1.6353891995266985</v>
      </c>
    </row>
    <row r="54" spans="1:24" ht="14.5" x14ac:dyDescent="0.35">
      <c r="A54" s="52">
        <v>45316</v>
      </c>
      <c r="B54" s="51">
        <v>2858</v>
      </c>
      <c r="C54" s="1">
        <f t="shared" si="4"/>
        <v>0</v>
      </c>
      <c r="R54" s="28">
        <v>53</v>
      </c>
      <c r="S54" s="29">
        <v>-3.0809584143197077E-2</v>
      </c>
      <c r="T54" s="41">
        <f t="shared" si="0"/>
        <v>0</v>
      </c>
      <c r="U54" s="4">
        <f t="shared" si="1"/>
        <v>-1.6217832019263507</v>
      </c>
      <c r="V54" s="15">
        <f t="shared" si="5"/>
        <v>4.1533546325878593E-2</v>
      </c>
      <c r="W54" s="33">
        <f t="shared" si="2"/>
        <v>-1.7331607977444856</v>
      </c>
      <c r="X54" s="4">
        <f t="shared" si="3"/>
        <v>-1.6217832019263507</v>
      </c>
    </row>
    <row r="55" spans="1:24" ht="14.5" x14ac:dyDescent="0.35">
      <c r="A55" s="52">
        <v>45315</v>
      </c>
      <c r="B55" s="51">
        <v>2858</v>
      </c>
      <c r="C55" s="1">
        <f t="shared" si="4"/>
        <v>1.3385194557653518E-2</v>
      </c>
      <c r="R55" s="28">
        <v>54</v>
      </c>
      <c r="S55" s="29">
        <v>-3.0515543925950489E-2</v>
      </c>
      <c r="T55" s="41">
        <f t="shared" si="0"/>
        <v>0</v>
      </c>
      <c r="U55" s="4">
        <f t="shared" si="1"/>
        <v>-1.6062767662297928</v>
      </c>
      <c r="V55" s="15">
        <f t="shared" si="5"/>
        <v>4.233226837060703E-2</v>
      </c>
      <c r="W55" s="33">
        <f t="shared" si="2"/>
        <v>-1.7242399395731982</v>
      </c>
      <c r="X55" s="4">
        <f t="shared" si="3"/>
        <v>-1.6062767662297928</v>
      </c>
    </row>
    <row r="56" spans="1:24" ht="14.5" x14ac:dyDescent="0.35">
      <c r="A56" s="52">
        <v>45314</v>
      </c>
      <c r="B56" s="51">
        <v>2820</v>
      </c>
      <c r="C56" s="1">
        <f t="shared" si="4"/>
        <v>-6.3626937878286573E-3</v>
      </c>
      <c r="R56" s="28">
        <v>55</v>
      </c>
      <c r="S56" s="29">
        <v>-2.9980832211935784E-2</v>
      </c>
      <c r="T56" s="41">
        <f t="shared" si="0"/>
        <v>0</v>
      </c>
      <c r="U56" s="4">
        <f t="shared" si="1"/>
        <v>-1.5780783351199019</v>
      </c>
      <c r="V56" s="15">
        <f t="shared" si="5"/>
        <v>4.3130990415335461E-2</v>
      </c>
      <c r="W56" s="33">
        <f t="shared" si="2"/>
        <v>-1.715454225885938</v>
      </c>
      <c r="X56" s="4">
        <f t="shared" si="3"/>
        <v>-1.5780783351199019</v>
      </c>
    </row>
    <row r="57" spans="1:24" ht="14.5" x14ac:dyDescent="0.35">
      <c r="A57" s="52">
        <v>45313</v>
      </c>
      <c r="B57" s="51">
        <v>2838</v>
      </c>
      <c r="C57" s="1">
        <f t="shared" si="4"/>
        <v>0</v>
      </c>
      <c r="R57" s="28">
        <v>56</v>
      </c>
      <c r="S57" s="29">
        <v>-2.9914556571523126E-2</v>
      </c>
      <c r="T57" s="41">
        <f t="shared" si="0"/>
        <v>0</v>
      </c>
      <c r="U57" s="4">
        <f t="shared" si="1"/>
        <v>-1.5745832385445744</v>
      </c>
      <c r="V57" s="15">
        <f t="shared" si="5"/>
        <v>4.3929712460063899E-2</v>
      </c>
      <c r="W57" s="33">
        <f t="shared" si="2"/>
        <v>-1.7067989647895709</v>
      </c>
      <c r="X57" s="4">
        <f t="shared" si="3"/>
        <v>-1.5745832385445744</v>
      </c>
    </row>
    <row r="58" spans="1:24" ht="14.5" x14ac:dyDescent="0.35">
      <c r="A58" s="52">
        <v>45310</v>
      </c>
      <c r="B58" s="51">
        <v>2838</v>
      </c>
      <c r="C58" s="1">
        <f t="shared" si="4"/>
        <v>9.9150953921964442E-3</v>
      </c>
      <c r="R58" s="28">
        <v>57</v>
      </c>
      <c r="S58" s="29">
        <v>-2.9558802241544391E-2</v>
      </c>
      <c r="T58" s="41">
        <f t="shared" si="0"/>
        <v>0</v>
      </c>
      <c r="U58" s="4">
        <f t="shared" si="1"/>
        <v>-1.5558222619229272</v>
      </c>
      <c r="V58" s="15">
        <f t="shared" si="5"/>
        <v>4.472843450479233E-2</v>
      </c>
      <c r="W58" s="33">
        <f t="shared" si="2"/>
        <v>-1.6982697091846284</v>
      </c>
      <c r="X58" s="4">
        <f t="shared" si="3"/>
        <v>-1.5558222619229272</v>
      </c>
    </row>
    <row r="59" spans="1:24" ht="14.5" x14ac:dyDescent="0.35">
      <c r="A59" s="52">
        <v>45309</v>
      </c>
      <c r="B59" s="51">
        <v>2810</v>
      </c>
      <c r="C59" s="1">
        <f t="shared" si="4"/>
        <v>2.8510354308390845E-3</v>
      </c>
      <c r="R59" s="28">
        <v>58</v>
      </c>
      <c r="S59" s="29">
        <v>-2.9086738301834267E-2</v>
      </c>
      <c r="T59" s="41">
        <f t="shared" si="0"/>
        <v>0</v>
      </c>
      <c r="U59" s="4">
        <f t="shared" si="1"/>
        <v>-1.5309276090950792</v>
      </c>
      <c r="V59" s="15">
        <f t="shared" si="5"/>
        <v>4.5527156549520768E-2</v>
      </c>
      <c r="W59" s="33">
        <f t="shared" si="2"/>
        <v>-1.6898622398570504</v>
      </c>
      <c r="X59" s="4">
        <f t="shared" si="3"/>
        <v>-1.5309276090950792</v>
      </c>
    </row>
    <row r="60" spans="1:24" ht="14.5" x14ac:dyDescent="0.35">
      <c r="A60" s="52">
        <v>45308</v>
      </c>
      <c r="B60" s="51">
        <v>2802</v>
      </c>
      <c r="C60" s="1">
        <f t="shared" si="4"/>
        <v>-1.4265337654539576E-3</v>
      </c>
      <c r="R60" s="28">
        <v>59</v>
      </c>
      <c r="S60" s="29">
        <v>-2.9026675050592345E-2</v>
      </c>
      <c r="T60" s="41">
        <f t="shared" si="0"/>
        <v>0</v>
      </c>
      <c r="U60" s="4">
        <f t="shared" si="1"/>
        <v>-1.5277601276130206</v>
      </c>
      <c r="V60" s="15">
        <f t="shared" si="5"/>
        <v>4.6325878594249199E-2</v>
      </c>
      <c r="W60" s="33">
        <f t="shared" si="2"/>
        <v>-1.6815725500129504</v>
      </c>
      <c r="X60" s="4">
        <f t="shared" si="3"/>
        <v>-1.5277601276130206</v>
      </c>
    </row>
    <row r="61" spans="1:24" ht="14.5" x14ac:dyDescent="0.35">
      <c r="A61" s="52">
        <v>45307</v>
      </c>
      <c r="B61" s="51">
        <v>2806</v>
      </c>
      <c r="C61" s="1">
        <f t="shared" si="4"/>
        <v>-9.2231941512041435E-3</v>
      </c>
      <c r="R61" s="28">
        <v>60</v>
      </c>
      <c r="S61" s="29">
        <v>-2.8710105882431367E-2</v>
      </c>
      <c r="T61" s="41">
        <f t="shared" si="0"/>
        <v>0</v>
      </c>
      <c r="U61" s="4">
        <f t="shared" si="1"/>
        <v>-1.5110656104630609</v>
      </c>
      <c r="V61" s="15">
        <f t="shared" si="5"/>
        <v>4.7124600638977637E-2</v>
      </c>
      <c r="W61" s="33">
        <f t="shared" si="2"/>
        <v>-1.6733968311105887</v>
      </c>
      <c r="X61" s="4">
        <f t="shared" si="3"/>
        <v>-1.5110656104630609</v>
      </c>
    </row>
    <row r="62" spans="1:24" ht="14.5" x14ac:dyDescent="0.35">
      <c r="A62" s="52">
        <v>45306</v>
      </c>
      <c r="B62" s="51">
        <v>2832</v>
      </c>
      <c r="C62" s="1">
        <f t="shared" si="4"/>
        <v>-2.1164029063776126E-3</v>
      </c>
      <c r="R62" s="28">
        <v>61</v>
      </c>
      <c r="S62" s="29">
        <v>-2.8687226164918655E-2</v>
      </c>
      <c r="T62" s="41">
        <f t="shared" si="0"/>
        <v>0</v>
      </c>
      <c r="U62" s="4">
        <f t="shared" si="1"/>
        <v>-1.5098590310648803</v>
      </c>
      <c r="V62" s="15">
        <f t="shared" si="5"/>
        <v>4.7923322683706068E-2</v>
      </c>
      <c r="W62" s="33">
        <f t="shared" si="2"/>
        <v>-1.6653314598606914</v>
      </c>
      <c r="X62" s="4">
        <f t="shared" si="3"/>
        <v>-1.5098590310648803</v>
      </c>
    </row>
    <row r="63" spans="1:24" ht="14.5" x14ac:dyDescent="0.35">
      <c r="A63" s="52">
        <v>45303</v>
      </c>
      <c r="B63" s="51">
        <v>2838</v>
      </c>
      <c r="C63" s="1">
        <f t="shared" si="4"/>
        <v>1.1339597057581665E-2</v>
      </c>
      <c r="R63" s="28">
        <v>62</v>
      </c>
      <c r="S63" s="29">
        <v>-2.8233673286852612E-2</v>
      </c>
      <c r="T63" s="41">
        <f t="shared" si="0"/>
        <v>0</v>
      </c>
      <c r="U63" s="4">
        <f t="shared" si="1"/>
        <v>-1.4859405732274551</v>
      </c>
      <c r="V63" s="15">
        <f t="shared" si="5"/>
        <v>4.8722044728434506E-2</v>
      </c>
      <c r="W63" s="33">
        <f t="shared" si="2"/>
        <v>-1.6573729862809796</v>
      </c>
      <c r="X63" s="4">
        <f t="shared" si="3"/>
        <v>-1.4859405732274551</v>
      </c>
    </row>
    <row r="64" spans="1:24" ht="14.5" x14ac:dyDescent="0.35">
      <c r="A64" s="52">
        <v>45302</v>
      </c>
      <c r="B64" s="51">
        <v>2806</v>
      </c>
      <c r="C64" s="1">
        <f t="shared" si="4"/>
        <v>-2.8469770119281513E-3</v>
      </c>
      <c r="R64" s="28">
        <v>63</v>
      </c>
      <c r="S64" s="29">
        <v>-2.7890253981832439E-2</v>
      </c>
      <c r="T64" s="41">
        <f t="shared" si="0"/>
        <v>0</v>
      </c>
      <c r="U64" s="4">
        <f t="shared" si="1"/>
        <v>-1.4678300935790669</v>
      </c>
      <c r="V64" s="15">
        <f t="shared" si="5"/>
        <v>4.9520766773162937E-2</v>
      </c>
      <c r="W64" s="33">
        <f t="shared" si="2"/>
        <v>-1.6495181227035915</v>
      </c>
      <c r="X64" s="4">
        <f t="shared" si="3"/>
        <v>-1.4678300935790669</v>
      </c>
    </row>
    <row r="65" spans="1:24" ht="14.5" x14ac:dyDescent="0.35">
      <c r="A65" s="52">
        <v>45301</v>
      </c>
      <c r="B65" s="51">
        <v>2814</v>
      </c>
      <c r="C65" s="1">
        <f t="shared" si="4"/>
        <v>-6.376217139275997E-3</v>
      </c>
      <c r="R65" s="28">
        <v>64</v>
      </c>
      <c r="S65" s="29">
        <v>-2.7793863201228331E-2</v>
      </c>
      <c r="T65" s="41">
        <f t="shared" si="0"/>
        <v>0</v>
      </c>
      <c r="U65" s="4">
        <f t="shared" si="1"/>
        <v>-1.4627468520579754</v>
      </c>
      <c r="V65" s="15">
        <f t="shared" si="5"/>
        <v>5.0319488817891375E-2</v>
      </c>
      <c r="W65" s="33">
        <f t="shared" si="2"/>
        <v>-1.6417637336453093</v>
      </c>
      <c r="X65" s="4">
        <f t="shared" si="3"/>
        <v>-1.4627468520579754</v>
      </c>
    </row>
    <row r="66" spans="1:24" ht="14.5" x14ac:dyDescent="0.35">
      <c r="A66" s="52">
        <v>45300</v>
      </c>
      <c r="B66" s="51">
        <v>2832</v>
      </c>
      <c r="C66" s="1">
        <f t="shared" si="4"/>
        <v>-1.411432838407736E-3</v>
      </c>
      <c r="R66" s="28">
        <v>65</v>
      </c>
      <c r="S66" s="29">
        <v>-2.7667985329243517E-2</v>
      </c>
      <c r="T66" s="41">
        <f t="shared" si="0"/>
        <v>0</v>
      </c>
      <c r="U66" s="4">
        <f t="shared" si="1"/>
        <v>-1.4561085862253966</v>
      </c>
      <c r="V66" s="15">
        <f t="shared" si="5"/>
        <v>5.1118210862619806E-2</v>
      </c>
      <c r="W66" s="33">
        <f t="shared" si="2"/>
        <v>-1.6341068264602854</v>
      </c>
      <c r="X66" s="4">
        <f t="shared" si="3"/>
        <v>-1.4561085862253966</v>
      </c>
    </row>
    <row r="67" spans="1:24" ht="14.5" x14ac:dyDescent="0.35">
      <c r="A67" s="52">
        <v>45299</v>
      </c>
      <c r="B67" s="51">
        <v>2836</v>
      </c>
      <c r="C67" s="1">
        <f t="shared" si="4"/>
        <v>-7.0497006796982125E-4</v>
      </c>
      <c r="R67" s="28">
        <v>66</v>
      </c>
      <c r="S67" s="29">
        <v>-2.7645160666145353E-2</v>
      </c>
      <c r="T67" s="41">
        <f t="shared" ref="T67:T130" si="8">+IF(OR(S67&lt;($Z$3-3*$Z$4^0.5),S67&gt;($Z$3+3*$Z$4^0.5)),1,0)</f>
        <v>0</v>
      </c>
      <c r="U67" s="4">
        <f t="shared" ref="U67:U130" si="9">+(S67-AVERAGE($S$2:$S$1252))/_xlfn.STDEV.S($S$2:$S$1252)</f>
        <v>-1.4549049101638651</v>
      </c>
      <c r="V67" s="15">
        <f t="shared" si="5"/>
        <v>5.1916932907348244E-2</v>
      </c>
      <c r="W67" s="33">
        <f t="shared" ref="W67:W130" si="10">+_xlfn.NORM.S.INV(V67)</f>
        <v>-1.6265445427035894</v>
      </c>
      <c r="X67" s="4">
        <f t="shared" ref="X67:X130" si="11">+U67</f>
        <v>-1.4549049101638651</v>
      </c>
    </row>
    <row r="68" spans="1:24" ht="14.5" x14ac:dyDescent="0.35">
      <c r="A68" s="52">
        <v>45296</v>
      </c>
      <c r="B68" s="51">
        <v>2838</v>
      </c>
      <c r="C68" s="1">
        <f t="shared" ref="C68:C131" si="12">+LN(B68/B69)</f>
        <v>6.3626937878286504E-3</v>
      </c>
      <c r="R68" s="28">
        <v>67</v>
      </c>
      <c r="S68" s="29">
        <v>-2.763030719300515E-2</v>
      </c>
      <c r="T68" s="41">
        <f t="shared" si="8"/>
        <v>0</v>
      </c>
      <c r="U68" s="4">
        <f t="shared" si="9"/>
        <v>-1.4541216008999966</v>
      </c>
      <c r="V68" s="15">
        <f t="shared" ref="V68:V131" si="13">+R67/1252</f>
        <v>5.2715654952076675E-2</v>
      </c>
      <c r="W68" s="33">
        <f t="shared" si="10"/>
        <v>-1.6190741501414481</v>
      </c>
      <c r="X68" s="4">
        <f t="shared" si="11"/>
        <v>-1.4541216008999966</v>
      </c>
    </row>
    <row r="69" spans="1:24" ht="14.5" x14ac:dyDescent="0.35">
      <c r="A69" s="52">
        <v>45295</v>
      </c>
      <c r="B69" s="51">
        <v>2820</v>
      </c>
      <c r="C69" s="1">
        <f t="shared" si="12"/>
        <v>-2.8328630843040899E-3</v>
      </c>
      <c r="R69" s="28">
        <v>68</v>
      </c>
      <c r="S69" s="29">
        <v>-2.734278336406127E-2</v>
      </c>
      <c r="T69" s="41">
        <f t="shared" si="8"/>
        <v>0</v>
      </c>
      <c r="U69" s="4">
        <f t="shared" si="9"/>
        <v>-1.4389588119233874</v>
      </c>
      <c r="V69" s="15">
        <f t="shared" si="13"/>
        <v>5.3514376996805113E-2</v>
      </c>
      <c r="W69" s="33">
        <f t="shared" si="10"/>
        <v>-1.6116930353507253</v>
      </c>
      <c r="X69" s="4">
        <f t="shared" si="11"/>
        <v>-1.4389588119233874</v>
      </c>
    </row>
    <row r="70" spans="1:24" ht="14.5" x14ac:dyDescent="0.35">
      <c r="A70" s="52">
        <v>45294</v>
      </c>
      <c r="B70" s="51">
        <v>2828</v>
      </c>
      <c r="C70" s="1">
        <f t="shared" si="12"/>
        <v>2.8328630843041072E-3</v>
      </c>
      <c r="R70" s="28">
        <v>69</v>
      </c>
      <c r="S70" s="29">
        <v>-2.72895470391296E-2</v>
      </c>
      <c r="T70" s="41">
        <f t="shared" si="8"/>
        <v>0</v>
      </c>
      <c r="U70" s="4">
        <f t="shared" si="9"/>
        <v>-1.4361513536205603</v>
      </c>
      <c r="V70" s="15">
        <f t="shared" si="13"/>
        <v>5.4313099041533544E-2</v>
      </c>
      <c r="W70" s="33">
        <f t="shared" si="10"/>
        <v>-1.6043986968560602</v>
      </c>
      <c r="X70" s="4">
        <f t="shared" si="11"/>
        <v>-1.4361513536205603</v>
      </c>
    </row>
    <row r="71" spans="1:24" ht="14.5" x14ac:dyDescent="0.35">
      <c r="A71" s="52">
        <v>45293</v>
      </c>
      <c r="B71" s="51">
        <v>2820</v>
      </c>
      <c r="C71" s="1">
        <f t="shared" si="12"/>
        <v>-2.1253993123134776E-3</v>
      </c>
      <c r="R71" s="28">
        <v>70</v>
      </c>
      <c r="S71" s="29">
        <v>-2.7017607319786096E-2</v>
      </c>
      <c r="T71" s="41">
        <f t="shared" si="8"/>
        <v>0</v>
      </c>
      <c r="U71" s="4">
        <f t="shared" si="9"/>
        <v>-1.4218104045802331</v>
      </c>
      <c r="V71" s="15">
        <f t="shared" si="13"/>
        <v>5.5111821086261982E-2</v>
      </c>
      <c r="W71" s="33">
        <f t="shared" si="10"/>
        <v>-1.5971887387583001</v>
      </c>
      <c r="X71" s="4">
        <f t="shared" si="11"/>
        <v>-1.4218104045802331</v>
      </c>
    </row>
    <row r="72" spans="1:24" ht="14.5" x14ac:dyDescent="0.35">
      <c r="A72" s="52">
        <v>45289</v>
      </c>
      <c r="B72" s="51">
        <v>2826</v>
      </c>
      <c r="C72" s="1">
        <f t="shared" si="12"/>
        <v>0</v>
      </c>
      <c r="R72" s="28">
        <v>71</v>
      </c>
      <c r="S72" s="29">
        <v>-2.6973988732850219E-2</v>
      </c>
      <c r="T72" s="41">
        <f t="shared" si="8"/>
        <v>0</v>
      </c>
      <c r="U72" s="4">
        <f t="shared" si="9"/>
        <v>-1.4195101450448897</v>
      </c>
      <c r="V72" s="15">
        <f t="shared" si="13"/>
        <v>5.5910543130990413E-2</v>
      </c>
      <c r="W72" s="33">
        <f t="shared" si="10"/>
        <v>-1.5900608648124666</v>
      </c>
      <c r="X72" s="4">
        <f t="shared" si="11"/>
        <v>-1.4195101450448897</v>
      </c>
    </row>
    <row r="73" spans="1:24" ht="14.5" x14ac:dyDescent="0.35">
      <c r="A73" s="52">
        <v>45288</v>
      </c>
      <c r="B73" s="51">
        <v>2826</v>
      </c>
      <c r="C73" s="1">
        <f t="shared" si="12"/>
        <v>2.8348707858471271E-3</v>
      </c>
      <c r="R73" s="28">
        <v>72</v>
      </c>
      <c r="S73" s="29">
        <v>-2.5882106130709188E-2</v>
      </c>
      <c r="T73" s="41">
        <f t="shared" si="8"/>
        <v>0</v>
      </c>
      <c r="U73" s="4">
        <f t="shared" si="9"/>
        <v>-1.3619288811047554</v>
      </c>
      <c r="V73" s="15">
        <f t="shared" si="13"/>
        <v>5.6709265175718851E-2</v>
      </c>
      <c r="W73" s="33">
        <f t="shared" si="10"/>
        <v>-1.5830128729175834</v>
      </c>
      <c r="X73" s="4">
        <f t="shared" si="11"/>
        <v>-1.3619288811047554</v>
      </c>
    </row>
    <row r="74" spans="1:24" ht="14.5" x14ac:dyDescent="0.35">
      <c r="A74" s="52">
        <v>45287</v>
      </c>
      <c r="B74" s="51">
        <v>2818</v>
      </c>
      <c r="C74" s="1">
        <f t="shared" si="12"/>
        <v>-1.4184399541337456E-3</v>
      </c>
      <c r="R74" s="28">
        <v>73</v>
      </c>
      <c r="S74" s="29">
        <v>-2.5693677186234297E-2</v>
      </c>
      <c r="T74" s="41">
        <f t="shared" si="8"/>
        <v>0</v>
      </c>
      <c r="U74" s="4">
        <f t="shared" si="9"/>
        <v>-1.3519919366342654</v>
      </c>
      <c r="V74" s="15">
        <f t="shared" si="13"/>
        <v>5.7507987220447282E-2</v>
      </c>
      <c r="W74" s="33">
        <f t="shared" si="10"/>
        <v>-1.5760426499843485</v>
      </c>
      <c r="X74" s="4">
        <f t="shared" si="11"/>
        <v>-1.3519919366342654</v>
      </c>
    </row>
    <row r="75" spans="1:24" ht="14.5" x14ac:dyDescent="0.35">
      <c r="A75" s="52">
        <v>45282</v>
      </c>
      <c r="B75" s="51">
        <v>2822</v>
      </c>
      <c r="C75" s="1">
        <f t="shared" si="12"/>
        <v>-2.8308582245239488E-3</v>
      </c>
      <c r="R75" s="28">
        <v>74</v>
      </c>
      <c r="S75" s="29">
        <v>-2.5540095321899797E-2</v>
      </c>
      <c r="T75" s="41">
        <f t="shared" si="8"/>
        <v>0</v>
      </c>
      <c r="U75" s="4">
        <f t="shared" si="9"/>
        <v>-1.3438926795810602</v>
      </c>
      <c r="V75" s="15">
        <f t="shared" si="13"/>
        <v>5.830670926517572E-2</v>
      </c>
      <c r="W75" s="33">
        <f t="shared" si="10"/>
        <v>-1.5691481671498611</v>
      </c>
      <c r="X75" s="4">
        <f t="shared" si="11"/>
        <v>-1.3438926795810602</v>
      </c>
    </row>
    <row r="76" spans="1:24" ht="14.5" x14ac:dyDescent="0.35">
      <c r="A76" s="52">
        <v>45281</v>
      </c>
      <c r="B76" s="51">
        <v>2830</v>
      </c>
      <c r="C76" s="1">
        <f t="shared" si="12"/>
        <v>-1.4124296133424374E-3</v>
      </c>
      <c r="R76" s="28">
        <v>75</v>
      </c>
      <c r="S76" s="29">
        <v>-2.5526293338948881E-2</v>
      </c>
      <c r="T76" s="41">
        <f t="shared" si="8"/>
        <v>0</v>
      </c>
      <c r="U76" s="4">
        <f t="shared" si="9"/>
        <v>-1.3431648214563539</v>
      </c>
      <c r="V76" s="15">
        <f t="shared" si="13"/>
        <v>5.9105431309904151E-2</v>
      </c>
      <c r="W76" s="33">
        <f t="shared" si="10"/>
        <v>-1.5623274753115115</v>
      </c>
      <c r="X76" s="4">
        <f t="shared" si="11"/>
        <v>-1.3431648214563539</v>
      </c>
    </row>
    <row r="77" spans="1:24" ht="14.5" x14ac:dyDescent="0.35">
      <c r="A77" s="52">
        <v>45280</v>
      </c>
      <c r="B77" s="51">
        <v>2834</v>
      </c>
      <c r="C77" s="1">
        <f t="shared" si="12"/>
        <v>1.4124296133423584E-3</v>
      </c>
      <c r="R77" s="28">
        <v>76</v>
      </c>
      <c r="S77" s="29">
        <v>-2.5169113837254776E-2</v>
      </c>
      <c r="T77" s="41">
        <f t="shared" si="8"/>
        <v>0</v>
      </c>
      <c r="U77" s="4">
        <f t="shared" si="9"/>
        <v>-1.3243286873145284</v>
      </c>
      <c r="V77" s="15">
        <f t="shared" si="13"/>
        <v>5.9904153354632589E-2</v>
      </c>
      <c r="W77" s="33">
        <f t="shared" si="10"/>
        <v>-1.5555787009547493</v>
      </c>
      <c r="X77" s="4">
        <f t="shared" si="11"/>
        <v>-1.3243286873145284</v>
      </c>
    </row>
    <row r="78" spans="1:24" ht="14.5" x14ac:dyDescent="0.35">
      <c r="A78" s="52">
        <v>45279</v>
      </c>
      <c r="B78" s="51">
        <v>2830</v>
      </c>
      <c r="C78" s="1">
        <f t="shared" si="12"/>
        <v>4.2492981786577486E-3</v>
      </c>
      <c r="R78" s="28">
        <v>77</v>
      </c>
      <c r="S78" s="29">
        <v>-2.4910890379488883E-2</v>
      </c>
      <c r="T78" s="41">
        <f t="shared" si="8"/>
        <v>0</v>
      </c>
      <c r="U78" s="4">
        <f t="shared" si="9"/>
        <v>-1.3107110758167388</v>
      </c>
      <c r="V78" s="15">
        <f t="shared" si="13"/>
        <v>6.070287539936102E-2</v>
      </c>
      <c r="W78" s="33">
        <f t="shared" si="10"/>
        <v>-1.548900042251715</v>
      </c>
      <c r="X78" s="4">
        <f t="shared" si="11"/>
        <v>-1.3107110758167388</v>
      </c>
    </row>
    <row r="79" spans="1:24" ht="14.5" x14ac:dyDescent="0.35">
      <c r="A79" s="52">
        <v>45278</v>
      </c>
      <c r="B79" s="51">
        <v>2818</v>
      </c>
      <c r="C79" s="1">
        <f t="shared" si="12"/>
        <v>-4.9557623549848773E-3</v>
      </c>
      <c r="R79" s="28">
        <v>78</v>
      </c>
      <c r="S79" s="29">
        <v>-2.4692612590371522E-2</v>
      </c>
      <c r="T79" s="41">
        <f t="shared" si="8"/>
        <v>0</v>
      </c>
      <c r="U79" s="4">
        <f t="shared" si="9"/>
        <v>-1.2992000296998849</v>
      </c>
      <c r="V79" s="15">
        <f t="shared" si="13"/>
        <v>6.1501597444089458E-2</v>
      </c>
      <c r="W79" s="33">
        <f t="shared" si="10"/>
        <v>-1.5422897654098506</v>
      </c>
      <c r="X79" s="4">
        <f t="shared" si="11"/>
        <v>-1.2992000296998849</v>
      </c>
    </row>
    <row r="80" spans="1:24" ht="14.5" x14ac:dyDescent="0.35">
      <c r="A80" s="52">
        <v>45275</v>
      </c>
      <c r="B80" s="51">
        <v>2832</v>
      </c>
      <c r="C80" s="1">
        <f t="shared" si="12"/>
        <v>5.6657375356772999E-3</v>
      </c>
      <c r="R80" s="28">
        <v>79</v>
      </c>
      <c r="S80" s="29">
        <v>-2.4692612590371522E-2</v>
      </c>
      <c r="T80" s="41">
        <f t="shared" si="8"/>
        <v>0</v>
      </c>
      <c r="U80" s="4">
        <f t="shared" si="9"/>
        <v>-1.2992000296998849</v>
      </c>
      <c r="V80" s="15">
        <f t="shared" si="13"/>
        <v>6.2300319488817889E-2</v>
      </c>
      <c r="W80" s="33">
        <f t="shared" si="10"/>
        <v>-1.5357462012514234</v>
      </c>
      <c r="X80" s="4">
        <f t="shared" si="11"/>
        <v>-1.2992000296998849</v>
      </c>
    </row>
    <row r="81" spans="1:24" ht="14.5" x14ac:dyDescent="0.35">
      <c r="A81" s="52">
        <v>45274</v>
      </c>
      <c r="B81" s="51">
        <v>2816</v>
      </c>
      <c r="C81" s="1">
        <f t="shared" si="12"/>
        <v>7.1276139242321401E-3</v>
      </c>
      <c r="R81" s="28">
        <v>80</v>
      </c>
      <c r="S81" s="29">
        <v>-2.4614184293401748E-2</v>
      </c>
      <c r="T81" s="41">
        <f t="shared" si="8"/>
        <v>0</v>
      </c>
      <c r="U81" s="4">
        <f t="shared" si="9"/>
        <v>-1.2950640534883979</v>
      </c>
      <c r="V81" s="15">
        <f t="shared" si="13"/>
        <v>6.3099041533546327E-2</v>
      </c>
      <c r="W81" s="33">
        <f t="shared" si="10"/>
        <v>-1.5292677420066043</v>
      </c>
      <c r="X81" s="4">
        <f t="shared" si="11"/>
        <v>-1.2950640534883979</v>
      </c>
    </row>
    <row r="82" spans="1:24" ht="14.5" x14ac:dyDescent="0.35">
      <c r="A82" s="52">
        <v>45273</v>
      </c>
      <c r="B82" s="51">
        <v>2796</v>
      </c>
      <c r="C82" s="1">
        <f t="shared" si="12"/>
        <v>-2.85714480077978E-3</v>
      </c>
      <c r="R82" s="28">
        <v>81</v>
      </c>
      <c r="S82" s="29">
        <v>-2.4232313387767972E-2</v>
      </c>
      <c r="T82" s="41">
        <f t="shared" si="8"/>
        <v>0</v>
      </c>
      <c r="U82" s="4">
        <f t="shared" si="9"/>
        <v>-1.2749257992793466</v>
      </c>
      <c r="V82" s="15">
        <f t="shared" si="13"/>
        <v>6.3897763578274758E-2</v>
      </c>
      <c r="W82" s="33">
        <f t="shared" si="10"/>
        <v>-1.5228528383042355</v>
      </c>
      <c r="X82" s="4">
        <f t="shared" si="11"/>
        <v>-1.2749257992793466</v>
      </c>
    </row>
    <row r="83" spans="1:24" ht="14.5" x14ac:dyDescent="0.35">
      <c r="A83" s="52">
        <v>45272</v>
      </c>
      <c r="B83" s="51">
        <v>2804</v>
      </c>
      <c r="C83" s="1">
        <f t="shared" si="12"/>
        <v>1.726661602093155E-2</v>
      </c>
      <c r="R83" s="28">
        <v>82</v>
      </c>
      <c r="S83" s="29">
        <v>-2.4133901336429859E-2</v>
      </c>
      <c r="T83" s="41">
        <f t="shared" si="8"/>
        <v>0</v>
      </c>
      <c r="U83" s="4">
        <f t="shared" si="9"/>
        <v>-1.2697359645005175</v>
      </c>
      <c r="V83" s="15">
        <f t="shared" si="13"/>
        <v>6.4696485623003189E-2</v>
      </c>
      <c r="W83" s="33">
        <f t="shared" si="10"/>
        <v>-1.5164999963457819</v>
      </c>
      <c r="X83" s="4">
        <f t="shared" si="11"/>
        <v>-1.2697359645005175</v>
      </c>
    </row>
    <row r="84" spans="1:24" ht="14.5" x14ac:dyDescent="0.35">
      <c r="A84" s="52">
        <v>45271</v>
      </c>
      <c r="B84" s="51">
        <v>2756</v>
      </c>
      <c r="C84" s="1">
        <f t="shared" si="12"/>
        <v>-3.6218800911543398E-3</v>
      </c>
      <c r="R84" s="28">
        <v>83</v>
      </c>
      <c r="S84" s="29">
        <v>-2.409755157906053E-2</v>
      </c>
      <c r="T84" s="41">
        <f t="shared" si="8"/>
        <v>0</v>
      </c>
      <c r="U84" s="4">
        <f t="shared" si="9"/>
        <v>-1.2678190322505312</v>
      </c>
      <c r="V84" s="15">
        <f t="shared" si="13"/>
        <v>6.5495207667731634E-2</v>
      </c>
      <c r="W84" s="33">
        <f t="shared" si="10"/>
        <v>-1.510207775249208</v>
      </c>
      <c r="X84" s="4">
        <f t="shared" si="11"/>
        <v>-1.2678190322505312</v>
      </c>
    </row>
    <row r="85" spans="1:24" ht="14.5" x14ac:dyDescent="0.35">
      <c r="A85" s="52">
        <v>45268</v>
      </c>
      <c r="B85" s="51">
        <v>2766</v>
      </c>
      <c r="C85" s="1">
        <f t="shared" si="12"/>
        <v>-1.3644735929777186E-2</v>
      </c>
      <c r="R85" s="28">
        <v>84</v>
      </c>
      <c r="S85" s="29">
        <v>-2.3957588669003129E-2</v>
      </c>
      <c r="T85" s="41">
        <f t="shared" si="8"/>
        <v>0</v>
      </c>
      <c r="U85" s="4">
        <f t="shared" si="9"/>
        <v>-1.2604379811649644</v>
      </c>
      <c r="V85" s="15">
        <f t="shared" si="13"/>
        <v>6.6293929712460065E-2</v>
      </c>
      <c r="W85" s="33">
        <f t="shared" si="10"/>
        <v>-1.503974784550604</v>
      </c>
      <c r="X85" s="4">
        <f t="shared" si="11"/>
        <v>-1.2604379811649644</v>
      </c>
    </row>
    <row r="86" spans="1:24" ht="14.5" x14ac:dyDescent="0.35">
      <c r="A86" s="52">
        <v>45267</v>
      </c>
      <c r="B86" s="51">
        <v>2804</v>
      </c>
      <c r="C86" s="1">
        <f t="shared" si="12"/>
        <v>-2.1375141733107552E-3</v>
      </c>
      <c r="R86" s="28">
        <v>85</v>
      </c>
      <c r="S86" s="29">
        <v>-2.384218896275964E-2</v>
      </c>
      <c r="T86" s="41">
        <f t="shared" si="8"/>
        <v>0</v>
      </c>
      <c r="U86" s="4">
        <f t="shared" si="9"/>
        <v>-1.2543522894149624</v>
      </c>
      <c r="V86" s="15">
        <f t="shared" si="13"/>
        <v>6.7092651757188496E-2</v>
      </c>
      <c r="W86" s="33">
        <f t="shared" si="10"/>
        <v>-1.4977996818524228</v>
      </c>
      <c r="X86" s="4">
        <f t="shared" si="11"/>
        <v>-1.2543522894149624</v>
      </c>
    </row>
    <row r="87" spans="1:24" ht="14.5" x14ac:dyDescent="0.35">
      <c r="A87" s="52">
        <v>45266</v>
      </c>
      <c r="B87" s="51">
        <v>2810</v>
      </c>
      <c r="C87" s="1">
        <f t="shared" si="12"/>
        <v>-3.5524016043677721E-3</v>
      </c>
      <c r="R87" s="28">
        <v>86</v>
      </c>
      <c r="S87" s="29">
        <v>-2.3772401194144113E-2</v>
      </c>
      <c r="T87" s="41">
        <f t="shared" si="8"/>
        <v>0</v>
      </c>
      <c r="U87" s="4">
        <f t="shared" si="9"/>
        <v>-1.2506719780732816</v>
      </c>
      <c r="V87" s="15">
        <f t="shared" si="13"/>
        <v>6.7891373801916927E-2</v>
      </c>
      <c r="W87" s="33">
        <f t="shared" si="10"/>
        <v>-1.4916811706080737</v>
      </c>
      <c r="X87" s="4">
        <f t="shared" si="11"/>
        <v>-1.2506719780732816</v>
      </c>
    </row>
    <row r="88" spans="1:24" ht="14.5" x14ac:dyDescent="0.35">
      <c r="A88" s="52">
        <v>45265</v>
      </c>
      <c r="B88" s="51">
        <v>2820</v>
      </c>
      <c r="C88" s="1">
        <f t="shared" si="12"/>
        <v>9.9787000498962695E-3</v>
      </c>
      <c r="R88" s="28">
        <v>87</v>
      </c>
      <c r="S88" s="29">
        <v>-2.3320672774398081E-2</v>
      </c>
      <c r="T88" s="41">
        <f t="shared" si="8"/>
        <v>0</v>
      </c>
      <c r="U88" s="4">
        <f t="shared" si="9"/>
        <v>-1.2268497344404479</v>
      </c>
      <c r="V88" s="15">
        <f t="shared" si="13"/>
        <v>6.8690095846645371E-2</v>
      </c>
      <c r="W88" s="33">
        <f t="shared" si="10"/>
        <v>-1.4856179980334669</v>
      </c>
      <c r="X88" s="4">
        <f t="shared" si="11"/>
        <v>-1.2268497344404479</v>
      </c>
    </row>
    <row r="89" spans="1:24" ht="14.5" x14ac:dyDescent="0.35">
      <c r="A89" s="52">
        <v>45264</v>
      </c>
      <c r="B89" s="51">
        <v>2792</v>
      </c>
      <c r="C89" s="1">
        <f t="shared" si="12"/>
        <v>4.30725719758027E-3</v>
      </c>
      <c r="R89" s="28">
        <v>88</v>
      </c>
      <c r="S89" s="29">
        <v>-2.3318092991383644E-2</v>
      </c>
      <c r="T89" s="41">
        <f t="shared" si="8"/>
        <v>0</v>
      </c>
      <c r="U89" s="4">
        <f t="shared" si="9"/>
        <v>-1.2267136876105311</v>
      </c>
      <c r="V89" s="15">
        <f t="shared" si="13"/>
        <v>6.9488817891373802E-2</v>
      </c>
      <c r="W89" s="33">
        <f t="shared" si="10"/>
        <v>-1.4796089531368346</v>
      </c>
      <c r="X89" s="4">
        <f t="shared" si="11"/>
        <v>-1.2267136876105311</v>
      </c>
    </row>
    <row r="90" spans="1:24" ht="14.5" x14ac:dyDescent="0.35">
      <c r="A90" s="52">
        <v>45261</v>
      </c>
      <c r="B90" s="51">
        <v>2780</v>
      </c>
      <c r="C90" s="1">
        <f t="shared" si="12"/>
        <v>0</v>
      </c>
      <c r="R90" s="28">
        <v>89</v>
      </c>
      <c r="S90" s="29">
        <v>-2.3288723757508928E-2</v>
      </c>
      <c r="T90" s="41">
        <f t="shared" si="8"/>
        <v>0</v>
      </c>
      <c r="U90" s="4">
        <f t="shared" si="9"/>
        <v>-1.2251648786047429</v>
      </c>
      <c r="V90" s="15">
        <f t="shared" si="13"/>
        <v>7.0287539936102233E-2</v>
      </c>
      <c r="W90" s="33">
        <f t="shared" si="10"/>
        <v>-1.4736528648588596</v>
      </c>
      <c r="X90" s="4">
        <f t="shared" si="11"/>
        <v>-1.2251648786047429</v>
      </c>
    </row>
    <row r="91" spans="1:24" ht="14.5" x14ac:dyDescent="0.35">
      <c r="A91" s="52">
        <v>45260</v>
      </c>
      <c r="B91" s="51">
        <v>2780</v>
      </c>
      <c r="C91" s="1">
        <f t="shared" si="12"/>
        <v>0</v>
      </c>
      <c r="R91" s="28">
        <v>90</v>
      </c>
      <c r="S91" s="29">
        <v>-2.3191763143984506E-2</v>
      </c>
      <c r="T91" s="41">
        <f t="shared" si="8"/>
        <v>0</v>
      </c>
      <c r="U91" s="4">
        <f t="shared" si="9"/>
        <v>-1.2200515865088715</v>
      </c>
      <c r="V91" s="15">
        <f t="shared" si="13"/>
        <v>7.1086261980830664E-2</v>
      </c>
      <c r="W91" s="33">
        <f t="shared" si="10"/>
        <v>-1.4677486003157523</v>
      </c>
      <c r="X91" s="4">
        <f t="shared" si="11"/>
        <v>-1.2200515865088715</v>
      </c>
    </row>
    <row r="92" spans="1:24" ht="14.5" x14ac:dyDescent="0.35">
      <c r="A92" s="52">
        <v>45259</v>
      </c>
      <c r="B92" s="51">
        <v>2780</v>
      </c>
      <c r="C92" s="1">
        <f t="shared" si="12"/>
        <v>-5.7388966690181667E-3</v>
      </c>
      <c r="R92" s="28">
        <v>91</v>
      </c>
      <c r="S92" s="29">
        <v>-2.2961733886728296E-2</v>
      </c>
      <c r="T92" s="41">
        <f t="shared" si="8"/>
        <v>0</v>
      </c>
      <c r="U92" s="4">
        <f t="shared" si="9"/>
        <v>-1.2079208177338672</v>
      </c>
      <c r="V92" s="15">
        <f t="shared" si="13"/>
        <v>7.1884984025559109E-2</v>
      </c>
      <c r="W92" s="33">
        <f t="shared" si="10"/>
        <v>-1.4618950631384819</v>
      </c>
      <c r="X92" s="4">
        <f t="shared" si="11"/>
        <v>-1.2079208177338672</v>
      </c>
    </row>
    <row r="93" spans="1:24" ht="14.5" x14ac:dyDescent="0.35">
      <c r="A93" s="52">
        <v>45258</v>
      </c>
      <c r="B93" s="51">
        <v>2796</v>
      </c>
      <c r="C93" s="1">
        <f t="shared" si="12"/>
        <v>9.3425041723166034E-3</v>
      </c>
      <c r="R93" s="28">
        <v>92</v>
      </c>
      <c r="S93" s="29">
        <v>-2.271792385965684E-2</v>
      </c>
      <c r="T93" s="41">
        <f t="shared" si="8"/>
        <v>0</v>
      </c>
      <c r="U93" s="4">
        <f t="shared" si="9"/>
        <v>-1.1950633095250869</v>
      </c>
      <c r="V93" s="15">
        <f t="shared" si="13"/>
        <v>7.268370607028754E-2</v>
      </c>
      <c r="W93" s="33">
        <f t="shared" si="10"/>
        <v>-1.4560911919018944</v>
      </c>
      <c r="X93" s="4">
        <f t="shared" si="11"/>
        <v>-1.1950633095250869</v>
      </c>
    </row>
    <row r="94" spans="1:24" ht="14.5" x14ac:dyDescent="0.35">
      <c r="A94" s="52">
        <v>45257</v>
      </c>
      <c r="B94" s="51">
        <v>2770</v>
      </c>
      <c r="C94" s="1">
        <f t="shared" si="12"/>
        <v>1.4545711002378716E-2</v>
      </c>
      <c r="R94" s="28">
        <v>93</v>
      </c>
      <c r="S94" s="29">
        <v>-2.2619712830570793E-2</v>
      </c>
      <c r="T94" s="41">
        <f t="shared" si="8"/>
        <v>0</v>
      </c>
      <c r="U94" s="4">
        <f t="shared" si="9"/>
        <v>-1.1898840758084335</v>
      </c>
      <c r="V94" s="15">
        <f t="shared" si="13"/>
        <v>7.3482428115015971E-2</v>
      </c>
      <c r="W94" s="33">
        <f t="shared" si="10"/>
        <v>-1.4503359586379192</v>
      </c>
      <c r="X94" s="4">
        <f t="shared" si="11"/>
        <v>-1.1898840758084335</v>
      </c>
    </row>
    <row r="95" spans="1:24" ht="14.5" x14ac:dyDescent="0.35">
      <c r="A95" s="52">
        <v>45254</v>
      </c>
      <c r="B95" s="51">
        <v>2730</v>
      </c>
      <c r="C95" s="1">
        <f t="shared" si="12"/>
        <v>-6.5717651632345017E-3</v>
      </c>
      <c r="R95" s="28">
        <v>94</v>
      </c>
      <c r="S95" s="29">
        <v>-2.2614029001160142E-2</v>
      </c>
      <c r="T95" s="41">
        <f t="shared" si="8"/>
        <v>0</v>
      </c>
      <c r="U95" s="4">
        <f t="shared" si="9"/>
        <v>-1.1895843347182802</v>
      </c>
      <c r="V95" s="15">
        <f t="shared" si="13"/>
        <v>7.4281150159744402E-2</v>
      </c>
      <c r="W95" s="33">
        <f t="shared" si="10"/>
        <v>-1.4446283674274998</v>
      </c>
      <c r="X95" s="4">
        <f t="shared" si="11"/>
        <v>-1.1895843347182802</v>
      </c>
    </row>
    <row r="96" spans="1:24" ht="14.5" x14ac:dyDescent="0.35">
      <c r="A96" s="52">
        <v>45253</v>
      </c>
      <c r="B96" s="51">
        <v>2748</v>
      </c>
      <c r="C96" s="1">
        <f t="shared" si="12"/>
        <v>-1.5884810540023102E-2</v>
      </c>
      <c r="R96" s="28">
        <v>95</v>
      </c>
      <c r="S96" s="29">
        <v>-2.2472855852058628E-2</v>
      </c>
      <c r="T96" s="41">
        <f t="shared" si="8"/>
        <v>0</v>
      </c>
      <c r="U96" s="4">
        <f t="shared" si="9"/>
        <v>-1.1821394607513036</v>
      </c>
      <c r="V96" s="15">
        <f t="shared" si="13"/>
        <v>7.5079872204472847E-2</v>
      </c>
      <c r="W96" s="33">
        <f t="shared" si="10"/>
        <v>-1.4389674530662808</v>
      </c>
      <c r="X96" s="4">
        <f t="shared" si="11"/>
        <v>-1.1821394607513036</v>
      </c>
    </row>
    <row r="97" spans="1:24" ht="14.5" x14ac:dyDescent="0.35">
      <c r="A97" s="52">
        <v>45252</v>
      </c>
      <c r="B97" s="51">
        <v>2792</v>
      </c>
      <c r="C97" s="1">
        <f t="shared" si="12"/>
        <v>4.30725719758027E-3</v>
      </c>
      <c r="R97" s="28">
        <v>96</v>
      </c>
      <c r="S97" s="29">
        <v>-2.240571697526678E-2</v>
      </c>
      <c r="T97" s="41">
        <f t="shared" si="8"/>
        <v>0</v>
      </c>
      <c r="U97" s="4">
        <f t="shared" si="9"/>
        <v>-1.1785988407454395</v>
      </c>
      <c r="V97" s="15">
        <f t="shared" si="13"/>
        <v>7.5878594249201278E-2</v>
      </c>
      <c r="W97" s="33">
        <f t="shared" si="10"/>
        <v>-1.4333522797994338</v>
      </c>
      <c r="X97" s="4">
        <f t="shared" si="11"/>
        <v>-1.1785988407454395</v>
      </c>
    </row>
    <row r="98" spans="1:24" ht="14.5" x14ac:dyDescent="0.35">
      <c r="A98" s="52">
        <v>45251</v>
      </c>
      <c r="B98" s="51">
        <v>2780</v>
      </c>
      <c r="C98" s="1">
        <f t="shared" si="12"/>
        <v>-1.0733555643108664E-2</v>
      </c>
      <c r="R98" s="28">
        <v>97</v>
      </c>
      <c r="S98" s="29">
        <v>-2.2090957814191972E-2</v>
      </c>
      <c r="T98" s="41">
        <f t="shared" si="8"/>
        <v>0</v>
      </c>
      <c r="U98" s="4">
        <f t="shared" si="9"/>
        <v>-1.1619997757032046</v>
      </c>
      <c r="V98" s="15">
        <f t="shared" si="13"/>
        <v>7.6677316293929709E-2</v>
      </c>
      <c r="W98" s="33">
        <f t="shared" si="10"/>
        <v>-1.427781940121386</v>
      </c>
      <c r="X98" s="4">
        <f t="shared" si="11"/>
        <v>-1.1619997757032046</v>
      </c>
    </row>
    <row r="99" spans="1:24" ht="14.5" x14ac:dyDescent="0.35">
      <c r="A99" s="52">
        <v>45250</v>
      </c>
      <c r="B99" s="51">
        <v>2810</v>
      </c>
      <c r="C99" s="1">
        <f t="shared" si="12"/>
        <v>-7.1149060276404924E-4</v>
      </c>
      <c r="R99" s="28">
        <v>98</v>
      </c>
      <c r="S99" s="29">
        <v>-2.2075951699199847E-2</v>
      </c>
      <c r="T99" s="41">
        <f t="shared" si="8"/>
        <v>0</v>
      </c>
      <c r="U99" s="4">
        <f t="shared" si="9"/>
        <v>-1.1612084167545562</v>
      </c>
      <c r="V99" s="15">
        <f t="shared" si="13"/>
        <v>7.747603833865814E-2</v>
      </c>
      <c r="W99" s="33">
        <f t="shared" si="10"/>
        <v>-1.422255553636407</v>
      </c>
      <c r="X99" s="4">
        <f t="shared" si="11"/>
        <v>-1.1612084167545562</v>
      </c>
    </row>
    <row r="100" spans="1:24" ht="14.5" x14ac:dyDescent="0.35">
      <c r="A100" s="52">
        <v>45247</v>
      </c>
      <c r="B100" s="51">
        <v>2812</v>
      </c>
      <c r="C100" s="1">
        <f t="shared" si="12"/>
        <v>-1.7624707185840704E-2</v>
      </c>
      <c r="R100" s="28">
        <v>99</v>
      </c>
      <c r="S100" s="29">
        <v>-2.2051610197668783E-2</v>
      </c>
      <c r="T100" s="41">
        <f t="shared" si="8"/>
        <v>0</v>
      </c>
      <c r="U100" s="4">
        <f t="shared" si="9"/>
        <v>-1.1599247490584039</v>
      </c>
      <c r="V100" s="15">
        <f t="shared" si="13"/>
        <v>7.8274760383386585E-2</v>
      </c>
      <c r="W100" s="33">
        <f t="shared" si="10"/>
        <v>-1.4167722659764816</v>
      </c>
      <c r="X100" s="4">
        <f t="shared" si="11"/>
        <v>-1.1599247490584039</v>
      </c>
    </row>
    <row r="101" spans="1:24" ht="14.5" x14ac:dyDescent="0.35">
      <c r="A101" s="52">
        <v>45246</v>
      </c>
      <c r="B101" s="51">
        <v>2862</v>
      </c>
      <c r="C101" s="1">
        <f t="shared" si="12"/>
        <v>-4.8797587245410579E-3</v>
      </c>
      <c r="R101" s="28">
        <v>100</v>
      </c>
      <c r="S101" s="29">
        <v>-2.2027322318290819E-2</v>
      </c>
      <c r="T101" s="41">
        <f t="shared" si="8"/>
        <v>0</v>
      </c>
      <c r="U101" s="4">
        <f t="shared" si="9"/>
        <v>-1.1586439091674976</v>
      </c>
      <c r="V101" s="15">
        <f t="shared" si="13"/>
        <v>7.9073482428115016E-2</v>
      </c>
      <c r="W101" s="33">
        <f t="shared" si="10"/>
        <v>-1.4113312477729174</v>
      </c>
      <c r="X101" s="4">
        <f t="shared" si="11"/>
        <v>-1.1586439091674976</v>
      </c>
    </row>
    <row r="102" spans="1:24" ht="14.5" x14ac:dyDescent="0.35">
      <c r="A102" s="52">
        <v>45245</v>
      </c>
      <c r="B102" s="51">
        <v>2876</v>
      </c>
      <c r="C102" s="1">
        <f t="shared" si="12"/>
        <v>1.2596387685685566E-2</v>
      </c>
      <c r="R102" s="28">
        <v>101</v>
      </c>
      <c r="S102" s="29">
        <v>-2.1958796312644947E-2</v>
      </c>
      <c r="T102" s="41">
        <f t="shared" si="8"/>
        <v>0</v>
      </c>
      <c r="U102" s="4">
        <f t="shared" si="9"/>
        <v>-1.1550301378608381</v>
      </c>
      <c r="V102" s="15">
        <f t="shared" si="13"/>
        <v>7.9872204472843447E-2</v>
      </c>
      <c r="W102" s="33">
        <f t="shared" si="10"/>
        <v>-1.4059316936786115</v>
      </c>
      <c r="X102" s="4">
        <f t="shared" si="11"/>
        <v>-1.1550301378608381</v>
      </c>
    </row>
    <row r="103" spans="1:24" ht="14.5" x14ac:dyDescent="0.35">
      <c r="A103" s="52">
        <v>45244</v>
      </c>
      <c r="B103" s="51">
        <v>2840</v>
      </c>
      <c r="C103" s="1">
        <f t="shared" si="12"/>
        <v>2.114910904626034E-3</v>
      </c>
      <c r="R103" s="28">
        <v>102</v>
      </c>
      <c r="S103" s="29">
        <v>-2.1739986636405875E-2</v>
      </c>
      <c r="T103" s="41">
        <f t="shared" si="8"/>
        <v>0</v>
      </c>
      <c r="U103" s="4">
        <f t="shared" si="9"/>
        <v>-1.1434910422699094</v>
      </c>
      <c r="V103" s="15">
        <f t="shared" si="13"/>
        <v>8.0670926517571878E-2</v>
      </c>
      <c r="W103" s="33">
        <f t="shared" si="10"/>
        <v>-1.4005728214379083</v>
      </c>
      <c r="X103" s="4">
        <f t="shared" si="11"/>
        <v>-1.1434910422699094</v>
      </c>
    </row>
    <row r="104" spans="1:24" ht="14.5" x14ac:dyDescent="0.35">
      <c r="A104" s="52">
        <v>45243</v>
      </c>
      <c r="B104" s="51">
        <v>2834</v>
      </c>
      <c r="C104" s="1">
        <f t="shared" si="12"/>
        <v>-3.522370672505781E-3</v>
      </c>
      <c r="R104" s="28">
        <v>103</v>
      </c>
      <c r="S104" s="29">
        <v>-2.1722708466509234E-2</v>
      </c>
      <c r="T104" s="41">
        <f t="shared" si="8"/>
        <v>0</v>
      </c>
      <c r="U104" s="4">
        <f t="shared" si="9"/>
        <v>-1.1425798647685277</v>
      </c>
      <c r="V104" s="15">
        <f t="shared" si="13"/>
        <v>8.1469648562300323E-2</v>
      </c>
      <c r="W104" s="33">
        <f t="shared" si="10"/>
        <v>-1.3952538710013354</v>
      </c>
      <c r="X104" s="4">
        <f t="shared" si="11"/>
        <v>-1.1425798647685277</v>
      </c>
    </row>
    <row r="105" spans="1:24" ht="14.5" x14ac:dyDescent="0.35">
      <c r="A105" s="52">
        <v>45240</v>
      </c>
      <c r="B105" s="51">
        <v>2844</v>
      </c>
      <c r="C105" s="1">
        <f t="shared" si="12"/>
        <v>-4.2105325363434943E-3</v>
      </c>
      <c r="R105" s="28">
        <v>104</v>
      </c>
      <c r="S105" s="29">
        <v>-2.1655912045379217E-2</v>
      </c>
      <c r="T105" s="41">
        <f t="shared" si="8"/>
        <v>0</v>
      </c>
      <c r="U105" s="4">
        <f t="shared" si="9"/>
        <v>-1.1390573044238514</v>
      </c>
      <c r="V105" s="15">
        <f t="shared" si="13"/>
        <v>8.2268370607028754E-2</v>
      </c>
      <c r="W105" s="33">
        <f t="shared" si="10"/>
        <v>-1.3899741036826332</v>
      </c>
      <c r="X105" s="4">
        <f t="shared" si="11"/>
        <v>-1.1390573044238514</v>
      </c>
    </row>
    <row r="106" spans="1:24" ht="14.5" x14ac:dyDescent="0.35">
      <c r="A106" s="52">
        <v>45239</v>
      </c>
      <c r="B106" s="51">
        <v>2856</v>
      </c>
      <c r="C106" s="1">
        <f t="shared" si="12"/>
        <v>-6.2827431794951804E-3</v>
      </c>
      <c r="R106" s="28">
        <v>105</v>
      </c>
      <c r="S106" s="29">
        <v>-2.1604768311981874E-2</v>
      </c>
      <c r="T106" s="41">
        <f t="shared" si="8"/>
        <v>0</v>
      </c>
      <c r="U106" s="4">
        <f t="shared" si="9"/>
        <v>-1.136360200535703</v>
      </c>
      <c r="V106" s="15">
        <f t="shared" si="13"/>
        <v>8.3067092651757185E-2</v>
      </c>
      <c r="W106" s="33">
        <f t="shared" si="10"/>
        <v>-1.3847328013556541</v>
      </c>
      <c r="X106" s="4">
        <f t="shared" si="11"/>
        <v>-1.136360200535703</v>
      </c>
    </row>
    <row r="107" spans="1:24" ht="14.5" x14ac:dyDescent="0.35">
      <c r="A107" s="52">
        <v>45238</v>
      </c>
      <c r="B107" s="51">
        <v>2874</v>
      </c>
      <c r="C107" s="1">
        <f t="shared" si="12"/>
        <v>-1.7247754230698849E-2</v>
      </c>
      <c r="R107" s="28">
        <v>106</v>
      </c>
      <c r="S107" s="29">
        <v>-2.1472414397421671E-2</v>
      </c>
      <c r="T107" s="41">
        <f t="shared" si="8"/>
        <v>0</v>
      </c>
      <c r="U107" s="4">
        <f t="shared" si="9"/>
        <v>-1.1293804156459564</v>
      </c>
      <c r="V107" s="15">
        <f t="shared" si="13"/>
        <v>8.386581469648563E-2</v>
      </c>
      <c r="W107" s="33">
        <f t="shared" si="10"/>
        <v>-1.3795292656888583</v>
      </c>
      <c r="X107" s="4">
        <f t="shared" si="11"/>
        <v>-1.1293804156459564</v>
      </c>
    </row>
    <row r="108" spans="1:24" ht="14.5" x14ac:dyDescent="0.35">
      <c r="A108" s="52">
        <v>45237</v>
      </c>
      <c r="B108" s="51">
        <v>2924</v>
      </c>
      <c r="C108" s="1">
        <f t="shared" si="12"/>
        <v>3.4258341145190102E-3</v>
      </c>
      <c r="R108" s="28">
        <v>107</v>
      </c>
      <c r="S108" s="29">
        <v>-2.1395135540492084E-2</v>
      </c>
      <c r="T108" s="41">
        <f t="shared" si="8"/>
        <v>0</v>
      </c>
      <c r="U108" s="4">
        <f t="shared" si="9"/>
        <v>-1.1253050560339166</v>
      </c>
      <c r="V108" s="15">
        <f t="shared" si="13"/>
        <v>8.4664536741214061E-2</v>
      </c>
      <c r="W108" s="33">
        <f t="shared" si="10"/>
        <v>-1.374362817415375</v>
      </c>
      <c r="X108" s="4">
        <f t="shared" si="11"/>
        <v>-1.1253050560339166</v>
      </c>
    </row>
    <row r="109" spans="1:24" ht="14.5" x14ac:dyDescent="0.35">
      <c r="A109" s="52">
        <v>45236</v>
      </c>
      <c r="B109" s="51">
        <v>2914</v>
      </c>
      <c r="C109" s="1">
        <f t="shared" si="12"/>
        <v>4.8159707805846899E-3</v>
      </c>
      <c r="R109" s="28">
        <v>108</v>
      </c>
      <c r="S109" s="29">
        <v>-2.1370025736192521E-2</v>
      </c>
      <c r="T109" s="41">
        <f t="shared" si="8"/>
        <v>0</v>
      </c>
      <c r="U109" s="4">
        <f t="shared" si="9"/>
        <v>-1.1239808713037789</v>
      </c>
      <c r="V109" s="15">
        <f t="shared" si="13"/>
        <v>8.5463258785942492E-2</v>
      </c>
      <c r="W109" s="33">
        <f t="shared" si="10"/>
        <v>-1.3692327956365586</v>
      </c>
      <c r="X109" s="4">
        <f t="shared" si="11"/>
        <v>-1.1239808713037789</v>
      </c>
    </row>
    <row r="110" spans="1:24" ht="14.5" x14ac:dyDescent="0.35">
      <c r="A110" s="52">
        <v>45233</v>
      </c>
      <c r="B110" s="51">
        <v>2900</v>
      </c>
      <c r="C110" s="1">
        <f t="shared" si="12"/>
        <v>2.7624326959100796E-3</v>
      </c>
      <c r="R110" s="28">
        <v>109</v>
      </c>
      <c r="S110" s="29">
        <v>-2.1078063726254131E-2</v>
      </c>
      <c r="T110" s="41">
        <f t="shared" si="8"/>
        <v>0</v>
      </c>
      <c r="U110" s="4">
        <f t="shared" si="9"/>
        <v>-1.1085840314587356</v>
      </c>
      <c r="V110" s="15">
        <f t="shared" si="13"/>
        <v>8.6261980830670923E-2</v>
      </c>
      <c r="W110" s="33">
        <f t="shared" si="10"/>
        <v>-1.3641385571573073</v>
      </c>
      <c r="X110" s="4">
        <f t="shared" si="11"/>
        <v>-1.1085840314587356</v>
      </c>
    </row>
    <row r="111" spans="1:24" ht="14.5" x14ac:dyDescent="0.35">
      <c r="A111" s="52">
        <v>45232</v>
      </c>
      <c r="B111" s="51">
        <v>2892</v>
      </c>
      <c r="C111" s="1">
        <f t="shared" si="12"/>
        <v>5.547864437717963E-3</v>
      </c>
      <c r="R111" s="28">
        <v>110</v>
      </c>
      <c r="S111" s="29">
        <v>-2.1037590292658462E-2</v>
      </c>
      <c r="T111" s="41">
        <f t="shared" si="8"/>
        <v>0</v>
      </c>
      <c r="U111" s="4">
        <f t="shared" si="9"/>
        <v>-1.1064496339897532</v>
      </c>
      <c r="V111" s="15">
        <f t="shared" si="13"/>
        <v>8.7060702875399368E-2</v>
      </c>
      <c r="W111" s="33">
        <f t="shared" si="10"/>
        <v>-1.3590794758513209</v>
      </c>
      <c r="X111" s="4">
        <f t="shared" si="11"/>
        <v>-1.1064496339897532</v>
      </c>
    </row>
    <row r="112" spans="1:24" ht="14.5" x14ac:dyDescent="0.35">
      <c r="A112" s="52">
        <v>45230</v>
      </c>
      <c r="B112" s="51">
        <v>2876</v>
      </c>
      <c r="C112" s="1">
        <f t="shared" si="12"/>
        <v>-6.9300346646696317E-3</v>
      </c>
      <c r="R112" s="28">
        <v>111</v>
      </c>
      <c r="S112" s="29">
        <v>-2.095379130352994E-2</v>
      </c>
      <c r="T112" s="41">
        <f t="shared" si="8"/>
        <v>0</v>
      </c>
      <c r="U112" s="4">
        <f t="shared" si="9"/>
        <v>-1.1020304302205346</v>
      </c>
      <c r="V112" s="15">
        <f t="shared" si="13"/>
        <v>8.7859424920127799E-2</v>
      </c>
      <c r="W112" s="33">
        <f t="shared" si="10"/>
        <v>-1.3540549420547721</v>
      </c>
      <c r="X112" s="4">
        <f t="shared" si="11"/>
        <v>-1.1020304302205346</v>
      </c>
    </row>
    <row r="113" spans="1:24" ht="14.5" x14ac:dyDescent="0.35">
      <c r="A113" s="52">
        <v>45229</v>
      </c>
      <c r="B113" s="51">
        <v>2896</v>
      </c>
      <c r="C113" s="1">
        <f t="shared" si="12"/>
        <v>7.6256868666368348E-3</v>
      </c>
      <c r="R113" s="28">
        <v>112</v>
      </c>
      <c r="S113" s="29">
        <v>-2.093320966646579E-2</v>
      </c>
      <c r="T113" s="41">
        <f t="shared" si="8"/>
        <v>0</v>
      </c>
      <c r="U113" s="4">
        <f t="shared" si="9"/>
        <v>-1.1009450418520534</v>
      </c>
      <c r="V113" s="15">
        <f t="shared" si="13"/>
        <v>8.865814696485623E-2</v>
      </c>
      <c r="W113" s="33">
        <f t="shared" si="10"/>
        <v>-1.3490643619867906</v>
      </c>
      <c r="X113" s="4">
        <f t="shared" si="11"/>
        <v>-1.1009450418520534</v>
      </c>
    </row>
    <row r="114" spans="1:24" ht="14.5" x14ac:dyDescent="0.35">
      <c r="A114" s="52">
        <v>45226</v>
      </c>
      <c r="B114" s="51">
        <v>2874</v>
      </c>
      <c r="C114" s="1">
        <f t="shared" si="12"/>
        <v>-2.7797099204972067E-3</v>
      </c>
      <c r="R114" s="28">
        <v>113</v>
      </c>
      <c r="S114" s="29">
        <v>-2.0912514516373448E-2</v>
      </c>
      <c r="T114" s="41">
        <f t="shared" si="8"/>
        <v>0</v>
      </c>
      <c r="U114" s="4">
        <f t="shared" si="9"/>
        <v>-1.0998536672872319</v>
      </c>
      <c r="V114" s="15">
        <f t="shared" si="13"/>
        <v>8.9456869009584661E-2</v>
      </c>
      <c r="W114" s="33">
        <f t="shared" si="10"/>
        <v>-1.3441071571954248</v>
      </c>
      <c r="X114" s="4">
        <f t="shared" si="11"/>
        <v>-1.0998536672872319</v>
      </c>
    </row>
    <row r="115" spans="1:24" ht="14.5" x14ac:dyDescent="0.35">
      <c r="A115" s="52">
        <v>45225</v>
      </c>
      <c r="B115" s="51">
        <v>2882</v>
      </c>
      <c r="C115" s="1">
        <f t="shared" si="12"/>
        <v>4.1724678058007031E-3</v>
      </c>
      <c r="R115" s="28">
        <v>114</v>
      </c>
      <c r="S115" s="29">
        <v>-2.0528580141128707E-2</v>
      </c>
      <c r="T115" s="41">
        <f t="shared" si="8"/>
        <v>0</v>
      </c>
      <c r="U115" s="4">
        <f t="shared" si="9"/>
        <v>-1.0796065944303987</v>
      </c>
      <c r="V115" s="15">
        <f t="shared" si="13"/>
        <v>9.0255591054313106E-2</v>
      </c>
      <c r="W115" s="33">
        <f t="shared" si="10"/>
        <v>-1.3391827640276721</v>
      </c>
      <c r="X115" s="4">
        <f t="shared" si="11"/>
        <v>-1.0796065944303987</v>
      </c>
    </row>
    <row r="116" spans="1:24" ht="14.5" x14ac:dyDescent="0.35">
      <c r="A116" s="52">
        <v>45224</v>
      </c>
      <c r="B116" s="51">
        <v>2870</v>
      </c>
      <c r="C116" s="1">
        <f t="shared" si="12"/>
        <v>6.9710703415573443E-4</v>
      </c>
      <c r="R116" s="28">
        <v>115</v>
      </c>
      <c r="S116" s="29">
        <v>-2.0478531343540676E-2</v>
      </c>
      <c r="T116" s="41">
        <f t="shared" si="8"/>
        <v>0</v>
      </c>
      <c r="U116" s="4">
        <f t="shared" si="9"/>
        <v>-1.0769672328194051</v>
      </c>
      <c r="V116" s="15">
        <f t="shared" si="13"/>
        <v>9.1054313099041537E-2</v>
      </c>
      <c r="W116" s="33">
        <f t="shared" si="10"/>
        <v>-1.3342906331223829</v>
      </c>
      <c r="X116" s="4">
        <f t="shared" si="11"/>
        <v>-1.0769672328194051</v>
      </c>
    </row>
    <row r="117" spans="1:24" ht="14.5" x14ac:dyDescent="0.35">
      <c r="A117" s="52">
        <v>45223</v>
      </c>
      <c r="B117" s="51">
        <v>2868</v>
      </c>
      <c r="C117" s="1">
        <f t="shared" si="12"/>
        <v>-1.1095814255054463E-2</v>
      </c>
      <c r="R117" s="28">
        <v>116</v>
      </c>
      <c r="S117" s="29">
        <v>-2.0417930792057119E-2</v>
      </c>
      <c r="T117" s="41">
        <f t="shared" si="8"/>
        <v>0</v>
      </c>
      <c r="U117" s="4">
        <f t="shared" si="9"/>
        <v>-1.0737714163982532</v>
      </c>
      <c r="V117" s="15">
        <f t="shared" si="13"/>
        <v>9.1853035143769968E-2</v>
      </c>
      <c r="W117" s="33">
        <f t="shared" si="10"/>
        <v>-1.3294302289248148</v>
      </c>
      <c r="X117" s="4">
        <f t="shared" si="11"/>
        <v>-1.0737714163982532</v>
      </c>
    </row>
    <row r="118" spans="1:24" ht="14.5" x14ac:dyDescent="0.35">
      <c r="A118" s="52">
        <v>45219</v>
      </c>
      <c r="B118" s="51">
        <v>2900</v>
      </c>
      <c r="C118" s="1">
        <f t="shared" si="12"/>
        <v>2.7624326959100796E-3</v>
      </c>
      <c r="R118" s="28">
        <v>117</v>
      </c>
      <c r="S118" s="29">
        <v>-2.0348585270977899E-2</v>
      </c>
      <c r="T118" s="41">
        <f t="shared" si="8"/>
        <v>0</v>
      </c>
      <c r="U118" s="4">
        <f t="shared" si="9"/>
        <v>-1.0701144273185674</v>
      </c>
      <c r="V118" s="15">
        <f t="shared" si="13"/>
        <v>9.2651757188498399E-2</v>
      </c>
      <c r="W118" s="33">
        <f t="shared" si="10"/>
        <v>-1.324601029221772</v>
      </c>
      <c r="X118" s="4">
        <f t="shared" si="11"/>
        <v>-1.0701144273185674</v>
      </c>
    </row>
    <row r="119" spans="1:24" ht="14.5" x14ac:dyDescent="0.35">
      <c r="A119" s="52">
        <v>45218</v>
      </c>
      <c r="B119" s="51">
        <v>2892</v>
      </c>
      <c r="C119" s="1">
        <f t="shared" si="12"/>
        <v>-2.0725396019724233E-3</v>
      </c>
      <c r="R119" s="28">
        <v>118</v>
      </c>
      <c r="S119" s="29">
        <v>-2.0188140569035919E-2</v>
      </c>
      <c r="T119" s="41">
        <f t="shared" si="8"/>
        <v>0</v>
      </c>
      <c r="U119" s="4">
        <f t="shared" si="9"/>
        <v>-1.0616532532764116</v>
      </c>
      <c r="V119" s="15">
        <f t="shared" si="13"/>
        <v>9.3450479233226844E-2</v>
      </c>
      <c r="W119" s="33">
        <f t="shared" si="10"/>
        <v>-1.319802524696265</v>
      </c>
      <c r="X119" s="4">
        <f t="shared" si="11"/>
        <v>-1.0616532532764116</v>
      </c>
    </row>
    <row r="120" spans="1:24" ht="14.5" x14ac:dyDescent="0.35">
      <c r="A120" s="52">
        <v>45217</v>
      </c>
      <c r="B120" s="51">
        <v>2898</v>
      </c>
      <c r="C120" s="1">
        <f t="shared" si="12"/>
        <v>-1.0981579130485308E-2</v>
      </c>
      <c r="R120" s="28">
        <v>119</v>
      </c>
      <c r="S120" s="29">
        <v>-2.0127403277422063E-2</v>
      </c>
      <c r="T120" s="41">
        <f t="shared" si="8"/>
        <v>0</v>
      </c>
      <c r="U120" s="4">
        <f t="shared" si="9"/>
        <v>-1.0584502257599289</v>
      </c>
      <c r="V120" s="15">
        <f t="shared" si="13"/>
        <v>9.4249201277955275E-2</v>
      </c>
      <c r="W120" s="33">
        <f t="shared" si="10"/>
        <v>-1.3150342185007076</v>
      </c>
      <c r="X120" s="4">
        <f t="shared" si="11"/>
        <v>-1.0584502257599289</v>
      </c>
    </row>
    <row r="121" spans="1:24" ht="14.5" x14ac:dyDescent="0.35">
      <c r="A121" s="52">
        <v>45216</v>
      </c>
      <c r="B121" s="51">
        <v>2930</v>
      </c>
      <c r="C121" s="1">
        <f t="shared" si="12"/>
        <v>3.04943933540671E-2</v>
      </c>
      <c r="R121" s="28">
        <v>120</v>
      </c>
      <c r="S121" s="29">
        <v>-2.0114839646175872E-2</v>
      </c>
      <c r="T121" s="41">
        <f t="shared" si="8"/>
        <v>0</v>
      </c>
      <c r="U121" s="4">
        <f t="shared" si="9"/>
        <v>-1.0577876730592861</v>
      </c>
      <c r="V121" s="15">
        <f t="shared" si="13"/>
        <v>9.5047923322683706E-2</v>
      </c>
      <c r="W121" s="33">
        <f t="shared" si="10"/>
        <v>-1.3102956258477445</v>
      </c>
      <c r="X121" s="4">
        <f t="shared" si="11"/>
        <v>-1.0577876730592861</v>
      </c>
    </row>
    <row r="122" spans="1:24" ht="14.5" x14ac:dyDescent="0.35">
      <c r="A122" s="52">
        <v>45215</v>
      </c>
      <c r="B122" s="51">
        <v>2842</v>
      </c>
      <c r="C122" s="1">
        <f t="shared" si="12"/>
        <v>1.4888612493750559E-2</v>
      </c>
      <c r="R122" s="28">
        <v>121</v>
      </c>
      <c r="S122" s="29">
        <v>-2.0103909901540387E-2</v>
      </c>
      <c r="T122" s="41">
        <f t="shared" si="8"/>
        <v>0</v>
      </c>
      <c r="U122" s="4">
        <f t="shared" si="9"/>
        <v>-1.0572112846184225</v>
      </c>
      <c r="V122" s="15">
        <f t="shared" si="13"/>
        <v>9.5846645367412137E-2</v>
      </c>
      <c r="W122" s="33">
        <f t="shared" si="10"/>
        <v>-1.3055862736178254</v>
      </c>
      <c r="X122" s="4">
        <f t="shared" si="11"/>
        <v>-1.0572112846184225</v>
      </c>
    </row>
    <row r="123" spans="1:24" ht="14.5" x14ac:dyDescent="0.35">
      <c r="A123" s="52">
        <v>45212</v>
      </c>
      <c r="B123" s="51">
        <v>2800</v>
      </c>
      <c r="C123" s="1">
        <f t="shared" si="12"/>
        <v>1.221718393859185E-2</v>
      </c>
      <c r="R123" s="28">
        <v>122</v>
      </c>
      <c r="S123" s="29">
        <v>-2.0086758566737344E-2</v>
      </c>
      <c r="T123" s="41">
        <f t="shared" si="8"/>
        <v>0</v>
      </c>
      <c r="U123" s="4">
        <f t="shared" si="9"/>
        <v>-1.0563067958626871</v>
      </c>
      <c r="V123" s="15">
        <f t="shared" si="13"/>
        <v>9.6645367412140581E-2</v>
      </c>
      <c r="W123" s="33">
        <f t="shared" si="10"/>
        <v>-1.3009056999827218</v>
      </c>
      <c r="X123" s="4">
        <f t="shared" si="11"/>
        <v>-1.0563067958626871</v>
      </c>
    </row>
    <row r="124" spans="1:24" ht="14.5" x14ac:dyDescent="0.35">
      <c r="A124" s="52">
        <v>45211</v>
      </c>
      <c r="B124" s="51">
        <v>2766</v>
      </c>
      <c r="C124" s="1">
        <f t="shared" si="12"/>
        <v>-5.0486944599792225E-3</v>
      </c>
      <c r="R124" s="28">
        <v>123</v>
      </c>
      <c r="S124" s="29">
        <v>-2.0080996057049133E-2</v>
      </c>
      <c r="T124" s="41">
        <f t="shared" si="8"/>
        <v>0</v>
      </c>
      <c r="U124" s="4">
        <f t="shared" si="9"/>
        <v>-1.056002905507933</v>
      </c>
      <c r="V124" s="15">
        <f t="shared" si="13"/>
        <v>9.7444089456869012E-2</v>
      </c>
      <c r="W124" s="33">
        <f t="shared" si="10"/>
        <v>-1.2962534540441892</v>
      </c>
      <c r="X124" s="4">
        <f t="shared" si="11"/>
        <v>-1.056002905507933</v>
      </c>
    </row>
    <row r="125" spans="1:24" ht="14.5" x14ac:dyDescent="0.35">
      <c r="A125" s="52">
        <v>45210</v>
      </c>
      <c r="B125" s="51">
        <v>2780</v>
      </c>
      <c r="C125" s="1">
        <f t="shared" si="12"/>
        <v>-7.168489478612516E-3</v>
      </c>
      <c r="R125" s="28">
        <v>124</v>
      </c>
      <c r="S125" s="29">
        <v>-2.0049064230108538E-2</v>
      </c>
      <c r="T125" s="41">
        <f t="shared" si="8"/>
        <v>0</v>
      </c>
      <c r="U125" s="4">
        <f t="shared" si="9"/>
        <v>-1.0543189561973096</v>
      </c>
      <c r="V125" s="15">
        <f t="shared" si="13"/>
        <v>9.8242811501597443E-2</v>
      </c>
      <c r="W125" s="33">
        <f t="shared" si="10"/>
        <v>-1.2916290954870733</v>
      </c>
      <c r="X125" s="4">
        <f t="shared" si="11"/>
        <v>-1.0543189561973096</v>
      </c>
    </row>
    <row r="126" spans="1:24" ht="14.5" x14ac:dyDescent="0.35">
      <c r="A126" s="52">
        <v>45209</v>
      </c>
      <c r="B126" s="51">
        <v>2800</v>
      </c>
      <c r="C126" s="1">
        <f t="shared" si="12"/>
        <v>9.3290952885183385E-3</v>
      </c>
      <c r="R126" s="28">
        <v>125</v>
      </c>
      <c r="S126" s="29">
        <v>-1.9802627296179754E-2</v>
      </c>
      <c r="T126" s="41">
        <f t="shared" si="8"/>
        <v>0</v>
      </c>
      <c r="U126" s="4">
        <f t="shared" si="9"/>
        <v>-1.0413229160467239</v>
      </c>
      <c r="V126" s="15">
        <f t="shared" si="13"/>
        <v>9.9041533546325874E-2</v>
      </c>
      <c r="W126" s="33">
        <f t="shared" si="10"/>
        <v>-1.2870321942461491</v>
      </c>
      <c r="X126" s="4">
        <f t="shared" si="11"/>
        <v>-1.0413229160467239</v>
      </c>
    </row>
    <row r="127" spans="1:24" ht="14.5" x14ac:dyDescent="0.35">
      <c r="A127" s="52">
        <v>45208</v>
      </c>
      <c r="B127" s="51">
        <v>2774</v>
      </c>
      <c r="C127" s="1">
        <f t="shared" si="12"/>
        <v>1.087361202900098E-2</v>
      </c>
      <c r="R127" s="28">
        <v>126</v>
      </c>
      <c r="S127" s="29">
        <v>-1.9620494520883457E-2</v>
      </c>
      <c r="T127" s="41">
        <f t="shared" si="8"/>
        <v>0</v>
      </c>
      <c r="U127" s="4">
        <f t="shared" si="9"/>
        <v>-1.03171800487228</v>
      </c>
      <c r="V127" s="15">
        <f t="shared" si="13"/>
        <v>9.9840255591054319E-2</v>
      </c>
      <c r="W127" s="33">
        <f t="shared" si="10"/>
        <v>-1.2824623301860549</v>
      </c>
      <c r="X127" s="4">
        <f t="shared" si="11"/>
        <v>-1.03171800487228</v>
      </c>
    </row>
    <row r="128" spans="1:24" ht="14.5" x14ac:dyDescent="0.35">
      <c r="A128" s="52">
        <v>45205</v>
      </c>
      <c r="B128" s="51">
        <v>2744</v>
      </c>
      <c r="C128" s="1">
        <f t="shared" si="12"/>
        <v>-1.6624885969635423E-2</v>
      </c>
      <c r="R128" s="28">
        <v>127</v>
      </c>
      <c r="S128" s="29">
        <v>-1.9374674600555905E-2</v>
      </c>
      <c r="T128" s="41">
        <f t="shared" si="8"/>
        <v>0</v>
      </c>
      <c r="U128" s="4">
        <f t="shared" si="9"/>
        <v>-1.0187545034057595</v>
      </c>
      <c r="V128" s="15">
        <f t="shared" si="13"/>
        <v>0.10063897763578275</v>
      </c>
      <c r="W128" s="33">
        <f t="shared" si="10"/>
        <v>-1.2779190927936899</v>
      </c>
      <c r="X128" s="4">
        <f t="shared" si="11"/>
        <v>-1.0187545034057595</v>
      </c>
    </row>
    <row r="129" spans="1:24" ht="14.5" x14ac:dyDescent="0.35">
      <c r="A129" s="52">
        <v>45204</v>
      </c>
      <c r="B129" s="51">
        <v>2790</v>
      </c>
      <c r="C129" s="1">
        <f t="shared" si="12"/>
        <v>9.3626899278508625E-3</v>
      </c>
      <c r="R129" s="28">
        <v>128</v>
      </c>
      <c r="S129" s="29">
        <v>-1.9293202934678896E-2</v>
      </c>
      <c r="T129" s="41">
        <f t="shared" si="8"/>
        <v>0</v>
      </c>
      <c r="U129" s="4">
        <f t="shared" si="9"/>
        <v>-1.0144580328078145</v>
      </c>
      <c r="V129" s="15">
        <f t="shared" si="13"/>
        <v>0.10143769968051118</v>
      </c>
      <c r="W129" s="33">
        <f t="shared" si="10"/>
        <v>-1.2734020808825297</v>
      </c>
      <c r="X129" s="4">
        <f t="shared" si="11"/>
        <v>-1.0144580328078145</v>
      </c>
    </row>
    <row r="130" spans="1:24" ht="14.5" x14ac:dyDescent="0.35">
      <c r="A130" s="52">
        <v>45203</v>
      </c>
      <c r="B130" s="51">
        <v>2764</v>
      </c>
      <c r="C130" s="1">
        <f t="shared" si="12"/>
        <v>-7.2332733714302797E-4</v>
      </c>
      <c r="R130" s="28">
        <v>129</v>
      </c>
      <c r="S130" s="29">
        <v>-1.9287809671404029E-2</v>
      </c>
      <c r="T130" s="41">
        <f t="shared" si="8"/>
        <v>0</v>
      </c>
      <c r="U130" s="4">
        <f t="shared" si="9"/>
        <v>-1.0141736149450153</v>
      </c>
      <c r="V130" s="15">
        <f t="shared" si="13"/>
        <v>0.10223642172523961</v>
      </c>
      <c r="W130" s="33">
        <f t="shared" si="10"/>
        <v>-1.2689109023082601</v>
      </c>
      <c r="X130" s="4">
        <f t="shared" si="11"/>
        <v>-1.0141736149450153</v>
      </c>
    </row>
    <row r="131" spans="1:24" ht="14.5" x14ac:dyDescent="0.35">
      <c r="A131" s="52">
        <v>45202</v>
      </c>
      <c r="B131" s="51">
        <v>2766</v>
      </c>
      <c r="C131" s="1">
        <f t="shared" si="12"/>
        <v>7.2332733714302591E-4</v>
      </c>
      <c r="R131" s="28">
        <v>130</v>
      </c>
      <c r="S131" s="29">
        <v>-1.9282868494986304E-2</v>
      </c>
      <c r="T131" s="41">
        <f t="shared" ref="T131:T194" si="14">+IF(OR(S131&lt;($Z$3-3*$Z$4^0.5),S131&gt;($Z$3+3*$Z$4^0.5)),1,0)</f>
        <v>0</v>
      </c>
      <c r="U131" s="4">
        <f t="shared" ref="U131:U194" si="15">+(S131-AVERAGE($S$2:$S$1252))/_xlfn.STDEV.S($S$2:$S$1252)</f>
        <v>-1.0139130382283188</v>
      </c>
      <c r="V131" s="15">
        <f t="shared" si="13"/>
        <v>0.10303514376996806</v>
      </c>
      <c r="W131" s="33">
        <f t="shared" ref="W131:W194" si="16">+_xlfn.NORM.S.INV(V131)</f>
        <v>-1.2644451736952516</v>
      </c>
      <c r="X131" s="4">
        <f t="shared" ref="X131:X194" si="17">+U131</f>
        <v>-1.0139130382283188</v>
      </c>
    </row>
    <row r="132" spans="1:24" ht="14.5" x14ac:dyDescent="0.35">
      <c r="A132" s="52">
        <v>45201</v>
      </c>
      <c r="B132" s="51">
        <v>2764</v>
      </c>
      <c r="C132" s="1">
        <f t="shared" ref="C132:C195" si="18">+LN(B132/B133)</f>
        <v>-1.0795354929346572E-2</v>
      </c>
      <c r="R132" s="28">
        <v>131</v>
      </c>
      <c r="S132" s="29">
        <v>-1.9201580966853787E-2</v>
      </c>
      <c r="T132" s="41">
        <f t="shared" si="14"/>
        <v>0</v>
      </c>
      <c r="U132" s="4">
        <f t="shared" si="15"/>
        <v>-1.0096262782751322</v>
      </c>
      <c r="V132" s="15">
        <f t="shared" ref="V132:V195" si="19">+R131/1252</f>
        <v>0.10383386581469649</v>
      </c>
      <c r="W132" s="33">
        <f t="shared" si="16"/>
        <v>-1.260004520173353</v>
      </c>
      <c r="X132" s="4">
        <f t="shared" si="17"/>
        <v>-1.0096262782751322</v>
      </c>
    </row>
    <row r="133" spans="1:24" ht="14.5" x14ac:dyDescent="0.35">
      <c r="A133" s="52">
        <v>45198</v>
      </c>
      <c r="B133" s="51">
        <v>2794</v>
      </c>
      <c r="C133" s="1">
        <f t="shared" si="18"/>
        <v>5.0233331322244775E-3</v>
      </c>
      <c r="R133" s="28">
        <v>132</v>
      </c>
      <c r="S133" s="29">
        <v>-1.9102101873486401E-2</v>
      </c>
      <c r="T133" s="41">
        <f t="shared" si="14"/>
        <v>0</v>
      </c>
      <c r="U133" s="4">
        <f t="shared" si="15"/>
        <v>-1.0043801722189676</v>
      </c>
      <c r="V133" s="15">
        <f t="shared" si="19"/>
        <v>0.10463258785942492</v>
      </c>
      <c r="W133" s="33">
        <f t="shared" si="16"/>
        <v>-1.255588575124565</v>
      </c>
      <c r="X133" s="4">
        <f t="shared" si="17"/>
        <v>-1.0043801722189676</v>
      </c>
    </row>
    <row r="134" spans="1:24" ht="14.5" x14ac:dyDescent="0.35">
      <c r="A134" s="52">
        <v>45197</v>
      </c>
      <c r="B134" s="51">
        <v>2780</v>
      </c>
      <c r="C134" s="1">
        <f t="shared" si="18"/>
        <v>-5.0233331322243873E-3</v>
      </c>
      <c r="R134" s="28">
        <v>133</v>
      </c>
      <c r="S134" s="29">
        <v>-1.8800264500147146E-2</v>
      </c>
      <c r="T134" s="41">
        <f t="shared" si="14"/>
        <v>0</v>
      </c>
      <c r="U134" s="4">
        <f t="shared" si="15"/>
        <v>-0.98846254753370899</v>
      </c>
      <c r="V134" s="15">
        <f t="shared" si="19"/>
        <v>0.10543130990415335</v>
      </c>
      <c r="W134" s="33">
        <f t="shared" si="16"/>
        <v>-1.2511969799391169</v>
      </c>
      <c r="X134" s="4">
        <f t="shared" si="17"/>
        <v>-0.98846254753370899</v>
      </c>
    </row>
    <row r="135" spans="1:24" ht="14.5" x14ac:dyDescent="0.35">
      <c r="A135" s="52">
        <v>45196</v>
      </c>
      <c r="B135" s="51">
        <v>2794</v>
      </c>
      <c r="C135" s="1">
        <f t="shared" si="18"/>
        <v>1.2243581105711408E-2</v>
      </c>
      <c r="R135" s="28">
        <v>134</v>
      </c>
      <c r="S135" s="29">
        <v>-1.8726007777149632E-2</v>
      </c>
      <c r="T135" s="41">
        <f t="shared" si="14"/>
        <v>0</v>
      </c>
      <c r="U135" s="4">
        <f t="shared" si="15"/>
        <v>-0.98454656246547445</v>
      </c>
      <c r="V135" s="15">
        <f t="shared" si="19"/>
        <v>0.1062300319488818</v>
      </c>
      <c r="W135" s="33">
        <f t="shared" si="16"/>
        <v>-1.2468293837805569</v>
      </c>
      <c r="X135" s="4">
        <f t="shared" si="17"/>
        <v>-0.98454656246547445</v>
      </c>
    </row>
    <row r="136" spans="1:24" ht="14.5" x14ac:dyDescent="0.35">
      <c r="A136" s="52">
        <v>45195</v>
      </c>
      <c r="B136" s="51">
        <v>2760</v>
      </c>
      <c r="C136" s="1">
        <f t="shared" si="18"/>
        <v>-5.0596421635812688E-3</v>
      </c>
      <c r="R136" s="28">
        <v>135</v>
      </c>
      <c r="S136" s="29">
        <v>-1.8692133012152522E-2</v>
      </c>
      <c r="T136" s="41">
        <f t="shared" si="14"/>
        <v>0</v>
      </c>
      <c r="U136" s="4">
        <f t="shared" si="15"/>
        <v>-0.98276015083075852</v>
      </c>
      <c r="V136" s="15">
        <f t="shared" si="19"/>
        <v>0.10702875399361023</v>
      </c>
      <c r="W136" s="33">
        <f t="shared" si="16"/>
        <v>-1.2424854433594503</v>
      </c>
      <c r="X136" s="4">
        <f t="shared" si="17"/>
        <v>-0.98276015083075852</v>
      </c>
    </row>
    <row r="137" spans="1:24" ht="14.5" x14ac:dyDescent="0.35">
      <c r="A137" s="52">
        <v>45194</v>
      </c>
      <c r="B137" s="51">
        <v>2774</v>
      </c>
      <c r="C137" s="1">
        <f t="shared" si="18"/>
        <v>-4.3165534649740982E-3</v>
      </c>
      <c r="R137" s="28">
        <v>136</v>
      </c>
      <c r="S137" s="29">
        <v>-1.850001374392023E-2</v>
      </c>
      <c r="T137" s="41">
        <f t="shared" si="14"/>
        <v>0</v>
      </c>
      <c r="U137" s="4">
        <f t="shared" si="15"/>
        <v>-0.97262859431508819</v>
      </c>
      <c r="V137" s="15">
        <f t="shared" si="19"/>
        <v>0.10782747603833866</v>
      </c>
      <c r="W137" s="33">
        <f t="shared" si="16"/>
        <v>-1.238164822715299</v>
      </c>
      <c r="X137" s="4">
        <f t="shared" si="17"/>
        <v>-0.97262859431508819</v>
      </c>
    </row>
    <row r="138" spans="1:24" ht="14.5" x14ac:dyDescent="0.35">
      <c r="A138" s="52">
        <v>45191</v>
      </c>
      <c r="B138" s="51">
        <v>2786</v>
      </c>
      <c r="C138" s="1">
        <f t="shared" si="18"/>
        <v>-1.4347204756602941E-3</v>
      </c>
      <c r="R138" s="28">
        <v>137</v>
      </c>
      <c r="S138" s="29">
        <v>-1.8416726786231151E-2</v>
      </c>
      <c r="T138" s="41">
        <f t="shared" si="14"/>
        <v>0</v>
      </c>
      <c r="U138" s="4">
        <f t="shared" si="15"/>
        <v>-0.96823639291535735</v>
      </c>
      <c r="V138" s="15">
        <f t="shared" si="19"/>
        <v>0.10862619808306709</v>
      </c>
      <c r="W138" s="33">
        <f t="shared" si="16"/>
        <v>-1.2338671930063319</v>
      </c>
      <c r="X138" s="4">
        <f t="shared" si="17"/>
        <v>-0.96823639291535735</v>
      </c>
    </row>
    <row r="139" spans="1:24" ht="14.5" x14ac:dyDescent="0.35">
      <c r="A139" s="52">
        <v>45190</v>
      </c>
      <c r="B139" s="51">
        <v>2790</v>
      </c>
      <c r="C139" s="1">
        <f t="shared" si="18"/>
        <v>-8.5653628589230455E-3</v>
      </c>
      <c r="R139" s="28">
        <v>138</v>
      </c>
      <c r="S139" s="29">
        <v>-1.8388071139829366E-2</v>
      </c>
      <c r="T139" s="41">
        <f t="shared" si="14"/>
        <v>0</v>
      </c>
      <c r="U139" s="4">
        <f t="shared" si="15"/>
        <v>-0.96672521549060408</v>
      </c>
      <c r="V139" s="15">
        <f t="shared" si="19"/>
        <v>0.10942492012779553</v>
      </c>
      <c r="W139" s="33">
        <f t="shared" si="16"/>
        <v>-1.2295922323068298</v>
      </c>
      <c r="X139" s="4">
        <f t="shared" si="17"/>
        <v>-0.96672521549060408</v>
      </c>
    </row>
    <row r="140" spans="1:24" ht="14.5" x14ac:dyDescent="0.35">
      <c r="A140" s="52">
        <v>45189</v>
      </c>
      <c r="B140" s="51">
        <v>2814</v>
      </c>
      <c r="C140" s="1">
        <f t="shared" si="18"/>
        <v>1.937627896313868E-2</v>
      </c>
      <c r="R140" s="28">
        <v>139</v>
      </c>
      <c r="S140" s="29">
        <v>-1.8349138668196541E-2</v>
      </c>
      <c r="T140" s="41">
        <f t="shared" si="14"/>
        <v>0</v>
      </c>
      <c r="U140" s="4">
        <f t="shared" si="15"/>
        <v>-0.96467208182904041</v>
      </c>
      <c r="V140" s="15">
        <f t="shared" si="19"/>
        <v>0.11022364217252396</v>
      </c>
      <c r="W140" s="33">
        <f t="shared" si="16"/>
        <v>-1.2253396254116573</v>
      </c>
      <c r="X140" s="4">
        <f t="shared" si="17"/>
        <v>-0.96467208182904041</v>
      </c>
    </row>
    <row r="141" spans="1:24" ht="14.5" x14ac:dyDescent="0.35">
      <c r="A141" s="52">
        <v>45188</v>
      </c>
      <c r="B141" s="51">
        <v>2760</v>
      </c>
      <c r="C141" s="1">
        <f t="shared" si="18"/>
        <v>5.0853723832794311E-3</v>
      </c>
      <c r="R141" s="28">
        <v>140</v>
      </c>
      <c r="S141" s="29">
        <v>-1.8349138668196541E-2</v>
      </c>
      <c r="T141" s="41">
        <f t="shared" si="14"/>
        <v>0</v>
      </c>
      <c r="U141" s="4">
        <f t="shared" si="15"/>
        <v>-0.96467208182904041</v>
      </c>
      <c r="V141" s="15">
        <f t="shared" si="19"/>
        <v>0.1110223642172524</v>
      </c>
      <c r="W141" s="33">
        <f t="shared" si="16"/>
        <v>-1.2211090636476916</v>
      </c>
      <c r="X141" s="4">
        <f t="shared" si="17"/>
        <v>-0.96467208182904041</v>
      </c>
    </row>
    <row r="142" spans="1:24" ht="14.5" x14ac:dyDescent="0.35">
      <c r="A142" s="52">
        <v>45187</v>
      </c>
      <c r="B142" s="51">
        <v>2746</v>
      </c>
      <c r="C142" s="1">
        <f t="shared" si="18"/>
        <v>-5.8097476413211018E-3</v>
      </c>
      <c r="R142" s="28">
        <v>141</v>
      </c>
      <c r="S142" s="29">
        <v>-1.8336197788604715E-2</v>
      </c>
      <c r="T142" s="41">
        <f t="shared" si="14"/>
        <v>0</v>
      </c>
      <c r="U142" s="4">
        <f t="shared" si="15"/>
        <v>-0.96398963464842469</v>
      </c>
      <c r="V142" s="15">
        <f t="shared" si="19"/>
        <v>0.11182108626198083</v>
      </c>
      <c r="W142" s="33">
        <f t="shared" si="16"/>
        <v>-1.2169002446918644</v>
      </c>
      <c r="X142" s="4">
        <f t="shared" si="17"/>
        <v>-0.96398963464842469</v>
      </c>
    </row>
    <row r="143" spans="1:24" ht="14.5" x14ac:dyDescent="0.35">
      <c r="A143" s="52">
        <v>45184</v>
      </c>
      <c r="B143" s="51">
        <v>2762</v>
      </c>
      <c r="C143" s="1">
        <f t="shared" si="18"/>
        <v>1.2386315005884699E-2</v>
      </c>
      <c r="R143" s="28">
        <v>142</v>
      </c>
      <c r="S143" s="29">
        <v>-1.8174450922097702E-2</v>
      </c>
      <c r="T143" s="41">
        <f t="shared" si="14"/>
        <v>0</v>
      </c>
      <c r="U143" s="4">
        <f t="shared" si="15"/>
        <v>-0.95545978996222192</v>
      </c>
      <c r="V143" s="15">
        <f t="shared" si="19"/>
        <v>0.11261980830670927</v>
      </c>
      <c r="W143" s="33">
        <f t="shared" si="16"/>
        <v>-1.2127128723955336</v>
      </c>
      <c r="X143" s="4">
        <f t="shared" si="17"/>
        <v>-0.95545978996222192</v>
      </c>
    </row>
    <row r="144" spans="1:24" ht="14.5" x14ac:dyDescent="0.35">
      <c r="A144" s="52">
        <v>45183</v>
      </c>
      <c r="B144" s="51">
        <v>2728</v>
      </c>
      <c r="C144" s="1">
        <f t="shared" si="18"/>
        <v>7.3583849311871785E-3</v>
      </c>
      <c r="R144" s="28">
        <v>143</v>
      </c>
      <c r="S144" s="29">
        <v>-1.7870914918689626E-2</v>
      </c>
      <c r="T144" s="41">
        <f t="shared" si="14"/>
        <v>0</v>
      </c>
      <c r="U144" s="4">
        <f t="shared" si="15"/>
        <v>-0.93945258672141374</v>
      </c>
      <c r="V144" s="15">
        <f t="shared" si="19"/>
        <v>0.1134185303514377</v>
      </c>
      <c r="W144" s="33">
        <f t="shared" si="16"/>
        <v>-1.2085466566149283</v>
      </c>
      <c r="X144" s="4">
        <f t="shared" si="17"/>
        <v>-0.93945258672141374</v>
      </c>
    </row>
    <row r="145" spans="1:24" ht="14.5" x14ac:dyDescent="0.35">
      <c r="A145" s="52">
        <v>45182</v>
      </c>
      <c r="B145" s="51">
        <v>2708</v>
      </c>
      <c r="C145" s="1">
        <f t="shared" si="18"/>
        <v>1.4781968693109652E-3</v>
      </c>
      <c r="R145" s="28">
        <v>144</v>
      </c>
      <c r="S145" s="29">
        <v>-1.7738824337381633E-2</v>
      </c>
      <c r="T145" s="41">
        <f t="shared" si="14"/>
        <v>0</v>
      </c>
      <c r="U145" s="4">
        <f t="shared" si="15"/>
        <v>-0.93248668891208231</v>
      </c>
      <c r="V145" s="15">
        <f t="shared" si="19"/>
        <v>0.11421725239616613</v>
      </c>
      <c r="W145" s="33">
        <f t="shared" si="16"/>
        <v>-1.2044013130474018</v>
      </c>
      <c r="X145" s="4">
        <f t="shared" si="17"/>
        <v>-0.93248668891208231</v>
      </c>
    </row>
    <row r="146" spans="1:24" ht="14.5" x14ac:dyDescent="0.35">
      <c r="A146" s="52">
        <v>45181</v>
      </c>
      <c r="B146" s="51">
        <v>2704</v>
      </c>
      <c r="C146" s="1">
        <f t="shared" si="18"/>
        <v>9.6619109117368901E-3</v>
      </c>
      <c r="R146" s="28">
        <v>145</v>
      </c>
      <c r="S146" s="29">
        <v>-1.7663502714014311E-2</v>
      </c>
      <c r="T146" s="41">
        <f t="shared" si="14"/>
        <v>0</v>
      </c>
      <c r="U146" s="4">
        <f t="shared" si="15"/>
        <v>-0.92851454550856194</v>
      </c>
      <c r="V146" s="15">
        <f t="shared" si="19"/>
        <v>0.11501597444089456</v>
      </c>
      <c r="W146" s="33">
        <f t="shared" si="16"/>
        <v>-1.2002765630732746</v>
      </c>
      <c r="X146" s="4">
        <f t="shared" si="17"/>
        <v>-0.92851454550856194</v>
      </c>
    </row>
    <row r="147" spans="1:24" ht="14.5" x14ac:dyDescent="0.35">
      <c r="A147" s="52">
        <v>45180</v>
      </c>
      <c r="B147" s="51">
        <v>2678</v>
      </c>
      <c r="C147" s="1">
        <f t="shared" si="18"/>
        <v>3.7411192156035496E-3</v>
      </c>
      <c r="R147" s="28">
        <v>146</v>
      </c>
      <c r="S147" s="29">
        <v>-1.7624707185840704E-2</v>
      </c>
      <c r="T147" s="41">
        <f t="shared" si="14"/>
        <v>0</v>
      </c>
      <c r="U147" s="4">
        <f t="shared" si="15"/>
        <v>-0.92646863366503496</v>
      </c>
      <c r="V147" s="15">
        <f t="shared" si="19"/>
        <v>0.11581469648562301</v>
      </c>
      <c r="W147" s="33">
        <f t="shared" si="16"/>
        <v>-1.1961721336030178</v>
      </c>
      <c r="X147" s="4">
        <f t="shared" si="17"/>
        <v>-0.92646863366503496</v>
      </c>
    </row>
    <row r="148" spans="1:24" ht="14.5" x14ac:dyDescent="0.35">
      <c r="A148" s="52">
        <v>45177</v>
      </c>
      <c r="B148" s="51">
        <v>2668</v>
      </c>
      <c r="C148" s="1">
        <f t="shared" si="18"/>
        <v>-4.4876664693880167E-3</v>
      </c>
      <c r="R148" s="28">
        <v>147</v>
      </c>
      <c r="S148" s="29">
        <v>-1.7621601349819559E-2</v>
      </c>
      <c r="T148" s="41">
        <f t="shared" si="14"/>
        <v>0</v>
      </c>
      <c r="U148" s="4">
        <f t="shared" si="15"/>
        <v>-0.92630484502755905</v>
      </c>
      <c r="V148" s="15">
        <f t="shared" si="19"/>
        <v>0.11661341853035144</v>
      </c>
      <c r="W148" s="33">
        <f t="shared" si="16"/>
        <v>-1.1920877569295791</v>
      </c>
      <c r="X148" s="4">
        <f t="shared" si="17"/>
        <v>-0.92630484502755905</v>
      </c>
    </row>
    <row r="149" spans="1:24" ht="14.5" x14ac:dyDescent="0.35">
      <c r="A149" s="52">
        <v>45176</v>
      </c>
      <c r="B149" s="51">
        <v>2680</v>
      </c>
      <c r="C149" s="1">
        <f t="shared" si="18"/>
        <v>7.4906717291576587E-3</v>
      </c>
      <c r="R149" s="28">
        <v>148</v>
      </c>
      <c r="S149" s="29">
        <v>-1.7595761890379601E-2</v>
      </c>
      <c r="T149" s="41">
        <f t="shared" si="14"/>
        <v>0</v>
      </c>
      <c r="U149" s="4">
        <f t="shared" si="15"/>
        <v>-0.92494218137565631</v>
      </c>
      <c r="V149" s="15">
        <f t="shared" si="19"/>
        <v>0.11741214057507987</v>
      </c>
      <c r="W149" s="33">
        <f t="shared" si="16"/>
        <v>-1.1880231705856303</v>
      </c>
      <c r="X149" s="4">
        <f t="shared" si="17"/>
        <v>-0.92494218137565631</v>
      </c>
    </row>
    <row r="150" spans="1:24" ht="14.5" x14ac:dyDescent="0.35">
      <c r="A150" s="52">
        <v>45175</v>
      </c>
      <c r="B150" s="51">
        <v>2660</v>
      </c>
      <c r="C150" s="1">
        <f t="shared" si="18"/>
        <v>-1.5666116744399463E-2</v>
      </c>
      <c r="R150" s="28">
        <v>149</v>
      </c>
      <c r="S150" s="29">
        <v>-1.749315744751723E-2</v>
      </c>
      <c r="T150" s="41">
        <f t="shared" si="14"/>
        <v>0</v>
      </c>
      <c r="U150" s="4">
        <f t="shared" si="15"/>
        <v>-0.91953125762405175</v>
      </c>
      <c r="V150" s="15">
        <f t="shared" si="19"/>
        <v>0.1182108626198083</v>
      </c>
      <c r="W150" s="33">
        <f t="shared" si="16"/>
        <v>-1.1839781172055506</v>
      </c>
      <c r="X150" s="4">
        <f t="shared" si="17"/>
        <v>-0.91953125762405175</v>
      </c>
    </row>
    <row r="151" spans="1:24" ht="14.5" x14ac:dyDescent="0.35">
      <c r="A151" s="52">
        <v>45174</v>
      </c>
      <c r="B151" s="51">
        <v>2702</v>
      </c>
      <c r="C151" s="1">
        <f t="shared" si="18"/>
        <v>1.2663111484629803E-2</v>
      </c>
      <c r="R151" s="28">
        <v>150</v>
      </c>
      <c r="S151" s="29">
        <v>-1.7457748876868923E-2</v>
      </c>
      <c r="T151" s="41">
        <f t="shared" si="14"/>
        <v>0</v>
      </c>
      <c r="U151" s="4">
        <f t="shared" si="15"/>
        <v>-0.91766395957548397</v>
      </c>
      <c r="V151" s="15">
        <f t="shared" si="19"/>
        <v>0.11900958466453675</v>
      </c>
      <c r="W151" s="33">
        <f t="shared" si="16"/>
        <v>-1.1799523443919493</v>
      </c>
      <c r="X151" s="4">
        <f t="shared" si="17"/>
        <v>-0.91766395957548397</v>
      </c>
    </row>
    <row r="152" spans="1:24" ht="14.5" x14ac:dyDescent="0.35">
      <c r="A152" s="52">
        <v>45173</v>
      </c>
      <c r="B152" s="51">
        <v>2668</v>
      </c>
      <c r="C152" s="1">
        <f t="shared" si="18"/>
        <v>2.2514080804574279E-3</v>
      </c>
      <c r="R152" s="28">
        <v>151</v>
      </c>
      <c r="S152" s="29">
        <v>-1.7350121135237855E-2</v>
      </c>
      <c r="T152" s="41">
        <f t="shared" si="14"/>
        <v>0</v>
      </c>
      <c r="U152" s="4">
        <f t="shared" si="15"/>
        <v>-0.91198812832220921</v>
      </c>
      <c r="V152" s="15">
        <f t="shared" si="19"/>
        <v>0.11980830670926518</v>
      </c>
      <c r="W152" s="33">
        <f t="shared" si="16"/>
        <v>-1.1759456045865566</v>
      </c>
      <c r="X152" s="4">
        <f t="shared" si="17"/>
        <v>-0.91198812832220921</v>
      </c>
    </row>
    <row r="153" spans="1:24" ht="14.5" x14ac:dyDescent="0.35">
      <c r="A153" s="52">
        <v>45170</v>
      </c>
      <c r="B153" s="51">
        <v>2662</v>
      </c>
      <c r="C153" s="1">
        <f t="shared" si="18"/>
        <v>0</v>
      </c>
      <c r="R153" s="28">
        <v>152</v>
      </c>
      <c r="S153" s="29">
        <v>-1.7336919653277039E-2</v>
      </c>
      <c r="T153" s="41">
        <f t="shared" si="14"/>
        <v>0</v>
      </c>
      <c r="U153" s="4">
        <f t="shared" si="15"/>
        <v>-0.9112919380763933</v>
      </c>
      <c r="V153" s="15">
        <f t="shared" si="19"/>
        <v>0.12060702875399361</v>
      </c>
      <c r="W153" s="33">
        <f t="shared" si="16"/>
        <v>-1.1719576549453026</v>
      </c>
      <c r="X153" s="4">
        <f t="shared" si="17"/>
        <v>-0.9112919380763933</v>
      </c>
    </row>
    <row r="154" spans="1:24" ht="14.5" x14ac:dyDescent="0.35">
      <c r="A154" s="52">
        <v>45169</v>
      </c>
      <c r="B154" s="51">
        <v>2662</v>
      </c>
      <c r="C154" s="1">
        <f t="shared" si="18"/>
        <v>-7.485064886566856E-3</v>
      </c>
      <c r="R154" s="28">
        <v>153</v>
      </c>
      <c r="S154" s="29">
        <v>-1.7291497110060994E-2</v>
      </c>
      <c r="T154" s="41">
        <f t="shared" si="14"/>
        <v>0</v>
      </c>
      <c r="U154" s="4">
        <f t="shared" si="15"/>
        <v>-0.90889654552720656</v>
      </c>
      <c r="V154" s="15">
        <f t="shared" si="19"/>
        <v>0.12140575079872204</v>
      </c>
      <c r="W154" s="33">
        <f t="shared" si="16"/>
        <v>-1.1679882572174294</v>
      </c>
      <c r="X154" s="4">
        <f t="shared" si="17"/>
        <v>-0.90889654552720656</v>
      </c>
    </row>
    <row r="155" spans="1:24" ht="14.5" x14ac:dyDescent="0.35">
      <c r="A155" s="52">
        <v>45168</v>
      </c>
      <c r="B155" s="51">
        <v>2682</v>
      </c>
      <c r="C155" s="1">
        <f t="shared" si="18"/>
        <v>-1.7738824337381633E-2</v>
      </c>
      <c r="R155" s="28">
        <v>154</v>
      </c>
      <c r="S155" s="29">
        <v>-1.7247754230698849E-2</v>
      </c>
      <c r="T155" s="41">
        <f t="shared" si="14"/>
        <v>0</v>
      </c>
      <c r="U155" s="4">
        <f t="shared" si="15"/>
        <v>-0.90658973133572285</v>
      </c>
      <c r="V155" s="15">
        <f t="shared" si="19"/>
        <v>0.12220447284345048</v>
      </c>
      <c r="W155" s="33">
        <f t="shared" si="16"/>
        <v>-1.1640371776284826</v>
      </c>
      <c r="X155" s="4">
        <f t="shared" si="17"/>
        <v>-0.90658973133572285</v>
      </c>
    </row>
    <row r="156" spans="1:24" ht="14.5" x14ac:dyDescent="0.35">
      <c r="A156" s="52">
        <v>45167</v>
      </c>
      <c r="B156" s="51">
        <v>2730</v>
      </c>
      <c r="C156" s="1">
        <f t="shared" si="18"/>
        <v>2.9347049675940221E-3</v>
      </c>
      <c r="R156" s="28">
        <v>155</v>
      </c>
      <c r="S156" s="29">
        <v>-1.7241806434506103E-2</v>
      </c>
      <c r="T156" s="41">
        <f t="shared" si="14"/>
        <v>0</v>
      </c>
      <c r="U156" s="4">
        <f t="shared" si="15"/>
        <v>-0.90627606975547137</v>
      </c>
      <c r="V156" s="15">
        <f t="shared" si="19"/>
        <v>0.12300319488817892</v>
      </c>
      <c r="W156" s="33">
        <f t="shared" si="16"/>
        <v>-1.1601041867670134</v>
      </c>
      <c r="X156" s="4">
        <f t="shared" si="17"/>
        <v>-0.90627606975547137</v>
      </c>
    </row>
    <row r="157" spans="1:24" ht="14.5" x14ac:dyDescent="0.35">
      <c r="A157" s="52">
        <v>45166</v>
      </c>
      <c r="B157" s="51">
        <v>2722</v>
      </c>
      <c r="C157" s="1">
        <f t="shared" si="18"/>
        <v>-8.7784031165050007E-3</v>
      </c>
      <c r="R157" s="28">
        <v>156</v>
      </c>
      <c r="S157" s="29">
        <v>-1.7223987633889101E-2</v>
      </c>
      <c r="T157" s="41">
        <f t="shared" si="14"/>
        <v>0</v>
      </c>
      <c r="U157" s="4">
        <f t="shared" si="15"/>
        <v>-0.90533638167965402</v>
      </c>
      <c r="V157" s="15">
        <f t="shared" si="19"/>
        <v>0.12380191693290735</v>
      </c>
      <c r="W157" s="33">
        <f t="shared" si="16"/>
        <v>-1.1561890594748843</v>
      </c>
      <c r="X157" s="4">
        <f t="shared" si="17"/>
        <v>-0.90533638167965402</v>
      </c>
    </row>
    <row r="158" spans="1:24" ht="14.5" x14ac:dyDescent="0.35">
      <c r="A158" s="52">
        <v>45163</v>
      </c>
      <c r="B158" s="51">
        <v>2746</v>
      </c>
      <c r="C158" s="1">
        <f t="shared" si="18"/>
        <v>7.2859748214053983E-4</v>
      </c>
      <c r="R158" s="28">
        <v>157</v>
      </c>
      <c r="S158" s="29">
        <v>-1.7153079226249469E-2</v>
      </c>
      <c r="T158" s="41">
        <f t="shared" si="14"/>
        <v>0</v>
      </c>
      <c r="U158" s="4">
        <f t="shared" si="15"/>
        <v>-0.90159697258213201</v>
      </c>
      <c r="V158" s="15">
        <f t="shared" si="19"/>
        <v>0.12460063897763578</v>
      </c>
      <c r="W158" s="33">
        <f t="shared" si="16"/>
        <v>-1.1522915747410065</v>
      </c>
      <c r="X158" s="4">
        <f t="shared" si="17"/>
        <v>-0.90159697258213201</v>
      </c>
    </row>
    <row r="159" spans="1:24" ht="14.5" x14ac:dyDescent="0.35">
      <c r="A159" s="52">
        <v>45162</v>
      </c>
      <c r="B159" s="51">
        <v>2744</v>
      </c>
      <c r="C159" s="1">
        <f t="shared" si="18"/>
        <v>3.6509715618810675E-3</v>
      </c>
      <c r="R159" s="28">
        <v>158</v>
      </c>
      <c r="S159" s="29">
        <v>-1.7050711459722343E-2</v>
      </c>
      <c r="T159" s="41">
        <f t="shared" si="14"/>
        <v>0</v>
      </c>
      <c r="U159" s="4">
        <f t="shared" si="15"/>
        <v>-0.89619853013804296</v>
      </c>
      <c r="V159" s="15">
        <f t="shared" si="19"/>
        <v>0.12539936102236421</v>
      </c>
      <c r="W159" s="33">
        <f t="shared" si="16"/>
        <v>-1.1484115155984058</v>
      </c>
      <c r="X159" s="4">
        <f t="shared" si="17"/>
        <v>-0.89619853013804296</v>
      </c>
    </row>
    <row r="160" spans="1:24" ht="14.5" x14ac:dyDescent="0.35">
      <c r="A160" s="52">
        <v>45161</v>
      </c>
      <c r="B160" s="51">
        <v>2734</v>
      </c>
      <c r="C160" s="1">
        <f t="shared" si="18"/>
        <v>1.3254980516193707E-2</v>
      </c>
      <c r="R160" s="28">
        <v>159</v>
      </c>
      <c r="S160" s="29">
        <v>-1.7031141018285189E-2</v>
      </c>
      <c r="T160" s="41">
        <f t="shared" si="14"/>
        <v>0</v>
      </c>
      <c r="U160" s="4">
        <f t="shared" si="15"/>
        <v>-0.89516646794416976</v>
      </c>
      <c r="V160" s="15">
        <f t="shared" si="19"/>
        <v>0.12619808306709265</v>
      </c>
      <c r="W160" s="33">
        <f t="shared" si="16"/>
        <v>-1.1445486690244737</v>
      </c>
      <c r="X160" s="4">
        <f t="shared" si="17"/>
        <v>-0.89516646794416976</v>
      </c>
    </row>
    <row r="161" spans="1:24" ht="14.5" x14ac:dyDescent="0.35">
      <c r="A161" s="52">
        <v>45160</v>
      </c>
      <c r="B161" s="51">
        <v>2698</v>
      </c>
      <c r="C161" s="1">
        <f t="shared" si="18"/>
        <v>-3.6995972644644575E-3</v>
      </c>
      <c r="R161" s="28">
        <v>160</v>
      </c>
      <c r="S161" s="29">
        <v>-1.6930842411806604E-2</v>
      </c>
      <c r="T161" s="41">
        <f t="shared" si="14"/>
        <v>0</v>
      </c>
      <c r="U161" s="4">
        <f t="shared" si="15"/>
        <v>-0.88987714423743924</v>
      </c>
      <c r="V161" s="15">
        <f t="shared" si="19"/>
        <v>0.1269968051118211</v>
      </c>
      <c r="W161" s="33">
        <f t="shared" si="16"/>
        <v>-1.1407028258443039</v>
      </c>
      <c r="X161" s="4">
        <f t="shared" si="17"/>
        <v>-0.88987714423743924</v>
      </c>
    </row>
    <row r="162" spans="1:24" ht="14.5" x14ac:dyDescent="0.35">
      <c r="A162" s="52">
        <v>45159</v>
      </c>
      <c r="B162" s="51">
        <v>2708</v>
      </c>
      <c r="C162" s="1">
        <f t="shared" si="18"/>
        <v>2.0896282726412412E-2</v>
      </c>
      <c r="R162" s="28">
        <v>161</v>
      </c>
      <c r="S162" s="29">
        <v>-1.6851840035491585E-2</v>
      </c>
      <c r="T162" s="41">
        <f t="shared" si="14"/>
        <v>0</v>
      </c>
      <c r="U162" s="4">
        <f t="shared" si="15"/>
        <v>-0.88571089351270671</v>
      </c>
      <c r="V162" s="15">
        <f t="shared" si="19"/>
        <v>0.12779552715654952</v>
      </c>
      <c r="W162" s="33">
        <f t="shared" si="16"/>
        <v>-1.1368737806369786</v>
      </c>
      <c r="X162" s="4">
        <f t="shared" si="17"/>
        <v>-0.88571089351270671</v>
      </c>
    </row>
    <row r="163" spans="1:24" ht="14.5" x14ac:dyDescent="0.35">
      <c r="A163" s="52">
        <v>45156</v>
      </c>
      <c r="B163" s="51">
        <v>2652</v>
      </c>
      <c r="C163" s="1">
        <f t="shared" si="18"/>
        <v>-1.6455120726444478E-2</v>
      </c>
      <c r="R163" s="28">
        <v>162</v>
      </c>
      <c r="S163" s="29">
        <v>-1.6761679261505746E-2</v>
      </c>
      <c r="T163" s="41">
        <f t="shared" si="14"/>
        <v>0</v>
      </c>
      <c r="U163" s="4">
        <f t="shared" si="15"/>
        <v>-0.88095619615445098</v>
      </c>
      <c r="V163" s="15">
        <f t="shared" si="19"/>
        <v>0.12859424920127796</v>
      </c>
      <c r="W163" s="33">
        <f t="shared" si="16"/>
        <v>-1.1330613316447196</v>
      </c>
      <c r="X163" s="4">
        <f t="shared" si="17"/>
        <v>-0.88095619615445098</v>
      </c>
    </row>
    <row r="164" spans="1:24" ht="14.5" x14ac:dyDescent="0.35">
      <c r="A164" s="52">
        <v>45155</v>
      </c>
      <c r="B164" s="51">
        <v>2696</v>
      </c>
      <c r="C164" s="1">
        <f t="shared" si="18"/>
        <v>1.2691473077140749E-2</v>
      </c>
      <c r="R164" s="28">
        <v>163</v>
      </c>
      <c r="S164" s="29">
        <v>-1.6629256971534719E-2</v>
      </c>
      <c r="T164" s="41">
        <f t="shared" si="14"/>
        <v>0</v>
      </c>
      <c r="U164" s="4">
        <f t="shared" si="15"/>
        <v>-0.8739728054351309</v>
      </c>
      <c r="V164" s="15">
        <f t="shared" si="19"/>
        <v>0.12939297124600638</v>
      </c>
      <c r="W164" s="33">
        <f t="shared" si="16"/>
        <v>-1.1292652806847807</v>
      </c>
      <c r="X164" s="4">
        <f t="shared" si="17"/>
        <v>-0.8739728054351309</v>
      </c>
    </row>
    <row r="165" spans="1:24" ht="14.5" x14ac:dyDescent="0.35">
      <c r="A165" s="52">
        <v>45154</v>
      </c>
      <c r="B165" s="51">
        <v>2662</v>
      </c>
      <c r="C165" s="1">
        <f t="shared" si="18"/>
        <v>-2.2514080804573707E-3</v>
      </c>
      <c r="R165" s="28">
        <v>164</v>
      </c>
      <c r="S165" s="29">
        <v>-1.6624885969635423E-2</v>
      </c>
      <c r="T165" s="41">
        <f t="shared" si="14"/>
        <v>0</v>
      </c>
      <c r="U165" s="4">
        <f t="shared" si="15"/>
        <v>-0.87374229730765207</v>
      </c>
      <c r="V165" s="15">
        <f t="shared" si="19"/>
        <v>0.13019169329073482</v>
      </c>
      <c r="W165" s="33">
        <f t="shared" si="16"/>
        <v>-1.1254854330639892</v>
      </c>
      <c r="X165" s="4">
        <f t="shared" si="17"/>
        <v>-0.87374229730765207</v>
      </c>
    </row>
    <row r="166" spans="1:24" ht="14.5" x14ac:dyDescent="0.35">
      <c r="A166" s="52">
        <v>45153</v>
      </c>
      <c r="B166" s="51">
        <v>2668</v>
      </c>
      <c r="C166" s="1">
        <f t="shared" si="18"/>
        <v>-8.9552837291040546E-3</v>
      </c>
      <c r="R166" s="28">
        <v>165</v>
      </c>
      <c r="S166" s="29">
        <v>-1.6613800662655446E-2</v>
      </c>
      <c r="T166" s="41">
        <f t="shared" si="14"/>
        <v>0</v>
      </c>
      <c r="U166" s="4">
        <f t="shared" si="15"/>
        <v>-0.87315770516759983</v>
      </c>
      <c r="V166" s="15">
        <f t="shared" si="19"/>
        <v>0.13099041533546327</v>
      </c>
      <c r="W166" s="33">
        <f t="shared" si="16"/>
        <v>-1.121721597495849</v>
      </c>
      <c r="X166" s="4">
        <f t="shared" si="17"/>
        <v>-0.87315770516759983</v>
      </c>
    </row>
    <row r="167" spans="1:24" ht="14.5" x14ac:dyDescent="0.35">
      <c r="A167" s="52">
        <v>45152</v>
      </c>
      <c r="B167" s="51">
        <v>2692</v>
      </c>
      <c r="C167" s="1">
        <f t="shared" si="18"/>
        <v>8.2059393703231859E-3</v>
      </c>
      <c r="R167" s="28">
        <v>166</v>
      </c>
      <c r="S167" s="29">
        <v>-1.6597891409037828E-2</v>
      </c>
      <c r="T167" s="41">
        <f t="shared" si="14"/>
        <v>0</v>
      </c>
      <c r="U167" s="4">
        <f t="shared" si="15"/>
        <v>-0.87231871851294451</v>
      </c>
      <c r="V167" s="15">
        <f t="shared" si="19"/>
        <v>0.13178913738019168</v>
      </c>
      <c r="W167" s="33">
        <f t="shared" si="16"/>
        <v>-1.1179735860200952</v>
      </c>
      <c r="X167" s="4">
        <f t="shared" si="17"/>
        <v>-0.87231871851294451</v>
      </c>
    </row>
    <row r="168" spans="1:24" ht="14.5" x14ac:dyDescent="0.35">
      <c r="A168" s="52">
        <v>45149</v>
      </c>
      <c r="B168" s="51">
        <v>2670</v>
      </c>
      <c r="C168" s="1">
        <f t="shared" si="18"/>
        <v>-3.7383221106071039E-3</v>
      </c>
      <c r="R168" s="28">
        <v>167</v>
      </c>
      <c r="S168" s="29">
        <v>-1.6537585617064057E-2</v>
      </c>
      <c r="T168" s="41">
        <f t="shared" si="14"/>
        <v>0</v>
      </c>
      <c r="U168" s="4">
        <f t="shared" si="15"/>
        <v>-0.86913844645993121</v>
      </c>
      <c r="V168" s="15">
        <f t="shared" si="19"/>
        <v>0.13258785942492013</v>
      </c>
      <c r="W168" s="33">
        <f t="shared" si="16"/>
        <v>-1.1142412139246307</v>
      </c>
      <c r="X168" s="4">
        <f t="shared" si="17"/>
        <v>-0.86913844645993121</v>
      </c>
    </row>
    <row r="169" spans="1:24" ht="14.5" x14ac:dyDescent="0.35">
      <c r="A169" s="52">
        <v>45148</v>
      </c>
      <c r="B169" s="51">
        <v>2680</v>
      </c>
      <c r="C169" s="1">
        <f t="shared" si="18"/>
        <v>-6.6939632627988424E-3</v>
      </c>
      <c r="R169" s="28">
        <v>168</v>
      </c>
      <c r="S169" s="29">
        <v>-1.6481226183791921E-2</v>
      </c>
      <c r="T169" s="41">
        <f t="shared" si="14"/>
        <v>0</v>
      </c>
      <c r="U169" s="4">
        <f t="shared" si="15"/>
        <v>-0.86616628865066148</v>
      </c>
      <c r="V169" s="15">
        <f t="shared" si="19"/>
        <v>0.13338658146964857</v>
      </c>
      <c r="W169" s="33">
        <f t="shared" si="16"/>
        <v>-1.1105242996697522</v>
      </c>
      <c r="X169" s="4">
        <f t="shared" si="17"/>
        <v>-0.86616628865066148</v>
      </c>
    </row>
    <row r="170" spans="1:24" ht="14.5" x14ac:dyDescent="0.35">
      <c r="A170" s="52">
        <v>45147</v>
      </c>
      <c r="B170" s="51">
        <v>2698</v>
      </c>
      <c r="C170" s="1">
        <f t="shared" si="18"/>
        <v>1.5689526171376804E-2</v>
      </c>
      <c r="R170" s="28">
        <v>169</v>
      </c>
      <c r="S170" s="29">
        <v>-1.6474837203505097E-2</v>
      </c>
      <c r="T170" s="41">
        <f t="shared" si="14"/>
        <v>0</v>
      </c>
      <c r="U170" s="4">
        <f t="shared" si="15"/>
        <v>-0.86582936088985418</v>
      </c>
      <c r="V170" s="15">
        <f t="shared" si="19"/>
        <v>0.13418530351437699</v>
      </c>
      <c r="W170" s="33">
        <f t="shared" si="16"/>
        <v>-1.106822664814584</v>
      </c>
      <c r="X170" s="4">
        <f t="shared" si="17"/>
        <v>-0.86582936088985418</v>
      </c>
    </row>
    <row r="171" spans="1:24" ht="14.5" x14ac:dyDescent="0.35">
      <c r="A171" s="52">
        <v>45146</v>
      </c>
      <c r="B171" s="51">
        <v>2656</v>
      </c>
      <c r="C171" s="1">
        <f t="shared" si="18"/>
        <v>-2.0127403277422063E-2</v>
      </c>
      <c r="R171" s="28">
        <v>170</v>
      </c>
      <c r="S171" s="29">
        <v>-1.6455120726444478E-2</v>
      </c>
      <c r="T171" s="41">
        <f t="shared" si="14"/>
        <v>0</v>
      </c>
      <c r="U171" s="4">
        <f t="shared" si="15"/>
        <v>-0.86478959739571015</v>
      </c>
      <c r="V171" s="15">
        <f t="shared" si="19"/>
        <v>0.13498402555910544</v>
      </c>
      <c r="W171" s="33">
        <f t="shared" si="16"/>
        <v>-1.1031361339456489</v>
      </c>
      <c r="X171" s="4">
        <f t="shared" si="17"/>
        <v>-0.86478959739571015</v>
      </c>
    </row>
    <row r="172" spans="1:24" ht="14.5" x14ac:dyDescent="0.35">
      <c r="A172" s="52">
        <v>45145</v>
      </c>
      <c r="B172" s="51">
        <v>2710</v>
      </c>
      <c r="C172" s="1">
        <f t="shared" si="18"/>
        <v>-1.0279091974647591E-2</v>
      </c>
      <c r="R172" s="28">
        <v>171</v>
      </c>
      <c r="S172" s="29">
        <v>-1.6438726343159835E-2</v>
      </c>
      <c r="T172" s="41">
        <f t="shared" si="14"/>
        <v>0</v>
      </c>
      <c r="U172" s="4">
        <f t="shared" si="15"/>
        <v>-0.86392502705710628</v>
      </c>
      <c r="V172" s="15">
        <f t="shared" si="19"/>
        <v>0.13578274760383385</v>
      </c>
      <c r="W172" s="33">
        <f t="shared" si="16"/>
        <v>-1.0994645346074929</v>
      </c>
      <c r="X172" s="4">
        <f t="shared" si="17"/>
        <v>-0.86392502705710628</v>
      </c>
    </row>
    <row r="173" spans="1:24" ht="14.5" x14ac:dyDescent="0.35">
      <c r="A173" s="52">
        <v>45142</v>
      </c>
      <c r="B173" s="51">
        <v>2738</v>
      </c>
      <c r="C173" s="1">
        <f t="shared" si="18"/>
        <v>-1.5223200836288526E-2</v>
      </c>
      <c r="R173" s="28">
        <v>172</v>
      </c>
      <c r="S173" s="29">
        <v>-1.6345089000519248E-2</v>
      </c>
      <c r="T173" s="41">
        <f t="shared" si="14"/>
        <v>0</v>
      </c>
      <c r="U173" s="4">
        <f t="shared" si="15"/>
        <v>-0.85898699019245817</v>
      </c>
      <c r="V173" s="15">
        <f t="shared" si="19"/>
        <v>0.1365814696485623</v>
      </c>
      <c r="W173" s="33">
        <f t="shared" si="16"/>
        <v>-1.0958076972353008</v>
      </c>
      <c r="X173" s="4">
        <f t="shared" si="17"/>
        <v>-0.85898699019245817</v>
      </c>
    </row>
    <row r="174" spans="1:24" ht="14.5" x14ac:dyDescent="0.35">
      <c r="A174" s="52">
        <v>45141</v>
      </c>
      <c r="B174" s="51">
        <v>2780</v>
      </c>
      <c r="C174" s="1">
        <f t="shared" si="18"/>
        <v>-8.5960414697979076E-3</v>
      </c>
      <c r="R174" s="28">
        <v>173</v>
      </c>
      <c r="S174" s="29">
        <v>-1.6329791338344574E-2</v>
      </c>
      <c r="T174" s="41">
        <f t="shared" si="14"/>
        <v>0</v>
      </c>
      <c r="U174" s="4">
        <f t="shared" si="15"/>
        <v>-0.85818025628020445</v>
      </c>
      <c r="V174" s="15">
        <f t="shared" si="19"/>
        <v>0.13738019169329074</v>
      </c>
      <c r="W174" s="33">
        <f t="shared" si="16"/>
        <v>-1.0921654550894306</v>
      </c>
      <c r="X174" s="4">
        <f t="shared" si="17"/>
        <v>-0.85818025628020445</v>
      </c>
    </row>
    <row r="175" spans="1:24" ht="14.5" x14ac:dyDescent="0.35">
      <c r="A175" s="52">
        <v>45140</v>
      </c>
      <c r="B175" s="51">
        <v>2804</v>
      </c>
      <c r="C175" s="1">
        <f t="shared" si="18"/>
        <v>4.2887842722177201E-3</v>
      </c>
      <c r="R175" s="28">
        <v>174</v>
      </c>
      <c r="S175" s="29">
        <v>-1.6172859245600957E-2</v>
      </c>
      <c r="T175" s="41">
        <f t="shared" si="14"/>
        <v>0</v>
      </c>
      <c r="U175" s="4">
        <f t="shared" si="15"/>
        <v>-0.8499043223700673</v>
      </c>
      <c r="V175" s="15">
        <f t="shared" si="19"/>
        <v>0.13817891373801916</v>
      </c>
      <c r="W175" s="33">
        <f t="shared" si="16"/>
        <v>-1.0885376441918031</v>
      </c>
      <c r="X175" s="4">
        <f t="shared" si="17"/>
        <v>-0.8499043223700673</v>
      </c>
    </row>
    <row r="176" spans="1:24" ht="14.5" x14ac:dyDescent="0.35">
      <c r="A176" s="52">
        <v>45139</v>
      </c>
      <c r="B176" s="51">
        <v>2792</v>
      </c>
      <c r="C176" s="1">
        <f t="shared" si="18"/>
        <v>4.30725719758027E-3</v>
      </c>
      <c r="R176" s="28">
        <v>175</v>
      </c>
      <c r="S176" s="29">
        <v>-1.6129381929883644E-2</v>
      </c>
      <c r="T176" s="41">
        <f t="shared" si="14"/>
        <v>0</v>
      </c>
      <c r="U176" s="4">
        <f t="shared" si="15"/>
        <v>-0.84761151288045888</v>
      </c>
      <c r="V176" s="15">
        <f t="shared" si="19"/>
        <v>0.1389776357827476</v>
      </c>
      <c r="W176" s="33">
        <f t="shared" si="16"/>
        <v>-1.0849241032640771</v>
      </c>
      <c r="X176" s="4">
        <f t="shared" si="17"/>
        <v>-0.84761151288045888</v>
      </c>
    </row>
    <row r="177" spans="1:24" ht="14.5" x14ac:dyDescent="0.35">
      <c r="A177" s="52">
        <v>45138</v>
      </c>
      <c r="B177" s="51">
        <v>2780</v>
      </c>
      <c r="C177" s="1">
        <f t="shared" si="18"/>
        <v>7.1968337039364299E-4</v>
      </c>
      <c r="R177" s="28">
        <v>176</v>
      </c>
      <c r="S177" s="29">
        <v>-1.5975995933724296E-2</v>
      </c>
      <c r="T177" s="41">
        <f t="shared" si="14"/>
        <v>0</v>
      </c>
      <c r="U177" s="4">
        <f t="shared" si="15"/>
        <v>-0.83952258508524247</v>
      </c>
      <c r="V177" s="15">
        <f t="shared" si="19"/>
        <v>0.13977635782747605</v>
      </c>
      <c r="W177" s="33">
        <f t="shared" si="16"/>
        <v>-1.0813246736675617</v>
      </c>
      <c r="X177" s="4">
        <f t="shared" si="17"/>
        <v>-0.83952258508524247</v>
      </c>
    </row>
    <row r="178" spans="1:24" ht="14.5" x14ac:dyDescent="0.35">
      <c r="A178" s="52">
        <v>45135</v>
      </c>
      <c r="B178" s="51">
        <v>2778</v>
      </c>
      <c r="C178" s="1">
        <f t="shared" si="18"/>
        <v>4.3290110895854786E-3</v>
      </c>
      <c r="R178" s="28">
        <v>177</v>
      </c>
      <c r="S178" s="29">
        <v>-1.5884810540023102E-2</v>
      </c>
      <c r="T178" s="41">
        <f t="shared" si="14"/>
        <v>0</v>
      </c>
      <c r="U178" s="4">
        <f t="shared" si="15"/>
        <v>-0.83471385362281425</v>
      </c>
      <c r="V178" s="15">
        <f t="shared" si="19"/>
        <v>0.14057507987220447</v>
      </c>
      <c r="W178" s="33">
        <f t="shared" si="16"/>
        <v>-1.0777391993447989</v>
      </c>
      <c r="X178" s="4">
        <f t="shared" si="17"/>
        <v>-0.83471385362281425</v>
      </c>
    </row>
    <row r="179" spans="1:24" ht="14.5" x14ac:dyDescent="0.35">
      <c r="A179" s="52">
        <v>45134</v>
      </c>
      <c r="B179" s="51">
        <v>2766</v>
      </c>
      <c r="C179" s="1">
        <f t="shared" si="18"/>
        <v>-1.4357748437702716E-2</v>
      </c>
      <c r="R179" s="28">
        <v>178</v>
      </c>
      <c r="S179" s="29">
        <v>-1.5884810540023102E-2</v>
      </c>
      <c r="T179" s="41">
        <f t="shared" si="14"/>
        <v>0</v>
      </c>
      <c r="U179" s="4">
        <f t="shared" si="15"/>
        <v>-0.83471385362281425</v>
      </c>
      <c r="V179" s="15">
        <f t="shared" si="19"/>
        <v>0.14137380191693291</v>
      </c>
      <c r="W179" s="33">
        <f t="shared" si="16"/>
        <v>-1.0741675267627588</v>
      </c>
      <c r="X179" s="4">
        <f t="shared" si="17"/>
        <v>-0.83471385362281425</v>
      </c>
    </row>
    <row r="180" spans="1:24" ht="14.5" x14ac:dyDescent="0.35">
      <c r="A180" s="52">
        <v>45133</v>
      </c>
      <c r="B180" s="51">
        <v>2806</v>
      </c>
      <c r="C180" s="1">
        <f t="shared" si="18"/>
        <v>-9.9291595882194973E-3</v>
      </c>
      <c r="R180" s="28">
        <v>179</v>
      </c>
      <c r="S180" s="29">
        <v>-1.5873349156290122E-2</v>
      </c>
      <c r="T180" s="41">
        <f t="shared" si="14"/>
        <v>0</v>
      </c>
      <c r="U180" s="4">
        <f t="shared" si="15"/>
        <v>-0.83410942878762251</v>
      </c>
      <c r="V180" s="15">
        <f t="shared" si="19"/>
        <v>0.14217252396166133</v>
      </c>
      <c r="W180" s="33">
        <f t="shared" si="16"/>
        <v>-1.0706095048576043</v>
      </c>
      <c r="X180" s="4">
        <f t="shared" si="17"/>
        <v>-0.83410942878762251</v>
      </c>
    </row>
    <row r="181" spans="1:24" ht="14.5" x14ac:dyDescent="0.35">
      <c r="A181" s="52">
        <v>45132</v>
      </c>
      <c r="B181" s="51">
        <v>2834</v>
      </c>
      <c r="C181" s="1">
        <f t="shared" si="18"/>
        <v>6.3717029726926867E-3</v>
      </c>
      <c r="R181" s="28">
        <v>180</v>
      </c>
      <c r="S181" s="29">
        <v>-1.5735965931814706E-2</v>
      </c>
      <c r="T181" s="41">
        <f t="shared" si="14"/>
        <v>0</v>
      </c>
      <c r="U181" s="4">
        <f t="shared" si="15"/>
        <v>-0.82686441939379773</v>
      </c>
      <c r="V181" s="15">
        <f t="shared" si="19"/>
        <v>0.14297124600638977</v>
      </c>
      <c r="W181" s="33">
        <f t="shared" si="16"/>
        <v>-1.0670649849809621</v>
      </c>
      <c r="X181" s="4">
        <f t="shared" si="17"/>
        <v>-0.82686441939379773</v>
      </c>
    </row>
    <row r="182" spans="1:24" ht="14.5" x14ac:dyDescent="0.35">
      <c r="A182" s="52">
        <v>45131</v>
      </c>
      <c r="B182" s="51">
        <v>2816</v>
      </c>
      <c r="C182" s="1">
        <f t="shared" si="18"/>
        <v>-2.2472855852058628E-2</v>
      </c>
      <c r="R182" s="28">
        <v>181</v>
      </c>
      <c r="S182" s="29">
        <v>-1.5727716068195154E-2</v>
      </c>
      <c r="T182" s="41">
        <f t="shared" si="14"/>
        <v>0</v>
      </c>
      <c r="U182" s="4">
        <f t="shared" si="15"/>
        <v>-0.82642935652750049</v>
      </c>
      <c r="V182" s="15">
        <f t="shared" si="19"/>
        <v>0.14376996805111822</v>
      </c>
      <c r="W182" s="33">
        <f t="shared" si="16"/>
        <v>-1.0635338208476595</v>
      </c>
      <c r="X182" s="4">
        <f t="shared" si="17"/>
        <v>-0.82642935652750049</v>
      </c>
    </row>
    <row r="183" spans="1:24" ht="14.5" x14ac:dyDescent="0.35">
      <c r="A183" s="52">
        <v>45128</v>
      </c>
      <c r="B183" s="51">
        <v>2880</v>
      </c>
      <c r="C183" s="1">
        <f t="shared" si="18"/>
        <v>3.4782643763247925E-3</v>
      </c>
      <c r="R183" s="28">
        <v>182</v>
      </c>
      <c r="S183" s="29">
        <v>-1.5666116744399463E-2</v>
      </c>
      <c r="T183" s="41">
        <f t="shared" si="14"/>
        <v>0</v>
      </c>
      <c r="U183" s="4">
        <f t="shared" si="15"/>
        <v>-0.82318086908474952</v>
      </c>
      <c r="V183" s="15">
        <f t="shared" si="19"/>
        <v>0.14456869009584664</v>
      </c>
      <c r="W183" s="33">
        <f t="shared" si="16"/>
        <v>-1.0600158684848688</v>
      </c>
      <c r="X183" s="4">
        <f t="shared" si="17"/>
        <v>-0.82318086908474952</v>
      </c>
    </row>
    <row r="184" spans="1:24" ht="14.5" x14ac:dyDescent="0.35">
      <c r="A184" s="52">
        <v>45127</v>
      </c>
      <c r="B184" s="51">
        <v>2870</v>
      </c>
      <c r="C184" s="1">
        <f t="shared" si="18"/>
        <v>-0.10570888702522342</v>
      </c>
      <c r="R184" s="28">
        <v>183</v>
      </c>
      <c r="S184" s="29">
        <v>-1.5603153431619492E-2</v>
      </c>
      <c r="T184" s="41">
        <f t="shared" si="14"/>
        <v>0</v>
      </c>
      <c r="U184" s="4">
        <f t="shared" si="15"/>
        <v>-0.81986045063992807</v>
      </c>
      <c r="V184" s="15">
        <f t="shared" si="19"/>
        <v>0.14536741214057508</v>
      </c>
      <c r="W184" s="33">
        <f t="shared" si="16"/>
        <v>-1.0565109861826305</v>
      </c>
      <c r="X184" s="4">
        <f t="shared" si="17"/>
        <v>-0.81986045063992807</v>
      </c>
    </row>
    <row r="185" spans="1:24" ht="14.5" x14ac:dyDescent="0.35">
      <c r="A185" s="52">
        <v>45126</v>
      </c>
      <c r="B185" s="51">
        <v>3190</v>
      </c>
      <c r="C185" s="1">
        <f t="shared" si="18"/>
        <v>1.5798116876591311E-2</v>
      </c>
      <c r="R185" s="28">
        <v>184</v>
      </c>
      <c r="S185" s="29">
        <v>-1.559630573827806E-2</v>
      </c>
      <c r="T185" s="41">
        <f t="shared" si="14"/>
        <v>0</v>
      </c>
      <c r="U185" s="4">
        <f t="shared" si="15"/>
        <v>-0.81949933229542749</v>
      </c>
      <c r="V185" s="15">
        <f t="shared" si="19"/>
        <v>0.14616613418530353</v>
      </c>
      <c r="W185" s="33">
        <f t="shared" si="16"/>
        <v>-1.0530190344456893</v>
      </c>
      <c r="X185" s="4">
        <f t="shared" si="17"/>
        <v>-0.81949933229542749</v>
      </c>
    </row>
    <row r="186" spans="1:24" ht="14.5" x14ac:dyDescent="0.35">
      <c r="A186" s="52">
        <v>45125</v>
      </c>
      <c r="B186" s="51">
        <v>3140</v>
      </c>
      <c r="C186" s="1">
        <f t="shared" si="18"/>
        <v>6.3897980987709883E-3</v>
      </c>
      <c r="R186" s="28">
        <v>185</v>
      </c>
      <c r="S186" s="29">
        <v>-1.5504186535965199E-2</v>
      </c>
      <c r="T186" s="41">
        <f t="shared" si="14"/>
        <v>0</v>
      </c>
      <c r="U186" s="4">
        <f t="shared" si="15"/>
        <v>-0.81464135572181928</v>
      </c>
      <c r="V186" s="15">
        <f t="shared" si="19"/>
        <v>0.14696485623003194</v>
      </c>
      <c r="W186" s="33">
        <f t="shared" si="16"/>
        <v>-1.0495398759466186</v>
      </c>
      <c r="X186" s="4">
        <f t="shared" si="17"/>
        <v>-0.81464135572181928</v>
      </c>
    </row>
    <row r="187" spans="1:24" ht="14.5" x14ac:dyDescent="0.35">
      <c r="A187" s="52">
        <v>45124</v>
      </c>
      <c r="B187" s="51">
        <v>3120</v>
      </c>
      <c r="C187" s="1">
        <f t="shared" si="18"/>
        <v>7.7220460939103185E-3</v>
      </c>
      <c r="R187" s="28">
        <v>186</v>
      </c>
      <c r="S187" s="29">
        <v>-1.5384918839479456E-2</v>
      </c>
      <c r="T187" s="41">
        <f t="shared" si="14"/>
        <v>0</v>
      </c>
      <c r="U187" s="4">
        <f t="shared" si="15"/>
        <v>-0.80835168254870438</v>
      </c>
      <c r="V187" s="15">
        <f t="shared" si="19"/>
        <v>0.14776357827476039</v>
      </c>
      <c r="W187" s="33">
        <f t="shared" si="16"/>
        <v>-1.046073375480189</v>
      </c>
      <c r="X187" s="4">
        <f t="shared" si="17"/>
        <v>-0.80835168254870438</v>
      </c>
    </row>
    <row r="188" spans="1:24" ht="14.5" x14ac:dyDescent="0.35">
      <c r="A188" s="52">
        <v>45121</v>
      </c>
      <c r="B188" s="51">
        <v>3096</v>
      </c>
      <c r="C188" s="1">
        <f t="shared" si="18"/>
        <v>5.1813587419975845E-3</v>
      </c>
      <c r="R188" s="28">
        <v>187</v>
      </c>
      <c r="S188" s="29">
        <v>-1.5342002456680177E-2</v>
      </c>
      <c r="T188" s="41">
        <f t="shared" si="14"/>
        <v>0</v>
      </c>
      <c r="U188" s="4">
        <f t="shared" si="15"/>
        <v>-0.80608845428545017</v>
      </c>
      <c r="V188" s="15">
        <f t="shared" si="19"/>
        <v>0.1485623003194888</v>
      </c>
      <c r="W188" s="33">
        <f t="shared" si="16"/>
        <v>-1.0426193999189224</v>
      </c>
      <c r="X188" s="4">
        <f t="shared" si="17"/>
        <v>-0.80608845428545017</v>
      </c>
    </row>
    <row r="189" spans="1:24" ht="14.5" x14ac:dyDescent="0.35">
      <c r="A189" s="52">
        <v>45120</v>
      </c>
      <c r="B189" s="51">
        <v>3080</v>
      </c>
      <c r="C189" s="1">
        <f t="shared" si="18"/>
        <v>2.6007817000574403E-3</v>
      </c>
      <c r="R189" s="28">
        <v>188</v>
      </c>
      <c r="S189" s="29">
        <v>-1.5223200836288526E-2</v>
      </c>
      <c r="T189" s="41">
        <f t="shared" si="14"/>
        <v>0</v>
      </c>
      <c r="U189" s="4">
        <f t="shared" si="15"/>
        <v>-0.79982335999154575</v>
      </c>
      <c r="V189" s="15">
        <f t="shared" si="19"/>
        <v>0.14936102236421725</v>
      </c>
      <c r="W189" s="33">
        <f t="shared" si="16"/>
        <v>-1.0391778181698266</v>
      </c>
      <c r="X189" s="4">
        <f t="shared" si="17"/>
        <v>-0.79982335999154575</v>
      </c>
    </row>
    <row r="190" spans="1:24" ht="14.5" x14ac:dyDescent="0.35">
      <c r="A190" s="52">
        <v>45119</v>
      </c>
      <c r="B190" s="51">
        <v>3072</v>
      </c>
      <c r="C190" s="1">
        <f t="shared" si="18"/>
        <v>1.5087199919261621E-2</v>
      </c>
      <c r="R190" s="28">
        <v>189</v>
      </c>
      <c r="S190" s="29">
        <v>-1.5140334631411749E-2</v>
      </c>
      <c r="T190" s="41">
        <f t="shared" si="14"/>
        <v>0</v>
      </c>
      <c r="U190" s="4">
        <f t="shared" si="15"/>
        <v>-0.79545334731310335</v>
      </c>
      <c r="V190" s="15">
        <f t="shared" si="19"/>
        <v>0.15015974440894569</v>
      </c>
      <c r="W190" s="33">
        <f t="shared" si="16"/>
        <v>-1.0357485011322511</v>
      </c>
      <c r="X190" s="4">
        <f t="shared" si="17"/>
        <v>-0.79545334731310335</v>
      </c>
    </row>
    <row r="191" spans="1:24" ht="14.5" x14ac:dyDescent="0.35">
      <c r="A191" s="52">
        <v>45118</v>
      </c>
      <c r="B191" s="51">
        <v>3026</v>
      </c>
      <c r="C191" s="1">
        <f t="shared" si="18"/>
        <v>7.2968814642759275E-3</v>
      </c>
      <c r="R191" s="28">
        <v>190</v>
      </c>
      <c r="S191" s="29">
        <v>-1.5037877364540559E-2</v>
      </c>
      <c r="T191" s="41">
        <f t="shared" si="14"/>
        <v>0</v>
      </c>
      <c r="U191" s="4">
        <f t="shared" si="15"/>
        <v>-0.79005018499993307</v>
      </c>
      <c r="V191" s="15">
        <f t="shared" si="19"/>
        <v>0.15095846645367411</v>
      </c>
      <c r="W191" s="33">
        <f t="shared" si="16"/>
        <v>-1.0323313216568444</v>
      </c>
      <c r="X191" s="4">
        <f t="shared" si="17"/>
        <v>-0.79005018499993307</v>
      </c>
    </row>
    <row r="192" spans="1:24" ht="14.5" x14ac:dyDescent="0.35">
      <c r="A192" s="52">
        <v>45117</v>
      </c>
      <c r="B192" s="51">
        <v>3004</v>
      </c>
      <c r="C192" s="1">
        <f t="shared" si="18"/>
        <v>0</v>
      </c>
      <c r="R192" s="28">
        <v>191</v>
      </c>
      <c r="S192" s="29">
        <v>-1.4876307401287946E-2</v>
      </c>
      <c r="T192" s="41">
        <f t="shared" si="14"/>
        <v>0</v>
      </c>
      <c r="U192" s="4">
        <f t="shared" si="15"/>
        <v>-0.78152966944212132</v>
      </c>
      <c r="V192" s="15">
        <f t="shared" si="19"/>
        <v>0.15175718849840256</v>
      </c>
      <c r="W192" s="33">
        <f t="shared" si="16"/>
        <v>-1.0289261545055295</v>
      </c>
      <c r="X192" s="4">
        <f t="shared" si="17"/>
        <v>-0.78152966944212132</v>
      </c>
    </row>
    <row r="193" spans="1:24" ht="14.5" x14ac:dyDescent="0.35">
      <c r="A193" s="52">
        <v>45114</v>
      </c>
      <c r="B193" s="51">
        <v>3004</v>
      </c>
      <c r="C193" s="1">
        <f t="shared" si="18"/>
        <v>-6.6555742889445402E-4</v>
      </c>
      <c r="R193" s="28">
        <v>192</v>
      </c>
      <c r="S193" s="29">
        <v>-1.4659948410684629E-2</v>
      </c>
      <c r="T193" s="41">
        <f t="shared" si="14"/>
        <v>0</v>
      </c>
      <c r="U193" s="4">
        <f t="shared" si="15"/>
        <v>-0.77011981263212936</v>
      </c>
      <c r="V193" s="15">
        <f t="shared" si="19"/>
        <v>0.152555910543131</v>
      </c>
      <c r="W193" s="33">
        <f t="shared" si="16"/>
        <v>-1.025532876312556</v>
      </c>
      <c r="X193" s="4">
        <f t="shared" si="17"/>
        <v>-0.77011981263212936</v>
      </c>
    </row>
    <row r="194" spans="1:24" ht="14.5" x14ac:dyDescent="0.35">
      <c r="A194" s="52">
        <v>45113</v>
      </c>
      <c r="B194" s="51">
        <v>3006</v>
      </c>
      <c r="C194" s="1">
        <f t="shared" si="18"/>
        <v>-1.1247224087347589E-2</v>
      </c>
      <c r="R194" s="28">
        <v>193</v>
      </c>
      <c r="S194" s="29">
        <v>-1.4518056587035311E-2</v>
      </c>
      <c r="T194" s="41">
        <f t="shared" si="14"/>
        <v>0</v>
      </c>
      <c r="U194" s="4">
        <f t="shared" si="15"/>
        <v>-0.76263703881333456</v>
      </c>
      <c r="V194" s="15">
        <f t="shared" si="19"/>
        <v>0.15335463258785942</v>
      </c>
      <c r="W194" s="33">
        <f t="shared" si="16"/>
        <v>-1.0221513655465189</v>
      </c>
      <c r="X194" s="4">
        <f t="shared" si="17"/>
        <v>-0.76263703881333456</v>
      </c>
    </row>
    <row r="195" spans="1:24" ht="14.5" x14ac:dyDescent="0.35">
      <c r="A195" s="52">
        <v>45112</v>
      </c>
      <c r="B195" s="51">
        <v>3040</v>
      </c>
      <c r="C195" s="1">
        <f t="shared" si="18"/>
        <v>1.1912781516241961E-2</v>
      </c>
      <c r="R195" s="28">
        <v>194</v>
      </c>
      <c r="S195" s="29">
        <v>-1.449757506648653E-2</v>
      </c>
      <c r="T195" s="41">
        <f t="shared" ref="T195:T258" si="20">+IF(OR(S195&lt;($Z$3-3*$Z$4^0.5),S195&gt;($Z$3+3*$Z$4^0.5)),1,0)</f>
        <v>0</v>
      </c>
      <c r="U195" s="4">
        <f t="shared" ref="U195:U258" si="21">+(S195-AVERAGE($S$2:$S$1252))/_xlfn.STDEV.S($S$2:$S$1252)</f>
        <v>-0.76155693016584625</v>
      </c>
      <c r="V195" s="15">
        <f t="shared" si="19"/>
        <v>0.15415335463258786</v>
      </c>
      <c r="W195" s="33">
        <f t="shared" ref="W195:W258" si="22">+_xlfn.NORM.S.INV(V195)</f>
        <v>-1.0187815024733502</v>
      </c>
      <c r="X195" s="4">
        <f t="shared" ref="X195:X258" si="23">+U195</f>
        <v>-0.76155693016584625</v>
      </c>
    </row>
    <row r="196" spans="1:24" ht="14.5" x14ac:dyDescent="0.35">
      <c r="A196" s="52">
        <v>45111</v>
      </c>
      <c r="B196" s="51">
        <v>3004</v>
      </c>
      <c r="C196" s="1">
        <f t="shared" ref="C196:C259" si="24">+LN(B196/B197)</f>
        <v>1.9993342214822607E-3</v>
      </c>
      <c r="R196" s="28">
        <v>195</v>
      </c>
      <c r="S196" s="29">
        <v>-1.4443428583946231E-2</v>
      </c>
      <c r="T196" s="41">
        <f t="shared" si="20"/>
        <v>0</v>
      </c>
      <c r="U196" s="4">
        <f t="shared" si="21"/>
        <v>-0.75870147400556931</v>
      </c>
      <c r="V196" s="15">
        <f t="shared" ref="V196:V259" si="25">+R195/1252</f>
        <v>0.15495207667731628</v>
      </c>
      <c r="W196" s="33">
        <f t="shared" si="22"/>
        <v>-1.0154231691202296</v>
      </c>
      <c r="X196" s="4">
        <f t="shared" si="23"/>
        <v>-0.75870147400556931</v>
      </c>
    </row>
    <row r="197" spans="1:24" ht="14.5" x14ac:dyDescent="0.35">
      <c r="A197" s="52">
        <v>45110</v>
      </c>
      <c r="B197" s="51">
        <v>2998</v>
      </c>
      <c r="C197" s="1">
        <f t="shared" si="24"/>
        <v>3.3411324098351299E-3</v>
      </c>
      <c r="R197" s="28">
        <v>196</v>
      </c>
      <c r="S197" s="29">
        <v>-1.4432457121585817E-2</v>
      </c>
      <c r="T197" s="41">
        <f t="shared" si="20"/>
        <v>0</v>
      </c>
      <c r="U197" s="4">
        <f t="shared" si="21"/>
        <v>-0.75812288554858187</v>
      </c>
      <c r="V197" s="15">
        <f t="shared" si="25"/>
        <v>0.15575079872204473</v>
      </c>
      <c r="W197" s="33">
        <f t="shared" si="22"/>
        <v>-1.0120762492404072</v>
      </c>
      <c r="X197" s="4">
        <f t="shared" si="23"/>
        <v>-0.75812288554858187</v>
      </c>
    </row>
    <row r="198" spans="1:24" ht="14.5" x14ac:dyDescent="0.35">
      <c r="A198" s="52">
        <v>45107</v>
      </c>
      <c r="B198" s="51">
        <v>2988</v>
      </c>
      <c r="C198" s="1">
        <f t="shared" si="24"/>
        <v>-3.3411324098350879E-3</v>
      </c>
      <c r="R198" s="28">
        <v>197</v>
      </c>
      <c r="S198" s="29">
        <v>-1.4388737452099556E-2</v>
      </c>
      <c r="T198" s="41">
        <f t="shared" si="20"/>
        <v>0</v>
      </c>
      <c r="U198" s="4">
        <f t="shared" si="21"/>
        <v>-0.75581729534765041</v>
      </c>
      <c r="V198" s="15">
        <f t="shared" si="25"/>
        <v>0.15654952076677317</v>
      </c>
      <c r="W198" s="33">
        <f t="shared" si="22"/>
        <v>-1.0087406282789162</v>
      </c>
      <c r="X198" s="4">
        <f t="shared" si="23"/>
        <v>-0.75581729534765041</v>
      </c>
    </row>
    <row r="199" spans="1:24" ht="14.5" x14ac:dyDescent="0.35">
      <c r="A199" s="52">
        <v>45106</v>
      </c>
      <c r="B199" s="51">
        <v>2998</v>
      </c>
      <c r="C199" s="1">
        <f t="shared" si="24"/>
        <v>4.0107005634072747E-3</v>
      </c>
      <c r="R199" s="28">
        <v>198</v>
      </c>
      <c r="S199" s="29">
        <v>-1.4357748437702716E-2</v>
      </c>
      <c r="T199" s="41">
        <f t="shared" si="20"/>
        <v>0</v>
      </c>
      <c r="U199" s="4">
        <f t="shared" si="21"/>
        <v>-0.75418306597745066</v>
      </c>
      <c r="V199" s="15">
        <f t="shared" si="25"/>
        <v>0.15734824281150159</v>
      </c>
      <c r="W199" s="33">
        <f t="shared" si="22"/>
        <v>-1.0054161933391337</v>
      </c>
      <c r="X199" s="4">
        <f t="shared" si="23"/>
        <v>-0.75418306597745066</v>
      </c>
    </row>
    <row r="200" spans="1:24" ht="14.5" x14ac:dyDescent="0.35">
      <c r="A200" s="52">
        <v>45105</v>
      </c>
      <c r="B200" s="51">
        <v>2986</v>
      </c>
      <c r="C200" s="1">
        <f t="shared" si="24"/>
        <v>1.1451792378772615E-2</v>
      </c>
      <c r="R200" s="28">
        <v>199</v>
      </c>
      <c r="S200" s="29">
        <v>-1.430298519033114E-2</v>
      </c>
      <c r="T200" s="41">
        <f t="shared" si="20"/>
        <v>0</v>
      </c>
      <c r="U200" s="4">
        <f t="shared" si="21"/>
        <v>-0.75129508425218239</v>
      </c>
      <c r="V200" s="15">
        <f t="shared" si="25"/>
        <v>0.15814696485623003</v>
      </c>
      <c r="W200" s="33">
        <f t="shared" si="22"/>
        <v>-1.00210283315015</v>
      </c>
      <c r="X200" s="4">
        <f t="shared" si="23"/>
        <v>-0.75129508425218239</v>
      </c>
    </row>
    <row r="201" spans="1:24" ht="14.5" x14ac:dyDescent="0.35">
      <c r="A201" s="52">
        <v>45104</v>
      </c>
      <c r="B201" s="51">
        <v>2952</v>
      </c>
      <c r="C201" s="1">
        <f t="shared" si="24"/>
        <v>-1.1451792378772568E-2</v>
      </c>
      <c r="R201" s="28">
        <v>200</v>
      </c>
      <c r="S201" s="29">
        <v>-1.4276686356682862E-2</v>
      </c>
      <c r="T201" s="41">
        <f t="shared" si="20"/>
        <v>0</v>
      </c>
      <c r="U201" s="4">
        <f t="shared" si="21"/>
        <v>-0.74990819515013996</v>
      </c>
      <c r="V201" s="15">
        <f t="shared" si="25"/>
        <v>0.15894568690095848</v>
      </c>
      <c r="W201" s="33">
        <f t="shared" si="22"/>
        <v>-0.99880043803495266</v>
      </c>
      <c r="X201" s="4">
        <f t="shared" si="23"/>
        <v>-0.74990819515013996</v>
      </c>
    </row>
    <row r="202" spans="1:24" ht="14.5" x14ac:dyDescent="0.35">
      <c r="A202" s="52">
        <v>45103</v>
      </c>
      <c r="B202" s="51">
        <v>2986</v>
      </c>
      <c r="C202" s="1">
        <f t="shared" si="24"/>
        <v>-1.0659661228658537E-2</v>
      </c>
      <c r="R202" s="28">
        <v>201</v>
      </c>
      <c r="S202" s="29">
        <v>-1.4256006636032588E-2</v>
      </c>
      <c r="T202" s="41">
        <f t="shared" si="20"/>
        <v>0</v>
      </c>
      <c r="U202" s="4">
        <f t="shared" si="21"/>
        <v>-0.74881763426874415</v>
      </c>
      <c r="V202" s="15">
        <f t="shared" si="25"/>
        <v>0.15974440894568689</v>
      </c>
      <c r="W202" s="33">
        <f t="shared" si="22"/>
        <v>-0.99550889987940594</v>
      </c>
      <c r="X202" s="4">
        <f t="shared" si="23"/>
        <v>-0.74881763426874415</v>
      </c>
    </row>
    <row r="203" spans="1:24" ht="14.5" x14ac:dyDescent="0.35">
      <c r="A203" s="52">
        <v>45100</v>
      </c>
      <c r="B203" s="51">
        <v>3018</v>
      </c>
      <c r="C203" s="1">
        <f t="shared" si="24"/>
        <v>7.3162946906841974E-3</v>
      </c>
      <c r="R203" s="28">
        <v>202</v>
      </c>
      <c r="S203" s="29">
        <v>-1.4232136417008162E-2</v>
      </c>
      <c r="T203" s="41">
        <f t="shared" si="20"/>
        <v>0</v>
      </c>
      <c r="U203" s="4">
        <f t="shared" si="21"/>
        <v>-0.74755882001594887</v>
      </c>
      <c r="V203" s="15">
        <f t="shared" si="25"/>
        <v>0.16054313099041534</v>
      </c>
      <c r="W203" s="33">
        <f t="shared" si="22"/>
        <v>-0.99222811210195694</v>
      </c>
      <c r="X203" s="4">
        <f t="shared" si="23"/>
        <v>-0.74755882001594887</v>
      </c>
    </row>
    <row r="204" spans="1:24" ht="14.5" x14ac:dyDescent="0.35">
      <c r="A204" s="52">
        <v>45099</v>
      </c>
      <c r="B204" s="51">
        <v>2996</v>
      </c>
      <c r="C204" s="1">
        <f t="shared" si="24"/>
        <v>-2.0006675562971713E-3</v>
      </c>
      <c r="R204" s="28">
        <v>203</v>
      </c>
      <c r="S204" s="29">
        <v>-1.4184634991956413E-2</v>
      </c>
      <c r="T204" s="41">
        <f t="shared" si="20"/>
        <v>0</v>
      </c>
      <c r="U204" s="4">
        <f t="shared" si="21"/>
        <v>-0.74505379604352362</v>
      </c>
      <c r="V204" s="15">
        <f t="shared" si="25"/>
        <v>0.16134185303514376</v>
      </c>
      <c r="W204" s="33">
        <f t="shared" si="22"/>
        <v>-0.98895796962408855</v>
      </c>
      <c r="X204" s="4">
        <f t="shared" si="23"/>
        <v>-0.74505379604352362</v>
      </c>
    </row>
    <row r="205" spans="1:24" ht="14.5" x14ac:dyDescent="0.35">
      <c r="A205" s="52">
        <v>45098</v>
      </c>
      <c r="B205" s="51">
        <v>3002</v>
      </c>
      <c r="C205" s="1">
        <f t="shared" si="24"/>
        <v>3.3366730990394703E-3</v>
      </c>
      <c r="R205" s="28">
        <v>204</v>
      </c>
      <c r="S205" s="29">
        <v>-1.4066728111046362E-2</v>
      </c>
      <c r="T205" s="41">
        <f t="shared" si="20"/>
        <v>0</v>
      </c>
      <c r="U205" s="4">
        <f t="shared" si="21"/>
        <v>-0.7388358865203507</v>
      </c>
      <c r="V205" s="15">
        <f t="shared" si="25"/>
        <v>0.1621405750798722</v>
      </c>
      <c r="W205" s="33">
        <f t="shared" si="22"/>
        <v>-0.98569836884148365</v>
      </c>
      <c r="X205" s="4">
        <f t="shared" si="23"/>
        <v>-0.7388358865203507</v>
      </c>
    </row>
    <row r="206" spans="1:24" ht="14.5" x14ac:dyDescent="0.35">
      <c r="A206" s="52">
        <v>45097</v>
      </c>
      <c r="B206" s="51">
        <v>2992</v>
      </c>
      <c r="C206" s="1">
        <f t="shared" si="24"/>
        <v>1.2105057026275397E-2</v>
      </c>
      <c r="R206" s="28">
        <v>205</v>
      </c>
      <c r="S206" s="29">
        <v>-1.4010737069598333E-2</v>
      </c>
      <c r="T206" s="41">
        <f t="shared" si="20"/>
        <v>0</v>
      </c>
      <c r="U206" s="4">
        <f t="shared" si="21"/>
        <v>-0.73588315613561872</v>
      </c>
      <c r="V206" s="15">
        <f t="shared" si="25"/>
        <v>0.16293929712460065</v>
      </c>
      <c r="W206" s="33">
        <f t="shared" si="22"/>
        <v>-0.98244920759588783</v>
      </c>
      <c r="X206" s="4">
        <f t="shared" si="23"/>
        <v>-0.73588315613561872</v>
      </c>
    </row>
    <row r="207" spans="1:24" ht="14.5" x14ac:dyDescent="0.35">
      <c r="A207" s="52">
        <v>45096</v>
      </c>
      <c r="B207" s="51">
        <v>2956</v>
      </c>
      <c r="C207" s="1">
        <f t="shared" si="24"/>
        <v>-1.3522652500136498E-3</v>
      </c>
      <c r="R207" s="28">
        <v>206</v>
      </c>
      <c r="S207" s="29">
        <v>-1.390699724897526E-2</v>
      </c>
      <c r="T207" s="41">
        <f t="shared" si="20"/>
        <v>0</v>
      </c>
      <c r="U207" s="4">
        <f t="shared" si="21"/>
        <v>-0.73041235736962851</v>
      </c>
      <c r="V207" s="15">
        <f t="shared" si="25"/>
        <v>0.16373801916932906</v>
      </c>
      <c r="W207" s="33">
        <f t="shared" si="22"/>
        <v>-0.97921038514762337</v>
      </c>
      <c r="X207" s="4">
        <f t="shared" si="23"/>
        <v>-0.73041235736962851</v>
      </c>
    </row>
    <row r="208" spans="1:24" ht="14.5" x14ac:dyDescent="0.35">
      <c r="A208" s="52">
        <v>45093</v>
      </c>
      <c r="B208" s="51">
        <v>2960</v>
      </c>
      <c r="C208" s="1">
        <f t="shared" si="24"/>
        <v>-5.3908486348764233E-3</v>
      </c>
      <c r="R208" s="28">
        <v>207</v>
      </c>
      <c r="S208" s="29">
        <v>-1.3872111477805996E-2</v>
      </c>
      <c r="T208" s="41">
        <f t="shared" si="20"/>
        <v>0</v>
      </c>
      <c r="U208" s="4">
        <f t="shared" si="21"/>
        <v>-0.7285726295513506</v>
      </c>
      <c r="V208" s="15">
        <f t="shared" si="25"/>
        <v>0.16453674121405751</v>
      </c>
      <c r="W208" s="33">
        <f t="shared" si="22"/>
        <v>-0.97598180214878272</v>
      </c>
      <c r="X208" s="4">
        <f t="shared" si="23"/>
        <v>-0.7285726295513506</v>
      </c>
    </row>
    <row r="209" spans="1:24" ht="14.5" x14ac:dyDescent="0.35">
      <c r="A209" s="52">
        <v>45092</v>
      </c>
      <c r="B209" s="51">
        <v>2976</v>
      </c>
      <c r="C209" s="1">
        <f t="shared" si="24"/>
        <v>-8.0321716972642666E-3</v>
      </c>
      <c r="R209" s="28">
        <v>208</v>
      </c>
      <c r="S209" s="29">
        <v>-1.3820555618632199E-2</v>
      </c>
      <c r="T209" s="41">
        <f t="shared" si="20"/>
        <v>0</v>
      </c>
      <c r="U209" s="4">
        <f t="shared" si="21"/>
        <v>-0.72585379189524579</v>
      </c>
      <c r="V209" s="15">
        <f t="shared" si="25"/>
        <v>0.16533546325878595</v>
      </c>
      <c r="W209" s="33">
        <f t="shared" si="22"/>
        <v>-0.97276336061703761</v>
      </c>
      <c r="X209" s="4">
        <f t="shared" si="23"/>
        <v>-0.72585379189524579</v>
      </c>
    </row>
    <row r="210" spans="1:24" ht="14.5" x14ac:dyDescent="0.35">
      <c r="A210" s="52">
        <v>45091</v>
      </c>
      <c r="B210" s="51">
        <v>3000</v>
      </c>
      <c r="C210" s="1">
        <f t="shared" si="24"/>
        <v>-1.324522675002068E-2</v>
      </c>
      <c r="R210" s="28">
        <v>209</v>
      </c>
      <c r="S210" s="29">
        <v>-1.3755375068485344E-2</v>
      </c>
      <c r="T210" s="41">
        <f t="shared" si="20"/>
        <v>0</v>
      </c>
      <c r="U210" s="4">
        <f t="shared" si="21"/>
        <v>-0.72241644574245445</v>
      </c>
      <c r="V210" s="15">
        <f t="shared" si="25"/>
        <v>0.16613418530351437</v>
      </c>
      <c r="W210" s="33">
        <f t="shared" si="22"/>
        <v>-0.96955496391005969</v>
      </c>
      <c r="X210" s="4">
        <f t="shared" si="23"/>
        <v>-0.72241644574245445</v>
      </c>
    </row>
    <row r="211" spans="1:24" ht="14.5" x14ac:dyDescent="0.35">
      <c r="A211" s="52">
        <v>45090</v>
      </c>
      <c r="B211" s="51">
        <v>3040</v>
      </c>
      <c r="C211" s="1">
        <f t="shared" si="24"/>
        <v>0</v>
      </c>
      <c r="R211" s="28">
        <v>210</v>
      </c>
      <c r="S211" s="29">
        <v>-1.3693907683357985E-2</v>
      </c>
      <c r="T211" s="41">
        <f t="shared" si="20"/>
        <v>0</v>
      </c>
      <c r="U211" s="4">
        <f t="shared" si="21"/>
        <v>-0.71917491618626583</v>
      </c>
      <c r="V211" s="15">
        <f t="shared" si="25"/>
        <v>0.16693290734824281</v>
      </c>
      <c r="W211" s="33">
        <f t="shared" si="22"/>
        <v>-0.96635651670056555</v>
      </c>
      <c r="X211" s="4">
        <f t="shared" si="23"/>
        <v>-0.71917491618626583</v>
      </c>
    </row>
    <row r="212" spans="1:24" ht="14.5" x14ac:dyDescent="0.35">
      <c r="A212" s="52">
        <v>45089</v>
      </c>
      <c r="B212" s="51">
        <v>3040</v>
      </c>
      <c r="C212" s="1">
        <f t="shared" si="24"/>
        <v>1.3245226750020723E-2</v>
      </c>
      <c r="R212" s="28">
        <v>211</v>
      </c>
      <c r="S212" s="29">
        <v>-1.3644735929777186E-2</v>
      </c>
      <c r="T212" s="41">
        <f t="shared" si="20"/>
        <v>0</v>
      </c>
      <c r="U212" s="4">
        <f t="shared" si="21"/>
        <v>-0.71658180616163192</v>
      </c>
      <c r="V212" s="15">
        <f t="shared" si="25"/>
        <v>0.16773162939297126</v>
      </c>
      <c r="W212" s="33">
        <f t="shared" si="22"/>
        <v>-0.96316792495191172</v>
      </c>
      <c r="X212" s="4">
        <f t="shared" si="23"/>
        <v>-0.71658180616163192</v>
      </c>
    </row>
    <row r="213" spans="1:24" ht="14.5" x14ac:dyDescent="0.35">
      <c r="A213" s="52">
        <v>45086</v>
      </c>
      <c r="B213" s="51">
        <v>3000</v>
      </c>
      <c r="C213" s="1">
        <f t="shared" si="24"/>
        <v>-3.327790092674691E-3</v>
      </c>
      <c r="R213" s="28">
        <v>212</v>
      </c>
      <c r="S213" s="29">
        <v>-1.3644735929777186E-2</v>
      </c>
      <c r="T213" s="41">
        <f t="shared" si="20"/>
        <v>0</v>
      </c>
      <c r="U213" s="4">
        <f t="shared" si="21"/>
        <v>-0.71658180616163192</v>
      </c>
      <c r="V213" s="15">
        <f t="shared" si="25"/>
        <v>0.16853035143769968</v>
      </c>
      <c r="W213" s="33">
        <f t="shared" si="22"/>
        <v>-0.95998909589427739</v>
      </c>
      <c r="X213" s="4">
        <f t="shared" si="23"/>
        <v>-0.71658180616163192</v>
      </c>
    </row>
    <row r="214" spans="1:24" ht="14.5" x14ac:dyDescent="0.35">
      <c r="A214" s="52">
        <v>45085</v>
      </c>
      <c r="B214" s="51">
        <v>3010</v>
      </c>
      <c r="C214" s="1">
        <f t="shared" si="24"/>
        <v>8.0053796437856307E-3</v>
      </c>
      <c r="R214" s="28">
        <v>213</v>
      </c>
      <c r="S214" s="29">
        <v>-1.3269193484194782E-2</v>
      </c>
      <c r="T214" s="41">
        <f t="shared" si="20"/>
        <v>0</v>
      </c>
      <c r="U214" s="4">
        <f t="shared" si="21"/>
        <v>-0.69677728813249407</v>
      </c>
      <c r="V214" s="15">
        <f t="shared" si="25"/>
        <v>0.16932907348242812</v>
      </c>
      <c r="W214" s="33">
        <f t="shared" si="22"/>
        <v>-0.95681993800138099</v>
      </c>
      <c r="X214" s="4">
        <f t="shared" si="23"/>
        <v>-0.69677728813249407</v>
      </c>
    </row>
    <row r="215" spans="1:24" ht="14.5" x14ac:dyDescent="0.35">
      <c r="A215" s="52">
        <v>45084</v>
      </c>
      <c r="B215" s="51">
        <v>2986</v>
      </c>
      <c r="C215" s="1">
        <f t="shared" si="24"/>
        <v>4.6995722614858243E-3</v>
      </c>
      <c r="R215" s="28">
        <v>214</v>
      </c>
      <c r="S215" s="29">
        <v>-1.324522675002068E-2</v>
      </c>
      <c r="T215" s="41">
        <f t="shared" si="20"/>
        <v>0</v>
      </c>
      <c r="U215" s="4">
        <f t="shared" si="21"/>
        <v>-0.69551338407947971</v>
      </c>
      <c r="V215" s="15">
        <f t="shared" si="25"/>
        <v>0.17012779552715654</v>
      </c>
      <c r="W215" s="33">
        <f t="shared" si="22"/>
        <v>-0.95366036096774787</v>
      </c>
      <c r="X215" s="4">
        <f t="shared" si="23"/>
        <v>-0.69551338407947971</v>
      </c>
    </row>
    <row r="216" spans="1:24" ht="14.5" x14ac:dyDescent="0.35">
      <c r="A216" s="52">
        <v>45083</v>
      </c>
      <c r="B216" s="51">
        <v>2972</v>
      </c>
      <c r="C216" s="1">
        <f t="shared" si="24"/>
        <v>5.3981237695573097E-3</v>
      </c>
      <c r="R216" s="28">
        <v>215</v>
      </c>
      <c r="S216" s="29">
        <v>-1.3236460625830931E-2</v>
      </c>
      <c r="T216" s="41">
        <f t="shared" si="20"/>
        <v>0</v>
      </c>
      <c r="U216" s="4">
        <f t="shared" si="21"/>
        <v>-0.69505109581725055</v>
      </c>
      <c r="V216" s="15">
        <f t="shared" si="25"/>
        <v>0.17092651757188498</v>
      </c>
      <c r="W216" s="33">
        <f t="shared" si="22"/>
        <v>-0.95051027568649282</v>
      </c>
      <c r="X216" s="4">
        <f t="shared" si="23"/>
        <v>-0.69505109581725055</v>
      </c>
    </row>
    <row r="217" spans="1:24" ht="14.5" x14ac:dyDescent="0.35">
      <c r="A217" s="52">
        <v>45082</v>
      </c>
      <c r="B217" s="51">
        <v>2956</v>
      </c>
      <c r="C217" s="1">
        <f t="shared" si="24"/>
        <v>1.7059437937864273E-2</v>
      </c>
      <c r="R217" s="28">
        <v>216</v>
      </c>
      <c r="S217" s="29">
        <v>-1.3179762444409847E-2</v>
      </c>
      <c r="T217" s="41">
        <f t="shared" si="20"/>
        <v>0</v>
      </c>
      <c r="U217" s="4">
        <f t="shared" si="21"/>
        <v>-0.69206107386531979</v>
      </c>
      <c r="V217" s="15">
        <f t="shared" si="25"/>
        <v>0.17172523961661343</v>
      </c>
      <c r="W217" s="33">
        <f t="shared" si="22"/>
        <v>-0.94736959422758116</v>
      </c>
      <c r="X217" s="4">
        <f t="shared" si="23"/>
        <v>-0.69206107386531979</v>
      </c>
    </row>
    <row r="218" spans="1:24" ht="14.5" x14ac:dyDescent="0.35">
      <c r="A218" s="52">
        <v>45079</v>
      </c>
      <c r="B218" s="51">
        <v>2906</v>
      </c>
      <c r="C218" s="1">
        <f t="shared" si="24"/>
        <v>2.650085349294496E-2</v>
      </c>
      <c r="R218" s="28">
        <v>217</v>
      </c>
      <c r="S218" s="29">
        <v>-1.2992158293652887E-2</v>
      </c>
      <c r="T218" s="41">
        <f t="shared" si="20"/>
        <v>0</v>
      </c>
      <c r="U218" s="4">
        <f t="shared" si="21"/>
        <v>-0.68216762552222954</v>
      </c>
      <c r="V218" s="15">
        <f t="shared" si="25"/>
        <v>0.17252396166134185</v>
      </c>
      <c r="W218" s="33">
        <f t="shared" si="22"/>
        <v>-0.94423822981663508</v>
      </c>
      <c r="X218" s="4">
        <f t="shared" si="23"/>
        <v>-0.68216762552222954</v>
      </c>
    </row>
    <row r="219" spans="1:24" ht="14.5" x14ac:dyDescent="0.35">
      <c r="A219" s="52">
        <v>45078</v>
      </c>
      <c r="B219" s="51">
        <v>2830</v>
      </c>
      <c r="C219" s="1">
        <f t="shared" si="24"/>
        <v>3.5398267051239868E-3</v>
      </c>
      <c r="R219" s="28">
        <v>218</v>
      </c>
      <c r="S219" s="29">
        <v>-1.2952562035727092E-2</v>
      </c>
      <c r="T219" s="41">
        <f t="shared" si="20"/>
        <v>0</v>
      </c>
      <c r="U219" s="4">
        <f t="shared" si="21"/>
        <v>-0.68007948658293693</v>
      </c>
      <c r="V219" s="15">
        <f t="shared" si="25"/>
        <v>0.17332268370607029</v>
      </c>
      <c r="W219" s="33">
        <f t="shared" si="22"/>
        <v>-0.94111609681416231</v>
      </c>
      <c r="X219" s="4">
        <f t="shared" si="23"/>
        <v>-0.68007948658293693</v>
      </c>
    </row>
    <row r="220" spans="1:24" ht="14.5" x14ac:dyDescent="0.35">
      <c r="A220" s="52">
        <v>45077</v>
      </c>
      <c r="B220" s="51">
        <v>2820</v>
      </c>
      <c r="C220" s="1">
        <f t="shared" si="24"/>
        <v>-5.6577237198588374E-3</v>
      </c>
      <c r="R220" s="28">
        <v>219</v>
      </c>
      <c r="S220" s="29">
        <v>-1.280284673838236E-2</v>
      </c>
      <c r="T220" s="41">
        <f t="shared" si="20"/>
        <v>0</v>
      </c>
      <c r="U220" s="4">
        <f t="shared" si="21"/>
        <v>-0.67218413589653658</v>
      </c>
      <c r="V220" s="15">
        <f t="shared" si="25"/>
        <v>0.17412140575079874</v>
      </c>
      <c r="W220" s="33">
        <f t="shared" si="22"/>
        <v>-0.93800311069529396</v>
      </c>
      <c r="X220" s="4">
        <f t="shared" si="23"/>
        <v>-0.67218413589653658</v>
      </c>
    </row>
    <row r="221" spans="1:24" ht="14.5" x14ac:dyDescent="0.35">
      <c r="A221" s="52">
        <v>45076</v>
      </c>
      <c r="B221" s="51">
        <v>2836</v>
      </c>
      <c r="C221" s="1">
        <f t="shared" si="24"/>
        <v>-1.052272073609902E-2</v>
      </c>
      <c r="R221" s="28">
        <v>220</v>
      </c>
      <c r="S221" s="29">
        <v>-1.2739025777429714E-2</v>
      </c>
      <c r="T221" s="41">
        <f t="shared" si="20"/>
        <v>0</v>
      </c>
      <c r="U221" s="4">
        <f t="shared" si="21"/>
        <v>-0.66881848871952199</v>
      </c>
      <c r="V221" s="15">
        <f t="shared" si="25"/>
        <v>0.17492012779552715</v>
      </c>
      <c r="W221" s="33">
        <f t="shared" si="22"/>
        <v>-0.93489918802994199</v>
      </c>
      <c r="X221" s="4">
        <f t="shared" si="23"/>
        <v>-0.66881848871952199</v>
      </c>
    </row>
    <row r="222" spans="1:24" ht="14.5" x14ac:dyDescent="0.35">
      <c r="A222" s="52">
        <v>45072</v>
      </c>
      <c r="B222" s="51">
        <v>2866</v>
      </c>
      <c r="C222" s="1">
        <f t="shared" si="24"/>
        <v>1.2640617750833808E-2</v>
      </c>
      <c r="R222" s="28">
        <v>221</v>
      </c>
      <c r="S222" s="29">
        <v>-1.2730016322006285E-2</v>
      </c>
      <c r="T222" s="41">
        <f t="shared" si="20"/>
        <v>0</v>
      </c>
      <c r="U222" s="4">
        <f t="shared" si="21"/>
        <v>-0.66834336819861973</v>
      </c>
      <c r="V222" s="15">
        <f t="shared" si="25"/>
        <v>0.1757188498402556</v>
      </c>
      <c r="W222" s="33">
        <f t="shared" si="22"/>
        <v>-0.93180424646341864</v>
      </c>
      <c r="X222" s="4">
        <f t="shared" si="23"/>
        <v>-0.66834336819861973</v>
      </c>
    </row>
    <row r="223" spans="1:24" ht="14.5" x14ac:dyDescent="0.35">
      <c r="A223" s="52">
        <v>45071</v>
      </c>
      <c r="B223" s="51">
        <v>2830</v>
      </c>
      <c r="C223" s="1">
        <f t="shared" si="24"/>
        <v>2.0707630327489544E-2</v>
      </c>
      <c r="R223" s="28">
        <v>222</v>
      </c>
      <c r="S223" s="29">
        <v>-1.2692826798418958E-2</v>
      </c>
      <c r="T223" s="41">
        <f t="shared" si="20"/>
        <v>0</v>
      </c>
      <c r="U223" s="4">
        <f t="shared" si="21"/>
        <v>-0.6663821502349937</v>
      </c>
      <c r="V223" s="15">
        <f t="shared" si="25"/>
        <v>0.17651757188498401</v>
      </c>
      <c r="W223" s="33">
        <f t="shared" si="22"/>
        <v>-0.9287182046974809</v>
      </c>
      <c r="X223" s="4">
        <f t="shared" si="23"/>
        <v>-0.6663821502349937</v>
      </c>
    </row>
    <row r="224" spans="1:24" ht="14.5" x14ac:dyDescent="0.35">
      <c r="A224" s="52">
        <v>45070</v>
      </c>
      <c r="B224" s="51">
        <v>2772</v>
      </c>
      <c r="C224" s="1">
        <f t="shared" si="24"/>
        <v>-2.162163004495237E-3</v>
      </c>
      <c r="R224" s="28">
        <v>223</v>
      </c>
      <c r="S224" s="29">
        <v>-1.269186788268423E-2</v>
      </c>
      <c r="T224" s="41">
        <f t="shared" si="20"/>
        <v>0</v>
      </c>
      <c r="U224" s="4">
        <f t="shared" si="21"/>
        <v>-0.66633158108048074</v>
      </c>
      <c r="V224" s="15">
        <f t="shared" si="25"/>
        <v>0.17731629392971246</v>
      </c>
      <c r="W224" s="33">
        <f t="shared" si="22"/>
        <v>-0.92564098247178539</v>
      </c>
      <c r="X224" s="4">
        <f t="shared" si="23"/>
        <v>-0.66633158108048074</v>
      </c>
    </row>
    <row r="225" spans="1:24" ht="14.5" x14ac:dyDescent="0.35">
      <c r="A225" s="52">
        <v>45069</v>
      </c>
      <c r="B225" s="51">
        <v>2778</v>
      </c>
      <c r="C225" s="1">
        <f t="shared" si="24"/>
        <v>-8.6022035826631912E-3</v>
      </c>
      <c r="R225" s="28">
        <v>224</v>
      </c>
      <c r="S225" s="29">
        <v>-1.266221319241812E-2</v>
      </c>
      <c r="T225" s="41">
        <f t="shared" si="20"/>
        <v>0</v>
      </c>
      <c r="U225" s="4">
        <f t="shared" si="21"/>
        <v>-0.66476771831361592</v>
      </c>
      <c r="V225" s="15">
        <f t="shared" si="25"/>
        <v>0.1781150159744409</v>
      </c>
      <c r="W225" s="33">
        <f t="shared" si="22"/>
        <v>-0.92257250054575202</v>
      </c>
      <c r="X225" s="4">
        <f t="shared" si="23"/>
        <v>-0.66476771831361592</v>
      </c>
    </row>
    <row r="226" spans="1:24" ht="14.5" x14ac:dyDescent="0.35">
      <c r="A226" s="52">
        <v>45068</v>
      </c>
      <c r="B226" s="51">
        <v>2802</v>
      </c>
      <c r="C226" s="1">
        <f t="shared" si="24"/>
        <v>7.1633544135640435E-3</v>
      </c>
      <c r="R226" s="28">
        <v>225</v>
      </c>
      <c r="S226" s="29">
        <v>-1.2628948172607336E-2</v>
      </c>
      <c r="T226" s="41">
        <f t="shared" si="20"/>
        <v>0</v>
      </c>
      <c r="U226" s="4">
        <f t="shared" si="21"/>
        <v>-0.66301346205754708</v>
      </c>
      <c r="V226" s="15">
        <f t="shared" si="25"/>
        <v>0.17891373801916932</v>
      </c>
      <c r="W226" s="33">
        <f t="shared" si="22"/>
        <v>-0.9195126806808277</v>
      </c>
      <c r="X226" s="4">
        <f t="shared" si="23"/>
        <v>-0.66301346205754708</v>
      </c>
    </row>
    <row r="227" spans="1:24" ht="14.5" x14ac:dyDescent="0.35">
      <c r="A227" s="52">
        <v>45065</v>
      </c>
      <c r="B227" s="51">
        <v>2782</v>
      </c>
      <c r="C227" s="1">
        <f t="shared" si="24"/>
        <v>-9.3023926623135612E-3</v>
      </c>
      <c r="R227" s="28">
        <v>226</v>
      </c>
      <c r="S227" s="29">
        <v>-1.2553516602189743E-2</v>
      </c>
      <c r="T227" s="41">
        <f t="shared" si="20"/>
        <v>0</v>
      </c>
      <c r="U227" s="4">
        <f t="shared" si="21"/>
        <v>-0.65903552051225889</v>
      </c>
      <c r="V227" s="15">
        <f t="shared" si="25"/>
        <v>0.17971246006389777</v>
      </c>
      <c r="W227" s="33">
        <f t="shared" si="22"/>
        <v>-0.91646144562313392</v>
      </c>
      <c r="X227" s="4">
        <f t="shared" si="23"/>
        <v>-0.65903552051225889</v>
      </c>
    </row>
    <row r="228" spans="1:24" ht="14.5" x14ac:dyDescent="0.35">
      <c r="A228" s="52">
        <v>45064</v>
      </c>
      <c r="B228" s="51">
        <v>2808</v>
      </c>
      <c r="C228" s="1">
        <f t="shared" si="24"/>
        <v>8.583743691391435E-3</v>
      </c>
      <c r="R228" s="28">
        <v>227</v>
      </c>
      <c r="S228" s="29">
        <v>-1.2474174225175688E-2</v>
      </c>
      <c r="T228" s="41">
        <f t="shared" si="20"/>
        <v>0</v>
      </c>
      <c r="U228" s="4">
        <f t="shared" si="21"/>
        <v>-0.65485133959067865</v>
      </c>
      <c r="V228" s="15">
        <f t="shared" si="25"/>
        <v>0.18051118210862621</v>
      </c>
      <c r="W228" s="33">
        <f t="shared" si="22"/>
        <v>-0.91341871908648442</v>
      </c>
      <c r="X228" s="4">
        <f t="shared" si="23"/>
        <v>-0.65485133959067865</v>
      </c>
    </row>
    <row r="229" spans="1:24" ht="14.5" x14ac:dyDescent="0.35">
      <c r="A229" s="52">
        <v>45063</v>
      </c>
      <c r="B229" s="51">
        <v>2784</v>
      </c>
      <c r="C229" s="1">
        <f t="shared" si="24"/>
        <v>1.0108389320761057E-2</v>
      </c>
      <c r="R229" s="28">
        <v>228</v>
      </c>
      <c r="S229" s="29">
        <v>-1.2367648808661643E-2</v>
      </c>
      <c r="T229" s="41">
        <f t="shared" si="20"/>
        <v>0</v>
      </c>
      <c r="U229" s="4">
        <f t="shared" si="21"/>
        <v>-0.64923364029535113</v>
      </c>
      <c r="V229" s="15">
        <f t="shared" si="25"/>
        <v>0.18130990415335463</v>
      </c>
      <c r="W229" s="33">
        <f t="shared" si="22"/>
        <v>-0.91038442573578204</v>
      </c>
      <c r="X229" s="4">
        <f t="shared" si="23"/>
        <v>-0.64923364029535113</v>
      </c>
    </row>
    <row r="230" spans="1:24" ht="14.5" x14ac:dyDescent="0.35">
      <c r="A230" s="52">
        <v>45062</v>
      </c>
      <c r="B230" s="51">
        <v>2756</v>
      </c>
      <c r="C230" s="1">
        <f t="shared" si="24"/>
        <v>5.0927720112894856E-3</v>
      </c>
      <c r="R230" s="28">
        <v>229</v>
      </c>
      <c r="S230" s="29">
        <v>-1.2357880846600276E-2</v>
      </c>
      <c r="T230" s="41">
        <f t="shared" si="20"/>
        <v>0</v>
      </c>
      <c r="U230" s="4">
        <f t="shared" si="21"/>
        <v>-0.64871851934689939</v>
      </c>
      <c r="V230" s="15">
        <f t="shared" si="25"/>
        <v>0.18210862619808307</v>
      </c>
      <c r="W230" s="33">
        <f t="shared" si="22"/>
        <v>-0.90735849117074663</v>
      </c>
      <c r="X230" s="4">
        <f t="shared" si="23"/>
        <v>-0.64871851934689939</v>
      </c>
    </row>
    <row r="231" spans="1:24" ht="14.5" x14ac:dyDescent="0.35">
      <c r="A231" s="52">
        <v>45061</v>
      </c>
      <c r="B231" s="51">
        <v>2742</v>
      </c>
      <c r="C231" s="1">
        <f t="shared" si="24"/>
        <v>-2.1857932199802082E-3</v>
      </c>
      <c r="R231" s="28">
        <v>230</v>
      </c>
      <c r="S231" s="29">
        <v>-1.235091863400917E-2</v>
      </c>
      <c r="T231" s="41">
        <f t="shared" si="20"/>
        <v>0</v>
      </c>
      <c r="U231" s="4">
        <f t="shared" si="21"/>
        <v>-0.64835136174219943</v>
      </c>
      <c r="V231" s="15">
        <f t="shared" si="25"/>
        <v>0.18290734824281149</v>
      </c>
      <c r="W231" s="33">
        <f t="shared" si="22"/>
        <v>-0.90434084191002306</v>
      </c>
      <c r="X231" s="4">
        <f t="shared" si="23"/>
        <v>-0.64835136174219943</v>
      </c>
    </row>
    <row r="232" spans="1:24" ht="14.5" x14ac:dyDescent="0.35">
      <c r="A232" s="52">
        <v>45058</v>
      </c>
      <c r="B232" s="51">
        <v>2748</v>
      </c>
      <c r="C232" s="1">
        <f t="shared" si="24"/>
        <v>-6.5288588824635556E-3</v>
      </c>
      <c r="R232" s="28">
        <v>231</v>
      </c>
      <c r="S232" s="29">
        <v>-1.2220111334775333E-2</v>
      </c>
      <c r="T232" s="41">
        <f t="shared" si="20"/>
        <v>0</v>
      </c>
      <c r="U232" s="4">
        <f t="shared" si="21"/>
        <v>-0.64145313879431975</v>
      </c>
      <c r="V232" s="15">
        <f t="shared" si="25"/>
        <v>0.18370607028753994</v>
      </c>
      <c r="W232" s="33">
        <f t="shared" si="22"/>
        <v>-0.90133140537559198</v>
      </c>
      <c r="X232" s="4">
        <f t="shared" si="23"/>
        <v>-0.64145313879431975</v>
      </c>
    </row>
    <row r="233" spans="1:24" ht="14.5" x14ac:dyDescent="0.35">
      <c r="A233" s="52">
        <v>45057</v>
      </c>
      <c r="B233" s="51">
        <v>2766</v>
      </c>
      <c r="C233" s="1">
        <f t="shared" si="24"/>
        <v>-1.3644735929777186E-2</v>
      </c>
      <c r="R233" s="28">
        <v>232</v>
      </c>
      <c r="S233" s="29">
        <v>-1.2158204479809519E-2</v>
      </c>
      <c r="T233" s="41">
        <f t="shared" si="20"/>
        <v>0</v>
      </c>
      <c r="U233" s="4">
        <f t="shared" si="21"/>
        <v>-0.6381884334601563</v>
      </c>
      <c r="V233" s="15">
        <f t="shared" si="25"/>
        <v>0.18450479233226838</v>
      </c>
      <c r="W233" s="33">
        <f t="shared" si="22"/>
        <v>-0.89833010987754269</v>
      </c>
      <c r="X233" s="4">
        <f t="shared" si="23"/>
        <v>-0.6381884334601563</v>
      </c>
    </row>
    <row r="234" spans="1:24" ht="14.5" x14ac:dyDescent="0.35">
      <c r="A234" s="52">
        <v>45056</v>
      </c>
      <c r="B234" s="51">
        <v>2804</v>
      </c>
      <c r="C234" s="1">
        <f t="shared" si="24"/>
        <v>2.857144800779744E-3</v>
      </c>
      <c r="R234" s="28">
        <v>233</v>
      </c>
      <c r="S234" s="29">
        <v>-1.2020486854124776E-2</v>
      </c>
      <c r="T234" s="41">
        <f t="shared" si="20"/>
        <v>0</v>
      </c>
      <c r="U234" s="4">
        <f t="shared" si="21"/>
        <v>-0.63092578916285524</v>
      </c>
      <c r="V234" s="15">
        <f t="shared" si="25"/>
        <v>0.1853035143769968</v>
      </c>
      <c r="W234" s="33">
        <f t="shared" si="22"/>
        <v>-0.89533688459914473</v>
      </c>
      <c r="X234" s="4">
        <f t="shared" si="23"/>
        <v>-0.63092578916285524</v>
      </c>
    </row>
    <row r="235" spans="1:24" ht="14.5" x14ac:dyDescent="0.35">
      <c r="A235" s="52">
        <v>45055</v>
      </c>
      <c r="B235" s="51">
        <v>2796</v>
      </c>
      <c r="C235" s="1">
        <f t="shared" si="24"/>
        <v>1.0787591128997385E-2</v>
      </c>
      <c r="R235" s="28">
        <v>234</v>
      </c>
      <c r="S235" s="29">
        <v>-1.2001187609689542E-2</v>
      </c>
      <c r="T235" s="41">
        <f t="shared" si="20"/>
        <v>0</v>
      </c>
      <c r="U235" s="4">
        <f t="shared" si="21"/>
        <v>-0.62990802875025109</v>
      </c>
      <c r="V235" s="15">
        <f t="shared" si="25"/>
        <v>0.18610223642172524</v>
      </c>
      <c r="W235" s="33">
        <f t="shared" si="22"/>
        <v>-0.89235165958223872</v>
      </c>
      <c r="X235" s="4">
        <f t="shared" si="23"/>
        <v>-0.62990802875025109</v>
      </c>
    </row>
    <row r="236" spans="1:24" ht="14.5" x14ac:dyDescent="0.35">
      <c r="A236" s="52">
        <v>45054</v>
      </c>
      <c r="B236" s="51">
        <v>2766</v>
      </c>
      <c r="C236" s="1">
        <f t="shared" si="24"/>
        <v>-5.0486944599792225E-3</v>
      </c>
      <c r="R236" s="28">
        <v>235</v>
      </c>
      <c r="S236" s="29">
        <v>-1.1938064581225007E-2</v>
      </c>
      <c r="T236" s="41">
        <f t="shared" si="20"/>
        <v>0</v>
      </c>
      <c r="U236" s="4">
        <f t="shared" si="21"/>
        <v>-0.6265791875766763</v>
      </c>
      <c r="V236" s="15">
        <f t="shared" si="25"/>
        <v>0.18690095846645369</v>
      </c>
      <c r="W236" s="33">
        <f t="shared" si="22"/>
        <v>-0.88937436571293493</v>
      </c>
      <c r="X236" s="4">
        <f t="shared" si="23"/>
        <v>-0.6265791875766763</v>
      </c>
    </row>
    <row r="237" spans="1:24" ht="14.5" x14ac:dyDescent="0.35">
      <c r="A237" s="52">
        <v>45051</v>
      </c>
      <c r="B237" s="51">
        <v>2780</v>
      </c>
      <c r="C237" s="1">
        <f t="shared" si="24"/>
        <v>-7.168489478612516E-3</v>
      </c>
      <c r="R237" s="28">
        <v>236</v>
      </c>
      <c r="S237" s="29">
        <v>-1.1913767125848931E-2</v>
      </c>
      <c r="T237" s="41">
        <f t="shared" si="20"/>
        <v>0</v>
      </c>
      <c r="U237" s="4">
        <f t="shared" si="21"/>
        <v>-0.62529784268818733</v>
      </c>
      <c r="V237" s="15">
        <f t="shared" si="25"/>
        <v>0.1876996805111821</v>
      </c>
      <c r="W237" s="33">
        <f t="shared" si="22"/>
        <v>-0.88640493470760906</v>
      </c>
      <c r="X237" s="4">
        <f t="shared" si="23"/>
        <v>-0.62529784268818733</v>
      </c>
    </row>
    <row r="238" spans="1:24" ht="14.5" x14ac:dyDescent="0.35">
      <c r="A238" s="52">
        <v>45050</v>
      </c>
      <c r="B238" s="51">
        <v>2800</v>
      </c>
      <c r="C238" s="1">
        <f t="shared" si="24"/>
        <v>-2.1405644991109884E-3</v>
      </c>
      <c r="R238" s="28">
        <v>237</v>
      </c>
      <c r="S238" s="29">
        <v>-1.1904902506318314E-2</v>
      </c>
      <c r="T238" s="41">
        <f t="shared" si="20"/>
        <v>0</v>
      </c>
      <c r="U238" s="4">
        <f t="shared" si="21"/>
        <v>-0.62483036019884231</v>
      </c>
      <c r="V238" s="15">
        <f t="shared" si="25"/>
        <v>0.18849840255591055</v>
      </c>
      <c r="W238" s="33">
        <f t="shared" si="22"/>
        <v>-0.88344329909918407</v>
      </c>
      <c r="X238" s="4">
        <f t="shared" si="23"/>
        <v>-0.62483036019884231</v>
      </c>
    </row>
    <row r="239" spans="1:24" ht="14.5" x14ac:dyDescent="0.35">
      <c r="A239" s="52">
        <v>45049</v>
      </c>
      <c r="B239" s="51">
        <v>2806</v>
      </c>
      <c r="C239" s="1">
        <f t="shared" si="24"/>
        <v>2.0159070001789271E-2</v>
      </c>
      <c r="R239" s="28">
        <v>238</v>
      </c>
      <c r="S239" s="29">
        <v>-1.1859225142143479E-2</v>
      </c>
      <c r="T239" s="41">
        <f t="shared" si="20"/>
        <v>0</v>
      </c>
      <c r="U239" s="4">
        <f t="shared" si="21"/>
        <v>-0.62242152947154306</v>
      </c>
      <c r="V239" s="15">
        <f t="shared" si="25"/>
        <v>0.18929712460063897</v>
      </c>
      <c r="W239" s="33">
        <f t="shared" si="22"/>
        <v>-0.88048939222369371</v>
      </c>
      <c r="X239" s="4">
        <f t="shared" si="23"/>
        <v>-0.62242152947154306</v>
      </c>
    </row>
    <row r="240" spans="1:24" ht="14.5" x14ac:dyDescent="0.35">
      <c r="A240" s="52">
        <v>45048</v>
      </c>
      <c r="B240" s="51">
        <v>2750</v>
      </c>
      <c r="C240" s="1">
        <f t="shared" si="24"/>
        <v>2.9133305383573071E-3</v>
      </c>
      <c r="R240" s="28">
        <v>239</v>
      </c>
      <c r="S240" s="29">
        <v>-1.1643660432063345E-2</v>
      </c>
      <c r="T240" s="41">
        <f t="shared" si="20"/>
        <v>0</v>
      </c>
      <c r="U240" s="4">
        <f t="shared" si="21"/>
        <v>-0.61105355965229369</v>
      </c>
      <c r="V240" s="15">
        <f t="shared" si="25"/>
        <v>0.19009584664536741</v>
      </c>
      <c r="W240" s="33">
        <f t="shared" si="22"/>
        <v>-0.87754314820713331</v>
      </c>
      <c r="X240" s="4">
        <f t="shared" si="23"/>
        <v>-0.61105355965229369</v>
      </c>
    </row>
    <row r="241" spans="1:24" ht="14.5" x14ac:dyDescent="0.35">
      <c r="A241" s="52">
        <v>45044</v>
      </c>
      <c r="B241" s="51">
        <v>2742</v>
      </c>
      <c r="C241" s="1">
        <f t="shared" si="24"/>
        <v>2.9218428383647722E-3</v>
      </c>
      <c r="R241" s="28">
        <v>240</v>
      </c>
      <c r="S241" s="29">
        <v>-1.160554612030789E-2</v>
      </c>
      <c r="T241" s="41">
        <f t="shared" si="20"/>
        <v>0</v>
      </c>
      <c r="U241" s="4">
        <f t="shared" si="21"/>
        <v>-0.60904357227747519</v>
      </c>
      <c r="V241" s="15">
        <f t="shared" si="25"/>
        <v>0.19089456869009586</v>
      </c>
      <c r="W241" s="33">
        <f t="shared" si="22"/>
        <v>-0.87460450195256456</v>
      </c>
      <c r="X241" s="4">
        <f t="shared" si="23"/>
        <v>-0.60904357227747519</v>
      </c>
    </row>
    <row r="242" spans="1:24" ht="14.5" x14ac:dyDescent="0.35">
      <c r="A242" s="52">
        <v>45043</v>
      </c>
      <c r="B242" s="51">
        <v>2734</v>
      </c>
      <c r="C242" s="1">
        <f t="shared" si="24"/>
        <v>3.9542637679393658E-2</v>
      </c>
      <c r="R242" s="28">
        <v>241</v>
      </c>
      <c r="S242" s="29">
        <v>-1.1560822401075971E-2</v>
      </c>
      <c r="T242" s="41">
        <f t="shared" si="20"/>
        <v>0</v>
      </c>
      <c r="U242" s="4">
        <f t="shared" si="21"/>
        <v>-0.60668503274545238</v>
      </c>
      <c r="V242" s="15">
        <f t="shared" si="25"/>
        <v>0.19169329073482427</v>
      </c>
      <c r="W242" s="33">
        <f t="shared" si="22"/>
        <v>-0.87167338912749059</v>
      </c>
      <c r="X242" s="4">
        <f t="shared" si="23"/>
        <v>-0.60668503274545238</v>
      </c>
    </row>
    <row r="243" spans="1:24" ht="14.5" x14ac:dyDescent="0.35">
      <c r="A243" s="52">
        <v>45042</v>
      </c>
      <c r="B243" s="51">
        <v>2628</v>
      </c>
      <c r="C243" s="1">
        <f t="shared" si="24"/>
        <v>4.5766670274118935E-3</v>
      </c>
      <c r="R243" s="28">
        <v>242</v>
      </c>
      <c r="S243" s="29">
        <v>-1.1521645584344046E-2</v>
      </c>
      <c r="T243" s="41">
        <f t="shared" si="20"/>
        <v>0</v>
      </c>
      <c r="U243" s="4">
        <f t="shared" si="21"/>
        <v>-0.6046190133582473</v>
      </c>
      <c r="V243" s="15">
        <f t="shared" si="25"/>
        <v>0.19249201277955272</v>
      </c>
      <c r="W243" s="33">
        <f t="shared" si="22"/>
        <v>-0.86874974615148604</v>
      </c>
      <c r="X243" s="4">
        <f t="shared" si="23"/>
        <v>-0.6046190133582473</v>
      </c>
    </row>
    <row r="244" spans="1:24" ht="14.5" x14ac:dyDescent="0.35">
      <c r="A244" s="52">
        <v>45041</v>
      </c>
      <c r="B244" s="51">
        <v>2616</v>
      </c>
      <c r="C244" s="1">
        <f t="shared" si="24"/>
        <v>-1.2158204479809519E-2</v>
      </c>
      <c r="R244" s="28">
        <v>243</v>
      </c>
      <c r="S244" s="29">
        <v>-1.1451792378772568E-2</v>
      </c>
      <c r="T244" s="41">
        <f t="shared" si="20"/>
        <v>0</v>
      </c>
      <c r="U244" s="4">
        <f t="shared" si="21"/>
        <v>-0.60093525114865753</v>
      </c>
      <c r="V244" s="15">
        <f t="shared" si="25"/>
        <v>0.19329073482428116</v>
      </c>
      <c r="W244" s="33">
        <f t="shared" si="22"/>
        <v>-0.86583351018407173</v>
      </c>
      <c r="X244" s="4">
        <f t="shared" si="23"/>
        <v>-0.60093525114865753</v>
      </c>
    </row>
    <row r="245" spans="1:24" ht="14.5" x14ac:dyDescent="0.35">
      <c r="A245" s="52">
        <v>45040</v>
      </c>
      <c r="B245" s="51">
        <v>2648</v>
      </c>
      <c r="C245" s="1">
        <f t="shared" si="24"/>
        <v>-2.240571697526678E-2</v>
      </c>
      <c r="R245" s="28">
        <v>244</v>
      </c>
      <c r="S245" s="29">
        <v>-1.1382781087280068E-2</v>
      </c>
      <c r="T245" s="41">
        <f t="shared" si="20"/>
        <v>0</v>
      </c>
      <c r="U245" s="4">
        <f t="shared" si="21"/>
        <v>-0.59729588792179855</v>
      </c>
      <c r="V245" s="15">
        <f t="shared" si="25"/>
        <v>0.19408945686900958</v>
      </c>
      <c r="W245" s="33">
        <f t="shared" si="22"/>
        <v>-0.86292461911284923</v>
      </c>
      <c r="X245" s="4">
        <f t="shared" si="23"/>
        <v>-0.59729588792179855</v>
      </c>
    </row>
    <row r="246" spans="1:24" ht="14.5" x14ac:dyDescent="0.35">
      <c r="A246" s="52">
        <v>45037</v>
      </c>
      <c r="B246" s="51">
        <v>2708</v>
      </c>
      <c r="C246" s="1">
        <f t="shared" si="24"/>
        <v>1.0393560527263302E-2</v>
      </c>
      <c r="R246" s="28">
        <v>245</v>
      </c>
      <c r="S246" s="29">
        <v>-1.1247224087347589E-2</v>
      </c>
      <c r="T246" s="41">
        <f t="shared" si="20"/>
        <v>0</v>
      </c>
      <c r="U246" s="4">
        <f t="shared" si="21"/>
        <v>-0.59014718587568182</v>
      </c>
      <c r="V246" s="15">
        <f t="shared" si="25"/>
        <v>0.19488817891373802</v>
      </c>
      <c r="W246" s="33">
        <f t="shared" si="22"/>
        <v>-0.86002301154184813</v>
      </c>
      <c r="X246" s="4">
        <f t="shared" si="23"/>
        <v>-0.59014718587568182</v>
      </c>
    </row>
    <row r="247" spans="1:24" ht="14.5" x14ac:dyDescent="0.35">
      <c r="A247" s="52">
        <v>45036</v>
      </c>
      <c r="B247" s="51">
        <v>2680</v>
      </c>
      <c r="C247" s="1">
        <f t="shared" si="24"/>
        <v>3.7383221106071581E-3</v>
      </c>
      <c r="R247" s="28">
        <v>246</v>
      </c>
      <c r="S247" s="29">
        <v>-1.1246604016715298E-2</v>
      </c>
      <c r="T247" s="41">
        <f t="shared" si="20"/>
        <v>0</v>
      </c>
      <c r="U247" s="4">
        <f t="shared" si="21"/>
        <v>-0.59011448597674621</v>
      </c>
      <c r="V247" s="15">
        <f t="shared" si="25"/>
        <v>0.19568690095846644</v>
      </c>
      <c r="W247" s="33">
        <f t="shared" si="22"/>
        <v>-0.85712862678012414</v>
      </c>
      <c r="X247" s="4">
        <f t="shared" si="23"/>
        <v>-0.59011448597674621</v>
      </c>
    </row>
    <row r="248" spans="1:24" ht="14.5" x14ac:dyDescent="0.35">
      <c r="A248" s="52">
        <v>45035</v>
      </c>
      <c r="B248" s="51">
        <v>2670</v>
      </c>
      <c r="C248" s="1">
        <f t="shared" si="24"/>
        <v>-1.6345089000519248E-2</v>
      </c>
      <c r="R248" s="28">
        <v>247</v>
      </c>
      <c r="S248" s="29">
        <v>-1.1231219569500449E-2</v>
      </c>
      <c r="T248" s="41">
        <f t="shared" si="20"/>
        <v>0</v>
      </c>
      <c r="U248" s="4">
        <f t="shared" si="21"/>
        <v>-0.58930317538903809</v>
      </c>
      <c r="V248" s="15">
        <f t="shared" si="25"/>
        <v>0.19648562300319489</v>
      </c>
      <c r="W248" s="33">
        <f t="shared" si="22"/>
        <v>-0.85424140483057942</v>
      </c>
      <c r="X248" s="4">
        <f t="shared" si="23"/>
        <v>-0.58930317538903809</v>
      </c>
    </row>
    <row r="249" spans="1:24" ht="14.5" x14ac:dyDescent="0.35">
      <c r="A249" s="52">
        <v>45034</v>
      </c>
      <c r="B249" s="51">
        <v>2714</v>
      </c>
      <c r="C249" s="1">
        <f t="shared" si="24"/>
        <v>0</v>
      </c>
      <c r="R249" s="28">
        <v>248</v>
      </c>
      <c r="S249" s="29">
        <v>-1.121888360478829E-2</v>
      </c>
      <c r="T249" s="41">
        <f t="shared" si="20"/>
        <v>0</v>
      </c>
      <c r="U249" s="4">
        <f t="shared" si="21"/>
        <v>-0.58865262885715441</v>
      </c>
      <c r="V249" s="15">
        <f t="shared" si="25"/>
        <v>0.19728434504792333</v>
      </c>
      <c r="W249" s="33">
        <f t="shared" si="22"/>
        <v>-0.85136128637899944</v>
      </c>
      <c r="X249" s="4">
        <f t="shared" si="23"/>
        <v>-0.58865262885715441</v>
      </c>
    </row>
    <row r="250" spans="1:24" ht="14.5" x14ac:dyDescent="0.35">
      <c r="A250" s="52">
        <v>45033</v>
      </c>
      <c r="B250" s="51">
        <v>2714</v>
      </c>
      <c r="C250" s="1">
        <f t="shared" si="24"/>
        <v>5.9128036271133217E-3</v>
      </c>
      <c r="R250" s="28">
        <v>249</v>
      </c>
      <c r="S250" s="29">
        <v>-1.1137744410455872E-2</v>
      </c>
      <c r="T250" s="41">
        <f t="shared" si="20"/>
        <v>0</v>
      </c>
      <c r="U250" s="4">
        <f t="shared" si="21"/>
        <v>-0.58437369140034046</v>
      </c>
      <c r="V250" s="15">
        <f t="shared" si="25"/>
        <v>0.19808306709265175</v>
      </c>
      <c r="W250" s="33">
        <f t="shared" si="22"/>
        <v>-0.84848821278331166</v>
      </c>
      <c r="X250" s="4">
        <f t="shared" si="23"/>
        <v>-0.58437369140034046</v>
      </c>
    </row>
    <row r="251" spans="1:24" ht="14.5" x14ac:dyDescent="0.35">
      <c r="A251" s="52">
        <v>45030</v>
      </c>
      <c r="B251" s="51">
        <v>2698</v>
      </c>
      <c r="C251" s="1">
        <f t="shared" si="24"/>
        <v>3.2394546371379507E-2</v>
      </c>
      <c r="R251" s="28">
        <v>250</v>
      </c>
      <c r="S251" s="29">
        <v>-1.1095814255054463E-2</v>
      </c>
      <c r="T251" s="41">
        <f t="shared" si="20"/>
        <v>0</v>
      </c>
      <c r="U251" s="4">
        <f t="shared" si="21"/>
        <v>-0.58216247259303899</v>
      </c>
      <c r="V251" s="15">
        <f t="shared" si="25"/>
        <v>0.19888178913738019</v>
      </c>
      <c r="W251" s="33">
        <f t="shared" si="22"/>
        <v>-0.84562212606304721</v>
      </c>
      <c r="X251" s="4">
        <f t="shared" si="23"/>
        <v>-0.58216247259303899</v>
      </c>
    </row>
    <row r="252" spans="1:24" ht="14.5" x14ac:dyDescent="0.35">
      <c r="A252" s="52">
        <v>45029</v>
      </c>
      <c r="B252" s="51">
        <v>2612</v>
      </c>
      <c r="C252" s="1">
        <f t="shared" si="24"/>
        <v>-1.7457748876868923E-2</v>
      </c>
      <c r="R252" s="28">
        <v>251</v>
      </c>
      <c r="S252" s="29">
        <v>-1.1014040721866493E-2</v>
      </c>
      <c r="T252" s="41">
        <f t="shared" si="20"/>
        <v>0</v>
      </c>
      <c r="U252" s="4">
        <f t="shared" si="21"/>
        <v>-0.57785008279162553</v>
      </c>
      <c r="V252" s="15">
        <f t="shared" si="25"/>
        <v>0.19968051118210864</v>
      </c>
      <c r="W252" s="33">
        <f t="shared" si="22"/>
        <v>-0.84276296888901658</v>
      </c>
      <c r="X252" s="4">
        <f t="shared" si="23"/>
        <v>-0.57785008279162553</v>
      </c>
    </row>
    <row r="253" spans="1:24" ht="14.5" x14ac:dyDescent="0.35">
      <c r="A253" s="52">
        <v>45028</v>
      </c>
      <c r="B253" s="51">
        <v>2658</v>
      </c>
      <c r="C253" s="1">
        <f t="shared" si="24"/>
        <v>-1.9374674600555905E-2</v>
      </c>
      <c r="R253" s="28">
        <v>252</v>
      </c>
      <c r="S253" s="29">
        <v>-1.0981579130485308E-2</v>
      </c>
      <c r="T253" s="41">
        <f t="shared" si="20"/>
        <v>0</v>
      </c>
      <c r="U253" s="4">
        <f t="shared" si="21"/>
        <v>-0.57613819594813931</v>
      </c>
      <c r="V253" s="15">
        <f t="shared" si="25"/>
        <v>0.20047923322683706</v>
      </c>
      <c r="W253" s="33">
        <f t="shared" si="22"/>
        <v>-0.83991068457318152</v>
      </c>
      <c r="X253" s="4">
        <f t="shared" si="23"/>
        <v>-0.57613819594813931</v>
      </c>
    </row>
    <row r="254" spans="1:24" ht="14.5" x14ac:dyDescent="0.35">
      <c r="A254" s="52">
        <v>45027</v>
      </c>
      <c r="B254" s="51">
        <v>2710</v>
      </c>
      <c r="C254" s="1">
        <f t="shared" si="24"/>
        <v>-1.4749265210678676E-3</v>
      </c>
      <c r="R254" s="28">
        <v>253</v>
      </c>
      <c r="S254" s="29">
        <v>-1.093903342043161E-2</v>
      </c>
      <c r="T254" s="41">
        <f t="shared" si="20"/>
        <v>0</v>
      </c>
      <c r="U254" s="4">
        <f t="shared" si="21"/>
        <v>-0.57389451539556102</v>
      </c>
      <c r="V254" s="15">
        <f t="shared" si="25"/>
        <v>0.2012779552715655</v>
      </c>
      <c r="W254" s="33">
        <f t="shared" si="22"/>
        <v>-0.83706521705872339</v>
      </c>
      <c r="X254" s="4">
        <f t="shared" si="23"/>
        <v>-0.57389451539556102</v>
      </c>
    </row>
    <row r="255" spans="1:24" ht="14.5" x14ac:dyDescent="0.35">
      <c r="A255" s="52">
        <v>45022</v>
      </c>
      <c r="B255" s="51">
        <v>2714</v>
      </c>
      <c r="C255" s="1">
        <f t="shared" si="24"/>
        <v>3.6914032319596769E-3</v>
      </c>
      <c r="R255" s="28">
        <v>254</v>
      </c>
      <c r="S255" s="29">
        <v>-1.0923385596984289E-2</v>
      </c>
      <c r="T255" s="41">
        <f t="shared" si="20"/>
        <v>0</v>
      </c>
      <c r="U255" s="4">
        <f t="shared" si="21"/>
        <v>-0.57306931546084083</v>
      </c>
      <c r="V255" s="15">
        <f t="shared" si="25"/>
        <v>0.20207667731629392</v>
      </c>
      <c r="W255" s="33">
        <f t="shared" si="22"/>
        <v>-0.83422651091030442</v>
      </c>
      <c r="X255" s="4">
        <f t="shared" si="23"/>
        <v>-0.57306931546084083</v>
      </c>
    </row>
    <row r="256" spans="1:24" ht="14.5" x14ac:dyDescent="0.35">
      <c r="A256" s="52">
        <v>45021</v>
      </c>
      <c r="B256" s="51">
        <v>2704</v>
      </c>
      <c r="C256" s="1">
        <f t="shared" si="24"/>
        <v>9.6619109117368901E-3</v>
      </c>
      <c r="R256" s="28">
        <v>255</v>
      </c>
      <c r="S256" s="29">
        <v>-1.0897310889166002E-2</v>
      </c>
      <c r="T256" s="41">
        <f t="shared" si="20"/>
        <v>0</v>
      </c>
      <c r="U256" s="4">
        <f t="shared" si="21"/>
        <v>-0.5716942458058224</v>
      </c>
      <c r="V256" s="15">
        <f t="shared" si="25"/>
        <v>0.20287539936102236</v>
      </c>
      <c r="W256" s="33">
        <f t="shared" si="22"/>
        <v>-0.83139451130451492</v>
      </c>
      <c r="X256" s="4">
        <f t="shared" si="23"/>
        <v>-0.5716942458058224</v>
      </c>
    </row>
    <row r="257" spans="1:24" ht="14.5" x14ac:dyDescent="0.35">
      <c r="A257" s="52">
        <v>45020</v>
      </c>
      <c r="B257" s="51">
        <v>2678</v>
      </c>
      <c r="C257" s="1">
        <f t="shared" si="24"/>
        <v>2.8789867178667126E-2</v>
      </c>
      <c r="R257" s="28">
        <v>256</v>
      </c>
      <c r="S257" s="29">
        <v>-1.0889399799268319E-2</v>
      </c>
      <c r="T257" s="41">
        <f t="shared" si="20"/>
        <v>0</v>
      </c>
      <c r="U257" s="4">
        <f t="shared" si="21"/>
        <v>-0.57127704843079385</v>
      </c>
      <c r="V257" s="15">
        <f t="shared" si="25"/>
        <v>0.20367412140575081</v>
      </c>
      <c r="W257" s="33">
        <f t="shared" si="22"/>
        <v>-0.82856916402050429</v>
      </c>
      <c r="X257" s="4">
        <f t="shared" si="23"/>
        <v>-0.57127704843079385</v>
      </c>
    </row>
    <row r="258" spans="1:24" ht="14.5" x14ac:dyDescent="0.35">
      <c r="A258" s="52">
        <v>45019</v>
      </c>
      <c r="B258" s="51">
        <v>2602</v>
      </c>
      <c r="C258" s="1">
        <f t="shared" si="24"/>
        <v>1.471184103188982E-2</v>
      </c>
      <c r="R258" s="28">
        <v>257</v>
      </c>
      <c r="S258" s="29">
        <v>-1.0845401360047963E-2</v>
      </c>
      <c r="T258" s="41">
        <f t="shared" si="20"/>
        <v>0</v>
      </c>
      <c r="U258" s="4">
        <f t="shared" si="21"/>
        <v>-0.56895675709477156</v>
      </c>
      <c r="V258" s="15">
        <f t="shared" si="25"/>
        <v>0.20447284345047922</v>
      </c>
      <c r="W258" s="33">
        <f t="shared" si="22"/>
        <v>-0.82575041543078953</v>
      </c>
      <c r="X258" s="4">
        <f t="shared" si="23"/>
        <v>-0.56895675709477156</v>
      </c>
    </row>
    <row r="259" spans="1:24" ht="14.5" x14ac:dyDescent="0.35">
      <c r="A259" s="52">
        <v>45016</v>
      </c>
      <c r="B259" s="51">
        <v>2564</v>
      </c>
      <c r="C259" s="1">
        <f t="shared" si="24"/>
        <v>2.5277807184268607E-2</v>
      </c>
      <c r="R259" s="28">
        <v>258</v>
      </c>
      <c r="S259" s="29">
        <v>-1.0810916104215617E-2</v>
      </c>
      <c r="T259" s="41">
        <f t="shared" ref="T259:T322" si="26">+IF(OR(S259&lt;($Z$3-3*$Z$4^0.5),S259&gt;($Z$3+3*$Z$4^0.5)),1,0)</f>
        <v>0</v>
      </c>
      <c r="U259" s="4">
        <f t="shared" ref="U259:U322" si="27">+(S259-AVERAGE($S$2:$S$1252))/_xlfn.STDEV.S($S$2:$S$1252)</f>
        <v>-0.56713815075904317</v>
      </c>
      <c r="V259" s="15">
        <f t="shared" si="25"/>
        <v>0.20527156549520767</v>
      </c>
      <c r="W259" s="33">
        <f t="shared" ref="W259:W322" si="28">+_xlfn.NORM.S.INV(V259)</f>
        <v>-0.82293821249223731</v>
      </c>
      <c r="X259" s="4">
        <f t="shared" ref="X259:X322" si="29">+U259</f>
        <v>-0.56713815075904317</v>
      </c>
    </row>
    <row r="260" spans="1:24" ht="14.5" x14ac:dyDescent="0.35">
      <c r="A260" s="52">
        <v>45015</v>
      </c>
      <c r="B260" s="51">
        <v>2500</v>
      </c>
      <c r="C260" s="1">
        <f t="shared" ref="C260:C323" si="30">+LN(B260/B261)</f>
        <v>-2.1370025736192521E-2</v>
      </c>
      <c r="R260" s="28">
        <v>259</v>
      </c>
      <c r="S260" s="29">
        <v>-1.0795354929346572E-2</v>
      </c>
      <c r="T260" s="41">
        <f t="shared" si="26"/>
        <v>0</v>
      </c>
      <c r="U260" s="4">
        <f t="shared" si="27"/>
        <v>-0.5663175203033548</v>
      </c>
      <c r="V260" s="15">
        <f t="shared" ref="V260:V323" si="31">+R259/1252</f>
        <v>0.20607028753993611</v>
      </c>
      <c r="W260" s="33">
        <f t="shared" si="28"/>
        <v>-0.82013250273722138</v>
      </c>
      <c r="X260" s="4">
        <f t="shared" si="29"/>
        <v>-0.5663175203033548</v>
      </c>
    </row>
    <row r="261" spans="1:24" ht="14.5" x14ac:dyDescent="0.35">
      <c r="A261" s="52">
        <v>45014</v>
      </c>
      <c r="B261" s="51">
        <v>2554</v>
      </c>
      <c r="C261" s="1">
        <f t="shared" si="30"/>
        <v>4.7095848430851669E-3</v>
      </c>
      <c r="R261" s="28">
        <v>260</v>
      </c>
      <c r="S261" s="29">
        <v>-1.0794245130880512E-2</v>
      </c>
      <c r="T261" s="41">
        <f t="shared" si="26"/>
        <v>0</v>
      </c>
      <c r="U261" s="4">
        <f t="shared" si="27"/>
        <v>-0.56625899423263149</v>
      </c>
      <c r="V261" s="15">
        <f t="shared" si="31"/>
        <v>0.20686900958466453</v>
      </c>
      <c r="W261" s="33">
        <f t="shared" si="28"/>
        <v>-0.81733323426494064</v>
      </c>
      <c r="X261" s="4">
        <f t="shared" si="29"/>
        <v>-0.56625899423263149</v>
      </c>
    </row>
    <row r="262" spans="1:24" ht="14.5" x14ac:dyDescent="0.35">
      <c r="A262" s="52">
        <v>45013</v>
      </c>
      <c r="B262" s="51">
        <v>2542</v>
      </c>
      <c r="C262" s="1">
        <f t="shared" si="30"/>
        <v>1.9865571842055504E-2</v>
      </c>
      <c r="R262" s="28">
        <v>261</v>
      </c>
      <c r="S262" s="29">
        <v>-1.0761056956298146E-2</v>
      </c>
      <c r="T262" s="41">
        <f t="shared" si="26"/>
        <v>0</v>
      </c>
      <c r="U262" s="4">
        <f t="shared" si="27"/>
        <v>-0.5645087904684436</v>
      </c>
      <c r="V262" s="15">
        <f t="shared" si="31"/>
        <v>0.20766773162939298</v>
      </c>
      <c r="W262" s="33">
        <f t="shared" si="28"/>
        <v>-0.81454035573290584</v>
      </c>
      <c r="X262" s="4">
        <f t="shared" si="29"/>
        <v>-0.5645087904684436</v>
      </c>
    </row>
    <row r="263" spans="1:24" ht="14.5" x14ac:dyDescent="0.35">
      <c r="A263" s="52">
        <v>45012</v>
      </c>
      <c r="B263" s="51">
        <v>2492</v>
      </c>
      <c r="C263" s="1">
        <f t="shared" si="30"/>
        <v>7.2493269549105347E-3</v>
      </c>
      <c r="R263" s="28">
        <v>262</v>
      </c>
      <c r="S263" s="29">
        <v>-1.0733555643108664E-2</v>
      </c>
      <c r="T263" s="41">
        <f t="shared" si="26"/>
        <v>0</v>
      </c>
      <c r="U263" s="4">
        <f t="shared" si="27"/>
        <v>-0.56305848768831068</v>
      </c>
      <c r="V263" s="15">
        <f t="shared" si="31"/>
        <v>0.20846645367412139</v>
      </c>
      <c r="W263" s="33">
        <f t="shared" si="28"/>
        <v>-0.81175381634857624</v>
      </c>
      <c r="X263" s="4">
        <f t="shared" si="29"/>
        <v>-0.56305848768831068</v>
      </c>
    </row>
    <row r="264" spans="1:24" ht="14.5" x14ac:dyDescent="0.35">
      <c r="A264" s="52">
        <v>45009</v>
      </c>
      <c r="B264" s="51">
        <v>2474</v>
      </c>
      <c r="C264" s="1">
        <f t="shared" si="30"/>
        <v>-2.8687226164918655E-2</v>
      </c>
      <c r="R264" s="28">
        <v>263</v>
      </c>
      <c r="S264" s="29">
        <v>-1.0703466099359698E-2</v>
      </c>
      <c r="T264" s="41">
        <f t="shared" si="26"/>
        <v>0</v>
      </c>
      <c r="U264" s="4">
        <f t="shared" si="27"/>
        <v>-0.56147169259051355</v>
      </c>
      <c r="V264" s="15">
        <f t="shared" si="31"/>
        <v>0.20926517571884984</v>
      </c>
      <c r="W264" s="33">
        <f t="shared" si="28"/>
        <v>-0.80897356586116487</v>
      </c>
      <c r="X264" s="4">
        <f t="shared" si="29"/>
        <v>-0.56147169259051355</v>
      </c>
    </row>
    <row r="265" spans="1:24" ht="14.5" x14ac:dyDescent="0.35">
      <c r="A265" s="52">
        <v>45008</v>
      </c>
      <c r="B265" s="51">
        <v>2546</v>
      </c>
      <c r="C265" s="1">
        <f t="shared" si="30"/>
        <v>3.4362150190943297E-2</v>
      </c>
      <c r="R265" s="28">
        <v>264</v>
      </c>
      <c r="S265" s="29">
        <v>-1.0659661228658537E-2</v>
      </c>
      <c r="T265" s="41">
        <f t="shared" si="26"/>
        <v>0</v>
      </c>
      <c r="U265" s="4">
        <f t="shared" si="27"/>
        <v>-0.55916160923836467</v>
      </c>
      <c r="V265" s="15">
        <f t="shared" si="31"/>
        <v>0.21006389776357828</v>
      </c>
      <c r="W265" s="33">
        <f t="shared" si="28"/>
        <v>-0.80619955455358372</v>
      </c>
      <c r="X265" s="4">
        <f t="shared" si="29"/>
        <v>-0.55916160923836467</v>
      </c>
    </row>
    <row r="266" spans="1:24" ht="14.5" x14ac:dyDescent="0.35">
      <c r="A266" s="52">
        <v>45007</v>
      </c>
      <c r="B266" s="51">
        <v>2460</v>
      </c>
      <c r="C266" s="1">
        <f t="shared" si="30"/>
        <v>-1.6129381929883644E-2</v>
      </c>
      <c r="R266" s="28">
        <v>265</v>
      </c>
      <c r="S266" s="29">
        <v>-1.0642172096144981E-2</v>
      </c>
      <c r="T266" s="41">
        <f t="shared" si="26"/>
        <v>0</v>
      </c>
      <c r="U266" s="4">
        <f t="shared" si="27"/>
        <v>-0.55823930646206577</v>
      </c>
      <c r="V266" s="15">
        <f t="shared" si="31"/>
        <v>0.2108626198083067</v>
      </c>
      <c r="W266" s="33">
        <f t="shared" si="28"/>
        <v>-0.80343173323454686</v>
      </c>
      <c r="X266" s="4">
        <f t="shared" si="29"/>
        <v>-0.55823930646206577</v>
      </c>
    </row>
    <row r="267" spans="1:24" ht="14.5" x14ac:dyDescent="0.35">
      <c r="A267" s="52">
        <v>45006</v>
      </c>
      <c r="B267" s="51">
        <v>2500</v>
      </c>
      <c r="C267" s="1">
        <f t="shared" si="30"/>
        <v>0</v>
      </c>
      <c r="R267" s="28">
        <v>266</v>
      </c>
      <c r="S267" s="29">
        <v>-1.0614201241773428E-2</v>
      </c>
      <c r="T267" s="41">
        <f t="shared" si="26"/>
        <v>0</v>
      </c>
      <c r="U267" s="4">
        <f t="shared" si="27"/>
        <v>-0.55676424206865827</v>
      </c>
      <c r="V267" s="15">
        <f t="shared" si="31"/>
        <v>0.21166134185303515</v>
      </c>
      <c r="W267" s="33">
        <f t="shared" si="28"/>
        <v>-0.80067005323081208</v>
      </c>
      <c r="X267" s="4">
        <f t="shared" si="29"/>
        <v>-0.55676424206865827</v>
      </c>
    </row>
    <row r="268" spans="1:24" ht="14.5" x14ac:dyDescent="0.35">
      <c r="A268" s="52">
        <v>45005</v>
      </c>
      <c r="B268" s="51">
        <v>2500</v>
      </c>
      <c r="C268" s="1">
        <f t="shared" si="30"/>
        <v>3.3349979681554121E-2</v>
      </c>
      <c r="R268" s="28">
        <v>267</v>
      </c>
      <c r="S268" s="29">
        <v>-1.0603147715070324E-2</v>
      </c>
      <c r="T268" s="41">
        <f t="shared" si="26"/>
        <v>0</v>
      </c>
      <c r="U268" s="4">
        <f t="shared" si="27"/>
        <v>-0.55618132588580793</v>
      </c>
      <c r="V268" s="15">
        <f t="shared" si="31"/>
        <v>0.21246006389776359</v>
      </c>
      <c r="W268" s="33">
        <f t="shared" si="28"/>
        <v>-0.79791446637956975</v>
      </c>
      <c r="X268" s="4">
        <f t="shared" si="29"/>
        <v>-0.55618132588580793</v>
      </c>
    </row>
    <row r="269" spans="1:24" ht="14.5" x14ac:dyDescent="0.35">
      <c r="A269" s="52">
        <v>45002</v>
      </c>
      <c r="B269" s="51">
        <v>2418</v>
      </c>
      <c r="C269" s="1">
        <f t="shared" si="30"/>
        <v>8.3056955872783996E-3</v>
      </c>
      <c r="R269" s="28">
        <v>268</v>
      </c>
      <c r="S269" s="29">
        <v>-1.0552722199159615E-2</v>
      </c>
      <c r="T269" s="41">
        <f t="shared" si="26"/>
        <v>0</v>
      </c>
      <c r="U269" s="4">
        <f t="shared" si="27"/>
        <v>-0.55352209774600736</v>
      </c>
      <c r="V269" s="15">
        <f t="shared" si="31"/>
        <v>0.21325878594249201</v>
      </c>
      <c r="W269" s="33">
        <f t="shared" si="28"/>
        <v>-0.79516492502096592</v>
      </c>
      <c r="X269" s="4">
        <f t="shared" si="29"/>
        <v>-0.55352209774600736</v>
      </c>
    </row>
    <row r="270" spans="1:24" ht="14.5" x14ac:dyDescent="0.35">
      <c r="A270" s="52">
        <v>45001</v>
      </c>
      <c r="B270" s="51">
        <v>2398</v>
      </c>
      <c r="C270" s="1">
        <f t="shared" si="30"/>
        <v>-2.5526293338948881E-2</v>
      </c>
      <c r="R270" s="28">
        <v>269</v>
      </c>
      <c r="S270" s="29">
        <v>-1.052272073609902E-2</v>
      </c>
      <c r="T270" s="41">
        <f t="shared" si="26"/>
        <v>0</v>
      </c>
      <c r="U270" s="4">
        <f t="shared" si="27"/>
        <v>-0.55193994765066301</v>
      </c>
      <c r="V270" s="15">
        <f t="shared" si="31"/>
        <v>0.21405750798722045</v>
      </c>
      <c r="W270" s="33">
        <f t="shared" si="28"/>
        <v>-0.79242138199076739</v>
      </c>
      <c r="X270" s="4">
        <f t="shared" si="29"/>
        <v>-0.55193994765066301</v>
      </c>
    </row>
    <row r="271" spans="1:24" ht="14.5" x14ac:dyDescent="0.35">
      <c r="A271" s="52">
        <v>44999</v>
      </c>
      <c r="B271" s="51">
        <v>2460</v>
      </c>
      <c r="C271" s="1">
        <f t="shared" si="30"/>
        <v>-3.1215019347924526E-2</v>
      </c>
      <c r="R271" s="28">
        <v>270</v>
      </c>
      <c r="S271" s="29">
        <v>-1.0481753065712895E-2</v>
      </c>
      <c r="T271" s="41">
        <f t="shared" si="26"/>
        <v>0</v>
      </c>
      <c r="U271" s="4">
        <f t="shared" si="27"/>
        <v>-0.5497794862266141</v>
      </c>
      <c r="V271" s="15">
        <f t="shared" si="31"/>
        <v>0.21485623003194887</v>
      </c>
      <c r="W271" s="33">
        <f t="shared" si="28"/>
        <v>-0.7896837906131533</v>
      </c>
      <c r="X271" s="4">
        <f t="shared" si="29"/>
        <v>-0.5497794862266141</v>
      </c>
    </row>
    <row r="272" spans="1:24" ht="14.5" x14ac:dyDescent="0.35">
      <c r="A272" s="52">
        <v>44998</v>
      </c>
      <c r="B272" s="51">
        <v>2538</v>
      </c>
      <c r="C272" s="1">
        <f t="shared" si="30"/>
        <v>-1.0192169766227685E-2</v>
      </c>
      <c r="R272" s="28">
        <v>271</v>
      </c>
      <c r="S272" s="29">
        <v>-1.0451985712916787E-2</v>
      </c>
      <c r="T272" s="41">
        <f t="shared" si="26"/>
        <v>0</v>
      </c>
      <c r="U272" s="4">
        <f t="shared" si="27"/>
        <v>-0.54820968211508159</v>
      </c>
      <c r="V272" s="15">
        <f t="shared" si="31"/>
        <v>0.21565495207667731</v>
      </c>
      <c r="W272" s="33">
        <f t="shared" si="28"/>
        <v>-0.78695210469364352</v>
      </c>
      <c r="X272" s="4">
        <f t="shared" si="29"/>
        <v>-0.54820968211508159</v>
      </c>
    </row>
    <row r="273" spans="1:24" ht="14.5" x14ac:dyDescent="0.35">
      <c r="A273" s="52">
        <v>44995</v>
      </c>
      <c r="B273" s="51">
        <v>2564</v>
      </c>
      <c r="C273" s="1">
        <f t="shared" si="30"/>
        <v>-6.2208598751025057E-3</v>
      </c>
      <c r="R273" s="28">
        <v>272</v>
      </c>
      <c r="S273" s="29">
        <v>-1.0385850032122721E-2</v>
      </c>
      <c r="T273" s="41">
        <f t="shared" si="26"/>
        <v>0</v>
      </c>
      <c r="U273" s="4">
        <f t="shared" si="27"/>
        <v>-0.54472196641726178</v>
      </c>
      <c r="V273" s="15">
        <f t="shared" si="31"/>
        <v>0.21645367412140576</v>
      </c>
      <c r="W273" s="33">
        <f t="shared" si="28"/>
        <v>-0.78422627851214577</v>
      </c>
      <c r="X273" s="4">
        <f t="shared" si="29"/>
        <v>-0.54472196641726178</v>
      </c>
    </row>
    <row r="274" spans="1:24" ht="14.5" x14ac:dyDescent="0.35">
      <c r="A274" s="52">
        <v>44994</v>
      </c>
      <c r="B274" s="51">
        <v>2580</v>
      </c>
      <c r="C274" s="1">
        <f t="shared" si="30"/>
        <v>-1.5384918839479456E-2</v>
      </c>
      <c r="R274" s="28">
        <v>273</v>
      </c>
      <c r="S274" s="29">
        <v>-1.0384309305716493E-2</v>
      </c>
      <c r="T274" s="41">
        <f t="shared" si="26"/>
        <v>0</v>
      </c>
      <c r="U274" s="4">
        <f t="shared" si="27"/>
        <v>-0.54464071503210132</v>
      </c>
      <c r="V274" s="15">
        <f t="shared" si="31"/>
        <v>0.21725239616613418</v>
      </c>
      <c r="W274" s="33">
        <f t="shared" si="28"/>
        <v>-0.78150626681613689</v>
      </c>
      <c r="X274" s="4">
        <f t="shared" si="29"/>
        <v>-0.54464071503210132</v>
      </c>
    </row>
    <row r="275" spans="1:24" ht="14.5" x14ac:dyDescent="0.35">
      <c r="A275" s="52">
        <v>44993</v>
      </c>
      <c r="B275" s="51">
        <v>2620</v>
      </c>
      <c r="C275" s="1">
        <f t="shared" si="30"/>
        <v>-5.3292855480838452E-3</v>
      </c>
      <c r="R275" s="28">
        <v>274</v>
      </c>
      <c r="S275" s="29">
        <v>-1.0362787035546547E-2</v>
      </c>
      <c r="T275" s="41">
        <f t="shared" si="26"/>
        <v>0</v>
      </c>
      <c r="U275" s="4">
        <f t="shared" si="27"/>
        <v>-0.54350572165752375</v>
      </c>
      <c r="V275" s="15">
        <f t="shared" si="31"/>
        <v>0.21805111821086262</v>
      </c>
      <c r="W275" s="33">
        <f t="shared" si="28"/>
        <v>-0.77879202481396148</v>
      </c>
      <c r="X275" s="4">
        <f t="shared" si="29"/>
        <v>-0.54350572165752375</v>
      </c>
    </row>
    <row r="276" spans="1:24" ht="14.5" x14ac:dyDescent="0.35">
      <c r="A276" s="52">
        <v>44992</v>
      </c>
      <c r="B276" s="51">
        <v>2634</v>
      </c>
      <c r="C276" s="1">
        <f t="shared" si="30"/>
        <v>-2.1037590292658462E-2</v>
      </c>
      <c r="R276" s="28">
        <v>275</v>
      </c>
      <c r="S276" s="29">
        <v>-1.0304540828814331E-2</v>
      </c>
      <c r="T276" s="41">
        <f t="shared" si="26"/>
        <v>0</v>
      </c>
      <c r="U276" s="4">
        <f t="shared" si="27"/>
        <v>-0.54043406340710121</v>
      </c>
      <c r="V276" s="15">
        <f t="shared" si="31"/>
        <v>0.21884984025559107</v>
      </c>
      <c r="W276" s="33">
        <f t="shared" si="28"/>
        <v>-0.77608350816824301</v>
      </c>
      <c r="X276" s="4">
        <f t="shared" si="29"/>
        <v>-0.54043406340710121</v>
      </c>
    </row>
    <row r="277" spans="1:24" ht="14.5" x14ac:dyDescent="0.35">
      <c r="A277" s="52">
        <v>44991</v>
      </c>
      <c r="B277" s="51">
        <v>2690</v>
      </c>
      <c r="C277" s="1">
        <f t="shared" si="30"/>
        <v>1.0463473640827854E-2</v>
      </c>
      <c r="R277" s="28">
        <v>276</v>
      </c>
      <c r="S277" s="29">
        <v>-1.0284629562409008E-2</v>
      </c>
      <c r="T277" s="41">
        <f t="shared" si="26"/>
        <v>0</v>
      </c>
      <c r="U277" s="4">
        <f t="shared" si="27"/>
        <v>-0.53938402754791726</v>
      </c>
      <c r="V277" s="15">
        <f t="shared" si="31"/>
        <v>0.21964856230031948</v>
      </c>
      <c r="W277" s="33">
        <f t="shared" si="28"/>
        <v>-0.77338067298942748</v>
      </c>
      <c r="X277" s="4">
        <f t="shared" si="29"/>
        <v>-0.53938402754791726</v>
      </c>
    </row>
    <row r="278" spans="1:24" ht="14.5" x14ac:dyDescent="0.35">
      <c r="A278" s="52">
        <v>44988</v>
      </c>
      <c r="B278" s="51">
        <v>2662</v>
      </c>
      <c r="C278" s="1">
        <f t="shared" si="30"/>
        <v>-3.7495357014793633E-3</v>
      </c>
      <c r="R278" s="28">
        <v>277</v>
      </c>
      <c r="S278" s="29">
        <v>-1.0279091974647591E-2</v>
      </c>
      <c r="T278" s="41">
        <f t="shared" si="26"/>
        <v>0</v>
      </c>
      <c r="U278" s="4">
        <f t="shared" si="27"/>
        <v>-0.53909199862296087</v>
      </c>
      <c r="V278" s="15">
        <f t="shared" si="31"/>
        <v>0.22044728434504793</v>
      </c>
      <c r="W278" s="33">
        <f t="shared" si="28"/>
        <v>-0.77068347582942376</v>
      </c>
      <c r="X278" s="4">
        <f t="shared" si="29"/>
        <v>-0.53909199862296087</v>
      </c>
    </row>
    <row r="279" spans="1:24" ht="14.5" x14ac:dyDescent="0.35">
      <c r="A279" s="52">
        <v>44987</v>
      </c>
      <c r="B279" s="51">
        <v>2672</v>
      </c>
      <c r="C279" s="1">
        <f t="shared" si="30"/>
        <v>-1.559630573827806E-2</v>
      </c>
      <c r="R279" s="28">
        <v>278</v>
      </c>
      <c r="S279" s="29">
        <v>-1.0214593409718295E-2</v>
      </c>
      <c r="T279" s="41">
        <f t="shared" si="26"/>
        <v>0</v>
      </c>
      <c r="U279" s="4">
        <f t="shared" si="27"/>
        <v>-0.53569061748210267</v>
      </c>
      <c r="V279" s="15">
        <f t="shared" si="31"/>
        <v>0.22124600638977635</v>
      </c>
      <c r="W279" s="33">
        <f t="shared" si="28"/>
        <v>-0.76799187367536814</v>
      </c>
      <c r="X279" s="4">
        <f t="shared" si="29"/>
        <v>-0.53569061748210267</v>
      </c>
    </row>
    <row r="280" spans="1:24" ht="14.5" x14ac:dyDescent="0.35">
      <c r="A280" s="52">
        <v>44986</v>
      </c>
      <c r="B280" s="51">
        <v>2714</v>
      </c>
      <c r="C280" s="1">
        <f t="shared" si="30"/>
        <v>-2.9433428165969171E-3</v>
      </c>
      <c r="R280" s="28">
        <v>279</v>
      </c>
      <c r="S280" s="29">
        <v>-1.0192169766227685E-2</v>
      </c>
      <c r="T280" s="41">
        <f t="shared" si="26"/>
        <v>0</v>
      </c>
      <c r="U280" s="4">
        <f t="shared" si="27"/>
        <v>-0.53450808949621798</v>
      </c>
      <c r="V280" s="15">
        <f t="shared" si="31"/>
        <v>0.22204472843450479</v>
      </c>
      <c r="W280" s="33">
        <f t="shared" si="28"/>
        <v>-0.76530582394349278</v>
      </c>
      <c r="X280" s="4">
        <f t="shared" si="29"/>
        <v>-0.53450808949621798</v>
      </c>
    </row>
    <row r="281" spans="1:24" ht="14.5" x14ac:dyDescent="0.35">
      <c r="A281" s="52">
        <v>44985</v>
      </c>
      <c r="B281" s="51">
        <v>2722</v>
      </c>
      <c r="C281" s="1">
        <f t="shared" si="30"/>
        <v>-2.3957588669003129E-2</v>
      </c>
      <c r="R281" s="28">
        <v>280</v>
      </c>
      <c r="S281" s="29">
        <v>-1.0180559932117604E-2</v>
      </c>
      <c r="T281" s="41">
        <f t="shared" si="26"/>
        <v>0</v>
      </c>
      <c r="U281" s="4">
        <f t="shared" si="27"/>
        <v>-0.53389583601687618</v>
      </c>
      <c r="V281" s="15">
        <f t="shared" si="31"/>
        <v>0.22284345047923323</v>
      </c>
      <c r="W281" s="33">
        <f t="shared" si="28"/>
        <v>-0.76262528447310307</v>
      </c>
      <c r="X281" s="4">
        <f t="shared" si="29"/>
        <v>-0.53389583601687618</v>
      </c>
    </row>
    <row r="282" spans="1:24" ht="14.5" x14ac:dyDescent="0.35">
      <c r="A282" s="52">
        <v>44984</v>
      </c>
      <c r="B282" s="51">
        <v>2788</v>
      </c>
      <c r="C282" s="1">
        <f t="shared" si="30"/>
        <v>3.5932485661254862E-3</v>
      </c>
      <c r="R282" s="28">
        <v>281</v>
      </c>
      <c r="S282" s="29">
        <v>-1.0152371464017962E-2</v>
      </c>
      <c r="T282" s="41">
        <f t="shared" si="26"/>
        <v>0</v>
      </c>
      <c r="U282" s="4">
        <f t="shared" si="27"/>
        <v>-0.5324092955971178</v>
      </c>
      <c r="V282" s="15">
        <f t="shared" si="31"/>
        <v>0.22364217252396165</v>
      </c>
      <c r="W282" s="33">
        <f t="shared" si="28"/>
        <v>-0.75995021352065906</v>
      </c>
      <c r="X282" s="4">
        <f t="shared" si="29"/>
        <v>-0.5324092955971178</v>
      </c>
    </row>
    <row r="283" spans="1:24" ht="14.5" x14ac:dyDescent="0.35">
      <c r="A283" s="52">
        <v>44981</v>
      </c>
      <c r="B283" s="51">
        <v>2778</v>
      </c>
      <c r="C283" s="1">
        <f t="shared" si="30"/>
        <v>0</v>
      </c>
      <c r="R283" s="28">
        <v>282</v>
      </c>
      <c r="S283" s="29">
        <v>-1.0152371464017962E-2</v>
      </c>
      <c r="T283" s="41">
        <f t="shared" si="26"/>
        <v>0</v>
      </c>
      <c r="U283" s="4">
        <f t="shared" si="27"/>
        <v>-0.5324092955971178</v>
      </c>
      <c r="V283" s="15">
        <f t="shared" si="31"/>
        <v>0.2244408945686901</v>
      </c>
      <c r="W283" s="33">
        <f t="shared" si="28"/>
        <v>-0.7572805697539543</v>
      </c>
      <c r="X283" s="4">
        <f t="shared" si="29"/>
        <v>-0.5324092955971178</v>
      </c>
    </row>
    <row r="284" spans="1:24" ht="14.5" x14ac:dyDescent="0.35">
      <c r="A284" s="52">
        <v>44980</v>
      </c>
      <c r="B284" s="51">
        <v>2778</v>
      </c>
      <c r="C284" s="1">
        <f t="shared" si="30"/>
        <v>2.6999086151434419E-2</v>
      </c>
      <c r="R284" s="28">
        <v>283</v>
      </c>
      <c r="S284" s="29">
        <v>-1.0131798930406952E-2</v>
      </c>
      <c r="T284" s="41">
        <f t="shared" si="26"/>
        <v>0</v>
      </c>
      <c r="U284" s="4">
        <f t="shared" si="27"/>
        <v>-0.53132438730619891</v>
      </c>
      <c r="V284" s="15">
        <f t="shared" si="31"/>
        <v>0.22523961661341854</v>
      </c>
      <c r="W284" s="33">
        <f t="shared" si="28"/>
        <v>-0.75461631224640913</v>
      </c>
      <c r="X284" s="4">
        <f t="shared" si="29"/>
        <v>-0.53132438730619891</v>
      </c>
    </row>
    <row r="285" spans="1:24" ht="14.5" x14ac:dyDescent="0.35">
      <c r="A285" s="52">
        <v>44979</v>
      </c>
      <c r="B285" s="51">
        <v>2704</v>
      </c>
      <c r="C285" s="1">
        <f t="shared" si="30"/>
        <v>-6.6347460485566973E-3</v>
      </c>
      <c r="R285" s="28">
        <v>284</v>
      </c>
      <c r="S285" s="29">
        <v>-1.011010693029519E-2</v>
      </c>
      <c r="T285" s="41">
        <f t="shared" si="26"/>
        <v>0</v>
      </c>
      <c r="U285" s="4">
        <f t="shared" si="27"/>
        <v>-0.53018044309335455</v>
      </c>
      <c r="V285" s="15">
        <f t="shared" si="31"/>
        <v>0.22603833865814696</v>
      </c>
      <c r="W285" s="33">
        <f t="shared" si="28"/>
        <v>-0.75195740047144632</v>
      </c>
      <c r="X285" s="4">
        <f t="shared" si="29"/>
        <v>-0.53018044309335455</v>
      </c>
    </row>
    <row r="286" spans="1:24" ht="14.5" x14ac:dyDescent="0.35">
      <c r="A286" s="52">
        <v>44978</v>
      </c>
      <c r="B286" s="51">
        <v>2722</v>
      </c>
      <c r="C286" s="1">
        <f t="shared" si="30"/>
        <v>8.1151312189910278E-3</v>
      </c>
      <c r="R286" s="28">
        <v>285</v>
      </c>
      <c r="S286" s="29">
        <v>-1.0050335853501451E-2</v>
      </c>
      <c r="T286" s="41">
        <f t="shared" si="26"/>
        <v>0</v>
      </c>
      <c r="U286" s="4">
        <f t="shared" si="27"/>
        <v>-0.52702836965423416</v>
      </c>
      <c r="V286" s="15">
        <f t="shared" si="31"/>
        <v>0.2268370607028754</v>
      </c>
      <c r="W286" s="33">
        <f t="shared" si="28"/>
        <v>-0.74930379429697336</v>
      </c>
      <c r="X286" s="4">
        <f t="shared" si="29"/>
        <v>-0.52702836965423416</v>
      </c>
    </row>
    <row r="287" spans="1:24" ht="14.5" x14ac:dyDescent="0.35">
      <c r="A287" s="52">
        <v>44977</v>
      </c>
      <c r="B287" s="51">
        <v>2700</v>
      </c>
      <c r="C287" s="1">
        <f t="shared" si="30"/>
        <v>-1.7621601349819559E-2</v>
      </c>
      <c r="R287" s="28">
        <v>286</v>
      </c>
      <c r="S287" s="29">
        <v>-1.0050335853501451E-2</v>
      </c>
      <c r="T287" s="41">
        <f t="shared" si="26"/>
        <v>0</v>
      </c>
      <c r="U287" s="4">
        <f t="shared" si="27"/>
        <v>-0.52702836965423416</v>
      </c>
      <c r="V287" s="15">
        <f t="shared" si="31"/>
        <v>0.22763578274760382</v>
      </c>
      <c r="W287" s="33">
        <f t="shared" si="28"/>
        <v>-0.74665545397995525</v>
      </c>
      <c r="X287" s="4">
        <f t="shared" si="29"/>
        <v>-0.52702836965423416</v>
      </c>
    </row>
    <row r="288" spans="1:24" ht="14.5" x14ac:dyDescent="0.35">
      <c r="A288" s="52">
        <v>44974</v>
      </c>
      <c r="B288" s="51">
        <v>2748</v>
      </c>
      <c r="C288" s="1">
        <f t="shared" si="30"/>
        <v>-1.5884810540023102E-2</v>
      </c>
      <c r="R288" s="28">
        <v>287</v>
      </c>
      <c r="S288" s="29">
        <v>-9.950330853168092E-3</v>
      </c>
      <c r="T288" s="41">
        <f t="shared" si="26"/>
        <v>0</v>
      </c>
      <c r="U288" s="4">
        <f t="shared" si="27"/>
        <v>-0.52175452949208034</v>
      </c>
      <c r="V288" s="15">
        <f t="shared" si="31"/>
        <v>0.22843450479233227</v>
      </c>
      <c r="W288" s="33">
        <f t="shared" si="28"/>
        <v>-0.74401234016107898</v>
      </c>
      <c r="X288" s="4">
        <f t="shared" si="29"/>
        <v>-0.52175452949208034</v>
      </c>
    </row>
    <row r="289" spans="1:24" ht="14.5" x14ac:dyDescent="0.35">
      <c r="A289" s="52">
        <v>44973</v>
      </c>
      <c r="B289" s="51">
        <v>2792</v>
      </c>
      <c r="C289" s="1">
        <f t="shared" si="30"/>
        <v>-1.4316394714377388E-3</v>
      </c>
      <c r="R289" s="28">
        <v>288</v>
      </c>
      <c r="S289" s="29">
        <v>-9.9291595882194973E-3</v>
      </c>
      <c r="T289" s="41">
        <f t="shared" si="26"/>
        <v>0</v>
      </c>
      <c r="U289" s="4">
        <f t="shared" si="27"/>
        <v>-0.52063804664624957</v>
      </c>
      <c r="V289" s="15">
        <f t="shared" si="31"/>
        <v>0.22923322683706071</v>
      </c>
      <c r="W289" s="33">
        <f t="shared" si="28"/>
        <v>-0.74137441385951275</v>
      </c>
      <c r="X289" s="4">
        <f t="shared" si="29"/>
        <v>-0.52063804664624957</v>
      </c>
    </row>
    <row r="290" spans="1:24" ht="14.5" x14ac:dyDescent="0.35">
      <c r="A290" s="52">
        <v>44972</v>
      </c>
      <c r="B290" s="51">
        <v>2796</v>
      </c>
      <c r="C290" s="1">
        <f t="shared" si="30"/>
        <v>-2.85714480077978E-3</v>
      </c>
      <c r="R290" s="28">
        <v>289</v>
      </c>
      <c r="S290" s="29">
        <v>-9.9092470627718046E-3</v>
      </c>
      <c r="T290" s="41">
        <f t="shared" si="26"/>
        <v>0</v>
      </c>
      <c r="U290" s="4">
        <f t="shared" si="27"/>
        <v>-0.51958794439050349</v>
      </c>
      <c r="V290" s="15">
        <f t="shared" si="31"/>
        <v>0.23003194888178913</v>
      </c>
      <c r="W290" s="33">
        <f t="shared" si="28"/>
        <v>-0.73874163646774704</v>
      </c>
      <c r="X290" s="4">
        <f t="shared" si="29"/>
        <v>-0.51958794439050349</v>
      </c>
    </row>
    <row r="291" spans="1:24" ht="14.5" x14ac:dyDescent="0.35">
      <c r="A291" s="52">
        <v>44971</v>
      </c>
      <c r="B291" s="51">
        <v>2804</v>
      </c>
      <c r="C291" s="1">
        <f t="shared" si="30"/>
        <v>-5.6899157776785702E-3</v>
      </c>
      <c r="R291" s="28">
        <v>290</v>
      </c>
      <c r="S291" s="29">
        <v>-9.8847592325419734E-3</v>
      </c>
      <c r="T291" s="41">
        <f t="shared" si="26"/>
        <v>0</v>
      </c>
      <c r="U291" s="4">
        <f t="shared" si="27"/>
        <v>-0.51829655993853008</v>
      </c>
      <c r="V291" s="15">
        <f t="shared" si="31"/>
        <v>0.23083067092651757</v>
      </c>
      <c r="W291" s="33">
        <f t="shared" si="28"/>
        <v>-0.73611396974652887</v>
      </c>
      <c r="X291" s="4">
        <f t="shared" si="29"/>
        <v>-0.51829655993853008</v>
      </c>
    </row>
    <row r="292" spans="1:24" ht="14.5" x14ac:dyDescent="0.35">
      <c r="A292" s="52">
        <v>44970</v>
      </c>
      <c r="B292" s="51">
        <v>2820</v>
      </c>
      <c r="C292" s="1">
        <f t="shared" si="30"/>
        <v>8.5470605784583476E-3</v>
      </c>
      <c r="R292" s="28">
        <v>291</v>
      </c>
      <c r="S292" s="29">
        <v>-9.8822545017316511E-3</v>
      </c>
      <c r="T292" s="41">
        <f t="shared" si="26"/>
        <v>0</v>
      </c>
      <c r="U292" s="4">
        <f t="shared" si="27"/>
        <v>-0.51816447104398655</v>
      </c>
      <c r="V292" s="15">
        <f t="shared" si="31"/>
        <v>0.23162939297124602</v>
      </c>
      <c r="W292" s="33">
        <f t="shared" si="28"/>
        <v>-0.73349137581987744</v>
      </c>
      <c r="X292" s="4">
        <f t="shared" si="29"/>
        <v>-0.51816447104398655</v>
      </c>
    </row>
    <row r="293" spans="1:24" ht="14.5" x14ac:dyDescent="0.35">
      <c r="A293" s="52">
        <v>44967</v>
      </c>
      <c r="B293" s="51">
        <v>2796</v>
      </c>
      <c r="C293" s="1">
        <f t="shared" si="30"/>
        <v>1.1510918466140272E-2</v>
      </c>
      <c r="R293" s="28">
        <v>292</v>
      </c>
      <c r="S293" s="29">
        <v>-9.8603921340801402E-3</v>
      </c>
      <c r="T293" s="41">
        <f t="shared" si="26"/>
        <v>0</v>
      </c>
      <c r="U293" s="4">
        <f t="shared" si="27"/>
        <v>-0.51701154236866065</v>
      </c>
      <c r="V293" s="15">
        <f t="shared" si="31"/>
        <v>0.23242811501597443</v>
      </c>
      <c r="W293" s="33">
        <f t="shared" si="28"/>
        <v>-0.73087381717018651</v>
      </c>
      <c r="X293" s="4">
        <f t="shared" si="29"/>
        <v>-0.51701154236866065</v>
      </c>
    </row>
    <row r="294" spans="1:24" ht="14.5" x14ac:dyDescent="0.35">
      <c r="A294" s="52">
        <v>44966</v>
      </c>
      <c r="B294" s="51">
        <v>2764</v>
      </c>
      <c r="C294" s="1">
        <f t="shared" si="30"/>
        <v>7.238509183230779E-4</v>
      </c>
      <c r="R294" s="28">
        <v>293</v>
      </c>
      <c r="S294" s="29">
        <v>-9.7482494136605907E-3</v>
      </c>
      <c r="T294" s="41">
        <f t="shared" si="26"/>
        <v>0</v>
      </c>
      <c r="U294" s="4">
        <f t="shared" si="27"/>
        <v>-0.51109761025656275</v>
      </c>
      <c r="V294" s="15">
        <f t="shared" si="31"/>
        <v>0.23322683706070288</v>
      </c>
      <c r="W294" s="33">
        <f t="shared" si="28"/>
        <v>-0.7282612566334018</v>
      </c>
      <c r="X294" s="4">
        <f t="shared" si="29"/>
        <v>-0.51109761025656275</v>
      </c>
    </row>
    <row r="295" spans="1:24" ht="14.5" x14ac:dyDescent="0.35">
      <c r="A295" s="52">
        <v>44965</v>
      </c>
      <c r="B295" s="51">
        <v>2762</v>
      </c>
      <c r="C295" s="1">
        <f t="shared" si="30"/>
        <v>9.4580552267963941E-3</v>
      </c>
      <c r="R295" s="28">
        <v>294</v>
      </c>
      <c r="S295" s="53">
        <v>-9.6560798549453503E-3</v>
      </c>
      <c r="T295" s="41">
        <f t="shared" si="26"/>
        <v>0</v>
      </c>
      <c r="U295" s="4">
        <f t="shared" si="27"/>
        <v>-0.50623697809956969</v>
      </c>
      <c r="V295" s="15">
        <f t="shared" si="31"/>
        <v>0.2340255591054313</v>
      </c>
      <c r="W295" s="33">
        <f t="shared" si="28"/>
        <v>-0.72565365739428589</v>
      </c>
      <c r="X295" s="4">
        <f t="shared" si="29"/>
        <v>-0.50623697809956969</v>
      </c>
    </row>
    <row r="296" spans="1:24" ht="14.5" x14ac:dyDescent="0.35">
      <c r="A296" s="52">
        <v>44964</v>
      </c>
      <c r="B296" s="51">
        <v>2736</v>
      </c>
      <c r="C296" s="1">
        <f t="shared" si="30"/>
        <v>1.9934214900817329E-2</v>
      </c>
      <c r="R296" s="28">
        <v>295</v>
      </c>
      <c r="S296" s="29">
        <v>-9.6463770518054499E-3</v>
      </c>
      <c r="T296" s="41">
        <f t="shared" si="26"/>
        <v>0</v>
      </c>
      <c r="U296" s="4">
        <f t="shared" si="27"/>
        <v>-0.50572529335666583</v>
      </c>
      <c r="V296" s="15">
        <f t="shared" si="31"/>
        <v>0.23482428115015974</v>
      </c>
      <c r="W296" s="33">
        <f t="shared" si="28"/>
        <v>-0.72305098298175763</v>
      </c>
      <c r="X296" s="4">
        <f t="shared" si="29"/>
        <v>-0.50572529335666583</v>
      </c>
    </row>
    <row r="297" spans="1:24" ht="14.5" x14ac:dyDescent="0.35">
      <c r="A297" s="52">
        <v>44963</v>
      </c>
      <c r="B297" s="51">
        <v>2682</v>
      </c>
      <c r="C297" s="1">
        <f t="shared" si="30"/>
        <v>-2.1395135540492084E-2</v>
      </c>
      <c r="R297" s="28">
        <v>296</v>
      </c>
      <c r="S297" s="29">
        <v>-9.5368570232206781E-3</v>
      </c>
      <c r="T297" s="41">
        <f t="shared" si="26"/>
        <v>0</v>
      </c>
      <c r="U297" s="4">
        <f t="shared" si="27"/>
        <v>-0.49994967090393599</v>
      </c>
      <c r="V297" s="15">
        <f t="shared" si="31"/>
        <v>0.23562300319488819</v>
      </c>
      <c r="W297" s="33">
        <f t="shared" si="28"/>
        <v>-0.72045319726431023</v>
      </c>
      <c r="X297" s="4">
        <f t="shared" si="29"/>
        <v>-0.49994967090393599</v>
      </c>
    </row>
    <row r="298" spans="1:24" ht="14.5" x14ac:dyDescent="0.35">
      <c r="A298" s="52">
        <v>44960</v>
      </c>
      <c r="B298" s="51">
        <v>2740</v>
      </c>
      <c r="C298" s="1">
        <f t="shared" si="30"/>
        <v>-3.6429912785010919E-3</v>
      </c>
      <c r="R298" s="28">
        <v>297</v>
      </c>
      <c r="S298" s="29">
        <v>-9.5064701308286183E-3</v>
      </c>
      <c r="T298" s="41">
        <f t="shared" si="26"/>
        <v>0</v>
      </c>
      <c r="U298" s="4">
        <f t="shared" si="27"/>
        <v>-0.49834719489807539</v>
      </c>
      <c r="V298" s="15">
        <f t="shared" si="31"/>
        <v>0.2364217252396166</v>
      </c>
      <c r="W298" s="33">
        <f t="shared" si="28"/>
        <v>-0.71786026444549833</v>
      </c>
      <c r="X298" s="4">
        <f t="shared" si="29"/>
        <v>-0.49834719489807539</v>
      </c>
    </row>
    <row r="299" spans="1:24" ht="14.5" x14ac:dyDescent="0.35">
      <c r="A299" s="52">
        <v>44959</v>
      </c>
      <c r="B299" s="51">
        <v>2750</v>
      </c>
      <c r="C299" s="1">
        <f t="shared" si="30"/>
        <v>1.4652276786870415E-2</v>
      </c>
      <c r="R299" s="28">
        <v>298</v>
      </c>
      <c r="S299" s="29">
        <v>-9.499523391214031E-3</v>
      </c>
      <c r="T299" s="41">
        <f t="shared" si="26"/>
        <v>0</v>
      </c>
      <c r="U299" s="4">
        <f t="shared" si="27"/>
        <v>-0.49798085327262354</v>
      </c>
      <c r="V299" s="15">
        <f t="shared" si="31"/>
        <v>0.23722044728434505</v>
      </c>
      <c r="W299" s="33">
        <f t="shared" si="28"/>
        <v>-0.71527214905951342</v>
      </c>
      <c r="X299" s="4">
        <f t="shared" si="29"/>
        <v>-0.49798085327262354</v>
      </c>
    </row>
    <row r="300" spans="1:24" ht="14.5" x14ac:dyDescent="0.35">
      <c r="A300" s="52">
        <v>44958</v>
      </c>
      <c r="B300" s="51">
        <v>2710</v>
      </c>
      <c r="C300" s="1">
        <f t="shared" si="30"/>
        <v>1.0385850032122834E-2</v>
      </c>
      <c r="R300" s="28">
        <v>299</v>
      </c>
      <c r="S300" s="29">
        <v>-9.3897403498390316E-3</v>
      </c>
      <c r="T300" s="41">
        <f t="shared" si="26"/>
        <v>0</v>
      </c>
      <c r="U300" s="4">
        <f t="shared" si="27"/>
        <v>-0.49219136063928637</v>
      </c>
      <c r="V300" s="15">
        <f t="shared" si="31"/>
        <v>0.23801916932907349</v>
      </c>
      <c r="W300" s="33">
        <f t="shared" si="28"/>
        <v>-0.71268881596681288</v>
      </c>
      <c r="X300" s="4">
        <f t="shared" si="29"/>
        <v>-0.49219136063928637</v>
      </c>
    </row>
    <row r="301" spans="1:24" ht="14.5" x14ac:dyDescent="0.35">
      <c r="A301" s="52">
        <v>44957</v>
      </c>
      <c r="B301" s="51">
        <v>2682</v>
      </c>
      <c r="C301" s="1">
        <f t="shared" si="30"/>
        <v>-7.4294546785203756E-3</v>
      </c>
      <c r="R301" s="28">
        <v>300</v>
      </c>
      <c r="S301" s="29">
        <v>-9.3583570689655289E-3</v>
      </c>
      <c r="T301" s="41">
        <f t="shared" si="26"/>
        <v>0</v>
      </c>
      <c r="U301" s="4">
        <f t="shared" si="27"/>
        <v>-0.49053633932496088</v>
      </c>
      <c r="V301" s="15">
        <f t="shared" si="31"/>
        <v>0.23881789137380191</v>
      </c>
      <c r="W301" s="33">
        <f t="shared" si="28"/>
        <v>-0.71011023034983434</v>
      </c>
      <c r="X301" s="4">
        <f t="shared" si="29"/>
        <v>-0.49053633932496088</v>
      </c>
    </row>
    <row r="302" spans="1:24" ht="14.5" x14ac:dyDescent="0.35">
      <c r="A302" s="52">
        <v>44956</v>
      </c>
      <c r="B302" s="51">
        <v>2702</v>
      </c>
      <c r="C302" s="1">
        <f t="shared" si="30"/>
        <v>-3.1332253360270373E-2</v>
      </c>
      <c r="R302" s="28">
        <v>301</v>
      </c>
      <c r="S302" s="29">
        <v>-9.3260531811897775E-3</v>
      </c>
      <c r="T302" s="41">
        <f t="shared" si="26"/>
        <v>0</v>
      </c>
      <c r="U302" s="4">
        <f t="shared" si="27"/>
        <v>-0.48883276910169643</v>
      </c>
      <c r="V302" s="15">
        <f t="shared" si="31"/>
        <v>0.23961661341853036</v>
      </c>
      <c r="W302" s="33">
        <f t="shared" si="28"/>
        <v>-0.7075363577087741</v>
      </c>
      <c r="X302" s="4">
        <f t="shared" si="29"/>
        <v>-0.48883276910169643</v>
      </c>
    </row>
    <row r="303" spans="1:24" ht="14.5" x14ac:dyDescent="0.35">
      <c r="A303" s="52">
        <v>44953</v>
      </c>
      <c r="B303" s="51">
        <v>2788</v>
      </c>
      <c r="C303" s="1">
        <f t="shared" si="30"/>
        <v>1.4451118538174506E-2</v>
      </c>
      <c r="R303" s="28">
        <v>302</v>
      </c>
      <c r="S303" s="29">
        <v>-9.3023926623135612E-3</v>
      </c>
      <c r="T303" s="41">
        <f t="shared" si="26"/>
        <v>0</v>
      </c>
      <c r="U303" s="4">
        <f t="shared" si="27"/>
        <v>-0.4875850135465658</v>
      </c>
      <c r="V303" s="15">
        <f t="shared" si="31"/>
        <v>0.24041533546325877</v>
      </c>
      <c r="W303" s="33">
        <f t="shared" si="28"/>
        <v>-0.70496716385743308</v>
      </c>
      <c r="X303" s="4">
        <f t="shared" si="29"/>
        <v>-0.4875850135465658</v>
      </c>
    </row>
    <row r="304" spans="1:24" ht="14.5" x14ac:dyDescent="0.35">
      <c r="A304" s="52">
        <v>44952</v>
      </c>
      <c r="B304" s="51">
        <v>2748</v>
      </c>
      <c r="C304" s="1">
        <f t="shared" si="30"/>
        <v>2.8794901947944641E-2</v>
      </c>
      <c r="R304" s="28">
        <v>303</v>
      </c>
      <c r="S304" s="29">
        <v>-9.2231941512041435E-3</v>
      </c>
      <c r="T304" s="41">
        <f t="shared" si="26"/>
        <v>0</v>
      </c>
      <c r="U304" s="4">
        <f t="shared" si="27"/>
        <v>-0.48340841950347468</v>
      </c>
      <c r="V304" s="15">
        <f t="shared" si="31"/>
        <v>0.24121405750798722</v>
      </c>
      <c r="W304" s="33">
        <f t="shared" si="28"/>
        <v>-0.70240261491912992</v>
      </c>
      <c r="X304" s="4">
        <f t="shared" si="29"/>
        <v>-0.48340841950347468</v>
      </c>
    </row>
    <row r="305" spans="1:24" ht="14.5" x14ac:dyDescent="0.35">
      <c r="A305" s="52">
        <v>44951</v>
      </c>
      <c r="B305" s="51">
        <v>2670</v>
      </c>
      <c r="C305" s="1">
        <f t="shared" si="30"/>
        <v>4.5045121211045079E-3</v>
      </c>
      <c r="R305" s="28">
        <v>304</v>
      </c>
      <c r="S305" s="29">
        <v>-9.1646746495635204E-3</v>
      </c>
      <c r="T305" s="41">
        <f t="shared" si="26"/>
        <v>0</v>
      </c>
      <c r="U305" s="4">
        <f t="shared" si="27"/>
        <v>-0.48032234883708025</v>
      </c>
      <c r="V305" s="15">
        <f t="shared" si="31"/>
        <v>0.24201277955271566</v>
      </c>
      <c r="W305" s="33">
        <f t="shared" si="28"/>
        <v>-0.69984267732268335</v>
      </c>
      <c r="X305" s="4">
        <f t="shared" si="29"/>
        <v>-0.48032234883708025</v>
      </c>
    </row>
    <row r="306" spans="1:24" ht="14.5" x14ac:dyDescent="0.35">
      <c r="A306" s="52">
        <v>44950</v>
      </c>
      <c r="B306" s="51">
        <v>2658</v>
      </c>
      <c r="C306" s="1">
        <f t="shared" si="30"/>
        <v>-6.7491819749284495E-3</v>
      </c>
      <c r="R306" s="28">
        <v>305</v>
      </c>
      <c r="S306" s="29">
        <v>-9.1436174989519194E-3</v>
      </c>
      <c r="T306" s="41">
        <f t="shared" si="26"/>
        <v>0</v>
      </c>
      <c r="U306" s="4">
        <f t="shared" si="27"/>
        <v>-0.47921188389806924</v>
      </c>
      <c r="V306" s="15">
        <f t="shared" si="31"/>
        <v>0.24281150159744408</v>
      </c>
      <c r="W306" s="33">
        <f t="shared" si="28"/>
        <v>-0.69728731779845365</v>
      </c>
      <c r="X306" s="4">
        <f t="shared" si="29"/>
        <v>-0.47921188389806924</v>
      </c>
    </row>
    <row r="307" spans="1:24" ht="14.5" x14ac:dyDescent="0.35">
      <c r="A307" s="52">
        <v>44949</v>
      </c>
      <c r="B307" s="51">
        <v>2676</v>
      </c>
      <c r="C307" s="1">
        <f t="shared" si="30"/>
        <v>-5.2180513477656709E-3</v>
      </c>
      <c r="R307" s="28">
        <v>306</v>
      </c>
      <c r="S307" s="29">
        <v>-9.0941515183170975E-3</v>
      </c>
      <c r="T307" s="41">
        <f t="shared" si="26"/>
        <v>0</v>
      </c>
      <c r="U307" s="4">
        <f t="shared" si="27"/>
        <v>-0.47660325758475852</v>
      </c>
      <c r="V307" s="15">
        <f t="shared" si="31"/>
        <v>0.24361022364217252</v>
      </c>
      <c r="W307" s="33">
        <f t="shared" si="28"/>
        <v>-0.69473650337444759</v>
      </c>
      <c r="X307" s="4">
        <f t="shared" si="29"/>
        <v>-0.47660325758475852</v>
      </c>
    </row>
    <row r="308" spans="1:24" ht="14.5" x14ac:dyDescent="0.35">
      <c r="A308" s="52">
        <v>44946</v>
      </c>
      <c r="B308" s="51">
        <v>2690</v>
      </c>
      <c r="C308" s="1">
        <f t="shared" si="30"/>
        <v>-3.7105793965356015E-3</v>
      </c>
      <c r="R308" s="28">
        <v>307</v>
      </c>
      <c r="S308" s="29">
        <v>-9.0063652915837195E-3</v>
      </c>
      <c r="T308" s="41">
        <f t="shared" si="26"/>
        <v>0</v>
      </c>
      <c r="U308" s="4">
        <f t="shared" si="27"/>
        <v>-0.47197378379157667</v>
      </c>
      <c r="V308" s="15">
        <f t="shared" si="31"/>
        <v>0.24440894568690097</v>
      </c>
      <c r="W308" s="33">
        <f t="shared" si="28"/>
        <v>-0.69219020137249287</v>
      </c>
      <c r="X308" s="4">
        <f t="shared" si="29"/>
        <v>-0.47197378379157667</v>
      </c>
    </row>
    <row r="309" spans="1:24" ht="14.5" x14ac:dyDescent="0.35">
      <c r="A309" s="52">
        <v>44945</v>
      </c>
      <c r="B309" s="51">
        <v>2700</v>
      </c>
      <c r="C309" s="1">
        <f t="shared" si="30"/>
        <v>4.4543503493803746E-3</v>
      </c>
      <c r="R309" s="28">
        <v>308</v>
      </c>
      <c r="S309" s="29">
        <v>-8.9737001511956214E-3</v>
      </c>
      <c r="T309" s="41">
        <f t="shared" si="26"/>
        <v>0</v>
      </c>
      <c r="U309" s="4">
        <f t="shared" si="27"/>
        <v>-0.47025116263556554</v>
      </c>
      <c r="V309" s="15">
        <f t="shared" si="31"/>
        <v>0.24520766773162939</v>
      </c>
      <c r="W309" s="33">
        <f t="shared" si="28"/>
        <v>-0.68964837940445989</v>
      </c>
      <c r="X309" s="4">
        <f t="shared" si="29"/>
        <v>-0.47025116263556554</v>
      </c>
    </row>
    <row r="310" spans="1:24" ht="14.5" x14ac:dyDescent="0.35">
      <c r="A310" s="52">
        <v>44944</v>
      </c>
      <c r="B310" s="51">
        <v>2688</v>
      </c>
      <c r="C310" s="1">
        <f t="shared" si="30"/>
        <v>7.443245598572956E-4</v>
      </c>
      <c r="R310" s="28">
        <v>309</v>
      </c>
      <c r="S310" s="29">
        <v>-8.9552837291040546E-3</v>
      </c>
      <c r="T310" s="41">
        <f t="shared" si="26"/>
        <v>0</v>
      </c>
      <c r="U310" s="4">
        <f t="shared" si="27"/>
        <v>-0.46927995853431137</v>
      </c>
      <c r="V310" s="15">
        <f t="shared" si="31"/>
        <v>0.24600638977635783</v>
      </c>
      <c r="W310" s="33">
        <f t="shared" si="28"/>
        <v>-0.68711100536855518</v>
      </c>
      <c r="X310" s="4">
        <f t="shared" si="29"/>
        <v>-0.46927995853431137</v>
      </c>
    </row>
    <row r="311" spans="1:24" ht="14.5" x14ac:dyDescent="0.35">
      <c r="A311" s="52">
        <v>44943</v>
      </c>
      <c r="B311" s="51">
        <v>2686</v>
      </c>
      <c r="C311" s="1">
        <f t="shared" si="30"/>
        <v>-8.1572569489827412E-3</v>
      </c>
      <c r="R311" s="28">
        <v>310</v>
      </c>
      <c r="S311" s="29">
        <v>-8.9286307443013184E-3</v>
      </c>
      <c r="T311" s="41">
        <f t="shared" si="26"/>
        <v>0</v>
      </c>
      <c r="U311" s="4">
        <f t="shared" si="27"/>
        <v>-0.46787439300033418</v>
      </c>
      <c r="V311" s="15">
        <f t="shared" si="31"/>
        <v>0.24680511182108625</v>
      </c>
      <c r="W311" s="33">
        <f t="shared" si="28"/>
        <v>-0.68457804744566686</v>
      </c>
      <c r="X311" s="4">
        <f t="shared" si="29"/>
        <v>-0.46787439300033418</v>
      </c>
    </row>
    <row r="312" spans="1:24" ht="14.5" x14ac:dyDescent="0.35">
      <c r="A312" s="52">
        <v>44942</v>
      </c>
      <c r="B312" s="51">
        <v>2708</v>
      </c>
      <c r="C312" s="1">
        <f t="shared" si="30"/>
        <v>7.4129323891255336E-3</v>
      </c>
      <c r="R312" s="28">
        <v>311</v>
      </c>
      <c r="S312" s="29">
        <v>-8.8339797107597519E-3</v>
      </c>
      <c r="T312" s="41">
        <f t="shared" si="26"/>
        <v>0</v>
      </c>
      <c r="U312" s="4">
        <f t="shared" si="27"/>
        <v>-0.46288289837089647</v>
      </c>
      <c r="V312" s="15">
        <f t="shared" si="31"/>
        <v>0.24760383386581469</v>
      </c>
      <c r="W312" s="33">
        <f t="shared" si="28"/>
        <v>-0.68204947409576822</v>
      </c>
      <c r="X312" s="4">
        <f t="shared" si="29"/>
        <v>-0.46288289837089647</v>
      </c>
    </row>
    <row r="313" spans="1:24" ht="14.5" x14ac:dyDescent="0.35">
      <c r="A313" s="52">
        <v>44939</v>
      </c>
      <c r="B313" s="51">
        <v>2688</v>
      </c>
      <c r="C313" s="1">
        <f t="shared" si="30"/>
        <v>-7.437709528446524E-4</v>
      </c>
      <c r="R313" s="28">
        <v>312</v>
      </c>
      <c r="S313" s="29">
        <v>-8.7784031165050007E-3</v>
      </c>
      <c r="T313" s="41">
        <f t="shared" si="26"/>
        <v>0</v>
      </c>
      <c r="U313" s="4">
        <f t="shared" si="27"/>
        <v>-0.45995202417581221</v>
      </c>
      <c r="V313" s="15">
        <f t="shared" si="31"/>
        <v>0.24840255591054314</v>
      </c>
      <c r="W313" s="33">
        <f t="shared" si="28"/>
        <v>-0.67952525405437891</v>
      </c>
      <c r="X313" s="4">
        <f t="shared" si="29"/>
        <v>-0.45995202417581221</v>
      </c>
    </row>
    <row r="314" spans="1:24" ht="14.5" x14ac:dyDescent="0.35">
      <c r="A314" s="52">
        <v>44938</v>
      </c>
      <c r="B314" s="51">
        <v>2690</v>
      </c>
      <c r="C314" s="1">
        <f t="shared" si="30"/>
        <v>-4.451045924259424E-3</v>
      </c>
      <c r="R314" s="28">
        <v>313</v>
      </c>
      <c r="S314" s="29">
        <v>-8.7489621932355377E-3</v>
      </c>
      <c r="T314" s="41">
        <f t="shared" si="26"/>
        <v>0</v>
      </c>
      <c r="U314" s="4">
        <f t="shared" si="27"/>
        <v>-0.45839943457497412</v>
      </c>
      <c r="V314" s="15">
        <f t="shared" si="31"/>
        <v>0.24920127795527156</v>
      </c>
      <c r="W314" s="33">
        <f t="shared" si="28"/>
        <v>-0.67700535632907999</v>
      </c>
      <c r="X314" s="4">
        <f t="shared" si="29"/>
        <v>-0.45839943457497412</v>
      </c>
    </row>
    <row r="315" spans="1:24" ht="14.5" x14ac:dyDescent="0.35">
      <c r="A315" s="52">
        <v>44937</v>
      </c>
      <c r="B315" s="51">
        <v>2702</v>
      </c>
      <c r="C315" s="1">
        <f t="shared" si="30"/>
        <v>8.1754450152418598E-3</v>
      </c>
      <c r="R315" s="28">
        <v>314</v>
      </c>
      <c r="S315" s="29">
        <v>-8.742163495865915E-3</v>
      </c>
      <c r="T315" s="41">
        <f t="shared" si="26"/>
        <v>0</v>
      </c>
      <c r="U315" s="4">
        <f t="shared" si="27"/>
        <v>-0.45804090007051212</v>
      </c>
      <c r="V315" s="15">
        <f t="shared" si="31"/>
        <v>0.25</v>
      </c>
      <c r="W315" s="33">
        <f t="shared" si="28"/>
        <v>-0.67448975019608193</v>
      </c>
      <c r="X315" s="4">
        <f t="shared" si="29"/>
        <v>-0.45804090007051212</v>
      </c>
    </row>
    <row r="316" spans="1:24" ht="14.5" x14ac:dyDescent="0.35">
      <c r="A316" s="52">
        <v>44936</v>
      </c>
      <c r="B316" s="51">
        <v>2680</v>
      </c>
      <c r="C316" s="1">
        <f t="shared" si="30"/>
        <v>7.4654725378456299E-4</v>
      </c>
      <c r="R316" s="28">
        <v>315</v>
      </c>
      <c r="S316" s="29">
        <v>-8.6293266980545253E-3</v>
      </c>
      <c r="T316" s="41">
        <f t="shared" si="26"/>
        <v>0</v>
      </c>
      <c r="U316" s="4">
        <f t="shared" si="27"/>
        <v>-0.4520903652564241</v>
      </c>
      <c r="V316" s="15">
        <f t="shared" si="31"/>
        <v>0.25079872204472842</v>
      </c>
      <c r="W316" s="33">
        <f t="shared" si="28"/>
        <v>-0.6719784051968487</v>
      </c>
      <c r="X316" s="4">
        <f t="shared" si="29"/>
        <v>-0.4520903652564241</v>
      </c>
    </row>
    <row r="317" spans="1:24" ht="14.5" x14ac:dyDescent="0.35">
      <c r="A317" s="52">
        <v>44935</v>
      </c>
      <c r="B317" s="51">
        <v>2678</v>
      </c>
      <c r="C317" s="1">
        <f t="shared" si="30"/>
        <v>1.1265609194219086E-2</v>
      </c>
      <c r="R317" s="28">
        <v>316</v>
      </c>
      <c r="S317" s="29">
        <v>-8.6022035826631912E-3</v>
      </c>
      <c r="T317" s="41">
        <f t="shared" si="26"/>
        <v>0</v>
      </c>
      <c r="U317" s="4">
        <f t="shared" si="27"/>
        <v>-0.45066000702636833</v>
      </c>
      <c r="V317" s="15">
        <f t="shared" si="31"/>
        <v>0.25159744408945689</v>
      </c>
      <c r="W317" s="33">
        <f t="shared" si="28"/>
        <v>-0.66947129113477122</v>
      </c>
      <c r="X317" s="4">
        <f t="shared" si="29"/>
        <v>-0.45066000702636833</v>
      </c>
    </row>
    <row r="318" spans="1:24" ht="14.5" x14ac:dyDescent="0.35">
      <c r="A318" s="52">
        <v>44932</v>
      </c>
      <c r="B318" s="51">
        <v>2648</v>
      </c>
      <c r="C318" s="1">
        <f t="shared" si="30"/>
        <v>1.139397058705351E-2</v>
      </c>
      <c r="R318" s="28">
        <v>317</v>
      </c>
      <c r="S318" s="29">
        <v>-8.5960414697979076E-3</v>
      </c>
      <c r="T318" s="41">
        <f t="shared" si="26"/>
        <v>0</v>
      </c>
      <c r="U318" s="4">
        <f t="shared" si="27"/>
        <v>-0.45033504329251178</v>
      </c>
      <c r="V318" s="15">
        <f t="shared" si="31"/>
        <v>0.25239616613418531</v>
      </c>
      <c r="W318" s="33">
        <f t="shared" si="28"/>
        <v>-0.66696837807189291</v>
      </c>
      <c r="X318" s="4">
        <f t="shared" si="29"/>
        <v>-0.45033504329251178</v>
      </c>
    </row>
    <row r="319" spans="1:24" ht="14.5" x14ac:dyDescent="0.35">
      <c r="A319" s="52">
        <v>44931</v>
      </c>
      <c r="B319" s="51">
        <v>2618</v>
      </c>
      <c r="C319" s="1">
        <f t="shared" si="30"/>
        <v>2.2944560735236254E-3</v>
      </c>
      <c r="R319" s="28">
        <v>318</v>
      </c>
      <c r="S319" s="29">
        <v>-8.5924208197826913E-3</v>
      </c>
      <c r="T319" s="41">
        <f t="shared" si="26"/>
        <v>0</v>
      </c>
      <c r="U319" s="4">
        <f t="shared" si="27"/>
        <v>-0.45014410554540213</v>
      </c>
      <c r="V319" s="15">
        <f t="shared" si="31"/>
        <v>0.25319488817891372</v>
      </c>
      <c r="W319" s="33">
        <f t="shared" si="28"/>
        <v>-0.66446963632568545</v>
      </c>
      <c r="X319" s="4">
        <f t="shared" si="29"/>
        <v>-0.45014410554540213</v>
      </c>
    </row>
    <row r="320" spans="1:24" ht="14.5" x14ac:dyDescent="0.35">
      <c r="A320" s="52">
        <v>44930</v>
      </c>
      <c r="B320" s="51">
        <v>2612</v>
      </c>
      <c r="C320" s="1">
        <f t="shared" si="30"/>
        <v>-1.4443428583946231E-2</v>
      </c>
      <c r="R320" s="28">
        <v>319</v>
      </c>
      <c r="S320" s="29">
        <v>-8.5653628589230455E-3</v>
      </c>
      <c r="T320" s="41">
        <f t="shared" si="26"/>
        <v>0</v>
      </c>
      <c r="U320" s="4">
        <f t="shared" si="27"/>
        <v>-0.44871718328939586</v>
      </c>
      <c r="V320" s="15">
        <f t="shared" si="31"/>
        <v>0.2539936102236422</v>
      </c>
      <c r="W320" s="33">
        <f t="shared" si="28"/>
        <v>-0.6619750364658723</v>
      </c>
      <c r="X320" s="4">
        <f t="shared" si="29"/>
        <v>-0.44871718328939586</v>
      </c>
    </row>
    <row r="321" spans="1:24" ht="14.5" x14ac:dyDescent="0.35">
      <c r="A321" s="52">
        <v>44929</v>
      </c>
      <c r="B321" s="51">
        <v>2650</v>
      </c>
      <c r="C321" s="1">
        <f t="shared" si="30"/>
        <v>1.5975995933724393E-2</v>
      </c>
      <c r="R321" s="28">
        <v>320</v>
      </c>
      <c r="S321" s="29">
        <v>-8.5106896679086191E-3</v>
      </c>
      <c r="T321" s="41">
        <f t="shared" si="26"/>
        <v>0</v>
      </c>
      <c r="U321" s="4">
        <f t="shared" si="27"/>
        <v>-0.44583395075498422</v>
      </c>
      <c r="V321" s="15">
        <f t="shared" si="31"/>
        <v>0.25479233226837061</v>
      </c>
      <c r="W321" s="33">
        <f t="shared" si="28"/>
        <v>-0.65948454931130407</v>
      </c>
      <c r="X321" s="4">
        <f t="shared" si="29"/>
        <v>-0.44583395075498422</v>
      </c>
    </row>
    <row r="322" spans="1:24" ht="14.5" x14ac:dyDescent="0.35">
      <c r="A322" s="52">
        <v>44928</v>
      </c>
      <c r="B322" s="51">
        <v>2608</v>
      </c>
      <c r="C322" s="1">
        <f t="shared" si="30"/>
        <v>2.3032639740930899E-3</v>
      </c>
      <c r="R322" s="28">
        <v>321</v>
      </c>
      <c r="S322" s="29">
        <v>-8.4388686458645949E-3</v>
      </c>
      <c r="T322" s="41">
        <f t="shared" si="26"/>
        <v>0</v>
      </c>
      <c r="U322" s="4">
        <f t="shared" si="27"/>
        <v>-0.44204641423900898</v>
      </c>
      <c r="V322" s="15">
        <f t="shared" si="31"/>
        <v>0.25559105431309903</v>
      </c>
      <c r="W322" s="33">
        <f t="shared" si="28"/>
        <v>-0.65699814592687567</v>
      </c>
      <c r="X322" s="4">
        <f t="shared" si="29"/>
        <v>-0.44204641423900898</v>
      </c>
    </row>
    <row r="323" spans="1:24" ht="14.5" x14ac:dyDescent="0.35">
      <c r="A323" s="52">
        <v>44925</v>
      </c>
      <c r="B323" s="51">
        <v>2602</v>
      </c>
      <c r="C323" s="1">
        <f t="shared" si="30"/>
        <v>-1.0703466099359698E-2</v>
      </c>
      <c r="R323" s="28">
        <v>322</v>
      </c>
      <c r="S323" s="29">
        <v>-8.3218233374922172E-3</v>
      </c>
      <c r="T323" s="41">
        <f t="shared" ref="T323:T386" si="32">+IF(OR(S323&lt;($Z$3-3*$Z$4^0.5),S323&gt;($Z$3+3*$Z$4^0.5)),1,0)</f>
        <v>0</v>
      </c>
      <c r="U323" s="4">
        <f t="shared" ref="U323:U386" si="33">+(S323-AVERAGE($S$2:$S$1252))/_xlfn.STDEV.S($S$2:$S$1252)</f>
        <v>-0.43587394040241811</v>
      </c>
      <c r="V323" s="15">
        <f t="shared" si="31"/>
        <v>0.2563897763578275</v>
      </c>
      <c r="W323" s="33">
        <f t="shared" ref="W323:W386" si="34">+_xlfn.NORM.S.INV(V323)</f>
        <v>-0.65451579762049528</v>
      </c>
      <c r="X323" s="4">
        <f t="shared" ref="X323:X386" si="35">+U323</f>
        <v>-0.43587394040241811</v>
      </c>
    </row>
    <row r="324" spans="1:24" ht="14.5" x14ac:dyDescent="0.35">
      <c r="A324" s="52">
        <v>44924</v>
      </c>
      <c r="B324" s="51">
        <v>2630</v>
      </c>
      <c r="C324" s="1">
        <f t="shared" ref="C324:C387" si="36">+LN(B324/B325)</f>
        <v>5.3374125947209753E-3</v>
      </c>
      <c r="R324" s="28">
        <v>323</v>
      </c>
      <c r="S324" s="29">
        <v>-8.3195155395583888E-3</v>
      </c>
      <c r="T324" s="41">
        <f t="shared" si="32"/>
        <v>0</v>
      </c>
      <c r="U324" s="4">
        <f t="shared" si="33"/>
        <v>-0.43575223691370268</v>
      </c>
      <c r="V324" s="15">
        <f t="shared" ref="V324:V387" si="37">+R323/1252</f>
        <v>0.25718849840255592</v>
      </c>
      <c r="W324" s="33">
        <f t="shared" si="34"/>
        <v>-0.65203747594009653</v>
      </c>
      <c r="X324" s="4">
        <f t="shared" si="35"/>
        <v>-0.43575223691370268</v>
      </c>
    </row>
    <row r="325" spans="1:24" ht="14.5" x14ac:dyDescent="0.35">
      <c r="A325" s="52">
        <v>44923</v>
      </c>
      <c r="B325" s="51">
        <v>2616</v>
      </c>
      <c r="C325" s="1">
        <f t="shared" si="36"/>
        <v>-6.0975798681184449E-3</v>
      </c>
      <c r="R325" s="28">
        <v>324</v>
      </c>
      <c r="S325" s="29">
        <v>-8.2930675707608339E-3</v>
      </c>
      <c r="T325" s="41">
        <f t="shared" si="32"/>
        <v>0</v>
      </c>
      <c r="U325" s="4">
        <f t="shared" si="33"/>
        <v>-0.43435748305552574</v>
      </c>
      <c r="V325" s="15">
        <f t="shared" si="37"/>
        <v>0.25798722044728434</v>
      </c>
      <c r="W325" s="33">
        <f t="shared" si="34"/>
        <v>-0.64956315267069531</v>
      </c>
      <c r="X325" s="4">
        <f t="shared" si="35"/>
        <v>-0.43435748305552574</v>
      </c>
    </row>
    <row r="326" spans="1:24" ht="14.5" x14ac:dyDescent="0.35">
      <c r="A326" s="52">
        <v>44922</v>
      </c>
      <c r="B326" s="51">
        <v>2632</v>
      </c>
      <c r="C326" s="1">
        <f t="shared" si="36"/>
        <v>-3.034903695154047E-3</v>
      </c>
      <c r="R326" s="28">
        <v>325</v>
      </c>
      <c r="S326" s="29">
        <v>-8.2738343373963599E-3</v>
      </c>
      <c r="T326" s="41">
        <f t="shared" si="32"/>
        <v>0</v>
      </c>
      <c r="U326" s="4">
        <f t="shared" si="33"/>
        <v>-0.43334320378721397</v>
      </c>
      <c r="V326" s="15">
        <f t="shared" si="37"/>
        <v>0.25878594249201275</v>
      </c>
      <c r="W326" s="33">
        <f t="shared" si="34"/>
        <v>-0.64709279983148971</v>
      </c>
      <c r="X326" s="4">
        <f t="shared" si="35"/>
        <v>-0.43334320378721397</v>
      </c>
    </row>
    <row r="327" spans="1:24" ht="14.5" x14ac:dyDescent="0.35">
      <c r="A327" s="52">
        <v>44918</v>
      </c>
      <c r="B327" s="51">
        <v>2640</v>
      </c>
      <c r="C327" s="1">
        <f t="shared" si="36"/>
        <v>0</v>
      </c>
      <c r="R327" s="28">
        <v>326</v>
      </c>
      <c r="S327" s="29">
        <v>-8.1911720786518784E-3</v>
      </c>
      <c r="T327" s="41">
        <f t="shared" si="32"/>
        <v>0</v>
      </c>
      <c r="U327" s="4">
        <f t="shared" si="33"/>
        <v>-0.42898394636400716</v>
      </c>
      <c r="V327" s="15">
        <f t="shared" si="37"/>
        <v>0.25958466453674123</v>
      </c>
      <c r="W327" s="33">
        <f t="shared" si="34"/>
        <v>-0.644626389673008</v>
      </c>
      <c r="X327" s="4">
        <f t="shared" si="35"/>
        <v>-0.42898394636400716</v>
      </c>
    </row>
    <row r="328" spans="1:24" ht="14.5" x14ac:dyDescent="0.35">
      <c r="A328" s="52">
        <v>44917</v>
      </c>
      <c r="B328" s="51">
        <v>2640</v>
      </c>
      <c r="C328" s="1">
        <f t="shared" si="36"/>
        <v>3.0349036951541112E-3</v>
      </c>
      <c r="R328" s="28">
        <v>327</v>
      </c>
      <c r="S328" s="29">
        <v>-8.1572569489827412E-3</v>
      </c>
      <c r="T328" s="41">
        <f t="shared" si="32"/>
        <v>0</v>
      </c>
      <c r="U328" s="4">
        <f t="shared" si="33"/>
        <v>-0.42719540606744671</v>
      </c>
      <c r="V328" s="15">
        <f t="shared" si="37"/>
        <v>0.26038338658146964</v>
      </c>
      <c r="W328" s="33">
        <f t="shared" si="34"/>
        <v>-0.64216389467429247</v>
      </c>
      <c r="X328" s="4">
        <f t="shared" si="35"/>
        <v>-0.42719540606744671</v>
      </c>
    </row>
    <row r="329" spans="1:24" ht="14.5" x14ac:dyDescent="0.35">
      <c r="A329" s="52">
        <v>44916</v>
      </c>
      <c r="B329" s="51">
        <v>2632</v>
      </c>
      <c r="C329" s="1">
        <f t="shared" si="36"/>
        <v>-6.060624611690958E-3</v>
      </c>
      <c r="R329" s="28">
        <v>328</v>
      </c>
      <c r="S329" s="29">
        <v>-8.1377600886729032E-3</v>
      </c>
      <c r="T329" s="41">
        <f t="shared" si="32"/>
        <v>0</v>
      </c>
      <c r="U329" s="4">
        <f t="shared" si="33"/>
        <v>-0.42616722423058684</v>
      </c>
      <c r="V329" s="15">
        <f t="shared" si="37"/>
        <v>0.26118210862619806</v>
      </c>
      <c r="W329" s="33">
        <f t="shared" si="34"/>
        <v>-0.63970528754012834</v>
      </c>
      <c r="X329" s="4">
        <f t="shared" si="35"/>
        <v>-0.42616722423058684</v>
      </c>
    </row>
    <row r="330" spans="1:24" ht="14.5" x14ac:dyDescent="0.35">
      <c r="A330" s="52">
        <v>44915</v>
      </c>
      <c r="B330" s="51">
        <v>2648</v>
      </c>
      <c r="C330" s="1">
        <f t="shared" si="36"/>
        <v>1.5117160853219392E-3</v>
      </c>
      <c r="R330" s="28">
        <v>329</v>
      </c>
      <c r="S330" s="29">
        <v>-8.1045018119390699E-3</v>
      </c>
      <c r="T330" s="41">
        <f t="shared" si="32"/>
        <v>0</v>
      </c>
      <c r="U330" s="4">
        <f t="shared" si="33"/>
        <v>-0.42441332357583722</v>
      </c>
      <c r="V330" s="15">
        <f t="shared" si="37"/>
        <v>0.26198083067092653</v>
      </c>
      <c r="W330" s="33">
        <f t="shared" si="34"/>
        <v>-0.63725054119831448</v>
      </c>
      <c r="X330" s="4">
        <f t="shared" si="35"/>
        <v>-0.42441332357583722</v>
      </c>
    </row>
    <row r="331" spans="1:24" ht="14.5" x14ac:dyDescent="0.35">
      <c r="A331" s="52">
        <v>44914</v>
      </c>
      <c r="B331" s="51">
        <v>2644</v>
      </c>
      <c r="C331" s="1">
        <f t="shared" si="36"/>
        <v>1.0646488394487485E-2</v>
      </c>
      <c r="R331" s="28">
        <v>330</v>
      </c>
      <c r="S331" s="29">
        <v>-8.0972102326193618E-3</v>
      </c>
      <c r="T331" s="41">
        <f t="shared" si="32"/>
        <v>0</v>
      </c>
      <c r="U331" s="4">
        <f t="shared" si="33"/>
        <v>-0.42402879656485154</v>
      </c>
      <c r="V331" s="15">
        <f t="shared" si="37"/>
        <v>0.26277955271565495</v>
      </c>
      <c r="W331" s="33">
        <f t="shared" si="34"/>
        <v>-0.63479962879697216</v>
      </c>
      <c r="X331" s="4">
        <f t="shared" si="35"/>
        <v>-0.42402879656485154</v>
      </c>
    </row>
    <row r="332" spans="1:24" ht="14.5" x14ac:dyDescent="0.35">
      <c r="A332" s="52">
        <v>44911</v>
      </c>
      <c r="B332" s="51">
        <v>2616</v>
      </c>
      <c r="C332" s="1">
        <f t="shared" si="36"/>
        <v>3.0627895305457308E-3</v>
      </c>
      <c r="R332" s="28">
        <v>331</v>
      </c>
      <c r="S332" s="29">
        <v>-8.0321716972642666E-3</v>
      </c>
      <c r="T332" s="41">
        <f t="shared" si="32"/>
        <v>0</v>
      </c>
      <c r="U332" s="4">
        <f t="shared" si="33"/>
        <v>-0.42059893967069639</v>
      </c>
      <c r="V332" s="15">
        <f t="shared" si="37"/>
        <v>0.26357827476038337</v>
      </c>
      <c r="W332" s="33">
        <f t="shared" si="34"/>
        <v>-0.63235252370189377</v>
      </c>
      <c r="X332" s="4">
        <f t="shared" si="35"/>
        <v>-0.42059893967069639</v>
      </c>
    </row>
    <row r="333" spans="1:24" ht="14.5" x14ac:dyDescent="0.35">
      <c r="A333" s="52">
        <v>44910</v>
      </c>
      <c r="B333" s="51">
        <v>2608</v>
      </c>
      <c r="C333" s="1">
        <f t="shared" si="36"/>
        <v>-1.2952562035727092E-2</v>
      </c>
      <c r="R333" s="28">
        <v>332</v>
      </c>
      <c r="S333" s="29">
        <v>-8.0321716972642666E-3</v>
      </c>
      <c r="T333" s="41">
        <f t="shared" si="32"/>
        <v>0</v>
      </c>
      <c r="U333" s="4">
        <f t="shared" si="33"/>
        <v>-0.42059893967069639</v>
      </c>
      <c r="V333" s="15">
        <f t="shared" si="37"/>
        <v>0.26437699680511184</v>
      </c>
      <c r="W333" s="33">
        <f t="shared" si="34"/>
        <v>-0.62990919949393132</v>
      </c>
      <c r="X333" s="4">
        <f t="shared" si="35"/>
        <v>-0.42059893967069639</v>
      </c>
    </row>
    <row r="334" spans="1:24" ht="14.5" x14ac:dyDescent="0.35">
      <c r="A334" s="52">
        <v>44909</v>
      </c>
      <c r="B334" s="51">
        <v>2642</v>
      </c>
      <c r="C334" s="1">
        <f t="shared" si="36"/>
        <v>1.2952562035727146E-2</v>
      </c>
      <c r="R334" s="28">
        <v>333</v>
      </c>
      <c r="S334" s="29">
        <v>-7.9739458391442277E-3</v>
      </c>
      <c r="T334" s="41">
        <f t="shared" si="32"/>
        <v>0</v>
      </c>
      <c r="U334" s="4">
        <f t="shared" si="33"/>
        <v>-0.41752835451989673</v>
      </c>
      <c r="V334" s="15">
        <f t="shared" si="37"/>
        <v>0.26517571884984026</v>
      </c>
      <c r="W334" s="33">
        <f t="shared" si="34"/>
        <v>-0.62746962996642153</v>
      </c>
      <c r="X334" s="4">
        <f t="shared" si="35"/>
        <v>-0.41752835451989673</v>
      </c>
    </row>
    <row r="335" spans="1:24" ht="14.5" x14ac:dyDescent="0.35">
      <c r="A335" s="52">
        <v>44908</v>
      </c>
      <c r="B335" s="51">
        <v>2608</v>
      </c>
      <c r="C335" s="1">
        <f t="shared" si="36"/>
        <v>1.0794245130880394E-2</v>
      </c>
      <c r="R335" s="28">
        <v>334</v>
      </c>
      <c r="S335" s="29">
        <v>-7.9156086126610861E-3</v>
      </c>
      <c r="T335" s="41">
        <f t="shared" si="32"/>
        <v>0</v>
      </c>
      <c r="U335" s="4">
        <f t="shared" si="33"/>
        <v>-0.41445189627331014</v>
      </c>
      <c r="V335" s="15">
        <f t="shared" si="37"/>
        <v>0.26597444089456868</v>
      </c>
      <c r="W335" s="33">
        <f t="shared" si="34"/>
        <v>-0.62503378912265017</v>
      </c>
      <c r="X335" s="4">
        <f t="shared" si="35"/>
        <v>-0.41445189627331014</v>
      </c>
    </row>
    <row r="336" spans="1:24" ht="14.5" x14ac:dyDescent="0.35">
      <c r="A336" s="52">
        <v>44907</v>
      </c>
      <c r="B336" s="51">
        <v>2580</v>
      </c>
      <c r="C336" s="1">
        <f t="shared" si="36"/>
        <v>-7.7220460939102778E-3</v>
      </c>
      <c r="R336" s="28">
        <v>335</v>
      </c>
      <c r="S336" s="29">
        <v>-7.8955770027800392E-3</v>
      </c>
      <c r="T336" s="41">
        <f t="shared" si="32"/>
        <v>0</v>
      </c>
      <c r="U336" s="4">
        <f t="shared" si="33"/>
        <v>-0.41339551400891228</v>
      </c>
      <c r="V336" s="15">
        <f t="shared" si="37"/>
        <v>0.26677316293929715</v>
      </c>
      <c r="W336" s="33">
        <f t="shared" si="34"/>
        <v>-0.62260165117335065</v>
      </c>
      <c r="X336" s="4">
        <f t="shared" si="35"/>
        <v>-0.41339551400891228</v>
      </c>
    </row>
    <row r="337" spans="1:24" ht="14.5" x14ac:dyDescent="0.35">
      <c r="A337" s="52">
        <v>44904</v>
      </c>
      <c r="B337" s="51">
        <v>2600</v>
      </c>
      <c r="C337" s="1">
        <f t="shared" si="36"/>
        <v>7.695267790285181E-4</v>
      </c>
      <c r="R337" s="28">
        <v>336</v>
      </c>
      <c r="S337" s="29">
        <v>-7.8125397367936247E-3</v>
      </c>
      <c r="T337" s="41">
        <f t="shared" si="32"/>
        <v>0</v>
      </c>
      <c r="U337" s="4">
        <f t="shared" si="33"/>
        <v>-0.40901648029205001</v>
      </c>
      <c r="V337" s="15">
        <f t="shared" si="37"/>
        <v>0.26757188498402557</v>
      </c>
      <c r="W337" s="33">
        <f t="shared" si="34"/>
        <v>-0.62017319053424136</v>
      </c>
      <c r="X337" s="4">
        <f t="shared" si="35"/>
        <v>-0.40901648029205001</v>
      </c>
    </row>
    <row r="338" spans="1:24" ht="14.5" x14ac:dyDescent="0.35">
      <c r="A338" s="52">
        <v>44903</v>
      </c>
      <c r="B338" s="51">
        <v>2598</v>
      </c>
      <c r="C338" s="1">
        <f t="shared" si="36"/>
        <v>-5.5403389097371497E-2</v>
      </c>
      <c r="R338" s="28">
        <v>337</v>
      </c>
      <c r="S338" s="29">
        <v>-7.7220460939102778E-3</v>
      </c>
      <c r="T338" s="41">
        <f t="shared" si="32"/>
        <v>0</v>
      </c>
      <c r="U338" s="4">
        <f t="shared" si="33"/>
        <v>-0.40424422883795347</v>
      </c>
      <c r="V338" s="15">
        <f t="shared" si="37"/>
        <v>0.26837060702875398</v>
      </c>
      <c r="W338" s="33">
        <f t="shared" si="34"/>
        <v>-0.61774838182359582</v>
      </c>
      <c r="X338" s="4">
        <f t="shared" si="35"/>
        <v>-0.40424422883795347</v>
      </c>
    </row>
    <row r="339" spans="1:24" ht="14.5" x14ac:dyDescent="0.35">
      <c r="A339" s="52">
        <v>44902</v>
      </c>
      <c r="B339" s="51">
        <v>2746</v>
      </c>
      <c r="C339" s="1">
        <f t="shared" si="36"/>
        <v>-2.5882106130709188E-2</v>
      </c>
      <c r="R339" s="28">
        <v>338</v>
      </c>
      <c r="S339" s="29">
        <v>-7.6045993852193036E-3</v>
      </c>
      <c r="T339" s="41">
        <f t="shared" si="32"/>
        <v>0</v>
      </c>
      <c r="U339" s="4">
        <f t="shared" si="33"/>
        <v>-0.3980505868486276</v>
      </c>
      <c r="V339" s="15">
        <f t="shared" si="37"/>
        <v>0.26916932907348246</v>
      </c>
      <c r="W339" s="33">
        <f t="shared" si="34"/>
        <v>-0.61532719985985007</v>
      </c>
      <c r="X339" s="4">
        <f t="shared" si="35"/>
        <v>-0.3980505868486276</v>
      </c>
    </row>
    <row r="340" spans="1:24" ht="14.5" x14ac:dyDescent="0.35">
      <c r="A340" s="52">
        <v>44901</v>
      </c>
      <c r="B340" s="51">
        <v>2818</v>
      </c>
      <c r="C340" s="1">
        <f t="shared" si="36"/>
        <v>2.0796733747429758E-2</v>
      </c>
      <c r="R340" s="28">
        <v>339</v>
      </c>
      <c r="S340" s="29">
        <v>-7.5888601528213218E-3</v>
      </c>
      <c r="T340" s="41">
        <f t="shared" si="32"/>
        <v>0</v>
      </c>
      <c r="U340" s="4">
        <f t="shared" si="33"/>
        <v>-0.39722056639299785</v>
      </c>
      <c r="V340" s="15">
        <f t="shared" si="37"/>
        <v>0.26996805111821087</v>
      </c>
      <c r="W340" s="33">
        <f t="shared" si="34"/>
        <v>-0.61290961965924273</v>
      </c>
      <c r="X340" s="4">
        <f t="shared" si="35"/>
        <v>-0.39722056639299785</v>
      </c>
    </row>
    <row r="341" spans="1:24" ht="14.5" x14ac:dyDescent="0.35">
      <c r="A341" s="52">
        <v>44900</v>
      </c>
      <c r="B341" s="51">
        <v>2760</v>
      </c>
      <c r="C341" s="1">
        <f t="shared" si="36"/>
        <v>-2.9980832211935784E-2</v>
      </c>
      <c r="R341" s="28">
        <v>340</v>
      </c>
      <c r="S341" s="29">
        <v>-7.5731859371195804E-3</v>
      </c>
      <c r="T341" s="41">
        <f t="shared" si="32"/>
        <v>0</v>
      </c>
      <c r="U341" s="4">
        <f t="shared" si="33"/>
        <v>-0.39639397464255982</v>
      </c>
      <c r="V341" s="15">
        <f t="shared" si="37"/>
        <v>0.27076677316293929</v>
      </c>
      <c r="W341" s="33">
        <f t="shared" si="34"/>
        <v>-0.61049561643348849</v>
      </c>
      <c r="X341" s="4">
        <f t="shared" si="35"/>
        <v>-0.39639397464255982</v>
      </c>
    </row>
    <row r="342" spans="1:24" ht="14.5" x14ac:dyDescent="0.35">
      <c r="A342" s="52">
        <v>44897</v>
      </c>
      <c r="B342" s="51">
        <v>2844</v>
      </c>
      <c r="C342" s="1">
        <f t="shared" si="36"/>
        <v>2.8169032711133734E-3</v>
      </c>
      <c r="R342" s="28">
        <v>341</v>
      </c>
      <c r="S342" s="29">
        <v>-7.5662403833158132E-3</v>
      </c>
      <c r="T342" s="41">
        <f t="shared" si="32"/>
        <v>0</v>
      </c>
      <c r="U342" s="4">
        <f t="shared" si="33"/>
        <v>-0.39602769555174833</v>
      </c>
      <c r="V342" s="15">
        <f t="shared" si="37"/>
        <v>0.27156549520766771</v>
      </c>
      <c r="W342" s="33">
        <f t="shared" si="34"/>
        <v>-0.60808516558748693</v>
      </c>
      <c r="X342" s="4">
        <f t="shared" si="35"/>
        <v>-0.39602769555174833</v>
      </c>
    </row>
    <row r="343" spans="1:24" ht="14.5" x14ac:dyDescent="0.35">
      <c r="A343" s="52">
        <v>44896</v>
      </c>
      <c r="B343" s="51">
        <v>2836</v>
      </c>
      <c r="C343" s="1">
        <f t="shared" si="36"/>
        <v>5.6577237198588547E-3</v>
      </c>
      <c r="R343" s="28">
        <v>342</v>
      </c>
      <c r="S343" s="29">
        <v>-7.5368633577029614E-3</v>
      </c>
      <c r="T343" s="41">
        <f t="shared" si="32"/>
        <v>0</v>
      </c>
      <c r="U343" s="4">
        <f t="shared" si="33"/>
        <v>-0.39447847564269145</v>
      </c>
      <c r="V343" s="15">
        <f t="shared" si="37"/>
        <v>0.27236421725239618</v>
      </c>
      <c r="W343" s="33">
        <f t="shared" si="34"/>
        <v>-0.60567824271705972</v>
      </c>
      <c r="X343" s="4">
        <f t="shared" si="35"/>
        <v>-0.39447847564269145</v>
      </c>
    </row>
    <row r="344" spans="1:24" ht="14.5" x14ac:dyDescent="0.35">
      <c r="A344" s="52">
        <v>44895</v>
      </c>
      <c r="B344" s="51">
        <v>2820</v>
      </c>
      <c r="C344" s="1">
        <f t="shared" si="36"/>
        <v>1.069528911674795E-2</v>
      </c>
      <c r="R344" s="28">
        <v>343</v>
      </c>
      <c r="S344" s="29">
        <v>-7.485064886566856E-3</v>
      </c>
      <c r="T344" s="41">
        <f t="shared" si="32"/>
        <v>0</v>
      </c>
      <c r="U344" s="4">
        <f t="shared" si="33"/>
        <v>-0.39174684365923923</v>
      </c>
      <c r="V344" s="15">
        <f t="shared" si="37"/>
        <v>0.2731629392971246</v>
      </c>
      <c r="W344" s="33">
        <f t="shared" si="34"/>
        <v>-0.60327482360672458</v>
      </c>
      <c r="X344" s="4">
        <f t="shared" si="35"/>
        <v>-0.39174684365923923</v>
      </c>
    </row>
    <row r="345" spans="1:24" ht="14.5" x14ac:dyDescent="0.35">
      <c r="A345" s="52">
        <v>44894</v>
      </c>
      <c r="B345" s="51">
        <v>2790</v>
      </c>
      <c r="C345" s="1">
        <f t="shared" si="36"/>
        <v>2.5409715525368221E-2</v>
      </c>
      <c r="R345" s="28">
        <v>344</v>
      </c>
      <c r="S345" s="29">
        <v>-7.4294546785203756E-3</v>
      </c>
      <c r="T345" s="41">
        <f t="shared" si="32"/>
        <v>0</v>
      </c>
      <c r="U345" s="4">
        <f t="shared" si="33"/>
        <v>-0.38881419681514506</v>
      </c>
      <c r="V345" s="15">
        <f t="shared" si="37"/>
        <v>0.27396166134185301</v>
      </c>
      <c r="W345" s="33">
        <f t="shared" si="34"/>
        <v>-0.60087488422749591</v>
      </c>
      <c r="X345" s="4">
        <f t="shared" si="35"/>
        <v>-0.38881419681514506</v>
      </c>
    </row>
    <row r="346" spans="1:24" ht="14.5" x14ac:dyDescent="0.35">
      <c r="A346" s="52">
        <v>44893</v>
      </c>
      <c r="B346" s="51">
        <v>2720</v>
      </c>
      <c r="C346" s="1">
        <f t="shared" si="36"/>
        <v>-1.749315744751723E-2</v>
      </c>
      <c r="R346" s="28">
        <v>345</v>
      </c>
      <c r="S346" s="29">
        <v>-7.3801072976225337E-3</v>
      </c>
      <c r="T346" s="41">
        <f t="shared" si="32"/>
        <v>0</v>
      </c>
      <c r="U346" s="4">
        <f t="shared" si="33"/>
        <v>-0.38621182494965223</v>
      </c>
      <c r="V346" s="15">
        <f t="shared" si="37"/>
        <v>0.27476038338658149</v>
      </c>
      <c r="W346" s="33">
        <f t="shared" si="34"/>
        <v>-0.59847840073472047</v>
      </c>
      <c r="X346" s="4">
        <f t="shared" si="35"/>
        <v>-0.38621182494965223</v>
      </c>
    </row>
    <row r="347" spans="1:24" ht="14.5" x14ac:dyDescent="0.35">
      <c r="A347" s="52">
        <v>44890</v>
      </c>
      <c r="B347" s="51">
        <v>2768</v>
      </c>
      <c r="C347" s="1">
        <f t="shared" si="36"/>
        <v>2.1699827683227275E-3</v>
      </c>
      <c r="R347" s="28">
        <v>346</v>
      </c>
      <c r="S347" s="29">
        <v>-7.1749186722952054E-3</v>
      </c>
      <c r="T347" s="41">
        <f t="shared" si="32"/>
        <v>0</v>
      </c>
      <c r="U347" s="4">
        <f t="shared" si="33"/>
        <v>-0.37539104589399308</v>
      </c>
      <c r="V347" s="15">
        <f t="shared" si="37"/>
        <v>0.2755591054313099</v>
      </c>
      <c r="W347" s="33">
        <f t="shared" si="34"/>
        <v>-0.59608534946593994</v>
      </c>
      <c r="X347" s="4">
        <f t="shared" si="35"/>
        <v>-0.37539104589399308</v>
      </c>
    </row>
    <row r="348" spans="1:24" ht="14.5" x14ac:dyDescent="0.35">
      <c r="A348" s="52">
        <v>44889</v>
      </c>
      <c r="B348" s="51">
        <v>2762</v>
      </c>
      <c r="C348" s="1">
        <f t="shared" si="36"/>
        <v>7.9971345871214759E-3</v>
      </c>
      <c r="R348" s="28">
        <v>347</v>
      </c>
      <c r="S348" s="29">
        <v>-7.168489478612516E-3</v>
      </c>
      <c r="T348" s="41">
        <f t="shared" si="32"/>
        <v>0</v>
      </c>
      <c r="U348" s="4">
        <f t="shared" si="33"/>
        <v>-0.37505199744900525</v>
      </c>
      <c r="V348" s="15">
        <f t="shared" si="37"/>
        <v>0.27635782747603832</v>
      </c>
      <c r="W348" s="33">
        <f t="shared" si="34"/>
        <v>-0.59369570693878382</v>
      </c>
      <c r="X348" s="4">
        <f t="shared" si="35"/>
        <v>-0.37505199744900525</v>
      </c>
    </row>
    <row r="349" spans="1:24" ht="14.5" x14ac:dyDescent="0.35">
      <c r="A349" s="52">
        <v>44888</v>
      </c>
      <c r="B349" s="51">
        <v>2740</v>
      </c>
      <c r="C349" s="1">
        <f t="shared" si="36"/>
        <v>-1.0889399799268319E-2</v>
      </c>
      <c r="R349" s="28">
        <v>348</v>
      </c>
      <c r="S349" s="29">
        <v>-7.168489478612516E-3</v>
      </c>
      <c r="T349" s="41">
        <f t="shared" si="32"/>
        <v>0</v>
      </c>
      <c r="U349" s="4">
        <f t="shared" si="33"/>
        <v>-0.37505199744900525</v>
      </c>
      <c r="V349" s="15">
        <f t="shared" si="37"/>
        <v>0.27715654952076679</v>
      </c>
      <c r="W349" s="33">
        <f t="shared" si="34"/>
        <v>-0.59130944984889577</v>
      </c>
      <c r="X349" s="4">
        <f t="shared" si="35"/>
        <v>-0.37505199744900525</v>
      </c>
    </row>
    <row r="350" spans="1:24" ht="14.5" x14ac:dyDescent="0.35">
      <c r="A350" s="52">
        <v>44887</v>
      </c>
      <c r="B350" s="51">
        <v>2770</v>
      </c>
      <c r="C350" s="1">
        <f t="shared" si="36"/>
        <v>2.633656241368305E-2</v>
      </c>
      <c r="R350" s="28">
        <v>349</v>
      </c>
      <c r="S350" s="29">
        <v>-6.9686693160933158E-3</v>
      </c>
      <c r="T350" s="41">
        <f t="shared" si="32"/>
        <v>0</v>
      </c>
      <c r="U350" s="4">
        <f t="shared" si="33"/>
        <v>-0.36451432838456821</v>
      </c>
      <c r="V350" s="15">
        <f t="shared" si="37"/>
        <v>0.27795527156549521</v>
      </c>
      <c r="W350" s="33">
        <f t="shared" si="34"/>
        <v>-0.58892655506788127</v>
      </c>
      <c r="X350" s="4">
        <f t="shared" si="35"/>
        <v>-0.36451432838456821</v>
      </c>
    </row>
    <row r="351" spans="1:24" ht="14.5" x14ac:dyDescent="0.35">
      <c r="A351" s="52">
        <v>44886</v>
      </c>
      <c r="B351" s="51">
        <v>2698</v>
      </c>
      <c r="C351" s="1">
        <f t="shared" si="36"/>
        <v>6.6939632627988147E-3</v>
      </c>
      <c r="R351" s="28">
        <v>350</v>
      </c>
      <c r="S351" s="29">
        <v>-6.9444723528110461E-3</v>
      </c>
      <c r="T351" s="41">
        <f t="shared" si="32"/>
        <v>0</v>
      </c>
      <c r="U351" s="4">
        <f t="shared" si="33"/>
        <v>-0.3632382830234881</v>
      </c>
      <c r="V351" s="15">
        <f t="shared" si="37"/>
        <v>0.27875399361022363</v>
      </c>
      <c r="W351" s="33">
        <f t="shared" si="34"/>
        <v>-0.5865469996412902</v>
      </c>
      <c r="X351" s="4">
        <f t="shared" si="35"/>
        <v>-0.3632382830234881</v>
      </c>
    </row>
    <row r="352" spans="1:24" ht="14.5" x14ac:dyDescent="0.35">
      <c r="A352" s="52">
        <v>44883</v>
      </c>
      <c r="B352" s="51">
        <v>2680</v>
      </c>
      <c r="C352" s="1">
        <f t="shared" si="36"/>
        <v>1.05027221991492E-2</v>
      </c>
      <c r="R352" s="28">
        <v>351</v>
      </c>
      <c r="S352" s="29">
        <v>-6.9426180061762273E-3</v>
      </c>
      <c r="T352" s="41">
        <f t="shared" si="32"/>
        <v>0</v>
      </c>
      <c r="U352" s="4">
        <f t="shared" si="33"/>
        <v>-0.36314049263576087</v>
      </c>
      <c r="V352" s="15">
        <f t="shared" si="37"/>
        <v>0.2795527156549521</v>
      </c>
      <c r="W352" s="33">
        <f t="shared" si="34"/>
        <v>-0.58417076078662311</v>
      </c>
      <c r="X352" s="4">
        <f t="shared" si="35"/>
        <v>-0.36314049263576087</v>
      </c>
    </row>
    <row r="353" spans="1:24" ht="14.5" x14ac:dyDescent="0.35">
      <c r="A353" s="52">
        <v>44882</v>
      </c>
      <c r="B353" s="51">
        <v>2652</v>
      </c>
      <c r="C353" s="1">
        <f t="shared" si="36"/>
        <v>1.7497593620962631E-2</v>
      </c>
      <c r="R353" s="28">
        <v>352</v>
      </c>
      <c r="S353" s="29">
        <v>-6.9300346646696317E-3</v>
      </c>
      <c r="T353" s="41">
        <f t="shared" si="32"/>
        <v>0</v>
      </c>
      <c r="U353" s="4">
        <f t="shared" si="33"/>
        <v>-0.36247690049946402</v>
      </c>
      <c r="V353" s="15">
        <f t="shared" si="37"/>
        <v>0.28035143769968052</v>
      </c>
      <c r="W353" s="33">
        <f t="shared" si="34"/>
        <v>-0.58179781589136859</v>
      </c>
      <c r="X353" s="4">
        <f t="shared" si="35"/>
        <v>-0.36247690049946402</v>
      </c>
    </row>
    <row r="354" spans="1:24" ht="14.5" x14ac:dyDescent="0.35">
      <c r="A354" s="52">
        <v>44881</v>
      </c>
      <c r="B354" s="51">
        <v>2606</v>
      </c>
      <c r="C354" s="1">
        <f t="shared" si="36"/>
        <v>-4.5941887850548457E-3</v>
      </c>
      <c r="R354" s="28">
        <v>353</v>
      </c>
      <c r="S354" s="29">
        <v>-6.9204428445737952E-3</v>
      </c>
      <c r="T354" s="41">
        <f t="shared" si="32"/>
        <v>0</v>
      </c>
      <c r="U354" s="4">
        <f t="shared" si="33"/>
        <v>-0.36197106853225286</v>
      </c>
      <c r="V354" s="15">
        <f t="shared" si="37"/>
        <v>0.28115015974440893</v>
      </c>
      <c r="W354" s="33">
        <f t="shared" si="34"/>
        <v>-0.57942814251106189</v>
      </c>
      <c r="X354" s="4">
        <f t="shared" si="35"/>
        <v>-0.36197106853225286</v>
      </c>
    </row>
    <row r="355" spans="1:24" ht="14.5" x14ac:dyDescent="0.35">
      <c r="A355" s="52">
        <v>44880</v>
      </c>
      <c r="B355" s="51">
        <v>2618</v>
      </c>
      <c r="C355" s="1">
        <f t="shared" si="36"/>
        <v>-9.8822545017316511E-3</v>
      </c>
      <c r="R355" s="28">
        <v>354</v>
      </c>
      <c r="S355" s="29">
        <v>-6.9204428445737952E-3</v>
      </c>
      <c r="T355" s="41">
        <f t="shared" si="32"/>
        <v>0</v>
      </c>
      <c r="U355" s="4">
        <f t="shared" si="33"/>
        <v>-0.36197106853225286</v>
      </c>
      <c r="V355" s="15">
        <f t="shared" si="37"/>
        <v>0.28194888178913741</v>
      </c>
      <c r="W355" s="33">
        <f t="shared" si="34"/>
        <v>-0.57706171836737574</v>
      </c>
      <c r="X355" s="4">
        <f t="shared" si="35"/>
        <v>-0.36197106853225286</v>
      </c>
    </row>
    <row r="356" spans="1:24" ht="14.5" x14ac:dyDescent="0.35">
      <c r="A356" s="52">
        <v>44879</v>
      </c>
      <c r="B356" s="51">
        <v>2644</v>
      </c>
      <c r="C356" s="1">
        <f t="shared" si="36"/>
        <v>8.3555366479318369E-3</v>
      </c>
      <c r="R356" s="28">
        <v>355</v>
      </c>
      <c r="S356" s="29">
        <v>-6.8965790590603286E-3</v>
      </c>
      <c r="T356" s="41">
        <f t="shared" si="32"/>
        <v>0</v>
      </c>
      <c r="U356" s="4">
        <f t="shared" si="33"/>
        <v>-0.3607125935555775</v>
      </c>
      <c r="V356" s="15">
        <f t="shared" si="37"/>
        <v>0.28274760383386582</v>
      </c>
      <c r="W356" s="33">
        <f t="shared" si="34"/>
        <v>-0.574698521346235</v>
      </c>
      <c r="X356" s="4">
        <f t="shared" si="35"/>
        <v>-0.3607125935555775</v>
      </c>
    </row>
    <row r="357" spans="1:24" ht="14.5" x14ac:dyDescent="0.35">
      <c r="A357" s="52">
        <v>44876</v>
      </c>
      <c r="B357" s="51">
        <v>2622</v>
      </c>
      <c r="C357" s="1">
        <f t="shared" si="36"/>
        <v>-7.6248574033448168E-4</v>
      </c>
      <c r="R357" s="28">
        <v>356</v>
      </c>
      <c r="S357" s="29">
        <v>-6.8027473227525231E-3</v>
      </c>
      <c r="T357" s="41">
        <f t="shared" si="32"/>
        <v>0</v>
      </c>
      <c r="U357" s="4">
        <f t="shared" si="33"/>
        <v>-0.35576430519224389</v>
      </c>
      <c r="V357" s="15">
        <f t="shared" si="37"/>
        <v>0.28354632587859424</v>
      </c>
      <c r="W357" s="33">
        <f t="shared" si="34"/>
        <v>-0.57233852949595398</v>
      </c>
      <c r="X357" s="4">
        <f t="shared" si="35"/>
        <v>-0.35576430519224389</v>
      </c>
    </row>
    <row r="358" spans="1:24" ht="14.5" x14ac:dyDescent="0.35">
      <c r="A358" s="52">
        <v>44875</v>
      </c>
      <c r="B358" s="51">
        <v>2624</v>
      </c>
      <c r="C358" s="1">
        <f t="shared" si="36"/>
        <v>-1.0614201241773428E-2</v>
      </c>
      <c r="R358" s="28">
        <v>357</v>
      </c>
      <c r="S358" s="29">
        <v>-6.7694880552464816E-3</v>
      </c>
      <c r="T358" s="41">
        <f t="shared" si="32"/>
        <v>0</v>
      </c>
      <c r="U358" s="4">
        <f t="shared" si="33"/>
        <v>-0.35401035228836425</v>
      </c>
      <c r="V358" s="15">
        <f t="shared" si="37"/>
        <v>0.28434504792332266</v>
      </c>
      <c r="W358" s="33">
        <f t="shared" si="34"/>
        <v>-0.56998172102540456</v>
      </c>
      <c r="X358" s="4">
        <f t="shared" si="35"/>
        <v>-0.35401035228836425</v>
      </c>
    </row>
    <row r="359" spans="1:24" ht="14.5" x14ac:dyDescent="0.35">
      <c r="A359" s="52">
        <v>44874</v>
      </c>
      <c r="B359" s="51">
        <v>2652</v>
      </c>
      <c r="C359" s="1">
        <f t="shared" si="36"/>
        <v>9.0909717012521048E-3</v>
      </c>
      <c r="R359" s="28">
        <v>358</v>
      </c>
      <c r="S359" s="29">
        <v>-6.7491819749284495E-3</v>
      </c>
      <c r="T359" s="41">
        <f t="shared" si="32"/>
        <v>0</v>
      </c>
      <c r="U359" s="4">
        <f t="shared" si="33"/>
        <v>-0.35293949561559612</v>
      </c>
      <c r="V359" s="15">
        <f t="shared" si="37"/>
        <v>0.28514376996805113</v>
      </c>
      <c r="W359" s="33">
        <f t="shared" si="34"/>
        <v>-0.56762807430220341</v>
      </c>
      <c r="X359" s="4">
        <f t="shared" si="35"/>
        <v>-0.35293949561559612</v>
      </c>
    </row>
    <row r="360" spans="1:24" ht="14.5" x14ac:dyDescent="0.35">
      <c r="A360" s="52">
        <v>44873</v>
      </c>
      <c r="B360" s="51">
        <v>2628</v>
      </c>
      <c r="C360" s="1">
        <f t="shared" si="36"/>
        <v>-2.3318092991383644E-2</v>
      </c>
      <c r="R360" s="28">
        <v>359</v>
      </c>
      <c r="S360" s="29">
        <v>-6.7289973529184709E-3</v>
      </c>
      <c r="T360" s="41">
        <f t="shared" si="32"/>
        <v>0</v>
      </c>
      <c r="U360" s="4">
        <f t="shared" si="33"/>
        <v>-0.35187504413957721</v>
      </c>
      <c r="V360" s="15">
        <f t="shared" si="37"/>
        <v>0.28594249201277955</v>
      </c>
      <c r="W360" s="33">
        <f t="shared" si="34"/>
        <v>-0.56527756785092831</v>
      </c>
      <c r="X360" s="4">
        <f t="shared" si="35"/>
        <v>-0.35187504413957721</v>
      </c>
    </row>
    <row r="361" spans="1:24" ht="14.5" x14ac:dyDescent="0.35">
      <c r="A361" s="52">
        <v>44872</v>
      </c>
      <c r="B361" s="51">
        <v>2690</v>
      </c>
      <c r="C361" s="1">
        <f t="shared" si="36"/>
        <v>2.1037590292658347E-2</v>
      </c>
      <c r="R361" s="28">
        <v>360</v>
      </c>
      <c r="S361" s="29">
        <v>-6.6939632627988424E-3</v>
      </c>
      <c r="T361" s="41">
        <f t="shared" si="32"/>
        <v>0</v>
      </c>
      <c r="U361" s="4">
        <f t="shared" si="33"/>
        <v>-0.35002749460803861</v>
      </c>
      <c r="V361" s="15">
        <f t="shared" si="37"/>
        <v>0.28674121405750796</v>
      </c>
      <c r="W361" s="33">
        <f t="shared" si="34"/>
        <v>-0.56293018035135345</v>
      </c>
      <c r="X361" s="4">
        <f t="shared" si="35"/>
        <v>-0.35002749460803861</v>
      </c>
    </row>
    <row r="362" spans="1:24" ht="14.5" x14ac:dyDescent="0.35">
      <c r="A362" s="52">
        <v>44869</v>
      </c>
      <c r="B362" s="51">
        <v>2634</v>
      </c>
      <c r="C362" s="1">
        <f t="shared" si="36"/>
        <v>1.9939310896638644E-2</v>
      </c>
      <c r="R362" s="28">
        <v>361</v>
      </c>
      <c r="S362" s="29">
        <v>-6.688988150796652E-3</v>
      </c>
      <c r="T362" s="41">
        <f t="shared" si="32"/>
        <v>0</v>
      </c>
      <c r="U362" s="4">
        <f t="shared" si="33"/>
        <v>-0.34976512827234635</v>
      </c>
      <c r="V362" s="15">
        <f t="shared" si="37"/>
        <v>0.28753993610223644</v>
      </c>
      <c r="W362" s="33">
        <f t="shared" si="34"/>
        <v>-0.56058589063671327</v>
      </c>
      <c r="X362" s="4">
        <f t="shared" si="35"/>
        <v>-0.34976512827234635</v>
      </c>
    </row>
    <row r="363" spans="1:24" ht="14.5" x14ac:dyDescent="0.35">
      <c r="A363" s="52">
        <v>44868</v>
      </c>
      <c r="B363" s="51">
        <v>2582</v>
      </c>
      <c r="C363" s="1">
        <f t="shared" si="36"/>
        <v>3.8694128353218379E-2</v>
      </c>
      <c r="R363" s="28">
        <v>362</v>
      </c>
      <c r="S363" s="29">
        <v>-6.6357244153982678E-3</v>
      </c>
      <c r="T363" s="41">
        <f t="shared" si="32"/>
        <v>0</v>
      </c>
      <c r="U363" s="4">
        <f t="shared" si="33"/>
        <v>-0.3469562244575975</v>
      </c>
      <c r="V363" s="15">
        <f t="shared" si="37"/>
        <v>0.28833865814696485</v>
      </c>
      <c r="W363" s="33">
        <f t="shared" si="34"/>
        <v>-0.55824467769198549</v>
      </c>
      <c r="X363" s="4">
        <f t="shared" si="35"/>
        <v>-0.3469562244575975</v>
      </c>
    </row>
    <row r="364" spans="1:24" ht="14.5" x14ac:dyDescent="0.35">
      <c r="A364" s="52">
        <v>44867</v>
      </c>
      <c r="B364" s="51">
        <v>2484</v>
      </c>
      <c r="C364" s="1">
        <f t="shared" si="36"/>
        <v>0</v>
      </c>
      <c r="R364" s="28">
        <v>363</v>
      </c>
      <c r="S364" s="29">
        <v>-6.6347460485566973E-3</v>
      </c>
      <c r="T364" s="41">
        <f t="shared" si="32"/>
        <v>0</v>
      </c>
      <c r="U364" s="4">
        <f t="shared" si="33"/>
        <v>-0.34690462953409174</v>
      </c>
      <c r="V364" s="15">
        <f t="shared" si="37"/>
        <v>0.28913738019169327</v>
      </c>
      <c r="W364" s="33">
        <f t="shared" si="34"/>
        <v>-0.55590652065219914</v>
      </c>
      <c r="X364" s="4">
        <f t="shared" si="35"/>
        <v>-0.34690462953409174</v>
      </c>
    </row>
    <row r="365" spans="1:24" ht="14.5" x14ac:dyDescent="0.35">
      <c r="A365" s="52">
        <v>44862</v>
      </c>
      <c r="B365" s="51">
        <v>2484</v>
      </c>
      <c r="C365" s="1">
        <f t="shared" si="36"/>
        <v>1.6116038943416128E-3</v>
      </c>
      <c r="R365" s="28">
        <v>364</v>
      </c>
      <c r="S365" s="29">
        <v>-6.6325235601296722E-3</v>
      </c>
      <c r="T365" s="41">
        <f t="shared" si="32"/>
        <v>0</v>
      </c>
      <c r="U365" s="4">
        <f t="shared" si="33"/>
        <v>-0.34678742490745013</v>
      </c>
      <c r="V365" s="15">
        <f t="shared" si="37"/>
        <v>0.28993610223642174</v>
      </c>
      <c r="W365" s="33">
        <f t="shared" si="34"/>
        <v>-0.55357139880076323</v>
      </c>
      <c r="X365" s="4">
        <f t="shared" si="35"/>
        <v>-0.34678742490745013</v>
      </c>
    </row>
    <row r="366" spans="1:24" ht="14.5" x14ac:dyDescent="0.35">
      <c r="A366" s="52">
        <v>44861</v>
      </c>
      <c r="B366" s="51">
        <v>2480</v>
      </c>
      <c r="C366" s="1">
        <f t="shared" si="36"/>
        <v>6.4725145056175196E-3</v>
      </c>
      <c r="R366" s="28">
        <v>365</v>
      </c>
      <c r="S366" s="29">
        <v>-6.5958465583511889E-3</v>
      </c>
      <c r="T366" s="41">
        <f t="shared" si="32"/>
        <v>0</v>
      </c>
      <c r="U366" s="4">
        <f t="shared" si="33"/>
        <v>-0.34485323517331712</v>
      </c>
      <c r="V366" s="15">
        <f t="shared" si="37"/>
        <v>0.29073482428115016</v>
      </c>
      <c r="W366" s="33">
        <f t="shared" si="34"/>
        <v>-0.55123929156782003</v>
      </c>
      <c r="X366" s="4">
        <f t="shared" si="35"/>
        <v>-0.34485323517331712</v>
      </c>
    </row>
    <row r="367" spans="1:24" ht="14.5" x14ac:dyDescent="0.35">
      <c r="A367" s="52">
        <v>44860</v>
      </c>
      <c r="B367" s="51">
        <v>2464</v>
      </c>
      <c r="C367" s="1">
        <f t="shared" si="36"/>
        <v>-2.4321049686124399E-3</v>
      </c>
      <c r="R367" s="28">
        <v>366</v>
      </c>
      <c r="S367" s="29">
        <v>-6.5717651632345017E-3</v>
      </c>
      <c r="T367" s="41">
        <f t="shared" si="32"/>
        <v>0</v>
      </c>
      <c r="U367" s="4">
        <f t="shared" si="33"/>
        <v>-0.3435832843878191</v>
      </c>
      <c r="V367" s="15">
        <f t="shared" si="37"/>
        <v>0.29153354632587858</v>
      </c>
      <c r="W367" s="33">
        <f t="shared" si="34"/>
        <v>-0.54891017852861668</v>
      </c>
      <c r="X367" s="4">
        <f t="shared" si="35"/>
        <v>-0.3435832843878191</v>
      </c>
    </row>
    <row r="368" spans="1:24" ht="14.5" x14ac:dyDescent="0.35">
      <c r="A368" s="52">
        <v>44859</v>
      </c>
      <c r="B368" s="51">
        <v>2470</v>
      </c>
      <c r="C368" s="1">
        <f t="shared" si="36"/>
        <v>8.1301260832503091E-3</v>
      </c>
      <c r="R368" s="28">
        <v>367</v>
      </c>
      <c r="S368" s="29">
        <v>-6.5627799125235484E-3</v>
      </c>
      <c r="T368" s="41">
        <f t="shared" si="32"/>
        <v>0</v>
      </c>
      <c r="U368" s="4">
        <f t="shared" si="33"/>
        <v>-0.34310944032093754</v>
      </c>
      <c r="V368" s="15">
        <f t="shared" si="37"/>
        <v>0.29233226837060705</v>
      </c>
      <c r="W368" s="33">
        <f t="shared" si="34"/>
        <v>-0.54658403940190015</v>
      </c>
      <c r="X368" s="4">
        <f t="shared" si="35"/>
        <v>-0.34310944032093754</v>
      </c>
    </row>
    <row r="369" spans="1:24" ht="14.5" x14ac:dyDescent="0.35">
      <c r="A369" s="52">
        <v>44858</v>
      </c>
      <c r="B369" s="51">
        <v>2450</v>
      </c>
      <c r="C369" s="1">
        <f t="shared" si="36"/>
        <v>1.6339872916549549E-3</v>
      </c>
      <c r="R369" s="28">
        <v>368</v>
      </c>
      <c r="S369" s="29">
        <v>-6.5413152296399423E-3</v>
      </c>
      <c r="T369" s="41">
        <f t="shared" si="32"/>
        <v>0</v>
      </c>
      <c r="U369" s="4">
        <f t="shared" si="33"/>
        <v>-0.34197748385593973</v>
      </c>
      <c r="V369" s="15">
        <f t="shared" si="37"/>
        <v>0.29313099041533547</v>
      </c>
      <c r="W369" s="33">
        <f t="shared" si="34"/>
        <v>-0.54426085404833446</v>
      </c>
      <c r="X369" s="4">
        <f t="shared" si="35"/>
        <v>-0.34197748385593973</v>
      </c>
    </row>
    <row r="370" spans="1:24" ht="14.5" x14ac:dyDescent="0.35">
      <c r="A370" s="52">
        <v>44855</v>
      </c>
      <c r="B370" s="51">
        <v>2446</v>
      </c>
      <c r="C370" s="1">
        <f t="shared" si="36"/>
        <v>3.2760062059007237E-3</v>
      </c>
      <c r="R370" s="28">
        <v>369</v>
      </c>
      <c r="S370" s="29">
        <v>-6.5288588824635556E-3</v>
      </c>
      <c r="T370" s="41">
        <f t="shared" si="32"/>
        <v>0</v>
      </c>
      <c r="U370" s="4">
        <f t="shared" si="33"/>
        <v>-0.34132058886275363</v>
      </c>
      <c r="V370" s="15">
        <f t="shared" si="37"/>
        <v>0.29392971246006389</v>
      </c>
      <c r="W370" s="33">
        <f t="shared" si="34"/>
        <v>-0.54194060246893416</v>
      </c>
      <c r="X370" s="4">
        <f t="shared" si="35"/>
        <v>-0.34132058886275363</v>
      </c>
    </row>
    <row r="371" spans="1:24" ht="14.5" x14ac:dyDescent="0.35">
      <c r="A371" s="52">
        <v>44854</v>
      </c>
      <c r="B371" s="51">
        <v>2438</v>
      </c>
      <c r="C371" s="1">
        <f t="shared" si="36"/>
        <v>1.6420364937443893E-3</v>
      </c>
      <c r="R371" s="28">
        <v>370</v>
      </c>
      <c r="S371" s="29">
        <v>-6.5025774875669571E-3</v>
      </c>
      <c r="T371" s="41">
        <f t="shared" si="32"/>
        <v>0</v>
      </c>
      <c r="U371" s="4">
        <f t="shared" si="33"/>
        <v>-0.33993461940661562</v>
      </c>
      <c r="V371" s="15">
        <f t="shared" si="37"/>
        <v>0.29472843450479236</v>
      </c>
      <c r="W371" s="33">
        <f t="shared" si="34"/>
        <v>-0.53962326480352163</v>
      </c>
      <c r="X371" s="4">
        <f t="shared" si="35"/>
        <v>-0.33993461940661562</v>
      </c>
    </row>
    <row r="372" spans="1:24" ht="14.5" x14ac:dyDescent="0.35">
      <c r="A372" s="52">
        <v>44853</v>
      </c>
      <c r="B372" s="51">
        <v>2434</v>
      </c>
      <c r="C372" s="1">
        <f t="shared" si="36"/>
        <v>-1.3872111477805996E-2</v>
      </c>
      <c r="R372" s="28">
        <v>371</v>
      </c>
      <c r="S372" s="29">
        <v>-6.4988043511661278E-3</v>
      </c>
      <c r="T372" s="41">
        <f t="shared" si="32"/>
        <v>0</v>
      </c>
      <c r="U372" s="4">
        <f t="shared" si="33"/>
        <v>-0.33973564017336083</v>
      </c>
      <c r="V372" s="15">
        <f t="shared" si="37"/>
        <v>0.29552715654952078</v>
      </c>
      <c r="W372" s="33">
        <f t="shared" si="34"/>
        <v>-0.53730882132920532</v>
      </c>
      <c r="X372" s="4">
        <f t="shared" si="35"/>
        <v>-0.33973564017336083</v>
      </c>
    </row>
    <row r="373" spans="1:24" ht="14.5" x14ac:dyDescent="0.35">
      <c r="A373" s="52">
        <v>44852</v>
      </c>
      <c r="B373" s="51">
        <v>2468</v>
      </c>
      <c r="C373" s="1">
        <f t="shared" si="36"/>
        <v>4.0600948992983599E-3</v>
      </c>
      <c r="R373" s="28">
        <v>372</v>
      </c>
      <c r="S373" s="29">
        <v>-6.4988043511661278E-3</v>
      </c>
      <c r="T373" s="41">
        <f t="shared" si="32"/>
        <v>0</v>
      </c>
      <c r="U373" s="4">
        <f t="shared" si="33"/>
        <v>-0.33973564017336083</v>
      </c>
      <c r="V373" s="15">
        <f t="shared" si="37"/>
        <v>0.29632587859424919</v>
      </c>
      <c r="W373" s="33">
        <f t="shared" si="34"/>
        <v>-0.53499725245887308</v>
      </c>
      <c r="X373" s="4">
        <f t="shared" si="35"/>
        <v>-0.33973564017336083</v>
      </c>
    </row>
    <row r="374" spans="1:24" ht="14.5" x14ac:dyDescent="0.35">
      <c r="A374" s="52">
        <v>44851</v>
      </c>
      <c r="B374" s="51">
        <v>2458</v>
      </c>
      <c r="C374" s="1">
        <f t="shared" si="36"/>
        <v>3.2599865872075008E-3</v>
      </c>
      <c r="R374" s="28">
        <v>373</v>
      </c>
      <c r="S374" s="29">
        <v>-6.4877844787426244E-3</v>
      </c>
      <c r="T374" s="41">
        <f t="shared" si="32"/>
        <v>0</v>
      </c>
      <c r="U374" s="4">
        <f t="shared" si="33"/>
        <v>-0.33915449877467924</v>
      </c>
      <c r="V374" s="15">
        <f t="shared" si="37"/>
        <v>0.29712460063897761</v>
      </c>
      <c r="W374" s="33">
        <f t="shared" si="34"/>
        <v>-0.53268853873970945</v>
      </c>
      <c r="X374" s="4">
        <f t="shared" si="35"/>
        <v>-0.33915449877467924</v>
      </c>
    </row>
    <row r="375" spans="1:24" ht="14.5" x14ac:dyDescent="0.35">
      <c r="A375" s="52">
        <v>44848</v>
      </c>
      <c r="B375" s="51">
        <v>2450</v>
      </c>
      <c r="C375" s="1">
        <f t="shared" si="36"/>
        <v>1.9786300898843895E-2</v>
      </c>
      <c r="R375" s="28">
        <v>374</v>
      </c>
      <c r="S375" s="29">
        <v>-6.46832785642303E-3</v>
      </c>
      <c r="T375" s="41">
        <f t="shared" si="32"/>
        <v>0</v>
      </c>
      <c r="U375" s="4">
        <f t="shared" si="33"/>
        <v>-0.33812843891900313</v>
      </c>
      <c r="V375" s="15">
        <f t="shared" si="37"/>
        <v>0.29792332268370608</v>
      </c>
      <c r="W375" s="33">
        <f t="shared" si="34"/>
        <v>-0.53038266085172847</v>
      </c>
      <c r="X375" s="4">
        <f t="shared" si="35"/>
        <v>-0.33812843891900313</v>
      </c>
    </row>
    <row r="376" spans="1:24" ht="14.5" x14ac:dyDescent="0.35">
      <c r="A376" s="52">
        <v>44847</v>
      </c>
      <c r="B376" s="51">
        <v>2402</v>
      </c>
      <c r="C376" s="1">
        <f t="shared" si="36"/>
        <v>-1.4876307401287946E-2</v>
      </c>
      <c r="R376" s="28">
        <v>375</v>
      </c>
      <c r="S376" s="29">
        <v>-6.3796069640390399E-3</v>
      </c>
      <c r="T376" s="41">
        <f t="shared" si="32"/>
        <v>0</v>
      </c>
      <c r="U376" s="4">
        <f t="shared" si="33"/>
        <v>-0.33344967481803711</v>
      </c>
      <c r="V376" s="15">
        <f t="shared" si="37"/>
        <v>0.2987220447284345</v>
      </c>
      <c r="W376" s="33">
        <f t="shared" si="34"/>
        <v>-0.52807959960632822</v>
      </c>
      <c r="X376" s="4">
        <f t="shared" si="35"/>
        <v>-0.33344967481803711</v>
      </c>
    </row>
    <row r="377" spans="1:24" ht="14.5" x14ac:dyDescent="0.35">
      <c r="A377" s="52">
        <v>44846</v>
      </c>
      <c r="B377" s="51">
        <v>2438</v>
      </c>
      <c r="C377" s="1">
        <f t="shared" si="36"/>
        <v>-6.5413152296399423E-3</v>
      </c>
      <c r="R377" s="28">
        <v>376</v>
      </c>
      <c r="S377" s="29">
        <v>-6.376217139275997E-3</v>
      </c>
      <c r="T377" s="41">
        <f t="shared" si="32"/>
        <v>0</v>
      </c>
      <c r="U377" s="4">
        <f t="shared" si="33"/>
        <v>-0.33327090981710311</v>
      </c>
      <c r="V377" s="15">
        <f t="shared" si="37"/>
        <v>0.29952076677316292</v>
      </c>
      <c r="W377" s="33">
        <f t="shared" si="34"/>
        <v>-0.52577933594486148</v>
      </c>
      <c r="X377" s="4">
        <f t="shared" si="35"/>
        <v>-0.33327090981710311</v>
      </c>
    </row>
    <row r="378" spans="1:24" ht="14.5" x14ac:dyDescent="0.35">
      <c r="A378" s="52">
        <v>44845</v>
      </c>
      <c r="B378" s="51">
        <v>2454</v>
      </c>
      <c r="C378" s="1">
        <f t="shared" si="36"/>
        <v>-6.4988043511661278E-3</v>
      </c>
      <c r="R378" s="28">
        <v>377</v>
      </c>
      <c r="S378" s="29">
        <v>-6.3626937878286573E-3</v>
      </c>
      <c r="T378" s="41">
        <f t="shared" si="32"/>
        <v>0</v>
      </c>
      <c r="U378" s="4">
        <f t="shared" si="33"/>
        <v>-0.33255774553779544</v>
      </c>
      <c r="V378" s="15">
        <f t="shared" si="37"/>
        <v>0.30031948881789139</v>
      </c>
      <c r="W378" s="33">
        <f t="shared" si="34"/>
        <v>-0.52348185093722488</v>
      </c>
      <c r="X378" s="4">
        <f t="shared" si="35"/>
        <v>-0.33255774553779544</v>
      </c>
    </row>
    <row r="379" spans="1:24" ht="14.5" x14ac:dyDescent="0.35">
      <c r="A379" s="52">
        <v>44844</v>
      </c>
      <c r="B379" s="51">
        <v>2470</v>
      </c>
      <c r="C379" s="1">
        <f t="shared" si="36"/>
        <v>-3.9687748267242577E-2</v>
      </c>
      <c r="R379" s="28">
        <v>378</v>
      </c>
      <c r="S379" s="29">
        <v>-6.2827431794951804E-3</v>
      </c>
      <c r="T379" s="41">
        <f t="shared" si="32"/>
        <v>0</v>
      </c>
      <c r="U379" s="4">
        <f t="shared" si="33"/>
        <v>-0.32834148907249677</v>
      </c>
      <c r="V379" s="15">
        <f t="shared" si="37"/>
        <v>0.30111821086261981</v>
      </c>
      <c r="W379" s="33">
        <f t="shared" si="34"/>
        <v>-0.521187125780468</v>
      </c>
      <c r="X379" s="4">
        <f t="shared" si="35"/>
        <v>-0.32834148907249677</v>
      </c>
    </row>
    <row r="380" spans="1:24" ht="14.5" x14ac:dyDescent="0.35">
      <c r="A380" s="52">
        <v>44841</v>
      </c>
      <c r="B380" s="51">
        <v>2570</v>
      </c>
      <c r="C380" s="1">
        <f t="shared" si="36"/>
        <v>-2.763030719300515E-2</v>
      </c>
      <c r="R380" s="28">
        <v>379</v>
      </c>
      <c r="S380" s="29">
        <v>-6.2696130135953742E-3</v>
      </c>
      <c r="T380" s="41">
        <f t="shared" si="32"/>
        <v>0</v>
      </c>
      <c r="U380" s="4">
        <f t="shared" si="33"/>
        <v>-0.32764905973369063</v>
      </c>
      <c r="V380" s="15">
        <f t="shared" si="37"/>
        <v>0.30191693290734822</v>
      </c>
      <c r="W380" s="33">
        <f t="shared" si="34"/>
        <v>-0.51889514179741658</v>
      </c>
      <c r="X380" s="4">
        <f t="shared" si="35"/>
        <v>-0.32764905973369063</v>
      </c>
    </row>
    <row r="381" spans="1:24" ht="14.5" x14ac:dyDescent="0.35">
      <c r="A381" s="52">
        <v>44840</v>
      </c>
      <c r="B381" s="51">
        <v>2642</v>
      </c>
      <c r="C381" s="1">
        <f t="shared" si="36"/>
        <v>-2.2684319746281542E-3</v>
      </c>
      <c r="R381" s="28">
        <v>380</v>
      </c>
      <c r="S381" s="29">
        <v>-6.2208598751025057E-3</v>
      </c>
      <c r="T381" s="41">
        <f t="shared" si="32"/>
        <v>0</v>
      </c>
      <c r="U381" s="4">
        <f t="shared" si="33"/>
        <v>-0.3250780256958159</v>
      </c>
      <c r="V381" s="15">
        <f t="shared" si="37"/>
        <v>0.3027156549520767</v>
      </c>
      <c r="W381" s="33">
        <f t="shared" si="34"/>
        <v>-0.51660588043531575</v>
      </c>
      <c r="X381" s="4">
        <f t="shared" si="35"/>
        <v>-0.3250780256958159</v>
      </c>
    </row>
    <row r="382" spans="1:24" ht="14.5" x14ac:dyDescent="0.35">
      <c r="A382" s="52">
        <v>44839</v>
      </c>
      <c r="B382" s="51">
        <v>2648</v>
      </c>
      <c r="C382" s="1">
        <f t="shared" si="36"/>
        <v>9.1047669929190667E-3</v>
      </c>
      <c r="R382" s="28">
        <v>381</v>
      </c>
      <c r="S382" s="29">
        <v>-6.1665149156640148E-3</v>
      </c>
      <c r="T382" s="41">
        <f t="shared" si="32"/>
        <v>0</v>
      </c>
      <c r="U382" s="4">
        <f t="shared" si="33"/>
        <v>-0.32221210270454598</v>
      </c>
      <c r="V382" s="15">
        <f t="shared" si="37"/>
        <v>0.30351437699680511</v>
      </c>
      <c r="W382" s="33">
        <f t="shared" si="34"/>
        <v>-0.51431932326448959</v>
      </c>
      <c r="X382" s="4">
        <f t="shared" si="35"/>
        <v>-0.32221210270454598</v>
      </c>
    </row>
    <row r="383" spans="1:24" ht="14.5" x14ac:dyDescent="0.35">
      <c r="A383" s="52">
        <v>44838</v>
      </c>
      <c r="B383" s="51">
        <v>2624</v>
      </c>
      <c r="C383" s="1">
        <f t="shared" si="36"/>
        <v>6.2102466339690014E-2</v>
      </c>
      <c r="R383" s="28">
        <v>382</v>
      </c>
      <c r="S383" s="29">
        <v>-6.1203863273234134E-3</v>
      </c>
      <c r="T383" s="41">
        <f t="shared" si="32"/>
        <v>0</v>
      </c>
      <c r="U383" s="4">
        <f t="shared" si="33"/>
        <v>-0.31977947632583303</v>
      </c>
      <c r="V383" s="15">
        <f t="shared" si="37"/>
        <v>0.30431309904153353</v>
      </c>
      <c r="W383" s="33">
        <f t="shared" si="34"/>
        <v>-0.51203545197701639</v>
      </c>
      <c r="X383" s="4">
        <f t="shared" si="35"/>
        <v>-0.31977947632583303</v>
      </c>
    </row>
    <row r="384" spans="1:24" ht="14.5" x14ac:dyDescent="0.35">
      <c r="A384" s="52">
        <v>44837</v>
      </c>
      <c r="B384" s="51">
        <v>2466</v>
      </c>
      <c r="C384" s="1">
        <f t="shared" si="36"/>
        <v>2.4631787189665421E-2</v>
      </c>
      <c r="R384" s="28">
        <v>383</v>
      </c>
      <c r="S384" s="29">
        <v>-6.0975798681184449E-3</v>
      </c>
      <c r="T384" s="41">
        <f t="shared" si="32"/>
        <v>0</v>
      </c>
      <c r="U384" s="4">
        <f t="shared" si="33"/>
        <v>-0.31857676026052884</v>
      </c>
      <c r="V384" s="15">
        <f t="shared" si="37"/>
        <v>0.305111821086262</v>
      </c>
      <c r="W384" s="33">
        <f t="shared" si="34"/>
        <v>-0.50975424838542183</v>
      </c>
      <c r="X384" s="4">
        <f t="shared" si="35"/>
        <v>-0.31857676026052884</v>
      </c>
    </row>
    <row r="385" spans="1:24" ht="14.5" x14ac:dyDescent="0.35">
      <c r="A385" s="52">
        <v>44834</v>
      </c>
      <c r="B385" s="51">
        <v>2406</v>
      </c>
      <c r="C385" s="1">
        <f t="shared" si="36"/>
        <v>3.3815563456014448E-2</v>
      </c>
      <c r="R385" s="28">
        <v>384</v>
      </c>
      <c r="S385" s="29">
        <v>-6.060624611690958E-3</v>
      </c>
      <c r="T385" s="41">
        <f t="shared" si="32"/>
        <v>0</v>
      </c>
      <c r="U385" s="4">
        <f t="shared" si="33"/>
        <v>-0.31662789655471107</v>
      </c>
      <c r="V385" s="15">
        <f t="shared" si="37"/>
        <v>0.30591054313099042</v>
      </c>
      <c r="W385" s="33">
        <f t="shared" si="34"/>
        <v>-0.50747569442138774</v>
      </c>
      <c r="X385" s="4">
        <f t="shared" si="35"/>
        <v>-0.31662789655471107</v>
      </c>
    </row>
    <row r="386" spans="1:24" ht="14.5" x14ac:dyDescent="0.35">
      <c r="A386" s="52">
        <v>44833</v>
      </c>
      <c r="B386" s="51">
        <v>2326</v>
      </c>
      <c r="C386" s="1">
        <f t="shared" si="36"/>
        <v>-1.7050711459722343E-2</v>
      </c>
      <c r="R386" s="28">
        <v>385</v>
      </c>
      <c r="S386" s="29">
        <v>-6.049625225823225E-3</v>
      </c>
      <c r="T386" s="41">
        <f t="shared" si="32"/>
        <v>0</v>
      </c>
      <c r="U386" s="4">
        <f t="shared" si="33"/>
        <v>-0.31604783553021321</v>
      </c>
      <c r="V386" s="15">
        <f t="shared" si="37"/>
        <v>0.30670926517571884</v>
      </c>
      <c r="W386" s="33">
        <f t="shared" si="34"/>
        <v>-0.50519977213447687</v>
      </c>
      <c r="X386" s="4">
        <f t="shared" si="35"/>
        <v>-0.31604783553021321</v>
      </c>
    </row>
    <row r="387" spans="1:24" ht="14.5" x14ac:dyDescent="0.35">
      <c r="A387" s="52">
        <v>44832</v>
      </c>
      <c r="B387" s="51">
        <v>2366</v>
      </c>
      <c r="C387" s="1">
        <f t="shared" si="36"/>
        <v>-2.0912514516373448E-2</v>
      </c>
      <c r="R387" s="28">
        <v>386</v>
      </c>
      <c r="S387" s="29">
        <v>-6.0195817583860393E-3</v>
      </c>
      <c r="T387" s="41">
        <f t="shared" ref="T387:T450" si="38">+IF(OR(S387&lt;($Z$3-3*$Z$4^0.5),S387&gt;($Z$3+3*$Z$4^0.5)),1,0)</f>
        <v>0</v>
      </c>
      <c r="U387" s="4">
        <f t="shared" ref="U387:U450" si="39">+(S387-AVERAGE($S$2:$S$1252))/_xlfn.STDEV.S($S$2:$S$1252)</f>
        <v>-0.31446347030195038</v>
      </c>
      <c r="V387" s="15">
        <f t="shared" si="37"/>
        <v>0.30750798722044731</v>
      </c>
      <c r="W387" s="33">
        <f t="shared" ref="W387:W450" si="40">+_xlfn.NORM.S.INV(V387)</f>
        <v>-0.50292646369087257</v>
      </c>
      <c r="X387" s="4">
        <f t="shared" ref="X387:X450" si="41">+U387</f>
        <v>-0.31446347030195038</v>
      </c>
    </row>
    <row r="388" spans="1:24" ht="14.5" x14ac:dyDescent="0.35">
      <c r="A388" s="52">
        <v>44831</v>
      </c>
      <c r="B388" s="51">
        <v>2416</v>
      </c>
      <c r="C388" s="1">
        <f t="shared" ref="C388:C451" si="42">+LN(B388/B389)</f>
        <v>-4.9545931246833411E-3</v>
      </c>
      <c r="R388" s="28">
        <v>387</v>
      </c>
      <c r="S388" s="29">
        <v>-5.9925272960608981E-3</v>
      </c>
      <c r="T388" s="41">
        <f t="shared" si="38"/>
        <v>0</v>
      </c>
      <c r="U388" s="4">
        <f t="shared" si="39"/>
        <v>-0.31303673254383635</v>
      </c>
      <c r="V388" s="15">
        <f t="shared" ref="V388:V451" si="43">+R387/1252</f>
        <v>0.30830670926517573</v>
      </c>
      <c r="W388" s="33">
        <f t="shared" si="40"/>
        <v>-0.50065575137213691</v>
      </c>
      <c r="X388" s="4">
        <f t="shared" si="41"/>
        <v>-0.31303673254383635</v>
      </c>
    </row>
    <row r="389" spans="1:24" ht="14.5" x14ac:dyDescent="0.35">
      <c r="A389" s="52">
        <v>44830</v>
      </c>
      <c r="B389" s="51">
        <v>2428</v>
      </c>
      <c r="C389" s="1">
        <f t="shared" si="42"/>
        <v>7.4411256946881749E-3</v>
      </c>
      <c r="R389" s="28">
        <v>388</v>
      </c>
      <c r="S389" s="29">
        <v>-5.9435539008479941E-3</v>
      </c>
      <c r="T389" s="41">
        <f t="shared" si="38"/>
        <v>0</v>
      </c>
      <c r="U389" s="4">
        <f t="shared" si="39"/>
        <v>-0.31045408309940964</v>
      </c>
      <c r="V389" s="15">
        <f t="shared" si="43"/>
        <v>0.30910543130990414</v>
      </c>
      <c r="W389" s="33">
        <f t="shared" si="40"/>
        <v>-0.49838761757397926</v>
      </c>
      <c r="X389" s="4">
        <f t="shared" si="41"/>
        <v>-0.31045408309940964</v>
      </c>
    </row>
    <row r="390" spans="1:24" ht="14.5" x14ac:dyDescent="0.35">
      <c r="A390" s="52">
        <v>44827</v>
      </c>
      <c r="B390" s="51">
        <v>2410</v>
      </c>
      <c r="C390" s="1">
        <f t="shared" si="42"/>
        <v>-2.7017607319786096E-2</v>
      </c>
      <c r="R390" s="28">
        <v>389</v>
      </c>
      <c r="S390" s="29">
        <v>-5.9084366861662831E-3</v>
      </c>
      <c r="T390" s="41">
        <f t="shared" si="38"/>
        <v>0</v>
      </c>
      <c r="U390" s="4">
        <f t="shared" si="39"/>
        <v>-0.30860214993052781</v>
      </c>
      <c r="V390" s="15">
        <f t="shared" si="43"/>
        <v>0.30990415335463256</v>
      </c>
      <c r="W390" s="33">
        <f t="shared" si="40"/>
        <v>-0.49612204480504479</v>
      </c>
      <c r="X390" s="4">
        <f t="shared" si="41"/>
        <v>-0.30860214993052781</v>
      </c>
    </row>
    <row r="391" spans="1:24" ht="14.5" x14ac:dyDescent="0.35">
      <c r="A391" s="52">
        <v>44826</v>
      </c>
      <c r="B391" s="51">
        <v>2476</v>
      </c>
      <c r="C391" s="1">
        <f t="shared" si="42"/>
        <v>-9.6463770518054499E-3</v>
      </c>
      <c r="R391" s="28">
        <v>390</v>
      </c>
      <c r="S391" s="29">
        <v>-5.9046987247383326E-3</v>
      </c>
      <c r="T391" s="41">
        <f t="shared" si="38"/>
        <v>0</v>
      </c>
      <c r="U391" s="4">
        <f t="shared" si="39"/>
        <v>-0.30840502567636457</v>
      </c>
      <c r="V391" s="15">
        <f t="shared" si="43"/>
        <v>0.31070287539936103</v>
      </c>
      <c r="W391" s="33">
        <f t="shared" si="40"/>
        <v>-0.49385901568571405</v>
      </c>
      <c r="X391" s="4">
        <f t="shared" si="41"/>
        <v>-0.30840502567636457</v>
      </c>
    </row>
    <row r="392" spans="1:24" ht="14.5" x14ac:dyDescent="0.35">
      <c r="A392" s="52">
        <v>44825</v>
      </c>
      <c r="B392" s="51">
        <v>2500</v>
      </c>
      <c r="C392" s="1">
        <f t="shared" si="42"/>
        <v>0</v>
      </c>
      <c r="R392" s="28">
        <v>391</v>
      </c>
      <c r="S392" s="29">
        <v>-5.9046987247383326E-3</v>
      </c>
      <c r="T392" s="41">
        <f t="shared" si="38"/>
        <v>0</v>
      </c>
      <c r="U392" s="4">
        <f t="shared" si="39"/>
        <v>-0.30840502567636457</v>
      </c>
      <c r="V392" s="15">
        <f t="shared" si="43"/>
        <v>0.31150159744408945</v>
      </c>
      <c r="W392" s="33">
        <f t="shared" si="40"/>
        <v>-0.49159851294692014</v>
      </c>
      <c r="X392" s="4">
        <f t="shared" si="41"/>
        <v>-0.30840502567636457</v>
      </c>
    </row>
    <row r="393" spans="1:24" ht="14.5" x14ac:dyDescent="0.35">
      <c r="A393" s="52">
        <v>44824</v>
      </c>
      <c r="B393" s="51">
        <v>2500</v>
      </c>
      <c r="C393" s="1">
        <f t="shared" si="42"/>
        <v>-6.3796069640390399E-3</v>
      </c>
      <c r="R393" s="28">
        <v>392</v>
      </c>
      <c r="S393" s="29">
        <v>-5.8436981489109197E-3</v>
      </c>
      <c r="T393" s="41">
        <f t="shared" si="38"/>
        <v>0</v>
      </c>
      <c r="U393" s="4">
        <f t="shared" si="39"/>
        <v>-0.30518811366555781</v>
      </c>
      <c r="V393" s="15">
        <f t="shared" si="43"/>
        <v>0.31230031948881787</v>
      </c>
      <c r="W393" s="33">
        <f t="shared" si="40"/>
        <v>-0.48934051942897694</v>
      </c>
      <c r="X393" s="4">
        <f t="shared" si="41"/>
        <v>-0.30518811366555781</v>
      </c>
    </row>
    <row r="394" spans="1:24" ht="14.5" x14ac:dyDescent="0.35">
      <c r="A394" s="52">
        <v>44823</v>
      </c>
      <c r="B394" s="51">
        <v>2516</v>
      </c>
      <c r="C394" s="1">
        <f t="shared" si="42"/>
        <v>0</v>
      </c>
      <c r="R394" s="28">
        <v>393</v>
      </c>
      <c r="S394" s="29">
        <v>-5.8115564147766616E-3</v>
      </c>
      <c r="T394" s="41">
        <f t="shared" si="38"/>
        <v>0</v>
      </c>
      <c r="U394" s="4">
        <f t="shared" si="39"/>
        <v>-0.30349309473856945</v>
      </c>
      <c r="V394" s="15">
        <f t="shared" si="43"/>
        <v>0.31309904153354634</v>
      </c>
      <c r="W394" s="33">
        <f t="shared" si="40"/>
        <v>-0.48708501808042487</v>
      </c>
      <c r="X394" s="4">
        <f t="shared" si="41"/>
        <v>-0.30349309473856945</v>
      </c>
    </row>
    <row r="395" spans="1:24" ht="14.5" x14ac:dyDescent="0.35">
      <c r="A395" s="52">
        <v>44820</v>
      </c>
      <c r="B395" s="51">
        <v>2516</v>
      </c>
      <c r="C395" s="1">
        <f t="shared" si="42"/>
        <v>-3.2841106189242221E-2</v>
      </c>
      <c r="R395" s="28">
        <v>394</v>
      </c>
      <c r="S395" s="29">
        <v>-5.8097476413211018E-3</v>
      </c>
      <c r="T395" s="41">
        <f t="shared" si="38"/>
        <v>0</v>
      </c>
      <c r="U395" s="4">
        <f t="shared" si="39"/>
        <v>-0.30339770768729835</v>
      </c>
      <c r="V395" s="15">
        <f t="shared" si="43"/>
        <v>0.31389776357827476</v>
      </c>
      <c r="W395" s="33">
        <f t="shared" si="40"/>
        <v>-0.48483199195688781</v>
      </c>
      <c r="X395" s="4">
        <f t="shared" si="41"/>
        <v>-0.30339770768729835</v>
      </c>
    </row>
    <row r="396" spans="1:24" ht="14.5" x14ac:dyDescent="0.35">
      <c r="A396" s="52">
        <v>44819</v>
      </c>
      <c r="B396" s="51">
        <v>2600</v>
      </c>
      <c r="C396" s="1">
        <f t="shared" si="42"/>
        <v>-2.9558802241544391E-2</v>
      </c>
      <c r="R396" s="28">
        <v>395</v>
      </c>
      <c r="S396" s="29">
        <v>-5.7923207045044332E-3</v>
      </c>
      <c r="T396" s="41">
        <f t="shared" si="38"/>
        <v>0</v>
      </c>
      <c r="U396" s="4">
        <f t="shared" si="39"/>
        <v>-0.30247868484863327</v>
      </c>
      <c r="V396" s="15">
        <f t="shared" si="43"/>
        <v>0.31469648562300317</v>
      </c>
      <c r="W396" s="33">
        <f t="shared" si="40"/>
        <v>-0.4825814242199451</v>
      </c>
      <c r="X396" s="4">
        <f t="shared" si="41"/>
        <v>-0.30247868484863327</v>
      </c>
    </row>
    <row r="397" spans="1:24" ht="14.5" x14ac:dyDescent="0.35">
      <c r="A397" s="52">
        <v>44818</v>
      </c>
      <c r="B397" s="51">
        <v>2678</v>
      </c>
      <c r="C397" s="1">
        <f t="shared" si="42"/>
        <v>-2.9828508320650245E-3</v>
      </c>
      <c r="R397" s="28">
        <v>396</v>
      </c>
      <c r="S397" s="29">
        <v>-5.7388966690181667E-3</v>
      </c>
      <c r="T397" s="41">
        <f t="shared" si="38"/>
        <v>0</v>
      </c>
      <c r="U397" s="4">
        <f t="shared" si="39"/>
        <v>-0.2996613274861753</v>
      </c>
      <c r="V397" s="15">
        <f t="shared" si="43"/>
        <v>0.31549520766773165</v>
      </c>
      <c r="W397" s="33">
        <f t="shared" si="40"/>
        <v>-0.48033329813601716</v>
      </c>
      <c r="X397" s="4">
        <f t="shared" si="41"/>
        <v>-0.2996613274861753</v>
      </c>
    </row>
    <row r="398" spans="1:24" ht="14.5" x14ac:dyDescent="0.35">
      <c r="A398" s="52">
        <v>44817</v>
      </c>
      <c r="B398" s="51">
        <v>2686</v>
      </c>
      <c r="C398" s="1">
        <f t="shared" si="42"/>
        <v>1.3493458102915032E-2</v>
      </c>
      <c r="R398" s="28">
        <v>397</v>
      </c>
      <c r="S398" s="29">
        <v>-5.7213069836091653E-3</v>
      </c>
      <c r="T398" s="41">
        <f t="shared" si="38"/>
        <v>0</v>
      </c>
      <c r="U398" s="4">
        <f t="shared" si="39"/>
        <v>-0.29873372197604664</v>
      </c>
      <c r="V398" s="15">
        <f t="shared" si="43"/>
        <v>0.31629392971246006</v>
      </c>
      <c r="W398" s="33">
        <f t="shared" si="40"/>
        <v>-0.47808759707526399</v>
      </c>
      <c r="X398" s="4">
        <f t="shared" si="41"/>
        <v>-0.29873372197604664</v>
      </c>
    </row>
    <row r="399" spans="1:24" ht="14.5" x14ac:dyDescent="0.35">
      <c r="A399" s="52">
        <v>44816</v>
      </c>
      <c r="B399" s="51">
        <v>2650</v>
      </c>
      <c r="C399" s="1">
        <f t="shared" si="42"/>
        <v>0</v>
      </c>
      <c r="R399" s="28">
        <v>398</v>
      </c>
      <c r="S399" s="29">
        <v>-5.6899157776785702E-3</v>
      </c>
      <c r="T399" s="41">
        <f t="shared" si="38"/>
        <v>0</v>
      </c>
      <c r="U399" s="4">
        <f t="shared" si="39"/>
        <v>-0.29707828272777548</v>
      </c>
      <c r="V399" s="15">
        <f t="shared" si="43"/>
        <v>0.31709265175718848</v>
      </c>
      <c r="W399" s="33">
        <f t="shared" si="40"/>
        <v>-0.47584430451049581</v>
      </c>
      <c r="X399" s="4">
        <f t="shared" si="41"/>
        <v>-0.29707828272777548</v>
      </c>
    </row>
    <row r="400" spans="1:24" ht="14.5" x14ac:dyDescent="0.35">
      <c r="A400" s="52">
        <v>44813</v>
      </c>
      <c r="B400" s="51">
        <v>2650</v>
      </c>
      <c r="C400" s="1">
        <f t="shared" si="42"/>
        <v>-6.0195817583860393E-3</v>
      </c>
      <c r="R400" s="28">
        <v>399</v>
      </c>
      <c r="S400" s="29">
        <v>-5.6577237198588374E-3</v>
      </c>
      <c r="T400" s="41">
        <f t="shared" si="38"/>
        <v>0</v>
      </c>
      <c r="U400" s="4">
        <f t="shared" si="39"/>
        <v>-0.29538060994275323</v>
      </c>
      <c r="V400" s="15">
        <f t="shared" si="43"/>
        <v>0.31789137380191695</v>
      </c>
      <c r="W400" s="33">
        <f t="shared" si="40"/>
        <v>-0.47360340401609913</v>
      </c>
      <c r="X400" s="4">
        <f t="shared" si="41"/>
        <v>-0.29538060994275323</v>
      </c>
    </row>
    <row r="401" spans="1:24" ht="14.5" x14ac:dyDescent="0.35">
      <c r="A401" s="52">
        <v>44812</v>
      </c>
      <c r="B401" s="51">
        <v>2666</v>
      </c>
      <c r="C401" s="1">
        <f t="shared" si="42"/>
        <v>-6.7289973529184709E-3</v>
      </c>
      <c r="R401" s="28">
        <v>400</v>
      </c>
      <c r="S401" s="29">
        <v>-5.6577237198588374E-3</v>
      </c>
      <c r="T401" s="41">
        <f t="shared" si="38"/>
        <v>0</v>
      </c>
      <c r="U401" s="4">
        <f t="shared" si="39"/>
        <v>-0.29538060994275323</v>
      </c>
      <c r="V401" s="15">
        <f t="shared" si="43"/>
        <v>0.31869009584664537</v>
      </c>
      <c r="W401" s="33">
        <f t="shared" si="40"/>
        <v>-0.47136487926697263</v>
      </c>
      <c r="X401" s="4">
        <f t="shared" si="41"/>
        <v>-0.29538060994275323</v>
      </c>
    </row>
    <row r="402" spans="1:24" ht="14.5" x14ac:dyDescent="0.35">
      <c r="A402" s="52">
        <v>44811</v>
      </c>
      <c r="B402" s="51">
        <v>2684</v>
      </c>
      <c r="C402" s="1">
        <f t="shared" si="42"/>
        <v>-5.9435539008479941E-3</v>
      </c>
      <c r="R402" s="28">
        <v>401</v>
      </c>
      <c r="S402" s="29">
        <v>-5.5799267934746504E-3</v>
      </c>
      <c r="T402" s="41">
        <f t="shared" si="38"/>
        <v>0</v>
      </c>
      <c r="U402" s="4">
        <f t="shared" si="39"/>
        <v>-0.29127792954187942</v>
      </c>
      <c r="V402" s="15">
        <f t="shared" si="43"/>
        <v>0.31948881789137379</v>
      </c>
      <c r="W402" s="33">
        <f t="shared" si="40"/>
        <v>-0.4691287140374773</v>
      </c>
      <c r="X402" s="4">
        <f t="shared" si="41"/>
        <v>-0.29127792954187942</v>
      </c>
    </row>
    <row r="403" spans="1:24" ht="14.5" x14ac:dyDescent="0.35">
      <c r="A403" s="52">
        <v>44810</v>
      </c>
      <c r="B403" s="51">
        <v>2700</v>
      </c>
      <c r="C403" s="1">
        <f t="shared" si="42"/>
        <v>2.2246950221111086E-3</v>
      </c>
      <c r="R403" s="28">
        <v>402</v>
      </c>
      <c r="S403" s="29">
        <v>-5.5401803756153561E-3</v>
      </c>
      <c r="T403" s="41">
        <f t="shared" si="38"/>
        <v>0</v>
      </c>
      <c r="U403" s="4">
        <f t="shared" si="39"/>
        <v>-0.28918187180367283</v>
      </c>
      <c r="V403" s="15">
        <f t="shared" si="43"/>
        <v>0.32028753993610226</v>
      </c>
      <c r="W403" s="33">
        <f t="shared" si="40"/>
        <v>-0.46689489220039887</v>
      </c>
      <c r="X403" s="4">
        <f t="shared" si="41"/>
        <v>-0.28918187180367283</v>
      </c>
    </row>
    <row r="404" spans="1:24" ht="14.5" x14ac:dyDescent="0.35">
      <c r="A404" s="52">
        <v>44809</v>
      </c>
      <c r="B404" s="51">
        <v>2694</v>
      </c>
      <c r="C404" s="1">
        <f t="shared" si="42"/>
        <v>-2.2027322318290819E-2</v>
      </c>
      <c r="R404" s="28">
        <v>403</v>
      </c>
      <c r="S404" s="29">
        <v>-5.3908486348764233E-3</v>
      </c>
      <c r="T404" s="41">
        <f t="shared" si="38"/>
        <v>0</v>
      </c>
      <c r="U404" s="4">
        <f t="shared" si="39"/>
        <v>-0.28130674826816876</v>
      </c>
      <c r="V404" s="15">
        <f t="shared" si="43"/>
        <v>0.32108626198083068</v>
      </c>
      <c r="W404" s="33">
        <f t="shared" si="40"/>
        <v>-0.46466339772592158</v>
      </c>
      <c r="X404" s="4">
        <f t="shared" si="41"/>
        <v>-0.28130674826816876</v>
      </c>
    </row>
    <row r="405" spans="1:24" ht="14.5" x14ac:dyDescent="0.35">
      <c r="A405" s="52">
        <v>44806</v>
      </c>
      <c r="B405" s="51">
        <v>2754</v>
      </c>
      <c r="C405" s="1">
        <f t="shared" si="42"/>
        <v>1.0953012019197145E-2</v>
      </c>
      <c r="R405" s="28">
        <v>404</v>
      </c>
      <c r="S405" s="29">
        <v>-5.3292855480838452E-3</v>
      </c>
      <c r="T405" s="41">
        <f t="shared" si="38"/>
        <v>0</v>
      </c>
      <c r="U405" s="4">
        <f t="shared" si="39"/>
        <v>-0.27806017181148579</v>
      </c>
      <c r="V405" s="15">
        <f t="shared" si="43"/>
        <v>0.3218849840255591</v>
      </c>
      <c r="W405" s="33">
        <f t="shared" si="40"/>
        <v>-0.46243421468061463</v>
      </c>
      <c r="X405" s="4">
        <f t="shared" si="41"/>
        <v>-0.27806017181148579</v>
      </c>
    </row>
    <row r="406" spans="1:24" ht="14.5" x14ac:dyDescent="0.35">
      <c r="A406" s="52">
        <v>44805</v>
      </c>
      <c r="B406" s="51">
        <v>2724</v>
      </c>
      <c r="C406" s="1">
        <f t="shared" si="42"/>
        <v>-9.499523391214031E-3</v>
      </c>
      <c r="R406" s="28">
        <v>405</v>
      </c>
      <c r="S406" s="29">
        <v>-5.3191614775999329E-3</v>
      </c>
      <c r="T406" s="41">
        <f t="shared" si="38"/>
        <v>0</v>
      </c>
      <c r="U406" s="4">
        <f t="shared" si="39"/>
        <v>-0.27752627121307016</v>
      </c>
      <c r="V406" s="15">
        <f t="shared" si="43"/>
        <v>0.32268370607028751</v>
      </c>
      <c r="W406" s="33">
        <f t="shared" si="40"/>
        <v>-0.46020732722642965</v>
      </c>
      <c r="X406" s="4">
        <f t="shared" si="41"/>
        <v>-0.27752627121307016</v>
      </c>
    </row>
    <row r="407" spans="1:24" ht="14.5" x14ac:dyDescent="0.35">
      <c r="A407" s="52">
        <v>44804</v>
      </c>
      <c r="B407" s="51">
        <v>2750</v>
      </c>
      <c r="C407" s="1">
        <f t="shared" si="42"/>
        <v>-1.5873349156290122E-2</v>
      </c>
      <c r="R407" s="28">
        <v>406</v>
      </c>
      <c r="S407" s="29">
        <v>-5.263170044274644E-3</v>
      </c>
      <c r="T407" s="41">
        <f t="shared" si="38"/>
        <v>0</v>
      </c>
      <c r="U407" s="4">
        <f t="shared" si="39"/>
        <v>-0.27457352016239134</v>
      </c>
      <c r="V407" s="15">
        <f t="shared" si="43"/>
        <v>0.32348242811501599</v>
      </c>
      <c r="W407" s="33">
        <f t="shared" si="40"/>
        <v>-0.45798271961971027</v>
      </c>
      <c r="X407" s="4">
        <f t="shared" si="41"/>
        <v>-0.27457352016239134</v>
      </c>
    </row>
    <row r="408" spans="1:24" ht="14.5" x14ac:dyDescent="0.35">
      <c r="A408" s="52">
        <v>44803</v>
      </c>
      <c r="B408" s="51">
        <v>2794</v>
      </c>
      <c r="C408" s="1">
        <f t="shared" si="42"/>
        <v>1.2243581105711408E-2</v>
      </c>
      <c r="R408" s="28">
        <v>407</v>
      </c>
      <c r="S408" s="29">
        <v>-5.2493558861436782E-3</v>
      </c>
      <c r="T408" s="41">
        <f t="shared" si="38"/>
        <v>0</v>
      </c>
      <c r="U408" s="4">
        <f t="shared" si="39"/>
        <v>-0.27384501997025512</v>
      </c>
      <c r="V408" s="15">
        <f t="shared" si="43"/>
        <v>0.3242811501597444</v>
      </c>
      <c r="W408" s="33">
        <f t="shared" si="40"/>
        <v>-0.45576037621021431</v>
      </c>
      <c r="X408" s="4">
        <f t="shared" si="41"/>
        <v>-0.27384501997025512</v>
      </c>
    </row>
    <row r="409" spans="1:24" ht="14.5" x14ac:dyDescent="0.35">
      <c r="A409" s="52">
        <v>44802</v>
      </c>
      <c r="B409" s="51">
        <v>2760</v>
      </c>
      <c r="C409" s="1">
        <f t="shared" si="42"/>
        <v>-1.7241806434506103E-2</v>
      </c>
      <c r="R409" s="28">
        <v>408</v>
      </c>
      <c r="S409" s="29">
        <v>-5.2219439811517126E-3</v>
      </c>
      <c r="T409" s="41">
        <f t="shared" si="38"/>
        <v>0</v>
      </c>
      <c r="U409" s="4">
        <f t="shared" si="39"/>
        <v>-0.27239943219978496</v>
      </c>
      <c r="V409" s="15">
        <f t="shared" si="43"/>
        <v>0.32507987220447282</v>
      </c>
      <c r="W409" s="33">
        <f t="shared" si="40"/>
        <v>-0.45354028144014408</v>
      </c>
      <c r="X409" s="4">
        <f t="shared" si="41"/>
        <v>-0.27239943219978496</v>
      </c>
    </row>
    <row r="410" spans="1:24" ht="14.5" x14ac:dyDescent="0.35">
      <c r="A410" s="52">
        <v>44799</v>
      </c>
      <c r="B410" s="51">
        <v>2808</v>
      </c>
      <c r="C410" s="1">
        <f t="shared" si="42"/>
        <v>-8.5106896679086191E-3</v>
      </c>
      <c r="R410" s="28">
        <v>409</v>
      </c>
      <c r="S410" s="29">
        <v>-5.2180513477656709E-3</v>
      </c>
      <c r="T410" s="41">
        <f t="shared" si="38"/>
        <v>0</v>
      </c>
      <c r="U410" s="4">
        <f t="shared" si="39"/>
        <v>-0.2721941512016407</v>
      </c>
      <c r="V410" s="15">
        <f t="shared" si="43"/>
        <v>0.32587859424920129</v>
      </c>
      <c r="W410" s="33">
        <f t="shared" si="40"/>
        <v>-0.45132241984319144</v>
      </c>
      <c r="X410" s="4">
        <f t="shared" si="41"/>
        <v>-0.2721941512016407</v>
      </c>
    </row>
    <row r="411" spans="1:24" ht="14.5" x14ac:dyDescent="0.35">
      <c r="A411" s="52">
        <v>44798</v>
      </c>
      <c r="B411" s="51">
        <v>2832</v>
      </c>
      <c r="C411" s="1">
        <f t="shared" si="42"/>
        <v>1.1363758650315003E-2</v>
      </c>
      <c r="R411" s="28">
        <v>410</v>
      </c>
      <c r="S411" s="29">
        <v>-5.126755746345627E-3</v>
      </c>
      <c r="T411" s="41">
        <f t="shared" si="38"/>
        <v>0</v>
      </c>
      <c r="U411" s="4">
        <f t="shared" si="39"/>
        <v>-0.26737960785088782</v>
      </c>
      <c r="V411" s="15">
        <f t="shared" si="43"/>
        <v>0.32667731629392971</v>
      </c>
      <c r="W411" s="33">
        <f t="shared" si="40"/>
        <v>-0.44910677604359084</v>
      </c>
      <c r="X411" s="4">
        <f t="shared" si="41"/>
        <v>-0.26737960785088782</v>
      </c>
    </row>
    <row r="412" spans="1:24" ht="14.5" x14ac:dyDescent="0.35">
      <c r="A412" s="52">
        <v>44797</v>
      </c>
      <c r="B412" s="51">
        <v>2800</v>
      </c>
      <c r="C412" s="1">
        <f t="shared" si="42"/>
        <v>-7.1403073365706277E-4</v>
      </c>
      <c r="R412" s="28">
        <v>411</v>
      </c>
      <c r="S412" s="29">
        <v>-5.0665086212787272E-3</v>
      </c>
      <c r="T412" s="41">
        <f t="shared" si="38"/>
        <v>0</v>
      </c>
      <c r="U412" s="4">
        <f t="shared" si="39"/>
        <v>-0.26420242964206847</v>
      </c>
      <c r="V412" s="15">
        <f t="shared" si="43"/>
        <v>0.32747603833865813</v>
      </c>
      <c r="W412" s="33">
        <f t="shared" si="40"/>
        <v>-0.44689333475518556</v>
      </c>
      <c r="X412" s="4">
        <f t="shared" si="41"/>
        <v>-0.26420242964206847</v>
      </c>
    </row>
    <row r="413" spans="1:24" ht="14.5" x14ac:dyDescent="0.35">
      <c r="A413" s="52">
        <v>44796</v>
      </c>
      <c r="B413" s="51">
        <v>2802</v>
      </c>
      <c r="C413" s="1">
        <f t="shared" si="42"/>
        <v>-7.1352125752835579E-4</v>
      </c>
      <c r="R413" s="28">
        <v>412</v>
      </c>
      <c r="S413" s="29">
        <v>-5.0596421635812688E-3</v>
      </c>
      <c r="T413" s="41">
        <f t="shared" si="38"/>
        <v>0</v>
      </c>
      <c r="U413" s="4">
        <f t="shared" si="39"/>
        <v>-0.26384032174490457</v>
      </c>
      <c r="V413" s="15">
        <f t="shared" si="43"/>
        <v>0.3282747603833866</v>
      </c>
      <c r="W413" s="33">
        <f t="shared" si="40"/>
        <v>-0.44468208078050236</v>
      </c>
      <c r="X413" s="4">
        <f t="shared" si="41"/>
        <v>-0.26384032174490457</v>
      </c>
    </row>
    <row r="414" spans="1:24" ht="14.5" x14ac:dyDescent="0.35">
      <c r="A414" s="52">
        <v>44795</v>
      </c>
      <c r="B414" s="51">
        <v>2804</v>
      </c>
      <c r="C414" s="1">
        <f t="shared" si="42"/>
        <v>-1.0642172096144981E-2</v>
      </c>
      <c r="R414" s="28">
        <v>413</v>
      </c>
      <c r="S414" s="29">
        <v>-5.0486944599792225E-3</v>
      </c>
      <c r="T414" s="41">
        <f t="shared" si="38"/>
        <v>0</v>
      </c>
      <c r="U414" s="4">
        <f t="shared" si="39"/>
        <v>-0.26326298622420696</v>
      </c>
      <c r="V414" s="15">
        <f t="shared" si="43"/>
        <v>0.32907348242811502</v>
      </c>
      <c r="W414" s="33">
        <f t="shared" si="40"/>
        <v>-0.44247299900983833</v>
      </c>
      <c r="X414" s="4">
        <f t="shared" si="41"/>
        <v>-0.26326298622420696</v>
      </c>
    </row>
    <row r="415" spans="1:24" ht="14.5" x14ac:dyDescent="0.35">
      <c r="A415" s="52">
        <v>44792</v>
      </c>
      <c r="B415" s="51">
        <v>2834</v>
      </c>
      <c r="C415" s="1">
        <f t="shared" si="42"/>
        <v>8.5046579228343581E-3</v>
      </c>
      <c r="R415" s="28">
        <v>414</v>
      </c>
      <c r="S415" s="29">
        <v>-5.0486944599792225E-3</v>
      </c>
      <c r="T415" s="41">
        <f t="shared" si="38"/>
        <v>0</v>
      </c>
      <c r="U415" s="4">
        <f t="shared" si="39"/>
        <v>-0.26326298622420696</v>
      </c>
      <c r="V415" s="15">
        <f t="shared" si="43"/>
        <v>0.32987220447284343</v>
      </c>
      <c r="W415" s="33">
        <f t="shared" si="40"/>
        <v>-0.44026607442035703</v>
      </c>
      <c r="X415" s="4">
        <f t="shared" si="41"/>
        <v>-0.26326298622420696</v>
      </c>
    </row>
    <row r="416" spans="1:24" ht="14.5" x14ac:dyDescent="0.35">
      <c r="A416" s="52">
        <v>44791</v>
      </c>
      <c r="B416" s="51">
        <v>2810</v>
      </c>
      <c r="C416" s="1">
        <f t="shared" si="42"/>
        <v>-1.8336197788604715E-2</v>
      </c>
      <c r="R416" s="28">
        <v>415</v>
      </c>
      <c r="S416" s="29">
        <v>-5.0233331322243873E-3</v>
      </c>
      <c r="T416" s="41">
        <f t="shared" si="38"/>
        <v>0</v>
      </c>
      <c r="U416" s="4">
        <f t="shared" si="39"/>
        <v>-0.26192553721232609</v>
      </c>
      <c r="V416" s="15">
        <f t="shared" si="43"/>
        <v>0.33067092651757191</v>
      </c>
      <c r="W416" s="33">
        <f t="shared" si="40"/>
        <v>-0.43806129207519545</v>
      </c>
      <c r="X416" s="4">
        <f t="shared" si="41"/>
        <v>-0.26192553721232609</v>
      </c>
    </row>
    <row r="417" spans="1:24" ht="14.5" x14ac:dyDescent="0.35">
      <c r="A417" s="52">
        <v>44790</v>
      </c>
      <c r="B417" s="51">
        <v>2862</v>
      </c>
      <c r="C417" s="1">
        <f t="shared" si="42"/>
        <v>-1.8692133012152522E-2</v>
      </c>
      <c r="R417" s="28">
        <v>416</v>
      </c>
      <c r="S417" s="29">
        <v>-5.0083577143725192E-3</v>
      </c>
      <c r="T417" s="41">
        <f t="shared" si="38"/>
        <v>0</v>
      </c>
      <c r="U417" s="4">
        <f t="shared" si="39"/>
        <v>-0.26113579710084217</v>
      </c>
      <c r="V417" s="15">
        <f t="shared" si="43"/>
        <v>0.33146964856230032</v>
      </c>
      <c r="W417" s="33">
        <f t="shared" si="40"/>
        <v>-0.43585863712258077</v>
      </c>
      <c r="X417" s="4">
        <f t="shared" si="41"/>
        <v>-0.26113579710084217</v>
      </c>
    </row>
    <row r="418" spans="1:24" ht="14.5" x14ac:dyDescent="0.35">
      <c r="A418" s="52">
        <v>44789</v>
      </c>
      <c r="B418" s="51">
        <v>2916</v>
      </c>
      <c r="C418" s="1">
        <f t="shared" si="42"/>
        <v>1.0341353794732531E-2</v>
      </c>
      <c r="R418" s="28">
        <v>417</v>
      </c>
      <c r="S418" s="29">
        <v>-4.9557623549848773E-3</v>
      </c>
      <c r="T418" s="41">
        <f t="shared" si="38"/>
        <v>0</v>
      </c>
      <c r="U418" s="4">
        <f t="shared" si="39"/>
        <v>-0.25836214060609852</v>
      </c>
      <c r="V418" s="15">
        <f t="shared" si="43"/>
        <v>0.33226837060702874</v>
      </c>
      <c r="W418" s="33">
        <f t="shared" si="40"/>
        <v>-0.43365809479495632</v>
      </c>
      <c r="X418" s="4">
        <f t="shared" si="41"/>
        <v>-0.25836214060609852</v>
      </c>
    </row>
    <row r="419" spans="1:24" ht="14.5" x14ac:dyDescent="0.35">
      <c r="A419" s="52">
        <v>44788</v>
      </c>
      <c r="B419" s="51">
        <v>2886</v>
      </c>
      <c r="C419" s="1">
        <f t="shared" si="42"/>
        <v>0</v>
      </c>
      <c r="R419" s="28">
        <v>418</v>
      </c>
      <c r="S419" s="29">
        <v>-4.9545931246833411E-3</v>
      </c>
      <c r="T419" s="41">
        <f t="shared" si="38"/>
        <v>0</v>
      </c>
      <c r="U419" s="4">
        <f t="shared" si="39"/>
        <v>-0.2583004803520863</v>
      </c>
      <c r="V419" s="15">
        <f t="shared" si="43"/>
        <v>0.33306709265175721</v>
      </c>
      <c r="W419" s="33">
        <f t="shared" si="40"/>
        <v>-0.43145965040811818</v>
      </c>
      <c r="X419" s="4">
        <f t="shared" si="41"/>
        <v>-0.2583004803520863</v>
      </c>
    </row>
    <row r="420" spans="1:24" ht="14.5" x14ac:dyDescent="0.35">
      <c r="A420" s="52">
        <v>44785</v>
      </c>
      <c r="B420" s="51">
        <v>2886</v>
      </c>
      <c r="C420" s="1">
        <f t="shared" si="42"/>
        <v>-2.3288723757508928E-2</v>
      </c>
      <c r="R420" s="28">
        <v>419</v>
      </c>
      <c r="S420" s="29">
        <v>-4.9382816405825663E-3</v>
      </c>
      <c r="T420" s="41">
        <f t="shared" si="38"/>
        <v>0</v>
      </c>
      <c r="U420" s="4">
        <f t="shared" si="39"/>
        <v>-0.25744028176533318</v>
      </c>
      <c r="V420" s="15">
        <f t="shared" si="43"/>
        <v>0.33386581469648563</v>
      </c>
      <c r="W420" s="33">
        <f t="shared" si="40"/>
        <v>-0.42926328936036173</v>
      </c>
      <c r="X420" s="4">
        <f t="shared" si="41"/>
        <v>-0.25744028176533318</v>
      </c>
    </row>
    <row r="421" spans="1:24" ht="14.5" x14ac:dyDescent="0.35">
      <c r="A421" s="52">
        <v>44784</v>
      </c>
      <c r="B421" s="51">
        <v>2954</v>
      </c>
      <c r="C421" s="1">
        <f t="shared" si="42"/>
        <v>2.0332097820978229E-3</v>
      </c>
      <c r="R421" s="28">
        <v>420</v>
      </c>
      <c r="S421" s="29">
        <v>-4.9342205372213442E-3</v>
      </c>
      <c r="T421" s="41">
        <f t="shared" si="38"/>
        <v>0</v>
      </c>
      <c r="U421" s="4">
        <f t="shared" si="39"/>
        <v>-0.25722611637422599</v>
      </c>
      <c r="V421" s="15">
        <f t="shared" si="43"/>
        <v>0.33466453674121405</v>
      </c>
      <c r="W421" s="33">
        <f t="shared" si="40"/>
        <v>-0.42706899713163576</v>
      </c>
      <c r="X421" s="4">
        <f t="shared" si="41"/>
        <v>-0.25722611637422599</v>
      </c>
    </row>
    <row r="422" spans="1:24" ht="14.5" x14ac:dyDescent="0.35">
      <c r="A422" s="52">
        <v>44783</v>
      </c>
      <c r="B422" s="51">
        <v>2948</v>
      </c>
      <c r="C422" s="1">
        <f t="shared" si="42"/>
        <v>4.6520015634892907E-2</v>
      </c>
      <c r="R422" s="28">
        <v>421</v>
      </c>
      <c r="S422" s="29">
        <v>-4.9180426996451448E-3</v>
      </c>
      <c r="T422" s="41">
        <f t="shared" si="38"/>
        <v>0</v>
      </c>
      <c r="U422" s="4">
        <f t="shared" si="39"/>
        <v>-0.2563729657391402</v>
      </c>
      <c r="V422" s="15">
        <f t="shared" si="43"/>
        <v>0.33546325878594252</v>
      </c>
      <c r="W422" s="33">
        <f t="shared" si="40"/>
        <v>-0.42487675928270802</v>
      </c>
      <c r="X422" s="4">
        <f t="shared" si="41"/>
        <v>-0.2563729657391402</v>
      </c>
    </row>
    <row r="423" spans="1:24" ht="14.5" x14ac:dyDescent="0.35">
      <c r="A423" s="52">
        <v>44782</v>
      </c>
      <c r="B423" s="51">
        <v>2814</v>
      </c>
      <c r="C423" s="1">
        <f t="shared" si="42"/>
        <v>-4.2441152060071811E-2</v>
      </c>
      <c r="R423" s="28">
        <v>422</v>
      </c>
      <c r="S423" s="29">
        <v>-4.9099934975557818E-3</v>
      </c>
      <c r="T423" s="41">
        <f t="shared" si="38"/>
        <v>0</v>
      </c>
      <c r="U423" s="4">
        <f t="shared" si="39"/>
        <v>-0.25594848491207484</v>
      </c>
      <c r="V423" s="15">
        <f t="shared" si="43"/>
        <v>0.33626198083067094</v>
      </c>
      <c r="W423" s="33">
        <f t="shared" si="40"/>
        <v>-0.42268656145433925</v>
      </c>
      <c r="X423" s="4">
        <f t="shared" si="41"/>
        <v>-0.25594848491207484</v>
      </c>
    </row>
    <row r="424" spans="1:24" ht="14.5" x14ac:dyDescent="0.35">
      <c r="A424" s="52">
        <v>44781</v>
      </c>
      <c r="B424" s="51">
        <v>2936</v>
      </c>
      <c r="C424" s="1">
        <f t="shared" si="42"/>
        <v>1.2337373759840784E-2</v>
      </c>
      <c r="R424" s="28">
        <v>423</v>
      </c>
      <c r="S424" s="29">
        <v>-4.9091900262384081E-3</v>
      </c>
      <c r="T424" s="41">
        <f t="shared" si="38"/>
        <v>0</v>
      </c>
      <c r="U424" s="4">
        <f t="shared" si="39"/>
        <v>-0.25590611323777274</v>
      </c>
      <c r="V424" s="15">
        <f t="shared" si="43"/>
        <v>0.33706070287539935</v>
      </c>
      <c r="W424" s="33">
        <f t="shared" si="40"/>
        <v>-0.42049838936646489</v>
      </c>
      <c r="X424" s="4">
        <f t="shared" si="41"/>
        <v>-0.25590611323777274</v>
      </c>
    </row>
    <row r="425" spans="1:24" ht="14.5" x14ac:dyDescent="0.35">
      <c r="A425" s="52">
        <v>44778</v>
      </c>
      <c r="B425" s="51">
        <v>2900</v>
      </c>
      <c r="C425" s="1">
        <f t="shared" si="42"/>
        <v>-3.3901551675681339E-2</v>
      </c>
      <c r="R425" s="28">
        <v>424</v>
      </c>
      <c r="S425" s="29">
        <v>-4.8899852941917919E-3</v>
      </c>
      <c r="T425" s="41">
        <f t="shared" si="38"/>
        <v>0</v>
      </c>
      <c r="U425" s="4">
        <f t="shared" si="39"/>
        <v>-0.25489333700825195</v>
      </c>
      <c r="V425" s="15">
        <f t="shared" si="43"/>
        <v>0.33785942492012777</v>
      </c>
      <c r="W425" s="33">
        <f t="shared" si="40"/>
        <v>-0.41831222881738783</v>
      </c>
      <c r="X425" s="4">
        <f t="shared" si="41"/>
        <v>-0.25489333700825195</v>
      </c>
    </row>
    <row r="426" spans="1:24" ht="14.5" x14ac:dyDescent="0.35">
      <c r="A426" s="52">
        <v>44777</v>
      </c>
      <c r="B426" s="51">
        <v>3000</v>
      </c>
      <c r="C426" s="1">
        <f t="shared" si="42"/>
        <v>2.156417791584064E-2</v>
      </c>
      <c r="R426" s="28">
        <v>425</v>
      </c>
      <c r="S426" s="29">
        <v>-4.8797587245410579E-3</v>
      </c>
      <c r="T426" s="41">
        <f t="shared" si="38"/>
        <v>0</v>
      </c>
      <c r="U426" s="4">
        <f t="shared" si="39"/>
        <v>-0.25435403103789728</v>
      </c>
      <c r="V426" s="15">
        <f t="shared" si="43"/>
        <v>0.33865814696485624</v>
      </c>
      <c r="W426" s="33">
        <f t="shared" si="40"/>
        <v>-0.41612806568297905</v>
      </c>
      <c r="X426" s="4">
        <f t="shared" si="41"/>
        <v>-0.25435403103789728</v>
      </c>
    </row>
    <row r="427" spans="1:24" ht="14.5" x14ac:dyDescent="0.35">
      <c r="A427" s="52">
        <v>44776</v>
      </c>
      <c r="B427" s="51">
        <v>2936</v>
      </c>
      <c r="C427" s="1">
        <f t="shared" si="42"/>
        <v>1.6483889721689415E-2</v>
      </c>
      <c r="R427" s="28">
        <v>426</v>
      </c>
      <c r="S427" s="29">
        <v>-4.8359334314162635E-3</v>
      </c>
      <c r="T427" s="41">
        <f t="shared" si="38"/>
        <v>0</v>
      </c>
      <c r="U427" s="4">
        <f t="shared" si="39"/>
        <v>-0.25204287069362191</v>
      </c>
      <c r="V427" s="15">
        <f t="shared" si="43"/>
        <v>0.33945686900958466</v>
      </c>
      <c r="W427" s="33">
        <f t="shared" si="40"/>
        <v>-0.41394588591588732</v>
      </c>
      <c r="X427" s="4">
        <f t="shared" si="41"/>
        <v>-0.25204287069362191</v>
      </c>
    </row>
    <row r="428" spans="1:24" ht="14.5" x14ac:dyDescent="0.35">
      <c r="A428" s="52">
        <v>44775</v>
      </c>
      <c r="B428" s="51">
        <v>2888</v>
      </c>
      <c r="C428" s="1">
        <f t="shared" si="42"/>
        <v>-7.5888601528213218E-3</v>
      </c>
      <c r="R428" s="28">
        <v>427</v>
      </c>
      <c r="S428" s="29">
        <v>-4.8093531380442641E-3</v>
      </c>
      <c r="T428" s="41">
        <f t="shared" si="38"/>
        <v>0</v>
      </c>
      <c r="U428" s="4">
        <f t="shared" si="39"/>
        <v>-0.25064113859782866</v>
      </c>
      <c r="V428" s="15">
        <f t="shared" si="43"/>
        <v>0.34025559105431308</v>
      </c>
      <c r="W428" s="33">
        <f t="shared" si="40"/>
        <v>-0.41176567554475518</v>
      </c>
      <c r="X428" s="4">
        <f t="shared" si="41"/>
        <v>-0.25064113859782866</v>
      </c>
    </row>
    <row r="429" spans="1:24" ht="14.5" x14ac:dyDescent="0.35">
      <c r="A429" s="52">
        <v>44774</v>
      </c>
      <c r="B429" s="51">
        <v>2910</v>
      </c>
      <c r="C429" s="1">
        <f t="shared" si="42"/>
        <v>1.3755160353098766E-3</v>
      </c>
      <c r="R429" s="28">
        <v>428</v>
      </c>
      <c r="S429" s="29">
        <v>-4.7961722634930551E-3</v>
      </c>
      <c r="T429" s="41">
        <f t="shared" si="38"/>
        <v>0</v>
      </c>
      <c r="U429" s="4">
        <f t="shared" si="39"/>
        <v>-0.24994603509951602</v>
      </c>
      <c r="V429" s="15">
        <f t="shared" si="43"/>
        <v>0.34105431309904155</v>
      </c>
      <c r="W429" s="33">
        <f t="shared" si="40"/>
        <v>-0.40958742067344739</v>
      </c>
      <c r="X429" s="4">
        <f t="shared" si="41"/>
        <v>-0.24994603509951602</v>
      </c>
    </row>
    <row r="430" spans="1:24" ht="14.5" x14ac:dyDescent="0.35">
      <c r="A430" s="52">
        <v>44771</v>
      </c>
      <c r="B430" s="51">
        <v>2906</v>
      </c>
      <c r="C430" s="1">
        <f t="shared" si="42"/>
        <v>8.9872710002366768E-3</v>
      </c>
      <c r="R430" s="28">
        <v>429</v>
      </c>
      <c r="S430" s="29">
        <v>-4.7863339238111728E-3</v>
      </c>
      <c r="T430" s="41">
        <f t="shared" si="38"/>
        <v>0</v>
      </c>
      <c r="U430" s="4">
        <f t="shared" si="39"/>
        <v>-0.24942720273343166</v>
      </c>
      <c r="V430" s="15">
        <f t="shared" si="43"/>
        <v>0.34185303514376997</v>
      </c>
      <c r="W430" s="33">
        <f t="shared" si="40"/>
        <v>-0.40741110748028431</v>
      </c>
      <c r="X430" s="4">
        <f t="shared" si="41"/>
        <v>-0.24942720273343166</v>
      </c>
    </row>
    <row r="431" spans="1:24" ht="14.5" x14ac:dyDescent="0.35">
      <c r="A431" s="52">
        <v>44770</v>
      </c>
      <c r="B431" s="51">
        <v>2880</v>
      </c>
      <c r="C431" s="1">
        <f t="shared" si="42"/>
        <v>1.7513582492708211E-2</v>
      </c>
      <c r="R431" s="28">
        <v>430</v>
      </c>
      <c r="S431" s="29">
        <v>-4.7818381613737313E-3</v>
      </c>
      <c r="T431" s="41">
        <f t="shared" si="38"/>
        <v>0</v>
      </c>
      <c r="U431" s="4">
        <f t="shared" si="39"/>
        <v>-0.24919011526357471</v>
      </c>
      <c r="V431" s="15">
        <f t="shared" si="43"/>
        <v>0.34265175718849838</v>
      </c>
      <c r="W431" s="33">
        <f t="shared" si="40"/>
        <v>-0.40523672221728529</v>
      </c>
      <c r="X431" s="4">
        <f t="shared" si="41"/>
        <v>-0.24919011526357471</v>
      </c>
    </row>
    <row r="432" spans="1:24" ht="14.5" x14ac:dyDescent="0.35">
      <c r="A432" s="52">
        <v>44769</v>
      </c>
      <c r="B432" s="51">
        <v>2830</v>
      </c>
      <c r="C432" s="1">
        <f t="shared" si="42"/>
        <v>1.280245082037618E-2</v>
      </c>
      <c r="R432" s="28">
        <v>431</v>
      </c>
      <c r="S432" s="29">
        <v>-4.7182263151970541E-3</v>
      </c>
      <c r="T432" s="41">
        <f t="shared" si="38"/>
        <v>0</v>
      </c>
      <c r="U432" s="4">
        <f t="shared" si="39"/>
        <v>-0.245835495914172</v>
      </c>
      <c r="V432" s="15">
        <f t="shared" si="43"/>
        <v>0.34345047923322686</v>
      </c>
      <c r="W432" s="33">
        <f t="shared" si="40"/>
        <v>-0.40306425120941847</v>
      </c>
      <c r="X432" s="4">
        <f t="shared" si="41"/>
        <v>-0.245835495914172</v>
      </c>
    </row>
    <row r="433" spans="1:24" ht="14.5" x14ac:dyDescent="0.35">
      <c r="A433" s="52">
        <v>44768</v>
      </c>
      <c r="B433" s="51">
        <v>2794</v>
      </c>
      <c r="C433" s="1">
        <f t="shared" si="42"/>
        <v>-1.6329791338344574E-2</v>
      </c>
      <c r="R433" s="28">
        <v>432</v>
      </c>
      <c r="S433" s="29">
        <v>-4.5946913783104174E-3</v>
      </c>
      <c r="T433" s="41">
        <f t="shared" si="38"/>
        <v>0</v>
      </c>
      <c r="U433" s="4">
        <f t="shared" si="39"/>
        <v>-0.23932078655553848</v>
      </c>
      <c r="V433" s="15">
        <f t="shared" si="43"/>
        <v>0.34424920127795527</v>
      </c>
      <c r="W433" s="33">
        <f t="shared" si="40"/>
        <v>-0.40089368085386107</v>
      </c>
      <c r="X433" s="4">
        <f t="shared" si="41"/>
        <v>-0.23932078655553848</v>
      </c>
    </row>
    <row r="434" spans="1:24" ht="14.5" x14ac:dyDescent="0.35">
      <c r="A434" s="52">
        <v>44767</v>
      </c>
      <c r="B434" s="51">
        <v>2840</v>
      </c>
      <c r="C434" s="1">
        <f t="shared" si="42"/>
        <v>-3.0515543925950489E-2</v>
      </c>
      <c r="R434" s="28">
        <v>433</v>
      </c>
      <c r="S434" s="29">
        <v>-4.5941887850548457E-3</v>
      </c>
      <c r="T434" s="41">
        <f t="shared" si="38"/>
        <v>0</v>
      </c>
      <c r="U434" s="4">
        <f t="shared" si="39"/>
        <v>-0.23929428191589422</v>
      </c>
      <c r="V434" s="15">
        <f t="shared" si="43"/>
        <v>0.34504792332268369</v>
      </c>
      <c r="W434" s="33">
        <f t="shared" si="40"/>
        <v>-0.39872499761926478</v>
      </c>
      <c r="X434" s="4">
        <f t="shared" si="41"/>
        <v>-0.23929428191589422</v>
      </c>
    </row>
    <row r="435" spans="1:24" ht="14.5" x14ac:dyDescent="0.35">
      <c r="A435" s="52">
        <v>44764</v>
      </c>
      <c r="B435" s="51">
        <v>2928</v>
      </c>
      <c r="C435" s="1">
        <f t="shared" si="42"/>
        <v>1.3755375068485419E-2</v>
      </c>
      <c r="R435" s="28">
        <v>434</v>
      </c>
      <c r="S435" s="29">
        <v>-4.5934853391900949E-3</v>
      </c>
      <c r="T435" s="41">
        <f t="shared" si="38"/>
        <v>0</v>
      </c>
      <c r="U435" s="4">
        <f t="shared" si="39"/>
        <v>-0.23925718516032143</v>
      </c>
      <c r="V435" s="15">
        <f t="shared" si="43"/>
        <v>0.34584664536741216</v>
      </c>
      <c r="W435" s="33">
        <f t="shared" si="40"/>
        <v>-0.39655818804503096</v>
      </c>
      <c r="X435" s="4">
        <f t="shared" si="41"/>
        <v>-0.23925718516032143</v>
      </c>
    </row>
    <row r="436" spans="1:24" ht="14.5" x14ac:dyDescent="0.35">
      <c r="A436" s="52">
        <v>44763</v>
      </c>
      <c r="B436" s="51">
        <v>2888</v>
      </c>
      <c r="C436" s="1">
        <f t="shared" si="42"/>
        <v>3.6675478558406568E-2</v>
      </c>
      <c r="R436" s="28">
        <v>435</v>
      </c>
      <c r="S436" s="29">
        <v>-4.5856614913193199E-3</v>
      </c>
      <c r="T436" s="41">
        <f t="shared" si="38"/>
        <v>0</v>
      </c>
      <c r="U436" s="4">
        <f t="shared" si="39"/>
        <v>-0.23884458856029211</v>
      </c>
      <c r="V436" s="15">
        <f t="shared" si="43"/>
        <v>0.34664536741214058</v>
      </c>
      <c r="W436" s="33">
        <f t="shared" si="40"/>
        <v>-0.39439323874059246</v>
      </c>
      <c r="X436" s="4">
        <f t="shared" si="41"/>
        <v>-0.23884458856029211</v>
      </c>
    </row>
    <row r="437" spans="1:24" ht="14.5" x14ac:dyDescent="0.35">
      <c r="A437" s="52">
        <v>44762</v>
      </c>
      <c r="B437" s="51">
        <v>2784</v>
      </c>
      <c r="C437" s="1">
        <f t="shared" si="42"/>
        <v>-8.8626451364927888E-2</v>
      </c>
      <c r="R437" s="28">
        <v>436</v>
      </c>
      <c r="S437" s="29">
        <v>-4.5078964391898173E-3</v>
      </c>
      <c r="T437" s="41">
        <f t="shared" si="38"/>
        <v>0</v>
      </c>
      <c r="U437" s="4">
        <f t="shared" si="39"/>
        <v>-0.234743589072612</v>
      </c>
      <c r="V437" s="15">
        <f t="shared" si="43"/>
        <v>0.347444089456869</v>
      </c>
      <c r="W437" s="33">
        <f t="shared" si="40"/>
        <v>-0.39223013638470289</v>
      </c>
      <c r="X437" s="4">
        <f t="shared" si="41"/>
        <v>-0.234743589072612</v>
      </c>
    </row>
    <row r="438" spans="1:24" ht="14.5" x14ac:dyDescent="0.35">
      <c r="A438" s="52">
        <v>44761</v>
      </c>
      <c r="B438" s="51">
        <v>3042</v>
      </c>
      <c r="C438" s="1">
        <f t="shared" si="42"/>
        <v>7.2583624503229013E-3</v>
      </c>
      <c r="R438" s="28">
        <v>437</v>
      </c>
      <c r="S438" s="29">
        <v>-4.5001683146124538E-3</v>
      </c>
      <c r="T438" s="41">
        <f t="shared" si="38"/>
        <v>0</v>
      </c>
      <c r="U438" s="4">
        <f t="shared" si="39"/>
        <v>-0.23433604051365628</v>
      </c>
      <c r="V438" s="15">
        <f t="shared" si="43"/>
        <v>0.34824281150159747</v>
      </c>
      <c r="W438" s="33">
        <f t="shared" si="40"/>
        <v>-0.39006886772473359</v>
      </c>
      <c r="X438" s="4">
        <f t="shared" si="41"/>
        <v>-0.23433604051365628</v>
      </c>
    </row>
    <row r="439" spans="1:24" ht="14.5" x14ac:dyDescent="0.35">
      <c r="A439" s="52">
        <v>44760</v>
      </c>
      <c r="B439" s="51">
        <v>3020</v>
      </c>
      <c r="C439" s="1">
        <f t="shared" si="42"/>
        <v>2.548763052014855E-2</v>
      </c>
      <c r="R439" s="28">
        <v>438</v>
      </c>
      <c r="S439" s="29">
        <v>-4.4876664693880167E-3</v>
      </c>
      <c r="T439" s="41">
        <f t="shared" si="38"/>
        <v>0</v>
      </c>
      <c r="U439" s="4">
        <f t="shared" si="39"/>
        <v>-0.23367674614611578</v>
      </c>
      <c r="V439" s="15">
        <f t="shared" si="43"/>
        <v>0.34904153354632589</v>
      </c>
      <c r="W439" s="33">
        <f t="shared" si="40"/>
        <v>-0.38790941957597869</v>
      </c>
      <c r="X439" s="4">
        <f t="shared" si="41"/>
        <v>-0.23367674614611578</v>
      </c>
    </row>
    <row r="440" spans="1:24" ht="14.5" x14ac:dyDescent="0.35">
      <c r="A440" s="52">
        <v>44757</v>
      </c>
      <c r="B440" s="51">
        <v>2944</v>
      </c>
      <c r="C440" s="1">
        <f t="shared" si="42"/>
        <v>1.5058463874201535E-2</v>
      </c>
      <c r="R440" s="28">
        <v>439</v>
      </c>
      <c r="S440" s="29">
        <v>-4.451045924259424E-3</v>
      </c>
      <c r="T440" s="41">
        <f t="shared" si="38"/>
        <v>0</v>
      </c>
      <c r="U440" s="4">
        <f t="shared" si="39"/>
        <v>-0.23174553369658477</v>
      </c>
      <c r="V440" s="15">
        <f t="shared" si="43"/>
        <v>0.34984025559105431</v>
      </c>
      <c r="W440" s="33">
        <f t="shared" si="40"/>
        <v>-0.38575177882096578</v>
      </c>
      <c r="X440" s="4">
        <f t="shared" si="41"/>
        <v>-0.23174553369658477</v>
      </c>
    </row>
    <row r="441" spans="1:24" ht="14.5" x14ac:dyDescent="0.35">
      <c r="A441" s="52">
        <v>44756</v>
      </c>
      <c r="B441" s="51">
        <v>2900</v>
      </c>
      <c r="C441" s="1">
        <f t="shared" si="42"/>
        <v>2.1611158254577524E-2</v>
      </c>
      <c r="R441" s="28">
        <v>440</v>
      </c>
      <c r="S441" s="29">
        <v>-4.4182693376647771E-3</v>
      </c>
      <c r="T441" s="41">
        <f t="shared" si="38"/>
        <v>0</v>
      </c>
      <c r="U441" s="4">
        <f t="shared" si="39"/>
        <v>-0.23001703533965309</v>
      </c>
      <c r="V441" s="15">
        <f t="shared" si="43"/>
        <v>0.35063897763578272</v>
      </c>
      <c r="W441" s="33">
        <f t="shared" si="40"/>
        <v>-0.38359593240877499</v>
      </c>
      <c r="X441" s="4">
        <f t="shared" si="41"/>
        <v>-0.23001703533965309</v>
      </c>
    </row>
    <row r="442" spans="1:24" ht="14.5" x14ac:dyDescent="0.35">
      <c r="A442" s="52">
        <v>44755</v>
      </c>
      <c r="B442" s="51">
        <v>2838</v>
      </c>
      <c r="C442" s="1">
        <f t="shared" si="42"/>
        <v>-2.8149209298096727E-3</v>
      </c>
      <c r="R442" s="28">
        <v>441</v>
      </c>
      <c r="S442" s="29">
        <v>-4.3535114471977754E-3</v>
      </c>
      <c r="T442" s="41">
        <f t="shared" si="38"/>
        <v>0</v>
      </c>
      <c r="U442" s="4">
        <f t="shared" si="39"/>
        <v>-0.22660197846826877</v>
      </c>
      <c r="V442" s="15">
        <f t="shared" si="43"/>
        <v>0.3514376996805112</v>
      </c>
      <c r="W442" s="33">
        <f t="shared" si="40"/>
        <v>-0.38144186735436381</v>
      </c>
      <c r="X442" s="4">
        <f t="shared" si="41"/>
        <v>-0.22660197846826877</v>
      </c>
    </row>
    <row r="443" spans="1:24" ht="14.5" x14ac:dyDescent="0.35">
      <c r="A443" s="52">
        <v>44754</v>
      </c>
      <c r="B443" s="51">
        <v>2846</v>
      </c>
      <c r="C443" s="1">
        <f t="shared" si="42"/>
        <v>-9.0941515183170975E-3</v>
      </c>
      <c r="R443" s="28">
        <v>442</v>
      </c>
      <c r="S443" s="29">
        <v>-4.3165534649740982E-3</v>
      </c>
      <c r="T443" s="41">
        <f t="shared" si="38"/>
        <v>0</v>
      </c>
      <c r="U443" s="4">
        <f t="shared" si="39"/>
        <v>-0.22465297101550463</v>
      </c>
      <c r="V443" s="15">
        <f t="shared" si="43"/>
        <v>0.35223642172523961</v>
      </c>
      <c r="W443" s="33">
        <f t="shared" si="40"/>
        <v>-0.3792895707379012</v>
      </c>
      <c r="X443" s="4">
        <f t="shared" si="41"/>
        <v>-0.22465297101550463</v>
      </c>
    </row>
    <row r="444" spans="1:24" ht="14.5" x14ac:dyDescent="0.35">
      <c r="A444" s="52">
        <v>44753</v>
      </c>
      <c r="B444" s="51">
        <v>2872</v>
      </c>
      <c r="C444" s="1">
        <f t="shared" si="42"/>
        <v>-1.4518056587035311E-2</v>
      </c>
      <c r="R444" s="28">
        <v>443</v>
      </c>
      <c r="S444" s="29">
        <v>-4.29646203350534E-3</v>
      </c>
      <c r="T444" s="41">
        <f t="shared" si="38"/>
        <v>0</v>
      </c>
      <c r="U444" s="4">
        <f t="shared" si="39"/>
        <v>-0.2235934340139358</v>
      </c>
      <c r="V444" s="15">
        <f t="shared" si="43"/>
        <v>0.35303514376996803</v>
      </c>
      <c r="W444" s="33">
        <f t="shared" si="40"/>
        <v>-0.3771390297041054</v>
      </c>
      <c r="X444" s="4">
        <f t="shared" si="41"/>
        <v>-0.2235934340139358</v>
      </c>
    </row>
    <row r="445" spans="1:24" ht="14.5" x14ac:dyDescent="0.35">
      <c r="A445" s="52">
        <v>44750</v>
      </c>
      <c r="B445" s="51">
        <v>2914</v>
      </c>
      <c r="C445" s="1">
        <f t="shared" si="42"/>
        <v>8.9624867424333739E-3</v>
      </c>
      <c r="R445" s="28">
        <v>444</v>
      </c>
      <c r="S445" s="29">
        <v>-4.2879085606471849E-3</v>
      </c>
      <c r="T445" s="41">
        <f t="shared" si="38"/>
        <v>0</v>
      </c>
      <c r="U445" s="4">
        <f t="shared" si="39"/>
        <v>-0.22314236008228377</v>
      </c>
      <c r="V445" s="15">
        <f t="shared" si="43"/>
        <v>0.3538338658146965</v>
      </c>
      <c r="W445" s="33">
        <f t="shared" si="40"/>
        <v>-0.37499023146159088</v>
      </c>
      <c r="X445" s="4">
        <f t="shared" si="41"/>
        <v>-0.22314236008228377</v>
      </c>
    </row>
    <row r="446" spans="1:24" ht="14.5" x14ac:dyDescent="0.35">
      <c r="A446" s="52">
        <v>44749</v>
      </c>
      <c r="B446" s="51">
        <v>2888</v>
      </c>
      <c r="C446" s="1">
        <f t="shared" si="42"/>
        <v>-4.8359334314162635E-3</v>
      </c>
      <c r="R446" s="28">
        <v>445</v>
      </c>
      <c r="S446" s="29">
        <v>-4.2680389159732929E-3</v>
      </c>
      <c r="T446" s="41">
        <f t="shared" si="38"/>
        <v>0</v>
      </c>
      <c r="U446" s="4">
        <f t="shared" si="39"/>
        <v>-0.22209451917693315</v>
      </c>
      <c r="V446" s="15">
        <f t="shared" si="43"/>
        <v>0.35463258785942492</v>
      </c>
      <c r="W446" s="33">
        <f t="shared" si="40"/>
        <v>-0.37284316328222122</v>
      </c>
      <c r="X446" s="4">
        <f t="shared" si="41"/>
        <v>-0.22209451917693315</v>
      </c>
    </row>
    <row r="447" spans="1:24" ht="14.5" x14ac:dyDescent="0.35">
      <c r="A447" s="52">
        <v>44748</v>
      </c>
      <c r="B447" s="51">
        <v>2902</v>
      </c>
      <c r="C447" s="1">
        <f t="shared" si="42"/>
        <v>-1.0284629562409008E-2</v>
      </c>
      <c r="R447" s="28">
        <v>446</v>
      </c>
      <c r="S447" s="29">
        <v>-4.2105325363434943E-3</v>
      </c>
      <c r="T447" s="41">
        <f t="shared" si="38"/>
        <v>0</v>
      </c>
      <c r="U447" s="4">
        <f t="shared" si="39"/>
        <v>-0.21906187627447091</v>
      </c>
      <c r="V447" s="15">
        <f t="shared" si="43"/>
        <v>0.35543130990415334</v>
      </c>
      <c r="W447" s="33">
        <f t="shared" si="40"/>
        <v>-0.37069781250046735</v>
      </c>
      <c r="X447" s="4">
        <f t="shared" si="41"/>
        <v>-0.21906187627447091</v>
      </c>
    </row>
    <row r="448" spans="1:24" ht="14.5" x14ac:dyDescent="0.35">
      <c r="A448" s="52">
        <v>44747</v>
      </c>
      <c r="B448" s="51">
        <v>2932</v>
      </c>
      <c r="C448" s="1">
        <f t="shared" si="42"/>
        <v>-6.1203863273234134E-3</v>
      </c>
      <c r="R448" s="28">
        <v>447</v>
      </c>
      <c r="S448" s="29">
        <v>-4.158010148663677E-3</v>
      </c>
      <c r="T448" s="41">
        <f t="shared" si="38"/>
        <v>0</v>
      </c>
      <c r="U448" s="4">
        <f t="shared" si="39"/>
        <v>-0.21629206799853778</v>
      </c>
      <c r="V448" s="15">
        <f t="shared" si="43"/>
        <v>0.35623003194888181</v>
      </c>
      <c r="W448" s="33">
        <f t="shared" si="40"/>
        <v>-0.36855416651277412</v>
      </c>
      <c r="X448" s="4">
        <f t="shared" si="41"/>
        <v>-0.21629206799853778</v>
      </c>
    </row>
    <row r="449" spans="1:24" ht="14.5" x14ac:dyDescent="0.35">
      <c r="A449" s="52">
        <v>44746</v>
      </c>
      <c r="B449" s="51">
        <v>2950</v>
      </c>
      <c r="C449" s="1">
        <f t="shared" si="42"/>
        <v>1.2965040017288876E-2</v>
      </c>
      <c r="R449" s="28">
        <v>448</v>
      </c>
      <c r="S449" s="29">
        <v>-4.158010148663677E-3</v>
      </c>
      <c r="T449" s="41">
        <f t="shared" si="38"/>
        <v>0</v>
      </c>
      <c r="U449" s="4">
        <f t="shared" si="39"/>
        <v>-0.21629206799853778</v>
      </c>
      <c r="V449" s="15">
        <f t="shared" si="43"/>
        <v>0.35702875399361023</v>
      </c>
      <c r="W449" s="33">
        <f t="shared" si="40"/>
        <v>-0.36641221277693303</v>
      </c>
      <c r="X449" s="4">
        <f t="shared" si="41"/>
        <v>-0.21629206799853778</v>
      </c>
    </row>
    <row r="450" spans="1:24" ht="14.5" x14ac:dyDescent="0.35">
      <c r="A450" s="52">
        <v>44743</v>
      </c>
      <c r="B450" s="51">
        <v>2912</v>
      </c>
      <c r="C450" s="1">
        <f t="shared" si="42"/>
        <v>-2.0583197661543586E-3</v>
      </c>
      <c r="R450" s="28">
        <v>449</v>
      </c>
      <c r="S450" s="29">
        <v>-4.1407926660313879E-3</v>
      </c>
      <c r="T450" s="41">
        <f t="shared" si="38"/>
        <v>0</v>
      </c>
      <c r="U450" s="4">
        <f t="shared" si="39"/>
        <v>-0.21538409088644669</v>
      </c>
      <c r="V450" s="15">
        <f t="shared" si="43"/>
        <v>0.35782747603833864</v>
      </c>
      <c r="W450" s="33">
        <f t="shared" si="40"/>
        <v>-0.36427193881145892</v>
      </c>
      <c r="X450" s="4">
        <f t="shared" si="41"/>
        <v>-0.21538409088644669</v>
      </c>
    </row>
    <row r="451" spans="1:24" ht="14.5" x14ac:dyDescent="0.35">
      <c r="A451" s="52">
        <v>44742</v>
      </c>
      <c r="B451" s="51">
        <v>2918</v>
      </c>
      <c r="C451" s="1">
        <f t="shared" si="42"/>
        <v>-1.7663502714014311E-2</v>
      </c>
      <c r="R451" s="28">
        <v>450</v>
      </c>
      <c r="S451" s="29">
        <v>-4.1237171838620409E-3</v>
      </c>
      <c r="T451" s="41">
        <f t="shared" ref="T451:T514" si="44">+IF(OR(S451&lt;($Z$3-3*$Z$4^0.5),S451&gt;($Z$3+3*$Z$4^0.5)),1,0)</f>
        <v>0</v>
      </c>
      <c r="U451" s="4">
        <f t="shared" ref="U451:U514" si="45">+(S451-AVERAGE($S$2:$S$1252))/_xlfn.STDEV.S($S$2:$S$1252)</f>
        <v>-0.21448360227735058</v>
      </c>
      <c r="V451" s="15">
        <f t="shared" si="43"/>
        <v>0.35862619808306712</v>
      </c>
      <c r="W451" s="33">
        <f t="shared" ref="W451:W514" si="46">+_xlfn.NORM.S.INV(V451)</f>
        <v>-0.36213333219497562</v>
      </c>
      <c r="X451" s="4">
        <f t="shared" ref="X451:X514" si="47">+U451</f>
        <v>-0.21448360227735058</v>
      </c>
    </row>
    <row r="452" spans="1:24" ht="14.5" x14ac:dyDescent="0.35">
      <c r="A452" s="52">
        <v>44741</v>
      </c>
      <c r="B452" s="51">
        <v>2970</v>
      </c>
      <c r="C452" s="1">
        <f t="shared" ref="C452:C515" si="48">+LN(B452/B453)</f>
        <v>-7.3801072976225337E-3</v>
      </c>
      <c r="R452" s="28">
        <v>451</v>
      </c>
      <c r="S452" s="29">
        <v>-4.0927751537530362E-3</v>
      </c>
      <c r="T452" s="41">
        <f t="shared" si="44"/>
        <v>0</v>
      </c>
      <c r="U452" s="4">
        <f t="shared" si="45"/>
        <v>-0.21285185065949666</v>
      </c>
      <c r="V452" s="15">
        <f t="shared" ref="V452:V515" si="49">+R451/1252</f>
        <v>0.35942492012779553</v>
      </c>
      <c r="W452" s="33">
        <f t="shared" si="46"/>
        <v>-0.35999638056560684</v>
      </c>
      <c r="X452" s="4">
        <f t="shared" si="47"/>
        <v>-0.21285185065949666</v>
      </c>
    </row>
    <row r="453" spans="1:24" ht="14.5" x14ac:dyDescent="0.35">
      <c r="A453" s="52">
        <v>44740</v>
      </c>
      <c r="B453" s="51">
        <v>2992</v>
      </c>
      <c r="C453" s="1">
        <f t="shared" si="48"/>
        <v>2.7101929777791179E-2</v>
      </c>
      <c r="R453" s="28">
        <v>452</v>
      </c>
      <c r="S453" s="29">
        <v>-4.0899852515251661E-3</v>
      </c>
      <c r="T453" s="41">
        <f t="shared" si="44"/>
        <v>0</v>
      </c>
      <c r="U453" s="4">
        <f t="shared" si="45"/>
        <v>-0.21270472303219023</v>
      </c>
      <c r="V453" s="15">
        <f t="shared" si="49"/>
        <v>0.36022364217252395</v>
      </c>
      <c r="W453" s="33">
        <f t="shared" si="46"/>
        <v>-0.35786107162037184</v>
      </c>
      <c r="X453" s="4">
        <f t="shared" si="47"/>
        <v>-0.21270472303219023</v>
      </c>
    </row>
    <row r="454" spans="1:24" ht="14.5" x14ac:dyDescent="0.35">
      <c r="A454" s="52">
        <v>44739</v>
      </c>
      <c r="B454" s="51">
        <v>2912</v>
      </c>
      <c r="C454" s="1">
        <f t="shared" si="48"/>
        <v>-4.7961722634930551E-3</v>
      </c>
      <c r="R454" s="28">
        <v>453</v>
      </c>
      <c r="S454" s="29">
        <v>-4.0799730199154189E-3</v>
      </c>
      <c r="T454" s="41">
        <f t="shared" si="44"/>
        <v>0</v>
      </c>
      <c r="U454" s="4">
        <f t="shared" si="45"/>
        <v>-0.21217672034232218</v>
      </c>
      <c r="V454" s="15">
        <f t="shared" si="49"/>
        <v>0.36102236421725242</v>
      </c>
      <c r="W454" s="33">
        <f t="shared" si="46"/>
        <v>-0.35572739311458912</v>
      </c>
      <c r="X454" s="4">
        <f t="shared" si="47"/>
        <v>-0.21217672034232218</v>
      </c>
    </row>
    <row r="455" spans="1:24" ht="14.5" x14ac:dyDescent="0.35">
      <c r="A455" s="52">
        <v>44736</v>
      </c>
      <c r="B455" s="51">
        <v>2926</v>
      </c>
      <c r="C455" s="1">
        <f t="shared" si="48"/>
        <v>-1.366120431043414E-3</v>
      </c>
      <c r="R455" s="28">
        <v>454</v>
      </c>
      <c r="S455" s="29">
        <v>-4.0080213975388218E-3</v>
      </c>
      <c r="T455" s="41">
        <f t="shared" si="44"/>
        <v>0</v>
      </c>
      <c r="U455" s="4">
        <f t="shared" si="45"/>
        <v>-0.20838229651794424</v>
      </c>
      <c r="V455" s="15">
        <f t="shared" si="49"/>
        <v>0.36182108626198084</v>
      </c>
      <c r="W455" s="33">
        <f t="shared" si="46"/>
        <v>-0.35359533286128414</v>
      </c>
      <c r="X455" s="4">
        <f t="shared" si="47"/>
        <v>-0.20838229651794424</v>
      </c>
    </row>
    <row r="456" spans="1:24" ht="14.5" x14ac:dyDescent="0.35">
      <c r="A456" s="52">
        <v>44735</v>
      </c>
      <c r="B456" s="51">
        <v>2930</v>
      </c>
      <c r="C456" s="1">
        <f t="shared" si="48"/>
        <v>5.4757152559627631E-3</v>
      </c>
      <c r="R456" s="28">
        <v>455</v>
      </c>
      <c r="S456" s="29">
        <v>-3.9814252991849219E-3</v>
      </c>
      <c r="T456" s="41">
        <f t="shared" si="44"/>
        <v>0</v>
      </c>
      <c r="U456" s="4">
        <f t="shared" si="45"/>
        <v>-0.20697973093434507</v>
      </c>
      <c r="V456" s="15">
        <f t="shared" si="49"/>
        <v>0.36261980830670926</v>
      </c>
      <c r="W456" s="33">
        <f t="shared" si="46"/>
        <v>-0.35146487873060422</v>
      </c>
      <c r="X456" s="4">
        <f t="shared" si="47"/>
        <v>-0.20697973093434507</v>
      </c>
    </row>
    <row r="457" spans="1:24" ht="14.5" x14ac:dyDescent="0.35">
      <c r="A457" s="52">
        <v>44734</v>
      </c>
      <c r="B457" s="51">
        <v>2914</v>
      </c>
      <c r="C457" s="1">
        <f t="shared" si="48"/>
        <v>-3.9035911748264679E-2</v>
      </c>
      <c r="R457" s="28">
        <v>456</v>
      </c>
      <c r="S457" s="29">
        <v>-3.9215736531816913E-3</v>
      </c>
      <c r="T457" s="41">
        <f t="shared" si="44"/>
        <v>0</v>
      </c>
      <c r="U457" s="4">
        <f t="shared" si="45"/>
        <v>-0.20382340861635437</v>
      </c>
      <c r="V457" s="15">
        <f t="shared" si="49"/>
        <v>0.36341853035143767</v>
      </c>
      <c r="W457" s="33">
        <f t="shared" si="46"/>
        <v>-0.34933601864923775</v>
      </c>
      <c r="X457" s="4">
        <f t="shared" si="47"/>
        <v>-0.20382340861635437</v>
      </c>
    </row>
    <row r="458" spans="1:24" ht="14.5" x14ac:dyDescent="0.35">
      <c r="A458" s="52">
        <v>44733</v>
      </c>
      <c r="B458" s="51">
        <v>3030</v>
      </c>
      <c r="C458" s="1">
        <f t="shared" si="48"/>
        <v>4.385188252884941E-2</v>
      </c>
      <c r="R458" s="28">
        <v>457</v>
      </c>
      <c r="S458" s="29">
        <v>-3.916454092235273E-3</v>
      </c>
      <c r="T458" s="41">
        <f t="shared" si="44"/>
        <v>0</v>
      </c>
      <c r="U458" s="4">
        <f t="shared" si="45"/>
        <v>-0.20355342465513429</v>
      </c>
      <c r="V458" s="15">
        <f t="shared" si="49"/>
        <v>0.36421725239616615</v>
      </c>
      <c r="W458" s="33">
        <f t="shared" si="46"/>
        <v>-0.3472087405998403</v>
      </c>
      <c r="X458" s="4">
        <f t="shared" si="47"/>
        <v>-0.20355342465513429</v>
      </c>
    </row>
    <row r="459" spans="1:24" ht="14.5" x14ac:dyDescent="0.35">
      <c r="A459" s="52">
        <v>44732</v>
      </c>
      <c r="B459" s="51">
        <v>2900</v>
      </c>
      <c r="C459" s="1">
        <f t="shared" si="48"/>
        <v>2.7624326959100796E-3</v>
      </c>
      <c r="R459" s="28">
        <v>458</v>
      </c>
      <c r="S459" s="29">
        <v>-3.9100734078430007E-3</v>
      </c>
      <c r="T459" s="41">
        <f t="shared" si="44"/>
        <v>0</v>
      </c>
      <c r="U459" s="4">
        <f t="shared" si="45"/>
        <v>-0.20321693438466962</v>
      </c>
      <c r="V459" s="15">
        <f t="shared" si="49"/>
        <v>0.36501597444089456</v>
      </c>
      <c r="W459" s="33">
        <f t="shared" si="46"/>
        <v>-0.34508303262046608</v>
      </c>
      <c r="X459" s="4">
        <f t="shared" si="47"/>
        <v>-0.20321693438466962</v>
      </c>
    </row>
    <row r="460" spans="1:24" ht="14.5" x14ac:dyDescent="0.35">
      <c r="A460" s="52">
        <v>44729</v>
      </c>
      <c r="B460" s="51">
        <v>2892</v>
      </c>
      <c r="C460" s="1">
        <f t="shared" si="48"/>
        <v>-2.7624326959100726E-3</v>
      </c>
      <c r="R460" s="28">
        <v>459</v>
      </c>
      <c r="S460" s="29">
        <v>-3.883500026397633E-3</v>
      </c>
      <c r="T460" s="41">
        <f t="shared" si="44"/>
        <v>0</v>
      </c>
      <c r="U460" s="4">
        <f t="shared" si="45"/>
        <v>-0.20181556679461257</v>
      </c>
      <c r="V460" s="15">
        <f t="shared" si="49"/>
        <v>0.36581469648562298</v>
      </c>
      <c r="W460" s="33">
        <f t="shared" si="46"/>
        <v>-0.34295888280400344</v>
      </c>
      <c r="X460" s="4">
        <f t="shared" si="47"/>
        <v>-0.20181556679461257</v>
      </c>
    </row>
    <row r="461" spans="1:24" ht="14.5" x14ac:dyDescent="0.35">
      <c r="A461" s="52">
        <v>44728</v>
      </c>
      <c r="B461" s="51">
        <v>2900</v>
      </c>
      <c r="C461" s="1">
        <f t="shared" si="48"/>
        <v>0</v>
      </c>
      <c r="R461" s="28">
        <v>460</v>
      </c>
      <c r="S461" s="29">
        <v>-3.8784793285708565E-3</v>
      </c>
      <c r="T461" s="41">
        <f t="shared" si="44"/>
        <v>0</v>
      </c>
      <c r="U461" s="4">
        <f t="shared" si="45"/>
        <v>-0.20155079645560323</v>
      </c>
      <c r="V461" s="15">
        <f t="shared" si="49"/>
        <v>0.36661341853035145</v>
      </c>
      <c r="W461" s="33">
        <f t="shared" si="46"/>
        <v>-0.34083627929761778</v>
      </c>
      <c r="X461" s="4">
        <f t="shared" si="47"/>
        <v>-0.20155079645560323</v>
      </c>
    </row>
    <row r="462" spans="1:24" ht="14.5" x14ac:dyDescent="0.35">
      <c r="A462" s="52">
        <v>44727</v>
      </c>
      <c r="B462" s="51">
        <v>2900</v>
      </c>
      <c r="C462" s="1">
        <f t="shared" si="48"/>
        <v>3.7236476157658321E-2</v>
      </c>
      <c r="R462" s="28">
        <v>461</v>
      </c>
      <c r="S462" s="29">
        <v>-3.8387763071657129E-3</v>
      </c>
      <c r="T462" s="41">
        <f t="shared" si="44"/>
        <v>0</v>
      </c>
      <c r="U462" s="4">
        <f t="shared" si="45"/>
        <v>-0.19945702726258965</v>
      </c>
      <c r="V462" s="15">
        <f t="shared" si="49"/>
        <v>0.36741214057507987</v>
      </c>
      <c r="W462" s="33">
        <f t="shared" si="46"/>
        <v>-0.33871521030219887</v>
      </c>
      <c r="X462" s="4">
        <f t="shared" si="47"/>
        <v>-0.19945702726258965</v>
      </c>
    </row>
    <row r="463" spans="1:24" ht="14.5" x14ac:dyDescent="0.35">
      <c r="A463" s="52">
        <v>44726</v>
      </c>
      <c r="B463" s="51">
        <v>2794</v>
      </c>
      <c r="C463" s="1">
        <f t="shared" si="48"/>
        <v>6.3536875493261979E-2</v>
      </c>
      <c r="R463" s="28">
        <v>462</v>
      </c>
      <c r="S463" s="29">
        <v>-3.8192280669953841E-3</v>
      </c>
      <c r="T463" s="41">
        <f t="shared" si="44"/>
        <v>0</v>
      </c>
      <c r="U463" s="4">
        <f t="shared" si="45"/>
        <v>-0.19842613586949881</v>
      </c>
      <c r="V463" s="15">
        <f t="shared" si="49"/>
        <v>0.36821086261980829</v>
      </c>
      <c r="W463" s="33">
        <f t="shared" si="46"/>
        <v>-0.33659566407181285</v>
      </c>
      <c r="X463" s="4">
        <f t="shared" si="47"/>
        <v>-0.19842613586949881</v>
      </c>
    </row>
    <row r="464" spans="1:24" ht="14.5" x14ac:dyDescent="0.35">
      <c r="A464" s="52">
        <v>44725</v>
      </c>
      <c r="B464" s="51">
        <v>2622</v>
      </c>
      <c r="C464" s="1">
        <f t="shared" si="48"/>
        <v>-1.5140334631411749E-2</v>
      </c>
      <c r="R464" s="28">
        <v>463</v>
      </c>
      <c r="S464" s="29">
        <v>-3.7893186683505909E-3</v>
      </c>
      <c r="T464" s="41">
        <f t="shared" si="44"/>
        <v>0</v>
      </c>
      <c r="U464" s="4">
        <f t="shared" si="45"/>
        <v>-0.19684884086151946</v>
      </c>
      <c r="V464" s="15">
        <f t="shared" si="49"/>
        <v>0.36900958466453676</v>
      </c>
      <c r="W464" s="33">
        <f t="shared" si="46"/>
        <v>-0.33447762891316019</v>
      </c>
      <c r="X464" s="4">
        <f t="shared" si="47"/>
        <v>-0.19684884086151946</v>
      </c>
    </row>
    <row r="465" spans="1:24" ht="14.5" x14ac:dyDescent="0.35">
      <c r="A465" s="52">
        <v>44722</v>
      </c>
      <c r="B465" s="51">
        <v>2662</v>
      </c>
      <c r="C465" s="1">
        <f t="shared" si="48"/>
        <v>-3.1067587372859383E-2</v>
      </c>
      <c r="R465" s="28">
        <v>464</v>
      </c>
      <c r="S465" s="29">
        <v>-3.7636476493038331E-3</v>
      </c>
      <c r="T465" s="41">
        <f t="shared" si="44"/>
        <v>0</v>
      </c>
      <c r="U465" s="4">
        <f t="shared" si="45"/>
        <v>-0.19549506004255129</v>
      </c>
      <c r="V465" s="15">
        <f t="shared" si="49"/>
        <v>0.36980830670926518</v>
      </c>
      <c r="W465" s="33">
        <f t="shared" si="46"/>
        <v>-0.33236109318503904</v>
      </c>
      <c r="X465" s="4">
        <f t="shared" si="47"/>
        <v>-0.19549506004255129</v>
      </c>
    </row>
    <row r="466" spans="1:24" ht="14.5" x14ac:dyDescent="0.35">
      <c r="A466" s="52">
        <v>44721</v>
      </c>
      <c r="B466" s="51">
        <v>2746</v>
      </c>
      <c r="C466" s="1">
        <f t="shared" si="48"/>
        <v>-2.0188140569035919E-2</v>
      </c>
      <c r="R466" s="28">
        <v>465</v>
      </c>
      <c r="S466" s="29">
        <v>-3.7495357014793633E-3</v>
      </c>
      <c r="T466" s="41">
        <f t="shared" si="44"/>
        <v>0</v>
      </c>
      <c r="U466" s="4">
        <f t="shared" si="45"/>
        <v>-0.19475085568322106</v>
      </c>
      <c r="V466" s="15">
        <f t="shared" si="49"/>
        <v>0.37060702875399359</v>
      </c>
      <c r="W466" s="33">
        <f t="shared" si="46"/>
        <v>-0.3302460452978121</v>
      </c>
      <c r="X466" s="4">
        <f t="shared" si="47"/>
        <v>-0.19475085568322106</v>
      </c>
    </row>
    <row r="467" spans="1:24" ht="14.5" x14ac:dyDescent="0.35">
      <c r="A467" s="52">
        <v>44720</v>
      </c>
      <c r="B467" s="51">
        <v>2802</v>
      </c>
      <c r="C467" s="1">
        <f t="shared" si="48"/>
        <v>1.4285716715259137E-3</v>
      </c>
      <c r="R467" s="28">
        <v>466</v>
      </c>
      <c r="S467" s="29">
        <v>-3.7383221106071039E-3</v>
      </c>
      <c r="T467" s="41">
        <f t="shared" si="44"/>
        <v>0</v>
      </c>
      <c r="U467" s="4">
        <f t="shared" si="45"/>
        <v>-0.19415949839401603</v>
      </c>
      <c r="V467" s="15">
        <f t="shared" si="49"/>
        <v>0.37140575079872207</v>
      </c>
      <c r="W467" s="33">
        <f t="shared" si="46"/>
        <v>-0.32813247371288057</v>
      </c>
      <c r="X467" s="4">
        <f t="shared" si="47"/>
        <v>-0.19415949839401603</v>
      </c>
    </row>
    <row r="468" spans="1:24" ht="14.5" x14ac:dyDescent="0.35">
      <c r="A468" s="52">
        <v>44719</v>
      </c>
      <c r="B468" s="51">
        <v>2798</v>
      </c>
      <c r="C468" s="1">
        <f t="shared" si="48"/>
        <v>-1.5603153431619492E-2</v>
      </c>
      <c r="R468" s="28">
        <v>467</v>
      </c>
      <c r="S468" s="29">
        <v>-3.7105793965356015E-3</v>
      </c>
      <c r="T468" s="41">
        <f t="shared" si="44"/>
        <v>0</v>
      </c>
      <c r="U468" s="4">
        <f t="shared" si="45"/>
        <v>-0.19269646515378083</v>
      </c>
      <c r="V468" s="15">
        <f t="shared" si="49"/>
        <v>0.37220447284345048</v>
      </c>
      <c r="W468" s="33">
        <f t="shared" si="46"/>
        <v>-0.32602036694216147</v>
      </c>
      <c r="X468" s="4">
        <f t="shared" si="47"/>
        <v>-0.19269646515378083</v>
      </c>
    </row>
    <row r="469" spans="1:24" ht="14.5" x14ac:dyDescent="0.35">
      <c r="A469" s="52">
        <v>44715</v>
      </c>
      <c r="B469" s="51">
        <v>2842</v>
      </c>
      <c r="C469" s="1">
        <f t="shared" si="48"/>
        <v>1.5603153431619523E-2</v>
      </c>
      <c r="R469" s="28">
        <v>468</v>
      </c>
      <c r="S469" s="29">
        <v>-3.6995972644644575E-3</v>
      </c>
      <c r="T469" s="41">
        <f t="shared" si="44"/>
        <v>0</v>
      </c>
      <c r="U469" s="4">
        <f t="shared" si="45"/>
        <v>-0.19211731402143933</v>
      </c>
      <c r="V469" s="15">
        <f t="shared" si="49"/>
        <v>0.3730031948881789</v>
      </c>
      <c r="W469" s="33">
        <f t="shared" si="46"/>
        <v>-0.32390971354756987</v>
      </c>
      <c r="X469" s="4">
        <f t="shared" si="47"/>
        <v>-0.19211731402143933</v>
      </c>
    </row>
    <row r="470" spans="1:24" ht="14.5" x14ac:dyDescent="0.35">
      <c r="A470" s="52">
        <v>44714</v>
      </c>
      <c r="B470" s="51">
        <v>2798</v>
      </c>
      <c r="C470" s="1">
        <f t="shared" si="48"/>
        <v>1.0057556044042223E-2</v>
      </c>
      <c r="R470" s="28">
        <v>469</v>
      </c>
      <c r="S470" s="53">
        <v>-3.6452045223308092E-3</v>
      </c>
      <c r="T470" s="41">
        <f t="shared" si="44"/>
        <v>0</v>
      </c>
      <c r="U470" s="4">
        <f t="shared" si="45"/>
        <v>-0.18924887117320285</v>
      </c>
      <c r="V470" s="15">
        <f t="shared" si="49"/>
        <v>0.37380191693290737</v>
      </c>
      <c r="W470" s="33">
        <f t="shared" si="46"/>
        <v>-0.32180050214050659</v>
      </c>
      <c r="X470" s="4">
        <f t="shared" si="47"/>
        <v>-0.18924887117320285</v>
      </c>
    </row>
    <row r="471" spans="1:24" ht="14.5" x14ac:dyDescent="0.35">
      <c r="A471" s="52">
        <v>44713</v>
      </c>
      <c r="B471" s="51">
        <v>2770</v>
      </c>
      <c r="C471" s="1">
        <f t="shared" si="48"/>
        <v>4.1273359908193585E-2</v>
      </c>
      <c r="R471" s="28">
        <v>470</v>
      </c>
      <c r="S471" s="29">
        <v>-3.6429912785010919E-3</v>
      </c>
      <c r="T471" s="41">
        <f t="shared" si="44"/>
        <v>0</v>
      </c>
      <c r="U471" s="4">
        <f t="shared" si="45"/>
        <v>-0.18913215406746919</v>
      </c>
      <c r="V471" s="15">
        <f t="shared" si="49"/>
        <v>0.37460063897763579</v>
      </c>
      <c r="W471" s="33">
        <f t="shared" si="46"/>
        <v>-0.31969272138135096</v>
      </c>
      <c r="X471" s="4">
        <f t="shared" si="47"/>
        <v>-0.18913215406746919</v>
      </c>
    </row>
    <row r="472" spans="1:24" ht="14.5" x14ac:dyDescent="0.35">
      <c r="A472" s="52">
        <v>44712</v>
      </c>
      <c r="B472" s="51">
        <v>2658</v>
      </c>
      <c r="C472" s="1">
        <f t="shared" si="48"/>
        <v>5.4903621452859555E-2</v>
      </c>
      <c r="R472" s="28">
        <v>471</v>
      </c>
      <c r="S472" s="29">
        <v>-3.6297680505787237E-3</v>
      </c>
      <c r="T472" s="41">
        <f t="shared" si="44"/>
        <v>0</v>
      </c>
      <c r="U472" s="4">
        <f t="shared" si="45"/>
        <v>-0.18843481703174264</v>
      </c>
      <c r="V472" s="15">
        <f t="shared" si="49"/>
        <v>0.37539936102236421</v>
      </c>
      <c r="W472" s="33">
        <f t="shared" si="46"/>
        <v>-0.31758635997895618</v>
      </c>
      <c r="X472" s="4">
        <f t="shared" si="47"/>
        <v>-0.18843481703174264</v>
      </c>
    </row>
    <row r="473" spans="1:24" ht="14.5" x14ac:dyDescent="0.35">
      <c r="A473" s="52">
        <v>44711</v>
      </c>
      <c r="B473" s="51">
        <v>2516</v>
      </c>
      <c r="C473" s="1">
        <f t="shared" si="48"/>
        <v>-1.7336919653277039E-2</v>
      </c>
      <c r="R473" s="28">
        <v>472</v>
      </c>
      <c r="S473" s="29">
        <v>-3.6218800911543398E-3</v>
      </c>
      <c r="T473" s="41">
        <f t="shared" si="44"/>
        <v>0</v>
      </c>
      <c r="U473" s="4">
        <f t="shared" si="45"/>
        <v>-0.18801883945991038</v>
      </c>
      <c r="V473" s="15">
        <f t="shared" si="49"/>
        <v>0.37619808306709263</v>
      </c>
      <c r="W473" s="33">
        <f t="shared" si="46"/>
        <v>-0.31548140669015162</v>
      </c>
      <c r="X473" s="4">
        <f t="shared" si="47"/>
        <v>-0.18801883945991038</v>
      </c>
    </row>
    <row r="474" spans="1:24" ht="14.5" x14ac:dyDescent="0.35">
      <c r="A474" s="52">
        <v>44708</v>
      </c>
      <c r="B474" s="51">
        <v>2560</v>
      </c>
      <c r="C474" s="1">
        <f t="shared" si="48"/>
        <v>2.2117805253618974E-2</v>
      </c>
      <c r="R474" s="28">
        <v>473</v>
      </c>
      <c r="S474" s="29">
        <v>-3.5778213478839666E-3</v>
      </c>
      <c r="T474" s="41">
        <f t="shared" si="44"/>
        <v>0</v>
      </c>
      <c r="U474" s="4">
        <f t="shared" si="45"/>
        <v>-0.18569536794369851</v>
      </c>
      <c r="V474" s="15">
        <f t="shared" si="49"/>
        <v>0.3769968051118211</v>
      </c>
      <c r="W474" s="33">
        <f t="shared" si="46"/>
        <v>-0.31337785031924825</v>
      </c>
      <c r="X474" s="4">
        <f t="shared" si="47"/>
        <v>-0.18569536794369851</v>
      </c>
    </row>
    <row r="475" spans="1:24" ht="14.5" x14ac:dyDescent="0.35">
      <c r="A475" s="52">
        <v>44707</v>
      </c>
      <c r="B475" s="51">
        <v>2504</v>
      </c>
      <c r="C475" s="1">
        <f t="shared" si="48"/>
        <v>-9.589089991356009E-2</v>
      </c>
      <c r="R475" s="28">
        <v>474</v>
      </c>
      <c r="S475" s="29">
        <v>-3.5524016043677721E-3</v>
      </c>
      <c r="T475" s="41">
        <f t="shared" si="44"/>
        <v>0</v>
      </c>
      <c r="U475" s="4">
        <f t="shared" si="45"/>
        <v>-0.18435483833197433</v>
      </c>
      <c r="V475" s="15">
        <f t="shared" si="49"/>
        <v>0.37779552715654952</v>
      </c>
      <c r="W475" s="33">
        <f t="shared" si="46"/>
        <v>-0.3112756797175496</v>
      </c>
      <c r="X475" s="4">
        <f t="shared" si="47"/>
        <v>-0.18435483833197433</v>
      </c>
    </row>
    <row r="476" spans="1:24" ht="14.5" x14ac:dyDescent="0.35">
      <c r="A476" s="52">
        <v>44706</v>
      </c>
      <c r="B476" s="51">
        <v>2756</v>
      </c>
      <c r="C476" s="1">
        <f t="shared" si="48"/>
        <v>-4.1228298034565555E-2</v>
      </c>
      <c r="R476" s="28">
        <v>475</v>
      </c>
      <c r="S476" s="29">
        <v>-3.522370672505781E-3</v>
      </c>
      <c r="T476" s="41">
        <f t="shared" si="44"/>
        <v>0</v>
      </c>
      <c r="U476" s="4">
        <f t="shared" si="45"/>
        <v>-0.18277113417685475</v>
      </c>
      <c r="V476" s="15">
        <f t="shared" si="49"/>
        <v>0.37859424920127793</v>
      </c>
      <c r="W476" s="33">
        <f t="shared" si="46"/>
        <v>-0.30917488378286528</v>
      </c>
      <c r="X476" s="4">
        <f t="shared" si="47"/>
        <v>-0.18277113417685475</v>
      </c>
    </row>
    <row r="477" spans="1:24" ht="14.5" x14ac:dyDescent="0.35">
      <c r="A477" s="52">
        <v>44705</v>
      </c>
      <c r="B477" s="51">
        <v>2872</v>
      </c>
      <c r="C477" s="1">
        <f t="shared" si="48"/>
        <v>1.0500621511068889E-2</v>
      </c>
      <c r="R477" s="28">
        <v>476</v>
      </c>
      <c r="S477" s="29">
        <v>-3.5050859579463488E-3</v>
      </c>
      <c r="T477" s="41">
        <f t="shared" si="44"/>
        <v>0</v>
      </c>
      <c r="U477" s="4">
        <f t="shared" si="45"/>
        <v>-0.18185961153767638</v>
      </c>
      <c r="V477" s="15">
        <f t="shared" si="49"/>
        <v>0.37939297124600641</v>
      </c>
      <c r="W477" s="33">
        <f t="shared" si="46"/>
        <v>-0.30707545145903087</v>
      </c>
      <c r="X477" s="4">
        <f t="shared" si="47"/>
        <v>-0.18185961153767638</v>
      </c>
    </row>
    <row r="478" spans="1:24" ht="14.5" x14ac:dyDescent="0.35">
      <c r="A478" s="52">
        <v>44704</v>
      </c>
      <c r="B478" s="51">
        <v>2842</v>
      </c>
      <c r="C478" s="1">
        <f t="shared" si="48"/>
        <v>5.1256256664625438E-2</v>
      </c>
      <c r="R478" s="28">
        <v>477</v>
      </c>
      <c r="S478" s="29">
        <v>-3.4758463913525414E-3</v>
      </c>
      <c r="T478" s="41">
        <f t="shared" si="44"/>
        <v>0</v>
      </c>
      <c r="U478" s="4">
        <f t="shared" si="45"/>
        <v>-0.18031764063509789</v>
      </c>
      <c r="V478" s="15">
        <f t="shared" si="49"/>
        <v>0.38019169329073482</v>
      </c>
      <c r="W478" s="33">
        <f t="shared" si="46"/>
        <v>-0.30497737173543138</v>
      </c>
      <c r="X478" s="4">
        <f t="shared" si="47"/>
        <v>-0.18031764063509789</v>
      </c>
    </row>
    <row r="479" spans="1:24" ht="14.5" x14ac:dyDescent="0.35">
      <c r="A479" s="52">
        <v>44701</v>
      </c>
      <c r="B479" s="51">
        <v>2700</v>
      </c>
      <c r="C479" s="1">
        <f t="shared" si="48"/>
        <v>-5.9084366861662831E-3</v>
      </c>
      <c r="R479" s="28">
        <v>478</v>
      </c>
      <c r="S479" s="29">
        <v>-3.4758463913525414E-3</v>
      </c>
      <c r="T479" s="41">
        <f t="shared" si="44"/>
        <v>0</v>
      </c>
      <c r="U479" s="4">
        <f t="shared" si="45"/>
        <v>-0.18031764063509789</v>
      </c>
      <c r="V479" s="15">
        <f t="shared" si="49"/>
        <v>0.38099041533546324</v>
      </c>
      <c r="W479" s="33">
        <f t="shared" si="46"/>
        <v>-0.30288063364652795</v>
      </c>
      <c r="X479" s="4">
        <f t="shared" si="47"/>
        <v>-0.18031764063509789</v>
      </c>
    </row>
    <row r="480" spans="1:24" ht="14.5" x14ac:dyDescent="0.35">
      <c r="A480" s="52">
        <v>44700</v>
      </c>
      <c r="B480" s="51">
        <v>2716</v>
      </c>
      <c r="C480" s="1">
        <f t="shared" si="48"/>
        <v>-5.5151820075080099E-2</v>
      </c>
      <c r="R480" s="28">
        <v>479</v>
      </c>
      <c r="S480" s="29">
        <v>-3.4710204928788554E-3</v>
      </c>
      <c r="T480" s="41">
        <f t="shared" si="44"/>
        <v>0</v>
      </c>
      <c r="U480" s="4">
        <f t="shared" si="45"/>
        <v>-0.18006314318892858</v>
      </c>
      <c r="V480" s="15">
        <f t="shared" si="49"/>
        <v>0.38178913738019171</v>
      </c>
      <c r="W480" s="33">
        <f t="shared" si="46"/>
        <v>-0.30078522627139009</v>
      </c>
      <c r="X480" s="4">
        <f t="shared" si="47"/>
        <v>-0.18006314318892858</v>
      </c>
    </row>
    <row r="481" spans="1:24" ht="14.5" x14ac:dyDescent="0.35">
      <c r="A481" s="52">
        <v>44699</v>
      </c>
      <c r="B481" s="51">
        <v>2870</v>
      </c>
      <c r="C481" s="1">
        <f t="shared" si="48"/>
        <v>1.2622888503040938E-2</v>
      </c>
      <c r="R481" s="28">
        <v>480</v>
      </c>
      <c r="S481" s="29">
        <v>-3.4542348680875576E-3</v>
      </c>
      <c r="T481" s="41">
        <f t="shared" si="44"/>
        <v>0</v>
      </c>
      <c r="U481" s="4">
        <f t="shared" si="45"/>
        <v>-0.17917794043030549</v>
      </c>
      <c r="V481" s="15">
        <f t="shared" si="49"/>
        <v>0.38258785942492013</v>
      </c>
      <c r="W481" s="33">
        <f t="shared" si="46"/>
        <v>-0.29869113873323189</v>
      </c>
      <c r="X481" s="4">
        <f t="shared" si="47"/>
        <v>-0.17917794043030549</v>
      </c>
    </row>
    <row r="482" spans="1:24" ht="14.5" x14ac:dyDescent="0.35">
      <c r="A482" s="52">
        <v>44698</v>
      </c>
      <c r="B482" s="51">
        <v>2834</v>
      </c>
      <c r="C482" s="1">
        <f t="shared" si="48"/>
        <v>1.2069724087330543E-2</v>
      </c>
      <c r="R482" s="28">
        <v>481</v>
      </c>
      <c r="S482" s="29">
        <v>-3.3840979842405684E-3</v>
      </c>
      <c r="T482" s="41">
        <f t="shared" si="44"/>
        <v>0</v>
      </c>
      <c r="U482" s="4">
        <f t="shared" si="45"/>
        <v>-0.17547921822993987</v>
      </c>
      <c r="V482" s="15">
        <f t="shared" si="49"/>
        <v>0.38338658146964855</v>
      </c>
      <c r="W482" s="33">
        <f t="shared" si="46"/>
        <v>-0.29659836019895114</v>
      </c>
      <c r="X482" s="4">
        <f t="shared" si="47"/>
        <v>-0.17547921822993987</v>
      </c>
    </row>
    <row r="483" spans="1:24" ht="14.5" x14ac:dyDescent="0.35">
      <c r="A483" s="52">
        <v>44697</v>
      </c>
      <c r="B483" s="51">
        <v>2800</v>
      </c>
      <c r="C483" s="1">
        <f t="shared" si="48"/>
        <v>-9.950330853168092E-3</v>
      </c>
      <c r="R483" s="28">
        <v>482</v>
      </c>
      <c r="S483" s="29">
        <v>-3.3726844786392302E-3</v>
      </c>
      <c r="T483" s="41">
        <f t="shared" si="44"/>
        <v>0</v>
      </c>
      <c r="U483" s="4">
        <f t="shared" si="45"/>
        <v>-0.17487731828463057</v>
      </c>
      <c r="V483" s="15">
        <f t="shared" si="49"/>
        <v>0.38418530351437702</v>
      </c>
      <c r="W483" s="33">
        <f t="shared" si="46"/>
        <v>-0.2945068798786733</v>
      </c>
      <c r="X483" s="4">
        <f t="shared" si="47"/>
        <v>-0.17487731828463057</v>
      </c>
    </row>
    <row r="484" spans="1:24" ht="14.5" x14ac:dyDescent="0.35">
      <c r="A484" s="52">
        <v>44694</v>
      </c>
      <c r="B484" s="51">
        <v>2828</v>
      </c>
      <c r="C484" s="1">
        <f t="shared" si="48"/>
        <v>3.1611827634347514E-2</v>
      </c>
      <c r="R484" s="28">
        <v>483</v>
      </c>
      <c r="S484" s="29">
        <v>-3.3411324098350879E-3</v>
      </c>
      <c r="T484" s="41">
        <f t="shared" si="44"/>
        <v>0</v>
      </c>
      <c r="U484" s="4">
        <f t="shared" si="45"/>
        <v>-0.1732133958097179</v>
      </c>
      <c r="V484" s="15">
        <f t="shared" si="49"/>
        <v>0.38498402555910544</v>
      </c>
      <c r="W484" s="33">
        <f t="shared" si="46"/>
        <v>-0.29241668702530038</v>
      </c>
      <c r="X484" s="4">
        <f t="shared" si="47"/>
        <v>-0.1732133958097179</v>
      </c>
    </row>
    <row r="485" spans="1:24" ht="14.5" x14ac:dyDescent="0.35">
      <c r="A485" s="52">
        <v>44693</v>
      </c>
      <c r="B485" s="51">
        <v>2740</v>
      </c>
      <c r="C485" s="1">
        <f t="shared" si="48"/>
        <v>-1.8800264500147146E-2</v>
      </c>
      <c r="R485" s="28">
        <v>484</v>
      </c>
      <c r="S485" s="29">
        <v>-3.327790092674691E-3</v>
      </c>
      <c r="T485" s="41">
        <f t="shared" si="44"/>
        <v>0</v>
      </c>
      <c r="U485" s="4">
        <f t="shared" si="45"/>
        <v>-0.17250977851196139</v>
      </c>
      <c r="V485" s="15">
        <f t="shared" si="49"/>
        <v>0.38578274760383385</v>
      </c>
      <c r="W485" s="33">
        <f t="shared" si="46"/>
        <v>-0.29032777093406098</v>
      </c>
      <c r="X485" s="4">
        <f t="shared" si="47"/>
        <v>-0.17250977851196139</v>
      </c>
    </row>
    <row r="486" spans="1:24" ht="14.5" x14ac:dyDescent="0.35">
      <c r="A486" s="52">
        <v>44692</v>
      </c>
      <c r="B486" s="51">
        <v>2792</v>
      </c>
      <c r="C486" s="1">
        <f t="shared" si="48"/>
        <v>7.9108647008787995E-3</v>
      </c>
      <c r="R486" s="28">
        <v>485</v>
      </c>
      <c r="S486" s="29">
        <v>-3.327790092674691E-3</v>
      </c>
      <c r="T486" s="41">
        <f t="shared" si="44"/>
        <v>0</v>
      </c>
      <c r="U486" s="4">
        <f t="shared" si="45"/>
        <v>-0.17250977851196139</v>
      </c>
      <c r="V486" s="15">
        <f t="shared" si="49"/>
        <v>0.38658146964856233</v>
      </c>
      <c r="W486" s="33">
        <f t="shared" si="46"/>
        <v>-0.28824012094206697</v>
      </c>
      <c r="X486" s="4">
        <f t="shared" si="47"/>
        <v>-0.17250977851196139</v>
      </c>
    </row>
    <row r="487" spans="1:24" ht="14.5" x14ac:dyDescent="0.35">
      <c r="A487" s="52">
        <v>44691</v>
      </c>
      <c r="B487" s="51">
        <v>2770</v>
      </c>
      <c r="C487" s="1">
        <f t="shared" si="48"/>
        <v>-3.8248288265928937E-2</v>
      </c>
      <c r="R487" s="28">
        <v>486</v>
      </c>
      <c r="S487" s="29">
        <v>-3.327790092674691E-3</v>
      </c>
      <c r="T487" s="41">
        <f t="shared" si="44"/>
        <v>0</v>
      </c>
      <c r="U487" s="4">
        <f t="shared" si="45"/>
        <v>-0.17250977851196139</v>
      </c>
      <c r="V487" s="15">
        <f t="shared" si="49"/>
        <v>0.38738019169329074</v>
      </c>
      <c r="W487" s="33">
        <f t="shared" si="46"/>
        <v>-0.28615372642787296</v>
      </c>
      <c r="X487" s="4">
        <f t="shared" si="47"/>
        <v>-0.17250977851196139</v>
      </c>
    </row>
    <row r="488" spans="1:24" ht="14.5" x14ac:dyDescent="0.35">
      <c r="A488" s="52">
        <v>44690</v>
      </c>
      <c r="B488" s="51">
        <v>2878</v>
      </c>
      <c r="C488" s="1">
        <f t="shared" si="48"/>
        <v>-1.7223987633889101E-2</v>
      </c>
      <c r="R488" s="28">
        <v>487</v>
      </c>
      <c r="S488" s="29">
        <v>-3.1471308430188502E-3</v>
      </c>
      <c r="T488" s="41">
        <f t="shared" si="44"/>
        <v>0</v>
      </c>
      <c r="U488" s="4">
        <f t="shared" si="45"/>
        <v>-0.16298257483890941</v>
      </c>
      <c r="V488" s="15">
        <f t="shared" si="49"/>
        <v>0.38817891373801916</v>
      </c>
      <c r="W488" s="33">
        <f t="shared" si="46"/>
        <v>-0.2840685768110387</v>
      </c>
      <c r="X488" s="4">
        <f t="shared" si="47"/>
        <v>-0.16298257483890941</v>
      </c>
    </row>
    <row r="489" spans="1:24" ht="14.5" x14ac:dyDescent="0.35">
      <c r="A489" s="52">
        <v>44687</v>
      </c>
      <c r="B489" s="51">
        <v>2928</v>
      </c>
      <c r="C489" s="1">
        <f t="shared" si="48"/>
        <v>-2.095379130352994E-2</v>
      </c>
      <c r="R489" s="28">
        <v>488</v>
      </c>
      <c r="S489" s="29">
        <v>-3.0604461531060934E-3</v>
      </c>
      <c r="T489" s="41">
        <f t="shared" si="44"/>
        <v>0</v>
      </c>
      <c r="U489" s="4">
        <f t="shared" si="45"/>
        <v>-0.1584111914322614</v>
      </c>
      <c r="V489" s="15">
        <f t="shared" si="49"/>
        <v>0.38897763578274758</v>
      </c>
      <c r="W489" s="33">
        <f t="shared" si="46"/>
        <v>-0.28198466155169616</v>
      </c>
      <c r="X489" s="4">
        <f t="shared" si="47"/>
        <v>-0.1584111914322614</v>
      </c>
    </row>
    <row r="490" spans="1:24" ht="14.5" x14ac:dyDescent="0.35">
      <c r="A490" s="52">
        <v>44686</v>
      </c>
      <c r="B490" s="51">
        <v>2990</v>
      </c>
      <c r="C490" s="1">
        <f t="shared" si="48"/>
        <v>-1.2628948172607336E-2</v>
      </c>
      <c r="R490" s="28">
        <v>489</v>
      </c>
      <c r="S490" s="29">
        <v>-3.034903695154047E-3</v>
      </c>
      <c r="T490" s="41">
        <f t="shared" si="44"/>
        <v>0</v>
      </c>
      <c r="U490" s="4">
        <f t="shared" si="45"/>
        <v>-0.15706419038092806</v>
      </c>
      <c r="V490" s="15">
        <f t="shared" si="49"/>
        <v>0.38977635782747605</v>
      </c>
      <c r="W490" s="33">
        <f t="shared" si="46"/>
        <v>-0.27990197015012003</v>
      </c>
      <c r="X490" s="4">
        <f t="shared" si="47"/>
        <v>-0.15706419038092806</v>
      </c>
    </row>
    <row r="491" spans="1:24" ht="14.5" x14ac:dyDescent="0.35">
      <c r="A491" s="52">
        <v>44685</v>
      </c>
      <c r="B491" s="51">
        <v>3028</v>
      </c>
      <c r="C491" s="1">
        <f t="shared" si="48"/>
        <v>-1.320132204922844E-3</v>
      </c>
      <c r="R491" s="28">
        <v>490</v>
      </c>
      <c r="S491" s="29">
        <v>-3.0211503341762112E-3</v>
      </c>
      <c r="T491" s="41">
        <f t="shared" si="44"/>
        <v>0</v>
      </c>
      <c r="U491" s="4">
        <f t="shared" si="45"/>
        <v>-0.15633889637315118</v>
      </c>
      <c r="V491" s="15">
        <f t="shared" si="49"/>
        <v>0.39057507987220447</v>
      </c>
      <c r="W491" s="33">
        <f t="shared" si="46"/>
        <v>-0.27782049214630206</v>
      </c>
      <c r="X491" s="4">
        <f t="shared" si="47"/>
        <v>-0.15633889637315118</v>
      </c>
    </row>
    <row r="492" spans="1:24" ht="14.5" x14ac:dyDescent="0.35">
      <c r="A492" s="52">
        <v>44684</v>
      </c>
      <c r="B492" s="51">
        <v>3032</v>
      </c>
      <c r="C492" s="1">
        <f t="shared" si="48"/>
        <v>4.1069386596724149E-2</v>
      </c>
      <c r="R492" s="28">
        <v>491</v>
      </c>
      <c r="S492" s="29">
        <v>-3.0150776609779214E-3</v>
      </c>
      <c r="T492" s="41">
        <f t="shared" si="44"/>
        <v>0</v>
      </c>
      <c r="U492" s="4">
        <f t="shared" si="45"/>
        <v>-0.15601864930852422</v>
      </c>
      <c r="V492" s="15">
        <f t="shared" si="49"/>
        <v>0.39137380191693288</v>
      </c>
      <c r="W492" s="33">
        <f t="shared" si="46"/>
        <v>-0.27574021711952784</v>
      </c>
      <c r="X492" s="4">
        <f t="shared" si="47"/>
        <v>-0.15601864930852422</v>
      </c>
    </row>
    <row r="493" spans="1:24" ht="14.5" x14ac:dyDescent="0.35">
      <c r="A493" s="52">
        <v>44683</v>
      </c>
      <c r="B493" s="51">
        <v>2910</v>
      </c>
      <c r="C493" s="1">
        <f t="shared" si="48"/>
        <v>-4.9608026323469362E-2</v>
      </c>
      <c r="R493" s="28">
        <v>492</v>
      </c>
      <c r="S493" s="29">
        <v>-3.0120504699916095E-3</v>
      </c>
      <c r="T493" s="41">
        <f t="shared" si="44"/>
        <v>0</v>
      </c>
      <c r="U493" s="4">
        <f t="shared" si="45"/>
        <v>-0.15585900807709677</v>
      </c>
      <c r="V493" s="15">
        <f t="shared" si="49"/>
        <v>0.39217252396166136</v>
      </c>
      <c r="W493" s="33">
        <f t="shared" si="46"/>
        <v>-0.27366113468795827</v>
      </c>
      <c r="X493" s="4">
        <f t="shared" si="47"/>
        <v>-0.15585900807709677</v>
      </c>
    </row>
    <row r="494" spans="1:24" ht="14.5" x14ac:dyDescent="0.35">
      <c r="A494" s="52">
        <v>44680</v>
      </c>
      <c r="B494" s="51">
        <v>3058</v>
      </c>
      <c r="C494" s="1">
        <f t="shared" si="48"/>
        <v>-3.916454092235273E-3</v>
      </c>
      <c r="R494" s="28">
        <v>493</v>
      </c>
      <c r="S494" s="29">
        <v>-2.9895388483660483E-3</v>
      </c>
      <c r="T494" s="41">
        <f t="shared" si="44"/>
        <v>0</v>
      </c>
      <c r="U494" s="4">
        <f t="shared" si="45"/>
        <v>-0.15467184049699234</v>
      </c>
      <c r="V494" s="15">
        <f t="shared" si="49"/>
        <v>0.39297124600638977</v>
      </c>
      <c r="W494" s="33">
        <f t="shared" si="46"/>
        <v>-0.27158323450821464</v>
      </c>
      <c r="X494" s="4">
        <f t="shared" si="47"/>
        <v>-0.15467184049699234</v>
      </c>
    </row>
    <row r="495" spans="1:24" ht="14.5" x14ac:dyDescent="0.35">
      <c r="A495" s="52">
        <v>44679</v>
      </c>
      <c r="B495" s="51">
        <v>3070</v>
      </c>
      <c r="C495" s="1">
        <f t="shared" si="48"/>
        <v>2.9754261081792716E-2</v>
      </c>
      <c r="R495" s="28">
        <v>494</v>
      </c>
      <c r="S495" s="29">
        <v>-2.9828508320650245E-3</v>
      </c>
      <c r="T495" s="41">
        <f t="shared" si="44"/>
        <v>0</v>
      </c>
      <c r="U495" s="4">
        <f t="shared" si="45"/>
        <v>-0.15431914284331599</v>
      </c>
      <c r="V495" s="15">
        <f t="shared" si="49"/>
        <v>0.39376996805111819</v>
      </c>
      <c r="W495" s="33">
        <f t="shared" si="46"/>
        <v>-0.26950650627496547</v>
      </c>
      <c r="X495" s="4">
        <f t="shared" si="47"/>
        <v>-0.15431914284331599</v>
      </c>
    </row>
    <row r="496" spans="1:24" ht="14.5" x14ac:dyDescent="0.35">
      <c r="A496" s="52">
        <v>44678</v>
      </c>
      <c r="B496" s="51">
        <v>2980</v>
      </c>
      <c r="C496" s="1">
        <f t="shared" si="48"/>
        <v>-6.688988150796652E-3</v>
      </c>
      <c r="R496" s="28">
        <v>495</v>
      </c>
      <c r="S496" s="29">
        <v>-2.9806281381377893E-3</v>
      </c>
      <c r="T496" s="41">
        <f t="shared" si="44"/>
        <v>0</v>
      </c>
      <c r="U496" s="4">
        <f t="shared" si="45"/>
        <v>-0.15420192737946364</v>
      </c>
      <c r="V496" s="15">
        <f t="shared" si="49"/>
        <v>0.39456869009584666</v>
      </c>
      <c r="W496" s="33">
        <f t="shared" si="46"/>
        <v>-0.26743093972051812</v>
      </c>
      <c r="X496" s="4">
        <f t="shared" si="47"/>
        <v>-0.15420192737946364</v>
      </c>
    </row>
    <row r="497" spans="1:24" ht="14.5" x14ac:dyDescent="0.35">
      <c r="A497" s="52">
        <v>44677</v>
      </c>
      <c r="B497" s="51">
        <v>3000</v>
      </c>
      <c r="C497" s="1">
        <f t="shared" si="48"/>
        <v>-3.327790092674691E-3</v>
      </c>
      <c r="R497" s="28">
        <v>496</v>
      </c>
      <c r="S497" s="29">
        <v>-2.9563953536023775E-3</v>
      </c>
      <c r="T497" s="41">
        <f t="shared" si="44"/>
        <v>0</v>
      </c>
      <c r="U497" s="4">
        <f t="shared" si="45"/>
        <v>-0.15292399295720813</v>
      </c>
      <c r="V497" s="15">
        <f t="shared" si="49"/>
        <v>0.39536741214057508</v>
      </c>
      <c r="W497" s="33">
        <f t="shared" si="46"/>
        <v>-0.26535652461441417</v>
      </c>
      <c r="X497" s="4">
        <f t="shared" si="47"/>
        <v>-0.15292399295720813</v>
      </c>
    </row>
    <row r="498" spans="1:24" ht="14.5" x14ac:dyDescent="0.35">
      <c r="A498" s="52">
        <v>44676</v>
      </c>
      <c r="B498" s="51">
        <v>3010</v>
      </c>
      <c r="C498" s="1">
        <f t="shared" si="48"/>
        <v>-1.6474837203505097E-2</v>
      </c>
      <c r="R498" s="28">
        <v>497</v>
      </c>
      <c r="S498" s="29">
        <v>-2.9433428165969171E-3</v>
      </c>
      <c r="T498" s="41">
        <f t="shared" si="44"/>
        <v>0</v>
      </c>
      <c r="U498" s="4">
        <f t="shared" si="45"/>
        <v>-0.15223565743750478</v>
      </c>
      <c r="V498" s="15">
        <f t="shared" si="49"/>
        <v>0.3961661341853035</v>
      </c>
      <c r="W498" s="33">
        <f t="shared" si="46"/>
        <v>-0.26328325076302611</v>
      </c>
      <c r="X498" s="4">
        <f t="shared" si="47"/>
        <v>-0.15223565743750478</v>
      </c>
    </row>
    <row r="499" spans="1:24" ht="14.5" x14ac:dyDescent="0.35">
      <c r="A499" s="52">
        <v>44673</v>
      </c>
      <c r="B499" s="51">
        <v>3060</v>
      </c>
      <c r="C499" s="1">
        <f t="shared" si="48"/>
        <v>-1.4276686356682862E-2</v>
      </c>
      <c r="R499" s="28">
        <v>498</v>
      </c>
      <c r="S499" s="29">
        <v>-2.9368596733097135E-3</v>
      </c>
      <c r="T499" s="41">
        <f t="shared" si="44"/>
        <v>0</v>
      </c>
      <c r="U499" s="4">
        <f t="shared" si="45"/>
        <v>-0.15189376391886994</v>
      </c>
      <c r="V499" s="15">
        <f t="shared" si="49"/>
        <v>0.39696485623003197</v>
      </c>
      <c r="W499" s="33">
        <f t="shared" si="46"/>
        <v>-0.26121110800915892</v>
      </c>
      <c r="X499" s="4">
        <f t="shared" si="47"/>
        <v>-0.15189376391886994</v>
      </c>
    </row>
    <row r="500" spans="1:24" ht="14.5" x14ac:dyDescent="0.35">
      <c r="A500" s="52">
        <v>44672</v>
      </c>
      <c r="B500" s="51">
        <v>3104</v>
      </c>
      <c r="C500" s="1">
        <f t="shared" si="48"/>
        <v>-1.6613800662655446E-2</v>
      </c>
      <c r="R500" s="28">
        <v>499</v>
      </c>
      <c r="S500" s="29">
        <v>-2.85714480077978E-3</v>
      </c>
      <c r="T500" s="41">
        <f t="shared" si="44"/>
        <v>0</v>
      </c>
      <c r="U500" s="4">
        <f t="shared" si="45"/>
        <v>-0.14768993916142828</v>
      </c>
      <c r="V500" s="15">
        <f t="shared" si="49"/>
        <v>0.39776357827476039</v>
      </c>
      <c r="W500" s="33">
        <f t="shared" si="46"/>
        <v>-0.25914008623165485</v>
      </c>
      <c r="X500" s="4">
        <f t="shared" si="47"/>
        <v>-0.14768993916142828</v>
      </c>
    </row>
    <row r="501" spans="1:24" ht="14.5" x14ac:dyDescent="0.35">
      <c r="A501" s="52">
        <v>44671</v>
      </c>
      <c r="B501" s="51">
        <v>3156</v>
      </c>
      <c r="C501" s="1">
        <f t="shared" si="48"/>
        <v>2.6976587698202076E-2</v>
      </c>
      <c r="R501" s="28">
        <v>500</v>
      </c>
      <c r="S501" s="29">
        <v>-2.85714480077978E-3</v>
      </c>
      <c r="T501" s="41">
        <f t="shared" si="44"/>
        <v>0</v>
      </c>
      <c r="U501" s="4">
        <f t="shared" si="45"/>
        <v>-0.14768993916142828</v>
      </c>
      <c r="V501" s="15">
        <f t="shared" si="49"/>
        <v>0.3985623003194888</v>
      </c>
      <c r="W501" s="33">
        <f t="shared" si="46"/>
        <v>-0.25707017534499943</v>
      </c>
      <c r="X501" s="4">
        <f t="shared" si="47"/>
        <v>-0.14768993916142828</v>
      </c>
    </row>
    <row r="502" spans="1:24" ht="14.5" x14ac:dyDescent="0.35">
      <c r="A502" s="52">
        <v>44670</v>
      </c>
      <c r="B502" s="51">
        <v>3072</v>
      </c>
      <c r="C502" s="1">
        <f t="shared" si="48"/>
        <v>2.3716526617316065E-2</v>
      </c>
      <c r="R502" s="28">
        <v>501</v>
      </c>
      <c r="S502" s="29">
        <v>-2.8510354308390832E-3</v>
      </c>
      <c r="T502" s="41">
        <f t="shared" si="44"/>
        <v>0</v>
      </c>
      <c r="U502" s="4">
        <f t="shared" si="45"/>
        <v>-0.14736775686603007</v>
      </c>
      <c r="V502" s="15">
        <f t="shared" si="49"/>
        <v>0.39936102236421728</v>
      </c>
      <c r="W502" s="33">
        <f t="shared" si="46"/>
        <v>-0.25500136529893319</v>
      </c>
      <c r="X502" s="4">
        <f t="shared" si="47"/>
        <v>-0.14736775686603007</v>
      </c>
    </row>
    <row r="503" spans="1:24" ht="14.5" x14ac:dyDescent="0.35">
      <c r="A503" s="52">
        <v>44665</v>
      </c>
      <c r="B503" s="51">
        <v>3000</v>
      </c>
      <c r="C503" s="1">
        <f t="shared" si="48"/>
        <v>3.8048067637529964E-2</v>
      </c>
      <c r="R503" s="28">
        <v>502</v>
      </c>
      <c r="S503" s="29">
        <v>-2.8469770119281513E-3</v>
      </c>
      <c r="T503" s="41">
        <f t="shared" si="44"/>
        <v>0</v>
      </c>
      <c r="U503" s="4">
        <f t="shared" si="45"/>
        <v>-0.14715373304146159</v>
      </c>
      <c r="V503" s="15">
        <f t="shared" si="49"/>
        <v>0.40015974440894569</v>
      </c>
      <c r="W503" s="33">
        <f t="shared" si="46"/>
        <v>-0.25293364607806496</v>
      </c>
      <c r="X503" s="4">
        <f t="shared" si="47"/>
        <v>-0.14715373304146159</v>
      </c>
    </row>
    <row r="504" spans="1:24" ht="14.5" x14ac:dyDescent="0.35">
      <c r="A504" s="52">
        <v>44664</v>
      </c>
      <c r="B504" s="51">
        <v>2888</v>
      </c>
      <c r="C504" s="1">
        <f t="shared" si="48"/>
        <v>3.0944803849421491E-2</v>
      </c>
      <c r="R504" s="28">
        <v>503</v>
      </c>
      <c r="S504" s="29">
        <v>-2.8328630843040899E-3</v>
      </c>
      <c r="T504" s="41">
        <f t="shared" si="44"/>
        <v>0</v>
      </c>
      <c r="U504" s="4">
        <f t="shared" si="45"/>
        <v>-0.14640942427588602</v>
      </c>
      <c r="V504" s="15">
        <f t="shared" si="49"/>
        <v>0.40095846645367411</v>
      </c>
      <c r="W504" s="33">
        <f t="shared" si="46"/>
        <v>-0.25086700770148768</v>
      </c>
      <c r="X504" s="4">
        <f t="shared" si="47"/>
        <v>-0.14640942427588602</v>
      </c>
    </row>
    <row r="505" spans="1:24" ht="14.5" x14ac:dyDescent="0.35">
      <c r="A505" s="52">
        <v>44663</v>
      </c>
      <c r="B505" s="51">
        <v>2800</v>
      </c>
      <c r="C505" s="1">
        <f t="shared" si="48"/>
        <v>0</v>
      </c>
      <c r="R505" s="28">
        <v>504</v>
      </c>
      <c r="S505" s="29">
        <v>-2.8308582245239488E-3</v>
      </c>
      <c r="T505" s="41">
        <f t="shared" si="44"/>
        <v>0</v>
      </c>
      <c r="U505" s="4">
        <f t="shared" si="45"/>
        <v>-0.1463036964623492</v>
      </c>
      <c r="V505" s="15">
        <f t="shared" si="49"/>
        <v>0.40175718849840253</v>
      </c>
      <c r="W505" s="33">
        <f t="shared" si="46"/>
        <v>-0.24880144022239872</v>
      </c>
      <c r="X505" s="4">
        <f t="shared" si="47"/>
        <v>-0.1463036964623492</v>
      </c>
    </row>
    <row r="506" spans="1:24" ht="14.5" x14ac:dyDescent="0.35">
      <c r="A506" s="52">
        <v>44662</v>
      </c>
      <c r="B506" s="51">
        <v>2800</v>
      </c>
      <c r="C506" s="1">
        <f t="shared" si="48"/>
        <v>5.7306747089850745E-3</v>
      </c>
      <c r="R506" s="28">
        <v>505</v>
      </c>
      <c r="S506" s="29">
        <v>-2.8149209298096727E-3</v>
      </c>
      <c r="T506" s="41">
        <f t="shared" si="44"/>
        <v>0</v>
      </c>
      <c r="U506" s="4">
        <f t="shared" si="45"/>
        <v>-0.14546323103901981</v>
      </c>
      <c r="V506" s="15">
        <f t="shared" si="49"/>
        <v>0.402555910543131</v>
      </c>
      <c r="W506" s="33">
        <f t="shared" si="46"/>
        <v>-0.24673693372772171</v>
      </c>
      <c r="X506" s="4">
        <f t="shared" si="47"/>
        <v>-0.14546323103901981</v>
      </c>
    </row>
    <row r="507" spans="1:24" ht="14.5" x14ac:dyDescent="0.35">
      <c r="A507" s="52">
        <v>44659</v>
      </c>
      <c r="B507" s="51">
        <v>2784</v>
      </c>
      <c r="C507" s="1">
        <f t="shared" si="48"/>
        <v>1.2287830793693279E-2</v>
      </c>
      <c r="R507" s="28">
        <v>506</v>
      </c>
      <c r="S507" s="29">
        <v>-2.7972046210612538E-3</v>
      </c>
      <c r="T507" s="41">
        <f t="shared" si="44"/>
        <v>0</v>
      </c>
      <c r="U507" s="4">
        <f t="shared" si="45"/>
        <v>-0.1445289479502635</v>
      </c>
      <c r="V507" s="15">
        <f t="shared" si="49"/>
        <v>0.40335463258785942</v>
      </c>
      <c r="W507" s="33">
        <f t="shared" si="46"/>
        <v>-0.24467347833773251</v>
      </c>
      <c r="X507" s="4">
        <f t="shared" si="47"/>
        <v>-0.1445289479502635</v>
      </c>
    </row>
    <row r="508" spans="1:24" ht="14.5" x14ac:dyDescent="0.35">
      <c r="A508" s="52">
        <v>44658</v>
      </c>
      <c r="B508" s="51">
        <v>2750</v>
      </c>
      <c r="C508" s="1">
        <f t="shared" si="48"/>
        <v>2.1842018148412073E-3</v>
      </c>
      <c r="R508" s="28">
        <v>507</v>
      </c>
      <c r="S508" s="29">
        <v>-2.7855171214263121E-3</v>
      </c>
      <c r="T508" s="41">
        <f t="shared" si="44"/>
        <v>0</v>
      </c>
      <c r="U508" s="4">
        <f t="shared" si="45"/>
        <v>-0.14391259872008053</v>
      </c>
      <c r="V508" s="15">
        <f t="shared" si="49"/>
        <v>0.40415335463258784</v>
      </c>
      <c r="W508" s="33">
        <f t="shared" si="46"/>
        <v>-0.24261106420568665</v>
      </c>
      <c r="X508" s="4">
        <f t="shared" si="47"/>
        <v>-0.14391259872008053</v>
      </c>
    </row>
    <row r="509" spans="1:24" ht="14.5" x14ac:dyDescent="0.35">
      <c r="A509" s="52">
        <v>44657</v>
      </c>
      <c r="B509" s="51">
        <v>2744</v>
      </c>
      <c r="C509" s="1">
        <f t="shared" si="48"/>
        <v>-3.7902284416920347E-2</v>
      </c>
      <c r="R509" s="28">
        <v>508</v>
      </c>
      <c r="S509" s="29">
        <v>-2.7816429618768026E-3</v>
      </c>
      <c r="T509" s="41">
        <f t="shared" si="44"/>
        <v>0</v>
      </c>
      <c r="U509" s="4">
        <f t="shared" si="45"/>
        <v>-0.14370829195383195</v>
      </c>
      <c r="V509" s="15">
        <f t="shared" si="49"/>
        <v>0.40495207667731631</v>
      </c>
      <c r="W509" s="33">
        <f t="shared" si="46"/>
        <v>-0.2405496815174506</v>
      </c>
      <c r="X509" s="4">
        <f t="shared" si="47"/>
        <v>-0.14370829195383195</v>
      </c>
    </row>
    <row r="510" spans="1:24" ht="14.5" x14ac:dyDescent="0.35">
      <c r="A510" s="52">
        <v>44656</v>
      </c>
      <c r="B510" s="51">
        <v>2850</v>
      </c>
      <c r="C510" s="1">
        <f t="shared" si="48"/>
        <v>-3.1090587070031119E-2</v>
      </c>
      <c r="R510" s="28">
        <v>509</v>
      </c>
      <c r="S510" s="29">
        <v>-2.7797099204972067E-3</v>
      </c>
      <c r="T510" s="41">
        <f t="shared" si="44"/>
        <v>0</v>
      </c>
      <c r="U510" s="4">
        <f t="shared" si="45"/>
        <v>-0.14360635153856435</v>
      </c>
      <c r="V510" s="15">
        <f t="shared" si="49"/>
        <v>0.40575079872204473</v>
      </c>
      <c r="W510" s="33">
        <f t="shared" si="46"/>
        <v>-0.23848932049113589</v>
      </c>
      <c r="X510" s="4">
        <f t="shared" si="47"/>
        <v>-0.14360635153856435</v>
      </c>
    </row>
    <row r="511" spans="1:24" ht="14.5" x14ac:dyDescent="0.35">
      <c r="A511" s="52">
        <v>44655</v>
      </c>
      <c r="B511" s="51">
        <v>2940</v>
      </c>
      <c r="C511" s="1">
        <f t="shared" si="48"/>
        <v>1.094402167931721E-2</v>
      </c>
      <c r="R511" s="28">
        <v>510</v>
      </c>
      <c r="S511" s="29">
        <v>-2.7720045470104892E-3</v>
      </c>
      <c r="T511" s="41">
        <f t="shared" si="44"/>
        <v>0</v>
      </c>
      <c r="U511" s="4">
        <f t="shared" si="45"/>
        <v>-0.14320000277577066</v>
      </c>
      <c r="V511" s="15">
        <f t="shared" si="49"/>
        <v>0.40654952076677314</v>
      </c>
      <c r="W511" s="33">
        <f t="shared" si="46"/>
        <v>-0.23642997137673497</v>
      </c>
      <c r="X511" s="4">
        <f t="shared" si="47"/>
        <v>-0.14320000277577066</v>
      </c>
    </row>
    <row r="512" spans="1:24" ht="14.5" x14ac:dyDescent="0.35">
      <c r="A512" s="52">
        <v>44652</v>
      </c>
      <c r="B512" s="51">
        <v>2908</v>
      </c>
      <c r="C512" s="1">
        <f t="shared" si="48"/>
        <v>-7.5368633577029614E-3</v>
      </c>
      <c r="R512" s="28">
        <v>511</v>
      </c>
      <c r="S512" s="29">
        <v>-2.7624326959100726E-3</v>
      </c>
      <c r="T512" s="41">
        <f t="shared" si="44"/>
        <v>0</v>
      </c>
      <c r="U512" s="4">
        <f t="shared" si="45"/>
        <v>-0.1426952238888024</v>
      </c>
      <c r="V512" s="15">
        <f t="shared" si="49"/>
        <v>0.40734824281150162</v>
      </c>
      <c r="W512" s="33">
        <f t="shared" si="46"/>
        <v>-0.23437162445576049</v>
      </c>
      <c r="X512" s="4">
        <f t="shared" si="47"/>
        <v>-0.1426952238888024</v>
      </c>
    </row>
    <row r="513" spans="1:24" ht="14.5" x14ac:dyDescent="0.35">
      <c r="A513" s="52">
        <v>44651</v>
      </c>
      <c r="B513" s="51">
        <v>2930</v>
      </c>
      <c r="C513" s="1">
        <f t="shared" si="48"/>
        <v>-6.8027473227525231E-3</v>
      </c>
      <c r="R513" s="28">
        <v>512</v>
      </c>
      <c r="S513" s="29">
        <v>-2.7384772933036873E-3</v>
      </c>
      <c r="T513" s="41">
        <f t="shared" si="44"/>
        <v>0</v>
      </c>
      <c r="U513" s="4">
        <f t="shared" si="45"/>
        <v>-0.14143191741467626</v>
      </c>
      <c r="V513" s="15">
        <f t="shared" si="49"/>
        <v>0.40814696485623003</v>
      </c>
      <c r="W513" s="33">
        <f t="shared" si="46"/>
        <v>-0.23231427004088778</v>
      </c>
      <c r="X513" s="4">
        <f t="shared" si="47"/>
        <v>-0.14143191741467626</v>
      </c>
    </row>
    <row r="514" spans="1:24" ht="14.5" x14ac:dyDescent="0.35">
      <c r="A514" s="52">
        <v>44650</v>
      </c>
      <c r="B514" s="51">
        <v>2950</v>
      </c>
      <c r="C514" s="1">
        <f t="shared" si="48"/>
        <v>1.9165542142436268E-2</v>
      </c>
      <c r="R514" s="28">
        <v>513</v>
      </c>
      <c r="S514" s="29">
        <v>-2.7378524973386935E-3</v>
      </c>
      <c r="T514" s="41">
        <f t="shared" si="44"/>
        <v>0</v>
      </c>
      <c r="U514" s="4">
        <f t="shared" si="45"/>
        <v>-0.1413989683217074</v>
      </c>
      <c r="V514" s="15">
        <f t="shared" si="49"/>
        <v>0.40894568690095845</v>
      </c>
      <c r="W514" s="33">
        <f t="shared" si="46"/>
        <v>-0.23025789847559838</v>
      </c>
      <c r="X514" s="4">
        <f t="shared" si="47"/>
        <v>-0.1413989683217074</v>
      </c>
    </row>
    <row r="515" spans="1:24" ht="14.5" x14ac:dyDescent="0.35">
      <c r="A515" s="52">
        <v>44649</v>
      </c>
      <c r="B515" s="51">
        <v>2894</v>
      </c>
      <c r="C515" s="1">
        <f t="shared" si="48"/>
        <v>3.2306180294476815E-2</v>
      </c>
      <c r="R515" s="28">
        <v>514</v>
      </c>
      <c r="S515" s="29">
        <v>-2.7341097004681724E-3</v>
      </c>
      <c r="T515" s="41">
        <f t="shared" ref="T515:T578" si="50">+IF(OR(S515&lt;($Z$3-3*$Z$4^0.5),S515&gt;($Z$3+3*$Z$4^0.5)),1,0)</f>
        <v>0</v>
      </c>
      <c r="U515" s="4">
        <f t="shared" ref="U515:U578" si="51">+(S515-AVERAGE($S$2:$S$1252))/_xlfn.STDEV.S($S$2:$S$1252)</f>
        <v>-0.14120158906678273</v>
      </c>
      <c r="V515" s="15">
        <f t="shared" si="49"/>
        <v>0.40974440894568692</v>
      </c>
      <c r="W515" s="33">
        <f t="shared" ref="W515:W578" si="52">+_xlfn.NORM.S.INV(V515)</f>
        <v>-0.22820250013382753</v>
      </c>
      <c r="X515" s="4">
        <f t="shared" ref="X515:X578" si="53">+U515</f>
        <v>-0.14120158906678273</v>
      </c>
    </row>
    <row r="516" spans="1:24" ht="14.5" x14ac:dyDescent="0.35">
      <c r="A516" s="52">
        <v>44648</v>
      </c>
      <c r="B516" s="51">
        <v>2802</v>
      </c>
      <c r="C516" s="1">
        <f t="shared" ref="C516:C579" si="54">+LN(B516/B517)</f>
        <v>-2.8510354308390832E-3</v>
      </c>
      <c r="R516" s="28">
        <v>515</v>
      </c>
      <c r="S516" s="29">
        <v>-2.7247973261851424E-3</v>
      </c>
      <c r="T516" s="41">
        <f t="shared" si="50"/>
        <v>0</v>
      </c>
      <c r="U516" s="4">
        <f t="shared" si="51"/>
        <v>-0.14071049388819026</v>
      </c>
      <c r="V516" s="15">
        <f t="shared" ref="V516:V579" si="55">+R515/1252</f>
        <v>0.41054313099041534</v>
      </c>
      <c r="W516" s="33">
        <f t="shared" si="52"/>
        <v>-0.22614806541961399</v>
      </c>
      <c r="X516" s="4">
        <f t="shared" si="53"/>
        <v>-0.14071049388819026</v>
      </c>
    </row>
    <row r="517" spans="1:24" ht="14.5" x14ac:dyDescent="0.35">
      <c r="A517" s="52">
        <v>44645</v>
      </c>
      <c r="B517" s="51">
        <v>2810</v>
      </c>
      <c r="C517" s="1">
        <f t="shared" si="54"/>
        <v>7.1428875123802039E-3</v>
      </c>
      <c r="R517" s="28">
        <v>516</v>
      </c>
      <c r="S517" s="29">
        <v>-2.6954194216723226E-3</v>
      </c>
      <c r="T517" s="41">
        <f t="shared" si="50"/>
        <v>0</v>
      </c>
      <c r="U517" s="4">
        <f t="shared" si="51"/>
        <v>-0.13916122762967151</v>
      </c>
      <c r="V517" s="15">
        <f t="shared" si="55"/>
        <v>0.41134185303514376</v>
      </c>
      <c r="W517" s="33">
        <f t="shared" si="52"/>
        <v>-0.22409458476675168</v>
      </c>
      <c r="X517" s="4">
        <f t="shared" si="53"/>
        <v>-0.13916122762967151</v>
      </c>
    </row>
    <row r="518" spans="1:24" ht="14.5" x14ac:dyDescent="0.35">
      <c r="A518" s="52">
        <v>44644</v>
      </c>
      <c r="B518" s="51">
        <v>2790</v>
      </c>
      <c r="C518" s="1">
        <f t="shared" si="54"/>
        <v>-3.5778213478839666E-3</v>
      </c>
      <c r="R518" s="28">
        <v>517</v>
      </c>
      <c r="S518" s="29">
        <v>-2.6702285558789208E-3</v>
      </c>
      <c r="T518" s="41">
        <f t="shared" si="50"/>
        <v>0</v>
      </c>
      <c r="U518" s="4">
        <f t="shared" si="51"/>
        <v>-0.13783276805967187</v>
      </c>
      <c r="V518" s="15">
        <f t="shared" si="55"/>
        <v>0.41214057507987223</v>
      </c>
      <c r="W518" s="33">
        <f t="shared" si="52"/>
        <v>-0.22204204863844443</v>
      </c>
      <c r="X518" s="4">
        <f t="shared" si="53"/>
        <v>-0.13783276805967187</v>
      </c>
    </row>
    <row r="519" spans="1:24" ht="14.5" x14ac:dyDescent="0.35">
      <c r="A519" s="52">
        <v>44643</v>
      </c>
      <c r="B519" s="51">
        <v>2800</v>
      </c>
      <c r="C519" s="1">
        <f t="shared" si="54"/>
        <v>5.5059777183027389E-2</v>
      </c>
      <c r="R519" s="28">
        <v>518</v>
      </c>
      <c r="S519" s="29">
        <v>-2.6466711523747601E-3</v>
      </c>
      <c r="T519" s="41">
        <f t="shared" si="50"/>
        <v>0</v>
      </c>
      <c r="U519" s="4">
        <f t="shared" si="51"/>
        <v>-0.13659045037253456</v>
      </c>
      <c r="V519" s="15">
        <f t="shared" si="55"/>
        <v>0.41293929712460065</v>
      </c>
      <c r="W519" s="33">
        <f t="shared" si="52"/>
        <v>-0.21999044752696323</v>
      </c>
      <c r="X519" s="4">
        <f t="shared" si="53"/>
        <v>-0.13659045037253456</v>
      </c>
    </row>
    <row r="520" spans="1:24" ht="14.5" x14ac:dyDescent="0.35">
      <c r="A520" s="52">
        <v>44642</v>
      </c>
      <c r="B520" s="51">
        <v>2650</v>
      </c>
      <c r="C520" s="1">
        <f t="shared" si="54"/>
        <v>6.0560366770416093E-3</v>
      </c>
      <c r="R520" s="28">
        <v>519</v>
      </c>
      <c r="S520" s="29">
        <v>-2.6304267687734108E-3</v>
      </c>
      <c r="T520" s="41">
        <f t="shared" si="50"/>
        <v>0</v>
      </c>
      <c r="U520" s="4">
        <f t="shared" si="51"/>
        <v>-0.13573379038192754</v>
      </c>
      <c r="V520" s="15">
        <f t="shared" si="55"/>
        <v>0.41373801916932906</v>
      </c>
      <c r="W520" s="33">
        <f t="shared" si="52"/>
        <v>-0.21793977195330541</v>
      </c>
      <c r="X520" s="4">
        <f t="shared" si="53"/>
        <v>-0.13573379038192754</v>
      </c>
    </row>
    <row r="521" spans="1:24" ht="14.5" x14ac:dyDescent="0.35">
      <c r="A521" s="52">
        <v>44641</v>
      </c>
      <c r="B521" s="51">
        <v>2634</v>
      </c>
      <c r="C521" s="1">
        <f t="shared" si="54"/>
        <v>2.8496344829618107E-2</v>
      </c>
      <c r="R521" s="28">
        <v>520</v>
      </c>
      <c r="S521" s="29">
        <v>-2.4968801985871545E-3</v>
      </c>
      <c r="T521" s="41">
        <f t="shared" si="50"/>
        <v>0</v>
      </c>
      <c r="U521" s="4">
        <f t="shared" si="51"/>
        <v>-0.12869110988576807</v>
      </c>
      <c r="V521" s="15">
        <f t="shared" si="55"/>
        <v>0.41453674121405748</v>
      </c>
      <c r="W521" s="33">
        <f t="shared" si="52"/>
        <v>-0.21589001246685627</v>
      </c>
      <c r="X521" s="4">
        <f t="shared" si="53"/>
        <v>-0.12869110988576807</v>
      </c>
    </row>
    <row r="522" spans="1:24" ht="14.5" x14ac:dyDescent="0.35">
      <c r="A522" s="52">
        <v>44638</v>
      </c>
      <c r="B522" s="51">
        <v>2560</v>
      </c>
      <c r="C522" s="1">
        <f t="shared" si="54"/>
        <v>-3.3041807201292808E-2</v>
      </c>
      <c r="R522" s="28">
        <v>521</v>
      </c>
      <c r="S522" s="29">
        <v>-2.4927308296024725E-3</v>
      </c>
      <c r="T522" s="41">
        <f t="shared" si="50"/>
        <v>0</v>
      </c>
      <c r="U522" s="4">
        <f t="shared" si="51"/>
        <v>-0.12847228973951472</v>
      </c>
      <c r="V522" s="15">
        <f t="shared" si="55"/>
        <v>0.41533546325878595</v>
      </c>
      <c r="W522" s="33">
        <f t="shared" si="52"/>
        <v>-0.21384115964505368</v>
      </c>
      <c r="X522" s="4">
        <f t="shared" si="53"/>
        <v>-0.12847228973951472</v>
      </c>
    </row>
    <row r="523" spans="1:24" ht="14.5" x14ac:dyDescent="0.35">
      <c r="A523" s="52">
        <v>44637</v>
      </c>
      <c r="B523" s="51">
        <v>2646</v>
      </c>
      <c r="C523" s="1">
        <f t="shared" si="54"/>
        <v>2.2701485345390775E-3</v>
      </c>
      <c r="R523" s="28">
        <v>522</v>
      </c>
      <c r="S523" s="29">
        <v>-2.4885952287651311E-3</v>
      </c>
      <c r="T523" s="41">
        <f t="shared" si="50"/>
        <v>0</v>
      </c>
      <c r="U523" s="4">
        <f t="shared" si="51"/>
        <v>-0.1282541956670393</v>
      </c>
      <c r="V523" s="15">
        <f t="shared" si="55"/>
        <v>0.41613418530351437</v>
      </c>
      <c r="W523" s="33">
        <f t="shared" si="52"/>
        <v>-0.21179320409305458</v>
      </c>
      <c r="X523" s="4">
        <f t="shared" si="53"/>
        <v>-0.1282541956670393</v>
      </c>
    </row>
    <row r="524" spans="1:24" ht="14.5" x14ac:dyDescent="0.35">
      <c r="A524" s="52">
        <v>44636</v>
      </c>
      <c r="B524" s="51">
        <v>2640</v>
      </c>
      <c r="C524" s="1">
        <f t="shared" si="54"/>
        <v>1.9121041446778377E-2</v>
      </c>
      <c r="R524" s="28">
        <v>523</v>
      </c>
      <c r="S524" s="29">
        <v>-2.4824174932553066E-3</v>
      </c>
      <c r="T524" s="41">
        <f t="shared" si="50"/>
        <v>0</v>
      </c>
      <c r="U524" s="4">
        <f t="shared" si="51"/>
        <v>-0.12792840806107689</v>
      </c>
      <c r="V524" s="15">
        <f t="shared" si="55"/>
        <v>0.41693290734824279</v>
      </c>
      <c r="W524" s="33">
        <f t="shared" si="52"/>
        <v>-0.20974613644340317</v>
      </c>
      <c r="X524" s="4">
        <f t="shared" si="53"/>
        <v>-0.12792840806107689</v>
      </c>
    </row>
    <row r="525" spans="1:24" ht="14.5" x14ac:dyDescent="0.35">
      <c r="A525" s="52">
        <v>44631</v>
      </c>
      <c r="B525" s="51">
        <v>2590</v>
      </c>
      <c r="C525" s="1">
        <f t="shared" si="54"/>
        <v>1.3997118101098931E-2</v>
      </c>
      <c r="R525" s="28">
        <v>524</v>
      </c>
      <c r="S525" s="29">
        <v>-2.4660924951935542E-3</v>
      </c>
      <c r="T525" s="41">
        <f t="shared" si="50"/>
        <v>0</v>
      </c>
      <c r="U525" s="4">
        <f t="shared" si="51"/>
        <v>-0.12706749680525806</v>
      </c>
      <c r="V525" s="15">
        <f t="shared" si="55"/>
        <v>0.41773162939297126</v>
      </c>
      <c r="W525" s="33">
        <f t="shared" si="52"/>
        <v>-0.20769994735570219</v>
      </c>
      <c r="X525" s="4">
        <f t="shared" si="53"/>
        <v>-0.12706749680525806</v>
      </c>
    </row>
    <row r="526" spans="1:24" ht="14.5" x14ac:dyDescent="0.35">
      <c r="A526" s="52">
        <v>44630</v>
      </c>
      <c r="B526" s="51">
        <v>2554</v>
      </c>
      <c r="C526" s="1">
        <f t="shared" si="54"/>
        <v>-3.4632164379092306E-2</v>
      </c>
      <c r="R526" s="28">
        <v>525</v>
      </c>
      <c r="S526" s="29">
        <v>-2.4580102502691154E-3</v>
      </c>
      <c r="T526" s="41">
        <f t="shared" si="50"/>
        <v>0</v>
      </c>
      <c r="U526" s="4">
        <f t="shared" si="51"/>
        <v>-0.12664127343901854</v>
      </c>
      <c r="V526" s="15">
        <f t="shared" si="55"/>
        <v>0.41853035143769968</v>
      </c>
      <c r="W526" s="33">
        <f t="shared" si="52"/>
        <v>-0.20565462751628658</v>
      </c>
      <c r="X526" s="4">
        <f t="shared" si="53"/>
        <v>-0.12664127343901854</v>
      </c>
    </row>
    <row r="527" spans="1:24" ht="14.5" x14ac:dyDescent="0.35">
      <c r="A527" s="52">
        <v>44629</v>
      </c>
      <c r="B527" s="51">
        <v>2644</v>
      </c>
      <c r="C527" s="1">
        <f t="shared" si="54"/>
        <v>1.5140048312150113E-3</v>
      </c>
      <c r="R527" s="28">
        <v>526</v>
      </c>
      <c r="S527" s="29">
        <v>-2.4420036555517443E-3</v>
      </c>
      <c r="T527" s="41">
        <f t="shared" si="50"/>
        <v>0</v>
      </c>
      <c r="U527" s="4">
        <f t="shared" si="51"/>
        <v>-0.12579715342703518</v>
      </c>
      <c r="V527" s="15">
        <f t="shared" si="55"/>
        <v>0.41932907348242809</v>
      </c>
      <c r="W527" s="33">
        <f t="shared" si="52"/>
        <v>-0.20361016763789802</v>
      </c>
      <c r="X527" s="4">
        <f t="shared" si="53"/>
        <v>-0.12579715342703518</v>
      </c>
    </row>
    <row r="528" spans="1:24" ht="14.5" x14ac:dyDescent="0.35">
      <c r="A528" s="52">
        <v>44628</v>
      </c>
      <c r="B528" s="51">
        <v>2640</v>
      </c>
      <c r="C528" s="1">
        <f t="shared" si="54"/>
        <v>1.3730192811902037E-2</v>
      </c>
      <c r="R528" s="28">
        <v>527</v>
      </c>
      <c r="S528" s="29">
        <v>-2.4321049686124399E-3</v>
      </c>
      <c r="T528" s="41">
        <f t="shared" si="50"/>
        <v>0</v>
      </c>
      <c r="U528" s="4">
        <f t="shared" si="51"/>
        <v>-0.1252751386021857</v>
      </c>
      <c r="V528" s="15">
        <f t="shared" si="55"/>
        <v>0.42012779552715657</v>
      </c>
      <c r="W528" s="33">
        <f t="shared" si="52"/>
        <v>-0.201566558459363</v>
      </c>
      <c r="X528" s="4">
        <f t="shared" si="53"/>
        <v>-0.1252751386021857</v>
      </c>
    </row>
    <row r="529" spans="1:24" ht="14.5" x14ac:dyDescent="0.35">
      <c r="A529" s="52">
        <v>44627</v>
      </c>
      <c r="B529" s="51">
        <v>2604</v>
      </c>
      <c r="C529" s="1">
        <f t="shared" si="54"/>
        <v>3.5969475740370502E-2</v>
      </c>
      <c r="R529" s="28">
        <v>528</v>
      </c>
      <c r="S529" s="29">
        <v>-2.3909156637731428E-3</v>
      </c>
      <c r="T529" s="41">
        <f t="shared" si="50"/>
        <v>0</v>
      </c>
      <c r="U529" s="4">
        <f t="shared" si="51"/>
        <v>-0.12310298911577428</v>
      </c>
      <c r="V529" s="15">
        <f t="shared" si="55"/>
        <v>0.42092651757188498</v>
      </c>
      <c r="W529" s="33">
        <f t="shared" si="52"/>
        <v>-0.19952379074527271</v>
      </c>
      <c r="X529" s="4">
        <f t="shared" si="53"/>
        <v>-0.12310298911577428</v>
      </c>
    </row>
    <row r="530" spans="1:24" ht="14.5" x14ac:dyDescent="0.35">
      <c r="A530" s="52">
        <v>44624</v>
      </c>
      <c r="B530" s="51">
        <v>2512</v>
      </c>
      <c r="C530" s="1">
        <f t="shared" si="54"/>
        <v>4.7885167317970939E-3</v>
      </c>
      <c r="R530" s="28">
        <v>529</v>
      </c>
      <c r="S530" s="29">
        <v>-2.2684319746281542E-3</v>
      </c>
      <c r="T530" s="41">
        <f t="shared" si="50"/>
        <v>0</v>
      </c>
      <c r="U530" s="4">
        <f t="shared" si="51"/>
        <v>-0.11664371811064107</v>
      </c>
      <c r="V530" s="15">
        <f t="shared" si="55"/>
        <v>0.4217252396166134</v>
      </c>
      <c r="W530" s="33">
        <f t="shared" si="52"/>
        <v>-0.19748185528566406</v>
      </c>
      <c r="X530" s="4">
        <f t="shared" si="53"/>
        <v>-0.11664371811064107</v>
      </c>
    </row>
    <row r="531" spans="1:24" ht="14.5" x14ac:dyDescent="0.35">
      <c r="A531" s="52">
        <v>44623</v>
      </c>
      <c r="B531" s="51">
        <v>2500</v>
      </c>
      <c r="C531" s="1">
        <f t="shared" si="54"/>
        <v>2.1019367224075342E-2</v>
      </c>
      <c r="R531" s="28">
        <v>530</v>
      </c>
      <c r="S531" s="29">
        <v>-2.2514080804573707E-3</v>
      </c>
      <c r="T531" s="41">
        <f t="shared" si="50"/>
        <v>0</v>
      </c>
      <c r="U531" s="4">
        <f t="shared" si="51"/>
        <v>-0.11574595003409634</v>
      </c>
      <c r="V531" s="15">
        <f t="shared" si="55"/>
        <v>0.42252396166134187</v>
      </c>
      <c r="W531" s="33">
        <f t="shared" si="52"/>
        <v>-0.19544074289570396</v>
      </c>
      <c r="X531" s="4">
        <f t="shared" si="53"/>
        <v>-0.11574595003409634</v>
      </c>
    </row>
    <row r="532" spans="1:24" ht="14.5" x14ac:dyDescent="0.35">
      <c r="A532" s="52">
        <v>44622</v>
      </c>
      <c r="B532" s="51">
        <v>2448</v>
      </c>
      <c r="C532" s="1">
        <f t="shared" si="54"/>
        <v>1.635323340730838E-3</v>
      </c>
      <c r="R532" s="28">
        <v>531</v>
      </c>
      <c r="S532" s="29">
        <v>-2.1857932199802082E-3</v>
      </c>
      <c r="T532" s="41">
        <f t="shared" si="50"/>
        <v>0</v>
      </c>
      <c r="U532" s="4">
        <f t="shared" si="51"/>
        <v>-0.11228570019393763</v>
      </c>
      <c r="V532" s="15">
        <f t="shared" si="55"/>
        <v>0.42332268370607029</v>
      </c>
      <c r="W532" s="33">
        <f t="shared" si="52"/>
        <v>-0.19340044441537538</v>
      </c>
      <c r="X532" s="4">
        <f t="shared" si="53"/>
        <v>-0.11228570019393763</v>
      </c>
    </row>
    <row r="533" spans="1:24" ht="14.5" x14ac:dyDescent="0.35">
      <c r="A533" s="52">
        <v>44621</v>
      </c>
      <c r="B533" s="51">
        <v>2444</v>
      </c>
      <c r="C533" s="1">
        <f t="shared" si="54"/>
        <v>-5.8021834402097537E-2</v>
      </c>
      <c r="R533" s="28">
        <v>532</v>
      </c>
      <c r="S533" s="29">
        <v>-2.162163004495237E-3</v>
      </c>
      <c r="T533" s="41">
        <f t="shared" si="50"/>
        <v>0</v>
      </c>
      <c r="U533" s="4">
        <f t="shared" si="51"/>
        <v>-0.11103954271131604</v>
      </c>
      <c r="V533" s="15">
        <f t="shared" si="55"/>
        <v>0.42412140575079871</v>
      </c>
      <c r="W533" s="33">
        <f t="shared" si="52"/>
        <v>-0.19136095070916465</v>
      </c>
      <c r="X533" s="4">
        <f t="shared" si="53"/>
        <v>-0.11103954271131604</v>
      </c>
    </row>
    <row r="534" spans="1:24" ht="14.5" x14ac:dyDescent="0.35">
      <c r="A534" s="52">
        <v>44620</v>
      </c>
      <c r="B534" s="51">
        <v>2590</v>
      </c>
      <c r="C534" s="1">
        <f t="shared" si="54"/>
        <v>5.1496525767174846E-2</v>
      </c>
      <c r="R534" s="28">
        <v>533</v>
      </c>
      <c r="S534" s="29">
        <v>-2.1405644991109884E-3</v>
      </c>
      <c r="T534" s="41">
        <f t="shared" si="50"/>
        <v>0</v>
      </c>
      <c r="U534" s="4">
        <f t="shared" si="51"/>
        <v>-0.10990052901441844</v>
      </c>
      <c r="V534" s="15">
        <f t="shared" si="55"/>
        <v>0.42492012779552718</v>
      </c>
      <c r="W534" s="33">
        <f t="shared" si="52"/>
        <v>-0.18932225266575139</v>
      </c>
      <c r="X534" s="4">
        <f t="shared" si="53"/>
        <v>-0.10990052901441844</v>
      </c>
    </row>
    <row r="535" spans="1:24" ht="14.5" x14ac:dyDescent="0.35">
      <c r="A535" s="52">
        <v>44617</v>
      </c>
      <c r="B535" s="51">
        <v>2460</v>
      </c>
      <c r="C535" s="1">
        <f t="shared" si="54"/>
        <v>5.0010420574661416E-2</v>
      </c>
      <c r="R535" s="28">
        <v>534</v>
      </c>
      <c r="S535" s="29">
        <v>-2.1375141733107552E-3</v>
      </c>
      <c r="T535" s="41">
        <f t="shared" si="50"/>
        <v>0</v>
      </c>
      <c r="U535" s="4">
        <f t="shared" si="51"/>
        <v>-0.10973966775088861</v>
      </c>
      <c r="V535" s="15">
        <f t="shared" si="55"/>
        <v>0.4257188498402556</v>
      </c>
      <c r="W535" s="33">
        <f t="shared" si="52"/>
        <v>-0.1872843411977009</v>
      </c>
      <c r="X535" s="4">
        <f t="shared" si="53"/>
        <v>-0.10973966775088861</v>
      </c>
    </row>
    <row r="536" spans="1:24" ht="14.5" x14ac:dyDescent="0.35">
      <c r="A536" s="52">
        <v>44616</v>
      </c>
      <c r="B536" s="51">
        <v>2340</v>
      </c>
      <c r="C536" s="1">
        <f t="shared" si="54"/>
        <v>-7.4901308173117714E-2</v>
      </c>
      <c r="R536" s="28">
        <v>535</v>
      </c>
      <c r="S536" s="29">
        <v>-2.1253993123134776E-3</v>
      </c>
      <c r="T536" s="41">
        <f t="shared" si="50"/>
        <v>0</v>
      </c>
      <c r="U536" s="4">
        <f t="shared" si="51"/>
        <v>-0.1091007812924778</v>
      </c>
      <c r="V536" s="15">
        <f t="shared" si="55"/>
        <v>0.42651757188498401</v>
      </c>
      <c r="W536" s="33">
        <f t="shared" si="52"/>
        <v>-0.18524720724115676</v>
      </c>
      <c r="X536" s="4">
        <f t="shared" si="53"/>
        <v>-0.1091007812924778</v>
      </c>
    </row>
    <row r="537" spans="1:24" ht="14.5" x14ac:dyDescent="0.35">
      <c r="A537" s="52">
        <v>44615</v>
      </c>
      <c r="B537" s="51">
        <v>2522</v>
      </c>
      <c r="C537" s="1">
        <f t="shared" si="54"/>
        <v>-1.5735965931814706E-2</v>
      </c>
      <c r="R537" s="28">
        <v>536</v>
      </c>
      <c r="S537" s="29">
        <v>-2.1164029063776126E-3</v>
      </c>
      <c r="T537" s="41">
        <f t="shared" si="50"/>
        <v>0</v>
      </c>
      <c r="U537" s="4">
        <f t="shared" si="51"/>
        <v>-0.10862634894628063</v>
      </c>
      <c r="V537" s="15">
        <f t="shared" si="55"/>
        <v>0.42731629392971249</v>
      </c>
      <c r="W537" s="33">
        <f t="shared" si="52"/>
        <v>-0.18321084175553715</v>
      </c>
      <c r="X537" s="4">
        <f t="shared" si="53"/>
        <v>-0.10862634894628063</v>
      </c>
    </row>
    <row r="538" spans="1:24" ht="14.5" x14ac:dyDescent="0.35">
      <c r="A538" s="52">
        <v>44614</v>
      </c>
      <c r="B538" s="51">
        <v>2562</v>
      </c>
      <c r="C538" s="1">
        <f t="shared" si="54"/>
        <v>1.5625003178916343E-3</v>
      </c>
      <c r="R538" s="28">
        <v>537</v>
      </c>
      <c r="S538" s="29">
        <v>-2.0725396019724233E-3</v>
      </c>
      <c r="T538" s="41">
        <f t="shared" si="50"/>
        <v>0</v>
      </c>
      <c r="U538" s="4">
        <f t="shared" si="51"/>
        <v>-0.10631318404806803</v>
      </c>
      <c r="V538" s="15">
        <f t="shared" si="55"/>
        <v>0.4281150159744409</v>
      </c>
      <c r="W538" s="33">
        <f t="shared" si="52"/>
        <v>-0.1811752357232323</v>
      </c>
      <c r="X538" s="4">
        <f t="shared" si="53"/>
        <v>-0.10631318404806803</v>
      </c>
    </row>
    <row r="539" spans="1:24" ht="14.5" x14ac:dyDescent="0.35">
      <c r="A539" s="52">
        <v>44613</v>
      </c>
      <c r="B539" s="51">
        <v>2558</v>
      </c>
      <c r="C539" s="1">
        <f t="shared" si="54"/>
        <v>-2.1655912045379217E-2</v>
      </c>
      <c r="R539" s="28">
        <v>538</v>
      </c>
      <c r="S539" s="29">
        <v>-2.0583197661543586E-3</v>
      </c>
      <c r="T539" s="41">
        <f t="shared" si="50"/>
        <v>0</v>
      </c>
      <c r="U539" s="4">
        <f t="shared" si="51"/>
        <v>-0.1055632901328982</v>
      </c>
      <c r="V539" s="15">
        <f t="shared" si="55"/>
        <v>0.42891373801916932</v>
      </c>
      <c r="W539" s="33">
        <f t="shared" si="52"/>
        <v>-0.17914038014930314</v>
      </c>
      <c r="X539" s="4">
        <f t="shared" si="53"/>
        <v>-0.1055632901328982</v>
      </c>
    </row>
    <row r="540" spans="1:24" ht="14.5" x14ac:dyDescent="0.35">
      <c r="A540" s="52">
        <v>44610</v>
      </c>
      <c r="B540" s="51">
        <v>2614</v>
      </c>
      <c r="C540" s="1">
        <f t="shared" si="54"/>
        <v>-1.4432457121585817E-2</v>
      </c>
      <c r="R540" s="28">
        <v>539</v>
      </c>
      <c r="S540" s="29">
        <v>-2.0006675562971713E-3</v>
      </c>
      <c r="T540" s="41">
        <f t="shared" si="50"/>
        <v>0</v>
      </c>
      <c r="U540" s="4">
        <f t="shared" si="51"/>
        <v>-0.10252295676188444</v>
      </c>
      <c r="V540" s="15">
        <f t="shared" si="55"/>
        <v>0.42971246006389774</v>
      </c>
      <c r="W540" s="33">
        <f t="shared" si="52"/>
        <v>-0.17710626606118277</v>
      </c>
      <c r="X540" s="4">
        <f t="shared" si="53"/>
        <v>-0.10252295676188444</v>
      </c>
    </row>
    <row r="541" spans="1:24" ht="14.5" x14ac:dyDescent="0.35">
      <c r="A541" s="52">
        <v>44609</v>
      </c>
      <c r="B541" s="51">
        <v>2652</v>
      </c>
      <c r="C541" s="1">
        <f t="shared" si="54"/>
        <v>-3.7636476493038331E-3</v>
      </c>
      <c r="R541" s="28">
        <v>540</v>
      </c>
      <c r="S541" s="29">
        <v>-2.00000066666711E-3</v>
      </c>
      <c r="T541" s="41">
        <f t="shared" si="50"/>
        <v>0</v>
      </c>
      <c r="U541" s="4">
        <f t="shared" si="51"/>
        <v>-0.102487787827301</v>
      </c>
      <c r="V541" s="15">
        <f t="shared" si="55"/>
        <v>0.43051118210862621</v>
      </c>
      <c r="W541" s="33">
        <f t="shared" si="52"/>
        <v>-0.17507288450837902</v>
      </c>
      <c r="X541" s="4">
        <f t="shared" si="53"/>
        <v>-0.102487787827301</v>
      </c>
    </row>
    <row r="542" spans="1:24" ht="14.5" x14ac:dyDescent="0.35">
      <c r="A542" s="52">
        <v>44608</v>
      </c>
      <c r="B542" s="51">
        <v>2662</v>
      </c>
      <c r="C542" s="1">
        <f t="shared" si="54"/>
        <v>5.2730818981580408E-3</v>
      </c>
      <c r="R542" s="28">
        <v>541</v>
      </c>
      <c r="S542" s="29">
        <v>-1.9569477869609241E-3</v>
      </c>
      <c r="T542" s="41">
        <f t="shared" si="50"/>
        <v>0</v>
      </c>
      <c r="U542" s="4">
        <f t="shared" si="51"/>
        <v>-0.10021736129528767</v>
      </c>
      <c r="V542" s="15">
        <f t="shared" si="55"/>
        <v>0.43130990415335463</v>
      </c>
      <c r="W542" s="33">
        <f t="shared" si="52"/>
        <v>-0.17304022656217968</v>
      </c>
      <c r="X542" s="4">
        <f t="shared" si="53"/>
        <v>-0.10021736129528767</v>
      </c>
    </row>
    <row r="543" spans="1:24" ht="14.5" x14ac:dyDescent="0.35">
      <c r="A543" s="52">
        <v>44607</v>
      </c>
      <c r="B543" s="51">
        <v>2648</v>
      </c>
      <c r="C543" s="1">
        <f t="shared" si="54"/>
        <v>0</v>
      </c>
      <c r="R543" s="28">
        <v>542</v>
      </c>
      <c r="S543" s="29">
        <v>-1.9563097207609425E-3</v>
      </c>
      <c r="T543" s="41">
        <f t="shared" si="50"/>
        <v>0</v>
      </c>
      <c r="U543" s="4">
        <f t="shared" si="51"/>
        <v>-0.10018371238632953</v>
      </c>
      <c r="V543" s="15">
        <f t="shared" si="55"/>
        <v>0.43210862619808305</v>
      </c>
      <c r="W543" s="33">
        <f t="shared" si="52"/>
        <v>-0.17100828331535786</v>
      </c>
      <c r="X543" s="4">
        <f t="shared" si="53"/>
        <v>-0.10018371238632953</v>
      </c>
    </row>
    <row r="544" spans="1:24" ht="14.5" x14ac:dyDescent="0.35">
      <c r="A544" s="52">
        <v>44606</v>
      </c>
      <c r="B544" s="51">
        <v>2648</v>
      </c>
      <c r="C544" s="1">
        <f t="shared" si="54"/>
        <v>-8.2738343373963599E-3</v>
      </c>
      <c r="R544" s="28">
        <v>543</v>
      </c>
      <c r="S544" s="29">
        <v>-1.9436352085710144E-3</v>
      </c>
      <c r="T544" s="41">
        <f t="shared" si="50"/>
        <v>0</v>
      </c>
      <c r="U544" s="4">
        <f t="shared" si="51"/>
        <v>-9.9515312294332803E-2</v>
      </c>
      <c r="V544" s="15">
        <f t="shared" si="55"/>
        <v>0.43290734824281152</v>
      </c>
      <c r="W544" s="33">
        <f t="shared" si="52"/>
        <v>-0.16897704588188017</v>
      </c>
      <c r="X544" s="4">
        <f t="shared" si="53"/>
        <v>-9.9515312294332803E-2</v>
      </c>
    </row>
    <row r="545" spans="1:24" ht="14.5" x14ac:dyDescent="0.35">
      <c r="A545" s="52">
        <v>44603</v>
      </c>
      <c r="B545" s="51">
        <v>2670</v>
      </c>
      <c r="C545" s="1">
        <f t="shared" si="54"/>
        <v>0</v>
      </c>
      <c r="R545" s="28">
        <v>544</v>
      </c>
      <c r="S545" s="29">
        <v>-1.9342365798308656E-3</v>
      </c>
      <c r="T545" s="41">
        <f t="shared" si="50"/>
        <v>0</v>
      </c>
      <c r="U545" s="4">
        <f t="shared" si="51"/>
        <v>-9.901966842098904E-2</v>
      </c>
      <c r="V545" s="15">
        <f t="shared" si="55"/>
        <v>0.43370607028753994</v>
      </c>
      <c r="W545" s="33">
        <f t="shared" si="52"/>
        <v>-0.16694650539661729</v>
      </c>
      <c r="X545" s="4">
        <f t="shared" si="53"/>
        <v>-9.901966842098904E-2</v>
      </c>
    </row>
    <row r="546" spans="1:24" ht="14.5" x14ac:dyDescent="0.35">
      <c r="A546" s="52">
        <v>44602</v>
      </c>
      <c r="B546" s="51">
        <v>2670</v>
      </c>
      <c r="C546" s="1">
        <f t="shared" si="54"/>
        <v>-1.1913767125848931E-2</v>
      </c>
      <c r="R546" s="28">
        <v>545</v>
      </c>
      <c r="S546" s="29">
        <v>-1.8621979310646511E-3</v>
      </c>
      <c r="T546" s="41">
        <f t="shared" si="50"/>
        <v>0</v>
      </c>
      <c r="U546" s="4">
        <f t="shared" si="51"/>
        <v>-9.5220655193409234E-2</v>
      </c>
      <c r="V546" s="15">
        <f t="shared" si="55"/>
        <v>0.43450479233226835</v>
      </c>
      <c r="W546" s="33">
        <f t="shared" si="52"/>
        <v>-0.1649166530150539</v>
      </c>
      <c r="X546" s="4">
        <f t="shared" si="53"/>
        <v>-9.5220655193409234E-2</v>
      </c>
    </row>
    <row r="547" spans="1:24" ht="14.5" x14ac:dyDescent="0.35">
      <c r="A547" s="52">
        <v>44601</v>
      </c>
      <c r="B547" s="51">
        <v>2702</v>
      </c>
      <c r="C547" s="1">
        <f t="shared" si="54"/>
        <v>-2.9563953536023775E-3</v>
      </c>
      <c r="R547" s="28">
        <v>546</v>
      </c>
      <c r="S547" s="29">
        <v>-1.8478600884796138E-3</v>
      </c>
      <c r="T547" s="41">
        <f t="shared" si="50"/>
        <v>0</v>
      </c>
      <c r="U547" s="4">
        <f t="shared" si="51"/>
        <v>-9.4464538101148354E-2</v>
      </c>
      <c r="V547" s="15">
        <f t="shared" si="55"/>
        <v>0.43530351437699683</v>
      </c>
      <c r="W547" s="33">
        <f t="shared" si="52"/>
        <v>-0.16288747991300231</v>
      </c>
      <c r="X547" s="4">
        <f t="shared" si="53"/>
        <v>-9.4464538101148354E-2</v>
      </c>
    </row>
    <row r="548" spans="1:24" ht="14.5" x14ac:dyDescent="0.35">
      <c r="A548" s="52">
        <v>44600</v>
      </c>
      <c r="B548" s="51">
        <v>2710</v>
      </c>
      <c r="C548" s="1">
        <f t="shared" si="54"/>
        <v>1.7870914918689682E-2</v>
      </c>
      <c r="R548" s="28">
        <v>547</v>
      </c>
      <c r="S548" s="29">
        <v>-1.6736405580296484E-3</v>
      </c>
      <c r="T548" s="41">
        <f t="shared" si="50"/>
        <v>0</v>
      </c>
      <c r="U548" s="4">
        <f t="shared" si="51"/>
        <v>-8.5276937944597828E-2</v>
      </c>
      <c r="V548" s="15">
        <f t="shared" si="55"/>
        <v>0.43610223642172524</v>
      </c>
      <c r="W548" s="33">
        <f t="shared" si="52"/>
        <v>-0.16085897728631737</v>
      </c>
      <c r="X548" s="4">
        <f t="shared" si="53"/>
        <v>-8.5276937944597828E-2</v>
      </c>
    </row>
    <row r="549" spans="1:24" ht="14.5" x14ac:dyDescent="0.35">
      <c r="A549" s="52">
        <v>44599</v>
      </c>
      <c r="B549" s="51">
        <v>2662</v>
      </c>
      <c r="C549" s="1">
        <f t="shared" si="54"/>
        <v>-5.9925272960608981E-3</v>
      </c>
      <c r="R549" s="28">
        <v>548</v>
      </c>
      <c r="S549" s="29">
        <v>-1.6652793190612089E-3</v>
      </c>
      <c r="T549" s="41">
        <f t="shared" si="50"/>
        <v>0</v>
      </c>
      <c r="U549" s="4">
        <f t="shared" si="51"/>
        <v>-8.4836001614113032E-2</v>
      </c>
      <c r="V549" s="15">
        <f t="shared" si="55"/>
        <v>0.43690095846645366</v>
      </c>
      <c r="W549" s="33">
        <f t="shared" si="52"/>
        <v>-0.15883113635061158</v>
      </c>
      <c r="X549" s="4">
        <f t="shared" si="53"/>
        <v>-8.4836001614113032E-2</v>
      </c>
    </row>
    <row r="550" spans="1:24" ht="14.5" x14ac:dyDescent="0.35">
      <c r="A550" s="52">
        <v>44596</v>
      </c>
      <c r="B550" s="51">
        <v>2678</v>
      </c>
      <c r="C550" s="1">
        <f t="shared" si="54"/>
        <v>-1.4925375905059655E-3</v>
      </c>
      <c r="R550" s="28">
        <v>549</v>
      </c>
      <c r="S550" s="29">
        <v>-1.5637219761827587E-3</v>
      </c>
      <c r="T550" s="41">
        <f t="shared" si="50"/>
        <v>0</v>
      </c>
      <c r="U550" s="4">
        <f t="shared" si="51"/>
        <v>-7.9480297480833462E-2</v>
      </c>
      <c r="V550" s="15">
        <f t="shared" si="55"/>
        <v>0.43769968051118213</v>
      </c>
      <c r="W550" s="33">
        <f t="shared" si="52"/>
        <v>-0.15680394834097308</v>
      </c>
      <c r="X550" s="4">
        <f t="shared" si="53"/>
        <v>-7.9480297480833462E-2</v>
      </c>
    </row>
    <row r="551" spans="1:24" ht="14.5" x14ac:dyDescent="0.35">
      <c r="A551" s="52">
        <v>44595</v>
      </c>
      <c r="B551" s="51">
        <v>2682</v>
      </c>
      <c r="C551" s="1">
        <f t="shared" si="54"/>
        <v>-1.0385850032122721E-2</v>
      </c>
      <c r="R551" s="28">
        <v>550</v>
      </c>
      <c r="S551" s="29">
        <v>-1.4925375905059655E-3</v>
      </c>
      <c r="T551" s="41">
        <f t="shared" si="50"/>
        <v>0</v>
      </c>
      <c r="U551" s="4">
        <f t="shared" si="51"/>
        <v>-7.5726334470492984E-2</v>
      </c>
      <c r="V551" s="15">
        <f t="shared" si="55"/>
        <v>0.43849840255591055</v>
      </c>
      <c r="W551" s="33">
        <f t="shared" si="52"/>
        <v>-0.15477740451168545</v>
      </c>
      <c r="X551" s="4">
        <f t="shared" si="53"/>
        <v>-7.5726334470492984E-2</v>
      </c>
    </row>
    <row r="552" spans="1:24" ht="14.5" x14ac:dyDescent="0.35">
      <c r="A552" s="52">
        <v>44594</v>
      </c>
      <c r="B552" s="51">
        <v>2710</v>
      </c>
      <c r="C552" s="1">
        <f t="shared" si="54"/>
        <v>3.6968618813262026E-3</v>
      </c>
      <c r="R552" s="28">
        <v>551</v>
      </c>
      <c r="S552" s="29">
        <v>-1.4880955127019556E-3</v>
      </c>
      <c r="T552" s="41">
        <f t="shared" si="50"/>
        <v>0</v>
      </c>
      <c r="U552" s="4">
        <f t="shared" si="51"/>
        <v>-7.5492078100830376E-2</v>
      </c>
      <c r="V552" s="15">
        <f t="shared" si="55"/>
        <v>0.43929712460063897</v>
      </c>
      <c r="W552" s="33">
        <f t="shared" si="52"/>
        <v>-0.15275149613594721</v>
      </c>
      <c r="X552" s="4">
        <f t="shared" si="53"/>
        <v>-7.5492078100830376E-2</v>
      </c>
    </row>
    <row r="553" spans="1:24" ht="14.5" x14ac:dyDescent="0.35">
      <c r="A553" s="52">
        <v>44593</v>
      </c>
      <c r="B553" s="51">
        <v>2700</v>
      </c>
      <c r="C553" s="1">
        <f t="shared" si="54"/>
        <v>-1.8349138668196541E-2</v>
      </c>
      <c r="R553" s="28">
        <v>552</v>
      </c>
      <c r="S553" s="29">
        <v>-1.4749265210678676E-3</v>
      </c>
      <c r="T553" s="41">
        <f t="shared" si="50"/>
        <v>0</v>
      </c>
      <c r="U553" s="4">
        <f t="shared" si="51"/>
        <v>-7.4797601257238458E-2</v>
      </c>
      <c r="V553" s="15">
        <f t="shared" si="55"/>
        <v>0.44009584664536744</v>
      </c>
      <c r="W553" s="33">
        <f t="shared" si="52"/>
        <v>-0.1507262145055944</v>
      </c>
      <c r="X553" s="4">
        <f t="shared" si="53"/>
        <v>-7.4797601257238458E-2</v>
      </c>
    </row>
    <row r="554" spans="1:24" ht="14.5" x14ac:dyDescent="0.35">
      <c r="A554" s="52">
        <v>44592</v>
      </c>
      <c r="B554" s="51">
        <v>2750</v>
      </c>
      <c r="C554" s="1">
        <f t="shared" si="54"/>
        <v>8.0321716972642527E-3</v>
      </c>
      <c r="R554" s="28">
        <v>553</v>
      </c>
      <c r="S554" s="29">
        <v>-1.4347204756602941E-3</v>
      </c>
      <c r="T554" s="41">
        <f t="shared" si="50"/>
        <v>0</v>
      </c>
      <c r="U554" s="4">
        <f t="shared" si="51"/>
        <v>-7.2677304708815671E-2</v>
      </c>
      <c r="V554" s="15">
        <f t="shared" si="55"/>
        <v>0.44089456869009586</v>
      </c>
      <c r="W554" s="33">
        <f t="shared" si="52"/>
        <v>-0.14870155093082474</v>
      </c>
      <c r="X554" s="4">
        <f t="shared" si="53"/>
        <v>-7.2677304708815671E-2</v>
      </c>
    </row>
    <row r="555" spans="1:24" ht="14.5" x14ac:dyDescent="0.35">
      <c r="A555" s="52">
        <v>44589</v>
      </c>
      <c r="B555" s="51">
        <v>2728</v>
      </c>
      <c r="C555" s="1">
        <f t="shared" si="54"/>
        <v>-8.0321716972642666E-3</v>
      </c>
      <c r="R555" s="28">
        <v>554</v>
      </c>
      <c r="S555" s="29">
        <v>-1.4316394714377388E-3</v>
      </c>
      <c r="T555" s="41">
        <f t="shared" si="50"/>
        <v>0</v>
      </c>
      <c r="U555" s="4">
        <f t="shared" si="51"/>
        <v>-7.2514825595226221E-2</v>
      </c>
      <c r="V555" s="15">
        <f t="shared" si="55"/>
        <v>0.44169329073482427</v>
      </c>
      <c r="W555" s="33">
        <f t="shared" si="52"/>
        <v>-0.14667749673992131</v>
      </c>
      <c r="X555" s="4">
        <f t="shared" si="53"/>
        <v>-7.2514825595226221E-2</v>
      </c>
    </row>
    <row r="556" spans="1:24" ht="14.5" x14ac:dyDescent="0.35">
      <c r="A556" s="52">
        <v>44588</v>
      </c>
      <c r="B556" s="51">
        <v>2750</v>
      </c>
      <c r="C556" s="1">
        <f t="shared" si="54"/>
        <v>2.9522439266321834E-2</v>
      </c>
      <c r="R556" s="28">
        <v>555</v>
      </c>
      <c r="S556" s="29">
        <v>-1.4265337654539576E-3</v>
      </c>
      <c r="T556" s="41">
        <f t="shared" si="50"/>
        <v>0</v>
      </c>
      <c r="U556" s="4">
        <f t="shared" si="51"/>
        <v>-7.2245572286055104E-2</v>
      </c>
      <c r="V556" s="15">
        <f t="shared" si="55"/>
        <v>0.44249201277955269</v>
      </c>
      <c r="W556" s="33">
        <f t="shared" si="52"/>
        <v>-0.14465404327897993</v>
      </c>
      <c r="X556" s="4">
        <f t="shared" si="53"/>
        <v>-7.2245572286055104E-2</v>
      </c>
    </row>
    <row r="557" spans="1:24" ht="14.5" x14ac:dyDescent="0.35">
      <c r="A557" s="52">
        <v>44587</v>
      </c>
      <c r="B557" s="51">
        <v>2670</v>
      </c>
      <c r="C557" s="1">
        <f t="shared" si="54"/>
        <v>3.7523496185503718E-3</v>
      </c>
      <c r="R557" s="28">
        <v>556</v>
      </c>
      <c r="S557" s="29">
        <v>-1.4184399541337456E-3</v>
      </c>
      <c r="T557" s="41">
        <f t="shared" si="50"/>
        <v>0</v>
      </c>
      <c r="U557" s="4">
        <f t="shared" si="51"/>
        <v>-7.181873895709015E-2</v>
      </c>
      <c r="V557" s="15">
        <f t="shared" si="55"/>
        <v>0.44329073482428116</v>
      </c>
      <c r="W557" s="33">
        <f t="shared" si="52"/>
        <v>-0.14263118191163637</v>
      </c>
      <c r="X557" s="4">
        <f t="shared" si="53"/>
        <v>-7.181873895709015E-2</v>
      </c>
    </row>
    <row r="558" spans="1:24" ht="14.5" x14ac:dyDescent="0.35">
      <c r="A558" s="52">
        <v>44586</v>
      </c>
      <c r="B558" s="51">
        <v>2660</v>
      </c>
      <c r="C558" s="1">
        <f t="shared" si="54"/>
        <v>1.5151805020602246E-2</v>
      </c>
      <c r="R558" s="28">
        <v>557</v>
      </c>
      <c r="S558" s="29">
        <v>-1.4174346809733935E-3</v>
      </c>
      <c r="T558" s="41">
        <f t="shared" si="50"/>
        <v>0</v>
      </c>
      <c r="U558" s="4">
        <f t="shared" si="51"/>
        <v>-7.1765725108289324E-2</v>
      </c>
      <c r="V558" s="15">
        <f t="shared" si="55"/>
        <v>0.44408945686900958</v>
      </c>
      <c r="W558" s="33">
        <f t="shared" si="52"/>
        <v>-0.14060890401879589</v>
      </c>
      <c r="X558" s="4">
        <f t="shared" si="53"/>
        <v>-7.1765725108289324E-2</v>
      </c>
    </row>
    <row r="559" spans="1:24" ht="14.5" x14ac:dyDescent="0.35">
      <c r="A559" s="52">
        <v>44585</v>
      </c>
      <c r="B559" s="51">
        <v>2620</v>
      </c>
      <c r="C559" s="1">
        <f t="shared" si="54"/>
        <v>-2.4133901336429859E-2</v>
      </c>
      <c r="R559" s="28">
        <v>558</v>
      </c>
      <c r="S559" s="29">
        <v>-1.413427797146964E-3</v>
      </c>
      <c r="T559" s="41">
        <f t="shared" si="50"/>
        <v>0</v>
      </c>
      <c r="U559" s="4">
        <f t="shared" si="51"/>
        <v>-7.1554419025808766E-2</v>
      </c>
      <c r="V559" s="15">
        <f t="shared" si="55"/>
        <v>0.444888178913738</v>
      </c>
      <c r="W559" s="33">
        <f t="shared" si="52"/>
        <v>-0.13858720099836302</v>
      </c>
      <c r="X559" s="4">
        <f t="shared" si="53"/>
        <v>-7.1554419025808766E-2</v>
      </c>
    </row>
    <row r="560" spans="1:24" ht="14.5" x14ac:dyDescent="0.35">
      <c r="A560" s="52">
        <v>44582</v>
      </c>
      <c r="B560" s="51">
        <v>2684</v>
      </c>
      <c r="C560" s="1">
        <f t="shared" si="54"/>
        <v>1.1994146785819242E-2</v>
      </c>
      <c r="R560" s="28">
        <v>559</v>
      </c>
      <c r="S560" s="29">
        <v>-1.4124296133424374E-3</v>
      </c>
      <c r="T560" s="41">
        <f t="shared" si="50"/>
        <v>0</v>
      </c>
      <c r="U560" s="4">
        <f t="shared" si="51"/>
        <v>-7.1501779039608318E-2</v>
      </c>
      <c r="V560" s="15">
        <f t="shared" si="55"/>
        <v>0.44568690095846647</v>
      </c>
      <c r="W560" s="33">
        <f t="shared" si="52"/>
        <v>-0.13656606426497364</v>
      </c>
      <c r="X560" s="4">
        <f t="shared" si="53"/>
        <v>-7.1501779039608318E-2</v>
      </c>
    </row>
    <row r="561" spans="1:24" ht="14.5" x14ac:dyDescent="0.35">
      <c r="A561" s="52">
        <v>44581</v>
      </c>
      <c r="B561" s="51">
        <v>2652</v>
      </c>
      <c r="C561" s="1">
        <f t="shared" si="54"/>
        <v>-3.0120504699916095E-3</v>
      </c>
      <c r="R561" s="28">
        <v>560</v>
      </c>
      <c r="S561" s="29">
        <v>-1.411432838407736E-3</v>
      </c>
      <c r="T561" s="41">
        <f t="shared" si="50"/>
        <v>0</v>
      </c>
      <c r="U561" s="4">
        <f t="shared" si="51"/>
        <v>-7.1449213351235413E-2</v>
      </c>
      <c r="V561" s="15">
        <f t="shared" si="55"/>
        <v>0.44648562300319489</v>
      </c>
      <c r="W561" s="33">
        <f t="shared" si="52"/>
        <v>-0.13454548524972815</v>
      </c>
      <c r="X561" s="4">
        <f t="shared" si="53"/>
        <v>-7.1449213351235413E-2</v>
      </c>
    </row>
    <row r="562" spans="1:24" ht="14.5" x14ac:dyDescent="0.35">
      <c r="A562" s="52">
        <v>44580</v>
      </c>
      <c r="B562" s="51">
        <v>2660</v>
      </c>
      <c r="C562" s="1">
        <f t="shared" si="54"/>
        <v>1.3626251711765056E-2</v>
      </c>
      <c r="R562" s="28">
        <v>561</v>
      </c>
      <c r="S562" s="29">
        <v>-1.4044946128985581E-3</v>
      </c>
      <c r="T562" s="41">
        <f t="shared" si="50"/>
        <v>0</v>
      </c>
      <c r="U562" s="4">
        <f t="shared" si="51"/>
        <v>-7.1083320723642693E-2</v>
      </c>
      <c r="V562" s="15">
        <f t="shared" si="55"/>
        <v>0.4472843450479233</v>
      </c>
      <c r="W562" s="33">
        <f t="shared" si="52"/>
        <v>-0.13252545539992522</v>
      </c>
      <c r="X562" s="4">
        <f t="shared" si="53"/>
        <v>-7.1083320723642693E-2</v>
      </c>
    </row>
    <row r="563" spans="1:24" ht="14.5" x14ac:dyDescent="0.35">
      <c r="A563" s="52">
        <v>44579</v>
      </c>
      <c r="B563" s="51">
        <v>2624</v>
      </c>
      <c r="C563" s="1">
        <f t="shared" si="54"/>
        <v>-1.6629256971534719E-2</v>
      </c>
      <c r="R563" s="28">
        <v>562</v>
      </c>
      <c r="S563" s="29">
        <v>-1.3689256073417322E-3</v>
      </c>
      <c r="T563" s="41">
        <f t="shared" si="50"/>
        <v>0</v>
      </c>
      <c r="U563" s="4">
        <f t="shared" si="51"/>
        <v>-6.9207562017496421E-2</v>
      </c>
      <c r="V563" s="15">
        <f t="shared" si="55"/>
        <v>0.44808306709265178</v>
      </c>
      <c r="W563" s="33">
        <f t="shared" si="52"/>
        <v>-0.13050596617879759</v>
      </c>
      <c r="X563" s="4">
        <f t="shared" si="53"/>
        <v>-6.9207562017496421E-2</v>
      </c>
    </row>
    <row r="564" spans="1:24" ht="14.5" x14ac:dyDescent="0.35">
      <c r="A564" s="52">
        <v>44578</v>
      </c>
      <c r="B564" s="51">
        <v>2668</v>
      </c>
      <c r="C564" s="1">
        <f t="shared" si="54"/>
        <v>6.015055729761189E-3</v>
      </c>
      <c r="R564" s="28">
        <v>563</v>
      </c>
      <c r="S564" s="29">
        <v>-1.366120431043414E-3</v>
      </c>
      <c r="T564" s="41">
        <f t="shared" si="50"/>
        <v>0</v>
      </c>
      <c r="U564" s="4">
        <f t="shared" si="51"/>
        <v>-6.9059628900405498E-2</v>
      </c>
      <c r="V564" s="15">
        <f t="shared" si="55"/>
        <v>0.44888178913738019</v>
      </c>
      <c r="W564" s="33">
        <f t="shared" si="52"/>
        <v>-0.12848700906524904</v>
      </c>
      <c r="X564" s="4">
        <f t="shared" si="53"/>
        <v>-6.9059628900405498E-2</v>
      </c>
    </row>
    <row r="565" spans="1:24" ht="14.5" x14ac:dyDescent="0.35">
      <c r="A565" s="52">
        <v>44575</v>
      </c>
      <c r="B565" s="51">
        <v>2652</v>
      </c>
      <c r="C565" s="1">
        <f t="shared" si="54"/>
        <v>-1.2739025777429714E-2</v>
      </c>
      <c r="R565" s="28">
        <v>564</v>
      </c>
      <c r="S565" s="29">
        <v>-1.3522652500136498E-3</v>
      </c>
      <c r="T565" s="41">
        <f t="shared" si="50"/>
        <v>0</v>
      </c>
      <c r="U565" s="4">
        <f t="shared" si="51"/>
        <v>-6.8328965334332706E-2</v>
      </c>
      <c r="V565" s="15">
        <f t="shared" si="55"/>
        <v>0.44968051118210861</v>
      </c>
      <c r="W565" s="33">
        <f t="shared" si="52"/>
        <v>-0.12646857555359156</v>
      </c>
      <c r="X565" s="4">
        <f t="shared" si="53"/>
        <v>-6.8328965334332706E-2</v>
      </c>
    </row>
    <row r="566" spans="1:24" ht="14.5" x14ac:dyDescent="0.35">
      <c r="A566" s="52">
        <v>44574</v>
      </c>
      <c r="B566" s="51">
        <v>2686</v>
      </c>
      <c r="C566" s="1">
        <f t="shared" si="54"/>
        <v>-1.4880955127019556E-3</v>
      </c>
      <c r="R566" s="28">
        <v>565</v>
      </c>
      <c r="S566" s="29">
        <v>-1.3324452337786009E-3</v>
      </c>
      <c r="T566" s="41">
        <f t="shared" si="50"/>
        <v>0</v>
      </c>
      <c r="U566" s="4">
        <f t="shared" si="51"/>
        <v>-6.7283741622653229E-2</v>
      </c>
      <c r="V566" s="15">
        <f t="shared" si="55"/>
        <v>0.45047923322683708</v>
      </c>
      <c r="W566" s="33">
        <f t="shared" si="52"/>
        <v>-0.12445065715328503</v>
      </c>
      <c r="X566" s="4">
        <f t="shared" si="53"/>
        <v>-6.7283741622653229E-2</v>
      </c>
    </row>
    <row r="567" spans="1:24" ht="14.5" x14ac:dyDescent="0.35">
      <c r="A567" s="52">
        <v>44573</v>
      </c>
      <c r="B567" s="51">
        <v>2690</v>
      </c>
      <c r="C567" s="1">
        <f t="shared" si="54"/>
        <v>1.5736555538985966E-2</v>
      </c>
      <c r="R567" s="28">
        <v>566</v>
      </c>
      <c r="S567" s="29">
        <v>-1.320132204922844E-3</v>
      </c>
      <c r="T567" s="41">
        <f t="shared" si="50"/>
        <v>0</v>
      </c>
      <c r="U567" s="4">
        <f t="shared" si="51"/>
        <v>-6.6634404630694949E-2</v>
      </c>
      <c r="V567" s="15">
        <f t="shared" si="55"/>
        <v>0.4512779552715655</v>
      </c>
      <c r="W567" s="33">
        <f t="shared" si="52"/>
        <v>-0.12243324538867745</v>
      </c>
      <c r="X567" s="4">
        <f t="shared" si="53"/>
        <v>-6.6634404630694949E-2</v>
      </c>
    </row>
    <row r="568" spans="1:24" ht="14.5" x14ac:dyDescent="0.35">
      <c r="A568" s="52">
        <v>44572</v>
      </c>
      <c r="B568" s="51">
        <v>2648</v>
      </c>
      <c r="C568" s="1">
        <f t="shared" si="54"/>
        <v>4.5420214345009858E-3</v>
      </c>
      <c r="R568" s="28">
        <v>567</v>
      </c>
      <c r="S568" s="29">
        <v>-1.3063359140554128E-3</v>
      </c>
      <c r="T568" s="41">
        <f t="shared" si="50"/>
        <v>0</v>
      </c>
      <c r="U568" s="4">
        <f t="shared" si="51"/>
        <v>-6.5906846682363601E-2</v>
      </c>
      <c r="V568" s="15">
        <f t="shared" si="55"/>
        <v>0.45207667731629392</v>
      </c>
      <c r="W568" s="33">
        <f t="shared" si="52"/>
        <v>-0.12041633179874589</v>
      </c>
      <c r="X568" s="4">
        <f t="shared" si="53"/>
        <v>-6.5906846682363601E-2</v>
      </c>
    </row>
    <row r="569" spans="1:24" ht="14.5" x14ac:dyDescent="0.35">
      <c r="A569" s="52">
        <v>44571</v>
      </c>
      <c r="B569" s="51">
        <v>2636</v>
      </c>
      <c r="C569" s="1">
        <f t="shared" si="54"/>
        <v>1.3751171612824419E-2</v>
      </c>
      <c r="R569" s="28">
        <v>568</v>
      </c>
      <c r="S569" s="29">
        <v>-1.2706482014556528E-3</v>
      </c>
      <c r="T569" s="41">
        <f t="shared" si="50"/>
        <v>0</v>
      </c>
      <c r="U569" s="4">
        <f t="shared" si="51"/>
        <v>-6.4024827869537962E-2</v>
      </c>
      <c r="V569" s="15">
        <f t="shared" si="55"/>
        <v>0.45287539936102239</v>
      </c>
      <c r="W569" s="33">
        <f t="shared" si="52"/>
        <v>-0.11839990793683908</v>
      </c>
      <c r="X569" s="4">
        <f t="shared" si="53"/>
        <v>-6.4024827869537962E-2</v>
      </c>
    </row>
    <row r="570" spans="1:24" ht="14.5" x14ac:dyDescent="0.35">
      <c r="A570" s="52">
        <v>44568</v>
      </c>
      <c r="B570" s="51">
        <v>2600</v>
      </c>
      <c r="C570" s="1">
        <f t="shared" si="54"/>
        <v>-3.8387763071657129E-3</v>
      </c>
      <c r="R570" s="28">
        <v>569</v>
      </c>
      <c r="S570" s="29">
        <v>-1.2202564052293744E-3</v>
      </c>
      <c r="T570" s="41">
        <f t="shared" si="50"/>
        <v>0</v>
      </c>
      <c r="U570" s="4">
        <f t="shared" si="51"/>
        <v>-6.1367377963079964E-2</v>
      </c>
      <c r="V570" s="15">
        <f t="shared" si="55"/>
        <v>0.45367412140575081</v>
      </c>
      <c r="W570" s="33">
        <f t="shared" si="52"/>
        <v>-0.11638396537042145</v>
      </c>
      <c r="X570" s="4">
        <f t="shared" si="53"/>
        <v>-6.1367377963079964E-2</v>
      </c>
    </row>
    <row r="571" spans="1:24" ht="14.5" x14ac:dyDescent="0.35">
      <c r="A571" s="52">
        <v>44567</v>
      </c>
      <c r="B571" s="51">
        <v>2610</v>
      </c>
      <c r="C571" s="1">
        <f t="shared" si="54"/>
        <v>-3.0604461531060934E-3</v>
      </c>
      <c r="R571" s="28">
        <v>570</v>
      </c>
      <c r="S571" s="29">
        <v>-1.0758473334631254E-3</v>
      </c>
      <c r="T571" s="41">
        <f t="shared" si="50"/>
        <v>0</v>
      </c>
      <c r="U571" s="4">
        <f t="shared" si="51"/>
        <v>-5.3751855140006195E-2</v>
      </c>
      <c r="V571" s="15">
        <f t="shared" si="55"/>
        <v>0.45447284345047922</v>
      </c>
      <c r="W571" s="33">
        <f t="shared" si="52"/>
        <v>-0.11436849568081703</v>
      </c>
      <c r="X571" s="4">
        <f t="shared" si="53"/>
        <v>-5.3751855140006195E-2</v>
      </c>
    </row>
    <row r="572" spans="1:24" ht="14.5" x14ac:dyDescent="0.35">
      <c r="A572" s="52">
        <v>44566</v>
      </c>
      <c r="B572" s="51">
        <v>2618</v>
      </c>
      <c r="C572" s="1">
        <f t="shared" si="54"/>
        <v>6.8992224602719334E-3</v>
      </c>
      <c r="R572" s="28">
        <v>571</v>
      </c>
      <c r="S572" s="29">
        <v>-9.9354205887778983E-4</v>
      </c>
      <c r="T572" s="41">
        <f t="shared" si="50"/>
        <v>0</v>
      </c>
      <c r="U572" s="4">
        <f t="shared" si="51"/>
        <v>-4.9411423549402554E-2</v>
      </c>
      <c r="V572" s="15">
        <f t="shared" si="55"/>
        <v>0.45527156549520764</v>
      </c>
      <c r="W572" s="33">
        <f t="shared" si="52"/>
        <v>-0.11235349046295551</v>
      </c>
      <c r="X572" s="4">
        <f t="shared" si="53"/>
        <v>-4.9411423549402554E-2</v>
      </c>
    </row>
    <row r="573" spans="1:24" ht="14.5" x14ac:dyDescent="0.35">
      <c r="A573" s="52">
        <v>44565</v>
      </c>
      <c r="B573" s="51">
        <v>2600</v>
      </c>
      <c r="C573" s="1">
        <f t="shared" si="54"/>
        <v>6.1728591070810161E-3</v>
      </c>
      <c r="R573" s="28">
        <v>572</v>
      </c>
      <c r="S573" s="29">
        <v>-9.6665063109498996E-4</v>
      </c>
      <c r="T573" s="41">
        <f t="shared" si="50"/>
        <v>0</v>
      </c>
      <c r="U573" s="4">
        <f t="shared" si="51"/>
        <v>-4.7993283542544507E-2</v>
      </c>
      <c r="V573" s="15">
        <f t="shared" si="55"/>
        <v>0.45607028753993611</v>
      </c>
      <c r="W573" s="33">
        <f t="shared" si="52"/>
        <v>-0.11033894132511878</v>
      </c>
      <c r="X573" s="4">
        <f t="shared" si="53"/>
        <v>-4.7993283542544507E-2</v>
      </c>
    </row>
    <row r="574" spans="1:24" ht="14.5" x14ac:dyDescent="0.35">
      <c r="A574" s="52">
        <v>44564</v>
      </c>
      <c r="B574" s="51">
        <v>2584</v>
      </c>
      <c r="C574" s="1">
        <f t="shared" si="54"/>
        <v>2.5079684397023391E-2</v>
      </c>
      <c r="R574" s="28">
        <v>573</v>
      </c>
      <c r="S574" s="29">
        <v>-8.4068941479323528E-4</v>
      </c>
      <c r="T574" s="41">
        <f t="shared" si="50"/>
        <v>0</v>
      </c>
      <c r="U574" s="4">
        <f t="shared" si="51"/>
        <v>-4.1350622483682001E-2</v>
      </c>
      <c r="V574" s="15">
        <f t="shared" si="55"/>
        <v>0.45686900958466453</v>
      </c>
      <c r="W574" s="33">
        <f t="shared" si="52"/>
        <v>-0.10832483988868906</v>
      </c>
      <c r="X574" s="4">
        <f t="shared" si="53"/>
        <v>-4.1350622483682001E-2</v>
      </c>
    </row>
    <row r="575" spans="1:24" ht="14.5" x14ac:dyDescent="0.35">
      <c r="A575" s="52">
        <v>44560</v>
      </c>
      <c r="B575" s="51">
        <v>2520</v>
      </c>
      <c r="C575" s="1">
        <f t="shared" si="54"/>
        <v>7.9681696491768813E-3</v>
      </c>
      <c r="R575" s="28">
        <v>574</v>
      </c>
      <c r="S575" s="29">
        <v>-8.3857447262102741E-4</v>
      </c>
      <c r="T575" s="41">
        <f t="shared" si="50"/>
        <v>0</v>
      </c>
      <c r="U575" s="4">
        <f t="shared" si="51"/>
        <v>-4.1239089391024213E-2</v>
      </c>
      <c r="V575" s="15">
        <f t="shared" si="55"/>
        <v>0.45766773162939295</v>
      </c>
      <c r="W575" s="33">
        <f t="shared" si="52"/>
        <v>-0.10631117778789692</v>
      </c>
      <c r="X575" s="4">
        <f t="shared" si="53"/>
        <v>-4.1239089391024213E-2</v>
      </c>
    </row>
    <row r="576" spans="1:24" ht="14.5" x14ac:dyDescent="0.35">
      <c r="A576" s="52">
        <v>44559</v>
      </c>
      <c r="B576" s="51">
        <v>2500</v>
      </c>
      <c r="C576" s="1">
        <f t="shared" si="54"/>
        <v>2.4292692569044483E-2</v>
      </c>
      <c r="R576" s="28">
        <v>575</v>
      </c>
      <c r="S576" s="29">
        <v>-8.3717041306365862E-4</v>
      </c>
      <c r="T576" s="41">
        <f t="shared" si="50"/>
        <v>0</v>
      </c>
      <c r="U576" s="4">
        <f t="shared" si="51"/>
        <v>-4.116504523664169E-2</v>
      </c>
      <c r="V576" s="15">
        <f t="shared" si="55"/>
        <v>0.45846645367412142</v>
      </c>
      <c r="W576" s="33">
        <f t="shared" si="52"/>
        <v>-0.10429794666957114</v>
      </c>
      <c r="X576" s="4">
        <f t="shared" si="53"/>
        <v>-4.116504523664169E-2</v>
      </c>
    </row>
    <row r="577" spans="1:24" ht="14.5" x14ac:dyDescent="0.35">
      <c r="A577" s="52">
        <v>44558</v>
      </c>
      <c r="B577" s="51">
        <v>2440</v>
      </c>
      <c r="C577" s="1">
        <f t="shared" si="54"/>
        <v>-5.7213069836091653E-3</v>
      </c>
      <c r="R577" s="28">
        <v>576</v>
      </c>
      <c r="S577" s="29">
        <v>-8.34376352119561E-4</v>
      </c>
      <c r="T577" s="41">
        <f t="shared" si="50"/>
        <v>0</v>
      </c>
      <c r="U577" s="4">
        <f t="shared" si="51"/>
        <v>-4.1017698296255033E-2</v>
      </c>
      <c r="V577" s="15">
        <f t="shared" si="55"/>
        <v>0.45926517571884984</v>
      </c>
      <c r="W577" s="33">
        <f t="shared" si="52"/>
        <v>-0.10228513819288991</v>
      </c>
      <c r="X577" s="4">
        <f t="shared" si="53"/>
        <v>-4.1017698296255033E-2</v>
      </c>
    </row>
    <row r="578" spans="1:24" ht="14.5" x14ac:dyDescent="0.35">
      <c r="A578" s="52">
        <v>44557</v>
      </c>
      <c r="B578" s="51">
        <v>2454</v>
      </c>
      <c r="C578" s="1">
        <f t="shared" si="54"/>
        <v>-6.4988043511661278E-3</v>
      </c>
      <c r="R578" s="28">
        <v>577</v>
      </c>
      <c r="S578" s="29">
        <v>-8.3368074857745312E-4</v>
      </c>
      <c r="T578" s="41">
        <f t="shared" si="50"/>
        <v>0</v>
      </c>
      <c r="U578" s="4">
        <f t="shared" si="51"/>
        <v>-4.0981015111563504E-2</v>
      </c>
      <c r="V578" s="15">
        <f t="shared" si="55"/>
        <v>0.46006389776357826</v>
      </c>
      <c r="W578" s="33">
        <f t="shared" si="52"/>
        <v>-0.10027274402913136</v>
      </c>
      <c r="X578" s="4">
        <f t="shared" si="53"/>
        <v>-4.0981015111563504E-2</v>
      </c>
    </row>
    <row r="579" spans="1:24" ht="14.5" x14ac:dyDescent="0.35">
      <c r="A579" s="52">
        <v>44553</v>
      </c>
      <c r="B579" s="51">
        <v>2470</v>
      </c>
      <c r="C579" s="1">
        <f t="shared" si="54"/>
        <v>0</v>
      </c>
      <c r="R579" s="28">
        <v>578</v>
      </c>
      <c r="S579" s="29">
        <v>-8.3368074857745312E-4</v>
      </c>
      <c r="T579" s="41">
        <f t="shared" ref="T579:T642" si="56">+IF(OR(S579&lt;($Z$3-3*$Z$4^0.5),S579&gt;($Z$3+3*$Z$4^0.5)),1,0)</f>
        <v>0</v>
      </c>
      <c r="U579" s="4">
        <f t="shared" ref="U579:U642" si="57">+(S579-AVERAGE($S$2:$S$1252))/_xlfn.STDEV.S($S$2:$S$1252)</f>
        <v>-4.0981015111563504E-2</v>
      </c>
      <c r="V579" s="15">
        <f t="shared" si="55"/>
        <v>0.46086261980830673</v>
      </c>
      <c r="W579" s="33">
        <f t="shared" ref="W579:W642" si="58">+_xlfn.NORM.S.INV(V579)</f>
        <v>-9.8260755861426574E-2</v>
      </c>
      <c r="X579" s="4">
        <f t="shared" ref="X579:X642" si="59">+U579</f>
        <v>-4.0981015111563504E-2</v>
      </c>
    </row>
    <row r="580" spans="1:24" ht="14.5" x14ac:dyDescent="0.35">
      <c r="A580" s="52">
        <v>44552</v>
      </c>
      <c r="B580" s="51">
        <v>2470</v>
      </c>
      <c r="C580" s="1">
        <f t="shared" ref="C580:C643" si="60">+LN(B580/B581)</f>
        <v>1.2220111334775397E-2</v>
      </c>
      <c r="R580" s="28">
        <v>579</v>
      </c>
      <c r="S580" s="29">
        <v>-8.2068121142922067E-4</v>
      </c>
      <c r="T580" s="41">
        <f t="shared" si="56"/>
        <v>0</v>
      </c>
      <c r="U580" s="4">
        <f t="shared" si="57"/>
        <v>-4.0295474579857812E-2</v>
      </c>
      <c r="V580" s="15">
        <f t="shared" ref="V580:V643" si="61">+R579/1252</f>
        <v>0.46166134185303515</v>
      </c>
      <c r="W580" s="33">
        <f t="shared" si="58"/>
        <v>-9.6249165384513127E-2</v>
      </c>
      <c r="X580" s="4">
        <f t="shared" si="59"/>
        <v>-4.0295474579857812E-2</v>
      </c>
    </row>
    <row r="581" spans="1:24" ht="14.5" x14ac:dyDescent="0.35">
      <c r="A581" s="52">
        <v>44551</v>
      </c>
      <c r="B581" s="51">
        <v>2440</v>
      </c>
      <c r="C581" s="1">
        <f t="shared" si="60"/>
        <v>8.2000824603074601E-4</v>
      </c>
      <c r="R581" s="28">
        <v>580</v>
      </c>
      <c r="S581" s="29">
        <v>-8.179959556316983E-4</v>
      </c>
      <c r="T581" s="41">
        <f t="shared" si="56"/>
        <v>0</v>
      </c>
      <c r="U581" s="4">
        <f t="shared" si="57"/>
        <v>-4.0153865562074474E-2</v>
      </c>
      <c r="V581" s="15">
        <f t="shared" si="61"/>
        <v>0.46246006389776356</v>
      </c>
      <c r="W581" s="33">
        <f t="shared" si="58"/>
        <v>-9.4237964304488581E-2</v>
      </c>
      <c r="X581" s="4">
        <f t="shared" si="59"/>
        <v>-4.0153865562074474E-2</v>
      </c>
    </row>
    <row r="582" spans="1:24" ht="14.5" x14ac:dyDescent="0.35">
      <c r="A582" s="52">
        <v>44550</v>
      </c>
      <c r="B582" s="51">
        <v>2438</v>
      </c>
      <c r="C582" s="1">
        <f t="shared" si="60"/>
        <v>-4.9099934975557818E-3</v>
      </c>
      <c r="R582" s="28">
        <v>581</v>
      </c>
      <c r="S582" s="29">
        <v>-8.1466399617633573E-4</v>
      </c>
      <c r="T582" s="41">
        <f t="shared" si="56"/>
        <v>0</v>
      </c>
      <c r="U582" s="4">
        <f t="shared" si="57"/>
        <v>-3.9978152132388117E-2</v>
      </c>
      <c r="V582" s="15">
        <f t="shared" si="61"/>
        <v>0.46325878594249204</v>
      </c>
      <c r="W582" s="33">
        <f t="shared" si="58"/>
        <v>-9.2227144338565867E-2</v>
      </c>
      <c r="X582" s="4">
        <f t="shared" si="59"/>
        <v>-3.9978152132388117E-2</v>
      </c>
    </row>
    <row r="583" spans="1:24" ht="14.5" x14ac:dyDescent="0.35">
      <c r="A583" s="52">
        <v>44547</v>
      </c>
      <c r="B583" s="51">
        <v>2450</v>
      </c>
      <c r="C583" s="1">
        <f t="shared" si="60"/>
        <v>4.0899852515250664E-3</v>
      </c>
      <c r="R583" s="28">
        <v>582</v>
      </c>
      <c r="S583" s="29">
        <v>-7.6248574033448168E-4</v>
      </c>
      <c r="T583" s="41">
        <f t="shared" si="56"/>
        <v>0</v>
      </c>
      <c r="U583" s="4">
        <f t="shared" si="57"/>
        <v>-3.722649191207298E-2</v>
      </c>
      <c r="V583" s="15">
        <f t="shared" si="61"/>
        <v>0.46405750798722045</v>
      </c>
      <c r="W583" s="33">
        <f t="shared" si="58"/>
        <v>-9.0216697214829542E-2</v>
      </c>
      <c r="X583" s="4">
        <f t="shared" si="59"/>
        <v>-3.722649191207298E-2</v>
      </c>
    </row>
    <row r="584" spans="1:24" ht="14.5" x14ac:dyDescent="0.35">
      <c r="A584" s="52">
        <v>44546</v>
      </c>
      <c r="B584" s="51">
        <v>2440</v>
      </c>
      <c r="C584" s="1">
        <f t="shared" si="60"/>
        <v>8.2304991365154435E-3</v>
      </c>
      <c r="R584" s="28">
        <v>583</v>
      </c>
      <c r="S584" s="29">
        <v>-7.437709528446524E-4</v>
      </c>
      <c r="T584" s="41">
        <f t="shared" si="56"/>
        <v>0</v>
      </c>
      <c r="U584" s="4">
        <f t="shared" si="57"/>
        <v>-3.6239553283394114E-2</v>
      </c>
      <c r="V584" s="15">
        <f t="shared" si="61"/>
        <v>0.46485623003194887</v>
      </c>
      <c r="W584" s="33">
        <f t="shared" si="58"/>
        <v>-8.8206614671991687E-2</v>
      </c>
      <c r="X584" s="4">
        <f t="shared" si="59"/>
        <v>-3.6239553283394114E-2</v>
      </c>
    </row>
    <row r="585" spans="1:24" ht="14.5" x14ac:dyDescent="0.35">
      <c r="A585" s="52">
        <v>44545</v>
      </c>
      <c r="B585" s="51">
        <v>2420</v>
      </c>
      <c r="C585" s="1">
        <f t="shared" si="60"/>
        <v>-4.1237171838620409E-3</v>
      </c>
      <c r="R585" s="28">
        <v>584</v>
      </c>
      <c r="S585" s="29">
        <v>-7.2806701432362008E-4</v>
      </c>
      <c r="T585" s="41">
        <f t="shared" si="56"/>
        <v>0</v>
      </c>
      <c r="U585" s="4">
        <f t="shared" si="57"/>
        <v>-3.5411394077353012E-2</v>
      </c>
      <c r="V585" s="15">
        <f t="shared" si="61"/>
        <v>0.46565495207667734</v>
      </c>
      <c r="W585" s="33">
        <f t="shared" si="58"/>
        <v>-8.6196888459149704E-2</v>
      </c>
      <c r="X585" s="4">
        <f t="shared" si="59"/>
        <v>-3.5411394077353012E-2</v>
      </c>
    </row>
    <row r="586" spans="1:24" ht="14.5" x14ac:dyDescent="0.35">
      <c r="A586" s="52">
        <v>44544</v>
      </c>
      <c r="B586" s="51">
        <v>2430</v>
      </c>
      <c r="C586" s="1">
        <f t="shared" si="60"/>
        <v>3.2976122215566729E-3</v>
      </c>
      <c r="R586" s="28">
        <v>585</v>
      </c>
      <c r="S586" s="29">
        <v>-7.2332733714302797E-4</v>
      </c>
      <c r="T586" s="41">
        <f t="shared" si="56"/>
        <v>0</v>
      </c>
      <c r="U586" s="4">
        <f t="shared" si="57"/>
        <v>-3.5161443577004757E-2</v>
      </c>
      <c r="V586" s="15">
        <f t="shared" si="61"/>
        <v>0.46645367412140576</v>
      </c>
      <c r="W586" s="33">
        <f t="shared" si="58"/>
        <v>-8.4187510335545057E-2</v>
      </c>
      <c r="X586" s="4">
        <f t="shared" si="59"/>
        <v>-3.5161443577004757E-2</v>
      </c>
    </row>
    <row r="587" spans="1:24" ht="14.5" x14ac:dyDescent="0.35">
      <c r="A587" s="52">
        <v>44543</v>
      </c>
      <c r="B587" s="51">
        <v>2422</v>
      </c>
      <c r="C587" s="1">
        <f t="shared" si="60"/>
        <v>-9.8603921340801402E-3</v>
      </c>
      <c r="R587" s="28">
        <v>586</v>
      </c>
      <c r="S587" s="29">
        <v>-7.1403073365706277E-4</v>
      </c>
      <c r="T587" s="41">
        <f t="shared" si="56"/>
        <v>0</v>
      </c>
      <c r="U587" s="4">
        <f t="shared" si="57"/>
        <v>-3.4671180083454746E-2</v>
      </c>
      <c r="V587" s="15">
        <f t="shared" si="61"/>
        <v>0.46725239616613418</v>
      </c>
      <c r="W587" s="33">
        <f t="shared" si="58"/>
        <v>-8.2178472070321293E-2</v>
      </c>
      <c r="X587" s="4">
        <f t="shared" si="59"/>
        <v>-3.4671180083454746E-2</v>
      </c>
    </row>
    <row r="588" spans="1:24" ht="14.5" x14ac:dyDescent="0.35">
      <c r="A588" s="52">
        <v>44540</v>
      </c>
      <c r="B588" s="51">
        <v>2446</v>
      </c>
      <c r="C588" s="1">
        <f t="shared" si="60"/>
        <v>-4.0799730199154189E-3</v>
      </c>
      <c r="R588" s="28">
        <v>587</v>
      </c>
      <c r="S588" s="29">
        <v>-7.1352125752835579E-4</v>
      </c>
      <c r="T588" s="41">
        <f t="shared" si="56"/>
        <v>0</v>
      </c>
      <c r="U588" s="4">
        <f t="shared" si="57"/>
        <v>-3.4644312470232641E-2</v>
      </c>
      <c r="V588" s="15">
        <f t="shared" si="61"/>
        <v>0.46805111821086259</v>
      </c>
      <c r="W588" s="33">
        <f t="shared" si="58"/>
        <v>-8.0169765442284449E-2</v>
      </c>
      <c r="X588" s="4">
        <f t="shared" si="59"/>
        <v>-3.4644312470232641E-2</v>
      </c>
    </row>
    <row r="589" spans="1:24" ht="14.5" x14ac:dyDescent="0.35">
      <c r="A589" s="52">
        <v>44539</v>
      </c>
      <c r="B589" s="51">
        <v>2456</v>
      </c>
      <c r="C589" s="1">
        <f t="shared" si="60"/>
        <v>8.1466399617628358E-4</v>
      </c>
      <c r="R589" s="28">
        <v>588</v>
      </c>
      <c r="S589" s="29">
        <v>-7.1149060276404924E-4</v>
      </c>
      <c r="T589" s="41">
        <f t="shared" si="56"/>
        <v>0</v>
      </c>
      <c r="U589" s="4">
        <f t="shared" si="57"/>
        <v>-3.4537224338481526E-2</v>
      </c>
      <c r="V589" s="15">
        <f t="shared" si="61"/>
        <v>0.46884984025559107</v>
      </c>
      <c r="W589" s="33">
        <f t="shared" si="58"/>
        <v>-7.8161382239663096E-2</v>
      </c>
      <c r="X589" s="4">
        <f t="shared" si="59"/>
        <v>-3.4537224338481526E-2</v>
      </c>
    </row>
    <row r="590" spans="1:24" ht="14.5" x14ac:dyDescent="0.35">
      <c r="A590" s="52">
        <v>44538</v>
      </c>
      <c r="B590" s="51">
        <v>2454</v>
      </c>
      <c r="C590" s="1">
        <f t="shared" si="60"/>
        <v>-8.1466399617633573E-4</v>
      </c>
      <c r="R590" s="28">
        <v>589</v>
      </c>
      <c r="S590" s="29">
        <v>-7.0497006796982125E-4</v>
      </c>
      <c r="T590" s="41">
        <f t="shared" si="56"/>
        <v>0</v>
      </c>
      <c r="U590" s="4">
        <f t="shared" si="57"/>
        <v>-3.4193358950132043E-2</v>
      </c>
      <c r="V590" s="15">
        <f t="shared" si="61"/>
        <v>0.46964856230031948</v>
      </c>
      <c r="W590" s="33">
        <f t="shared" si="58"/>
        <v>-7.6153314259870111E-2</v>
      </c>
      <c r="X590" s="4">
        <f t="shared" si="59"/>
        <v>-3.4193358950132043E-2</v>
      </c>
    </row>
    <row r="591" spans="1:24" ht="14.5" x14ac:dyDescent="0.35">
      <c r="A591" s="52">
        <v>44537</v>
      </c>
      <c r="B591" s="51">
        <v>2456</v>
      </c>
      <c r="C591" s="1">
        <f t="shared" si="60"/>
        <v>8.9980157195605828E-3</v>
      </c>
      <c r="R591" s="28">
        <v>590</v>
      </c>
      <c r="S591" s="29">
        <v>-6.8050359890472621E-4</v>
      </c>
      <c r="T591" s="41">
        <f t="shared" si="56"/>
        <v>0</v>
      </c>
      <c r="U591" s="4">
        <f t="shared" si="57"/>
        <v>-3.290310099551505E-2</v>
      </c>
      <c r="V591" s="15">
        <f t="shared" si="61"/>
        <v>0.4704472843450479</v>
      </c>
      <c r="W591" s="33">
        <f t="shared" si="58"/>
        <v>-7.4145553309263604E-2</v>
      </c>
      <c r="X591" s="4">
        <f t="shared" si="59"/>
        <v>-3.290310099551505E-2</v>
      </c>
    </row>
    <row r="592" spans="1:24" ht="14.5" x14ac:dyDescent="0.35">
      <c r="A592" s="52">
        <v>44536</v>
      </c>
      <c r="B592" s="51">
        <v>2434</v>
      </c>
      <c r="C592" s="1">
        <f t="shared" si="60"/>
        <v>9.9092470627717682E-3</v>
      </c>
      <c r="R592" s="28">
        <v>591</v>
      </c>
      <c r="S592" s="29">
        <v>-6.7544750963807797E-4</v>
      </c>
      <c r="T592" s="41">
        <f t="shared" si="56"/>
        <v>0</v>
      </c>
      <c r="U592" s="4">
        <f t="shared" si="57"/>
        <v>-3.2636464261861745E-2</v>
      </c>
      <c r="V592" s="15">
        <f t="shared" si="61"/>
        <v>0.47124600638977637</v>
      </c>
      <c r="W592" s="33">
        <f t="shared" si="58"/>
        <v>-7.2138091202909815E-2</v>
      </c>
      <c r="X592" s="4">
        <f t="shared" si="59"/>
        <v>-3.2636464261861745E-2</v>
      </c>
    </row>
    <row r="593" spans="1:24" ht="14.5" x14ac:dyDescent="0.35">
      <c r="A593" s="52">
        <v>44533</v>
      </c>
      <c r="B593" s="51">
        <v>2410</v>
      </c>
      <c r="C593" s="1">
        <f t="shared" si="60"/>
        <v>-9.9092470627718046E-3</v>
      </c>
      <c r="R593" s="28">
        <v>592</v>
      </c>
      <c r="S593" s="29">
        <v>-6.7499158823336523E-4</v>
      </c>
      <c r="T593" s="41">
        <f t="shared" si="56"/>
        <v>0</v>
      </c>
      <c r="U593" s="4">
        <f t="shared" si="57"/>
        <v>-3.2612420897960494E-2</v>
      </c>
      <c r="V593" s="15">
        <f t="shared" si="61"/>
        <v>0.47204472843450479</v>
      </c>
      <c r="W593" s="33">
        <f t="shared" si="58"/>
        <v>-7.0130919764346697E-2</v>
      </c>
      <c r="X593" s="4">
        <f t="shared" si="59"/>
        <v>-3.2612420897960494E-2</v>
      </c>
    </row>
    <row r="594" spans="1:24" ht="14.5" x14ac:dyDescent="0.35">
      <c r="A594" s="52">
        <v>44532</v>
      </c>
      <c r="B594" s="51">
        <v>2434</v>
      </c>
      <c r="C594" s="1">
        <f t="shared" si="60"/>
        <v>-4.9180426996451448E-3</v>
      </c>
      <c r="R594" s="28">
        <v>593</v>
      </c>
      <c r="S594" s="29">
        <v>-6.7181729097181805E-4</v>
      </c>
      <c r="T594" s="41">
        <f t="shared" si="56"/>
        <v>0</v>
      </c>
      <c r="U594" s="4">
        <f t="shared" si="57"/>
        <v>-3.2445021904622576E-2</v>
      </c>
      <c r="V594" s="15">
        <f t="shared" si="61"/>
        <v>0.47284345047923321</v>
      </c>
      <c r="W594" s="33">
        <f t="shared" si="58"/>
        <v>-6.812403082534671E-2</v>
      </c>
      <c r="X594" s="4">
        <f t="shared" si="59"/>
        <v>-3.2445021904622576E-2</v>
      </c>
    </row>
    <row r="595" spans="1:24" ht="14.5" x14ac:dyDescent="0.35">
      <c r="A595" s="52">
        <v>44531</v>
      </c>
      <c r="B595" s="51">
        <v>2446</v>
      </c>
      <c r="C595" s="1">
        <f t="shared" si="60"/>
        <v>1.2340757192412188E-2</v>
      </c>
      <c r="R595" s="28">
        <v>594</v>
      </c>
      <c r="S595" s="29">
        <v>-6.6555742889445402E-4</v>
      </c>
      <c r="T595" s="41">
        <f t="shared" si="56"/>
        <v>0</v>
      </c>
      <c r="U595" s="4">
        <f t="shared" si="57"/>
        <v>-3.2114903291322265E-2</v>
      </c>
      <c r="V595" s="15">
        <f t="shared" si="61"/>
        <v>0.47364217252396168</v>
      </c>
      <c r="W595" s="33">
        <f t="shared" si="58"/>
        <v>-6.6117416225681749E-2</v>
      </c>
      <c r="X595" s="4">
        <f t="shared" si="59"/>
        <v>-3.2114903291322265E-2</v>
      </c>
    </row>
    <row r="596" spans="1:24" ht="14.5" x14ac:dyDescent="0.35">
      <c r="A596" s="52">
        <v>44530</v>
      </c>
      <c r="B596" s="51">
        <v>2416</v>
      </c>
      <c r="C596" s="1">
        <f t="shared" si="60"/>
        <v>-9.8847592325419734E-3</v>
      </c>
      <c r="R596" s="28">
        <v>595</v>
      </c>
      <c r="S596" s="29">
        <v>-6.4620357660626776E-4</v>
      </c>
      <c r="T596" s="41">
        <f t="shared" si="56"/>
        <v>0</v>
      </c>
      <c r="U596" s="4">
        <f t="shared" si="57"/>
        <v>-3.1094263091836345E-2</v>
      </c>
      <c r="V596" s="15">
        <f t="shared" si="61"/>
        <v>0.4744408945686901</v>
      </c>
      <c r="W596" s="33">
        <f t="shared" si="58"/>
        <v>-6.411106781288832E-2</v>
      </c>
      <c r="X596" s="4">
        <f t="shared" si="59"/>
        <v>-3.1094263091836345E-2</v>
      </c>
    </row>
    <row r="597" spans="1:24" ht="14.5" x14ac:dyDescent="0.35">
      <c r="A597" s="52">
        <v>44529</v>
      </c>
      <c r="B597" s="51">
        <v>2440</v>
      </c>
      <c r="C597" s="1">
        <f t="shared" si="60"/>
        <v>-4.0899852515251661E-3</v>
      </c>
      <c r="R597" s="28">
        <v>596</v>
      </c>
      <c r="S597" s="29">
        <v>-6.4412240552302088E-4</v>
      </c>
      <c r="T597" s="41">
        <f t="shared" si="56"/>
        <v>0</v>
      </c>
      <c r="U597" s="4">
        <f t="shared" si="57"/>
        <v>-3.098451094337823E-2</v>
      </c>
      <c r="V597" s="15">
        <f t="shared" si="61"/>
        <v>0.47523961661341851</v>
      </c>
      <c r="W597" s="33">
        <f t="shared" si="58"/>
        <v>-6.2104977442032354E-2</v>
      </c>
      <c r="X597" s="4">
        <f t="shared" si="59"/>
        <v>-3.098451094337823E-2</v>
      </c>
    </row>
    <row r="598" spans="1:24" ht="14.5" x14ac:dyDescent="0.35">
      <c r="A598" s="52">
        <v>44526</v>
      </c>
      <c r="B598" s="51">
        <v>2450</v>
      </c>
      <c r="C598" s="1">
        <f t="shared" si="60"/>
        <v>-9.7482494136605907E-3</v>
      </c>
      <c r="R598" s="28">
        <v>597</v>
      </c>
      <c r="S598" s="29">
        <v>-6.1143383133855928E-4</v>
      </c>
      <c r="T598" s="41">
        <f t="shared" si="56"/>
        <v>0</v>
      </c>
      <c r="U598" s="4">
        <f t="shared" si="57"/>
        <v>-2.9260653988197046E-2</v>
      </c>
      <c r="V598" s="15">
        <f t="shared" si="61"/>
        <v>0.47603833865814699</v>
      </c>
      <c r="W598" s="33">
        <f t="shared" si="58"/>
        <v>-6.0099136975475621E-2</v>
      </c>
      <c r="X598" s="4">
        <f t="shared" si="59"/>
        <v>-2.9260653988197046E-2</v>
      </c>
    </row>
    <row r="599" spans="1:24" ht="14.5" x14ac:dyDescent="0.35">
      <c r="A599" s="52">
        <v>44525</v>
      </c>
      <c r="B599" s="51">
        <v>2474</v>
      </c>
      <c r="C599" s="1">
        <f t="shared" si="60"/>
        <v>-2.5540095321899797E-2</v>
      </c>
      <c r="R599" s="28">
        <v>598</v>
      </c>
      <c r="S599" s="53">
        <v>-6.0994207441442225E-4</v>
      </c>
      <c r="T599" s="41">
        <f t="shared" si="56"/>
        <v>0</v>
      </c>
      <c r="U599" s="4">
        <f t="shared" si="57"/>
        <v>-2.918198504611955E-2</v>
      </c>
      <c r="V599" s="15">
        <f t="shared" si="61"/>
        <v>0.4768370607028754</v>
      </c>
      <c r="W599" s="33">
        <f t="shared" si="58"/>
        <v>-5.8093538282642784E-2</v>
      </c>
      <c r="X599" s="4">
        <f t="shared" si="59"/>
        <v>-2.918198504611955E-2</v>
      </c>
    </row>
    <row r="600" spans="1:24" ht="14.5" x14ac:dyDescent="0.35">
      <c r="A600" s="52">
        <v>44524</v>
      </c>
      <c r="B600" s="51">
        <v>2538</v>
      </c>
      <c r="C600" s="1">
        <f t="shared" si="60"/>
        <v>-3.1471308430188502E-3</v>
      </c>
      <c r="R600" s="28">
        <v>599</v>
      </c>
      <c r="S600" s="29">
        <v>-5.9154098146113783E-4</v>
      </c>
      <c r="T600" s="41">
        <f t="shared" si="56"/>
        <v>0</v>
      </c>
      <c r="U600" s="4">
        <f t="shared" si="57"/>
        <v>-2.8211589338694255E-2</v>
      </c>
      <c r="V600" s="15">
        <f t="shared" si="61"/>
        <v>0.47763578274760382</v>
      </c>
      <c r="W600" s="33">
        <f t="shared" si="58"/>
        <v>-5.6088173239787632E-2</v>
      </c>
      <c r="X600" s="4">
        <f t="shared" si="59"/>
        <v>-2.8211589338694255E-2</v>
      </c>
    </row>
    <row r="601" spans="1:24" ht="14.5" x14ac:dyDescent="0.35">
      <c r="A601" s="52">
        <v>44523</v>
      </c>
      <c r="B601" s="51">
        <v>2546</v>
      </c>
      <c r="C601" s="1">
        <f t="shared" si="60"/>
        <v>4.663224278275778E-2</v>
      </c>
      <c r="R601" s="28">
        <v>600</v>
      </c>
      <c r="S601" s="29">
        <v>-5.5756901360858621E-4</v>
      </c>
      <c r="T601" s="41">
        <f t="shared" si="56"/>
        <v>0</v>
      </c>
      <c r="U601" s="4">
        <f t="shared" si="57"/>
        <v>-2.6420051637069744E-2</v>
      </c>
      <c r="V601" s="15">
        <f t="shared" si="61"/>
        <v>0.47843450479233229</v>
      </c>
      <c r="W601" s="33">
        <f t="shared" si="58"/>
        <v>-5.4083033729761192E-2</v>
      </c>
      <c r="X601" s="4">
        <f t="shared" si="59"/>
        <v>-2.6420051637069744E-2</v>
      </c>
    </row>
    <row r="602" spans="1:24" ht="14.5" x14ac:dyDescent="0.35">
      <c r="A602" s="52">
        <v>44522</v>
      </c>
      <c r="B602" s="51">
        <v>2430</v>
      </c>
      <c r="C602" s="1">
        <f t="shared" si="60"/>
        <v>-2.4660924951935542E-3</v>
      </c>
      <c r="R602" s="28">
        <v>601</v>
      </c>
      <c r="S602" s="29">
        <v>-5.3604932937325071E-4</v>
      </c>
      <c r="T602" s="41">
        <f t="shared" si="56"/>
        <v>0</v>
      </c>
      <c r="U602" s="4">
        <f t="shared" si="57"/>
        <v>-2.5285194633731252E-2</v>
      </c>
      <c r="V602" s="15">
        <f t="shared" si="61"/>
        <v>0.47923322683706071</v>
      </c>
      <c r="W602" s="33">
        <f t="shared" si="58"/>
        <v>-5.207811164178016E-2</v>
      </c>
      <c r="X602" s="4">
        <f t="shared" si="59"/>
        <v>-2.5285194633731252E-2</v>
      </c>
    </row>
    <row r="603" spans="1:24" ht="14.5" x14ac:dyDescent="0.35">
      <c r="A603" s="52">
        <v>44519</v>
      </c>
      <c r="B603" s="51">
        <v>2436</v>
      </c>
      <c r="C603" s="1">
        <f t="shared" si="60"/>
        <v>-3.3107585774504879E-2</v>
      </c>
      <c r="R603" s="28">
        <v>602</v>
      </c>
      <c r="S603" s="29">
        <v>0</v>
      </c>
      <c r="T603" s="41">
        <f t="shared" si="56"/>
        <v>0</v>
      </c>
      <c r="U603" s="4">
        <f t="shared" si="57"/>
        <v>2.9837766449102646E-3</v>
      </c>
      <c r="V603" s="15">
        <f t="shared" si="61"/>
        <v>0.48003194888178913</v>
      </c>
      <c r="W603" s="33">
        <f t="shared" si="58"/>
        <v>-5.0073398871194746E-2</v>
      </c>
      <c r="X603" s="4">
        <f t="shared" si="59"/>
        <v>2.9837766449102646E-3</v>
      </c>
    </row>
    <row r="604" spans="1:24" ht="14.5" x14ac:dyDescent="0.35">
      <c r="A604" s="52">
        <v>44518</v>
      </c>
      <c r="B604" s="51">
        <v>2518</v>
      </c>
      <c r="C604" s="1">
        <f t="shared" si="60"/>
        <v>3.9793128514810537E-3</v>
      </c>
      <c r="R604" s="28">
        <v>603</v>
      </c>
      <c r="S604" s="29">
        <v>0</v>
      </c>
      <c r="T604" s="41">
        <f t="shared" si="56"/>
        <v>0</v>
      </c>
      <c r="U604" s="4">
        <f t="shared" si="57"/>
        <v>2.9837766449102646E-3</v>
      </c>
      <c r="V604" s="15">
        <f t="shared" si="61"/>
        <v>0.48083067092651754</v>
      </c>
      <c r="W604" s="33">
        <f t="shared" si="58"/>
        <v>-4.8068887319258131E-2</v>
      </c>
      <c r="X604" s="4">
        <f t="shared" si="59"/>
        <v>2.9837766449102646E-3</v>
      </c>
    </row>
    <row r="605" spans="1:24" ht="14.5" x14ac:dyDescent="0.35">
      <c r="A605" s="52">
        <v>44517</v>
      </c>
      <c r="B605" s="51">
        <v>2508</v>
      </c>
      <c r="C605" s="1">
        <f t="shared" si="60"/>
        <v>2.3952107259548501E-3</v>
      </c>
      <c r="R605" s="28">
        <v>604</v>
      </c>
      <c r="S605" s="29">
        <v>0</v>
      </c>
      <c r="T605" s="41">
        <f t="shared" si="56"/>
        <v>0</v>
      </c>
      <c r="U605" s="4">
        <f t="shared" si="57"/>
        <v>2.9837766449102646E-3</v>
      </c>
      <c r="V605" s="15">
        <f t="shared" si="61"/>
        <v>0.48162939297124602</v>
      </c>
      <c r="W605" s="33">
        <f t="shared" si="58"/>
        <v>-4.6064568892895778E-2</v>
      </c>
      <c r="X605" s="4">
        <f t="shared" si="59"/>
        <v>2.9837766449102646E-3</v>
      </c>
    </row>
    <row r="606" spans="1:24" ht="14.5" x14ac:dyDescent="0.35">
      <c r="A606" s="52">
        <v>44516</v>
      </c>
      <c r="B606" s="51">
        <v>2502</v>
      </c>
      <c r="C606" s="1">
        <f t="shared" si="60"/>
        <v>-5.5799267934746504E-3</v>
      </c>
      <c r="R606" s="28">
        <v>605</v>
      </c>
      <c r="S606" s="29">
        <v>0</v>
      </c>
      <c r="T606" s="41">
        <f t="shared" si="56"/>
        <v>0</v>
      </c>
      <c r="U606" s="4">
        <f t="shared" si="57"/>
        <v>2.9837766449102646E-3</v>
      </c>
      <c r="V606" s="15">
        <f t="shared" si="61"/>
        <v>0.48242811501597443</v>
      </c>
      <c r="W606" s="33">
        <f t="shared" si="58"/>
        <v>-4.4060435504475734E-2</v>
      </c>
      <c r="X606" s="4">
        <f t="shared" si="59"/>
        <v>2.9837766449102646E-3</v>
      </c>
    </row>
    <row r="607" spans="1:24" ht="14.5" x14ac:dyDescent="0.35">
      <c r="A607" s="52">
        <v>44515</v>
      </c>
      <c r="B607" s="51">
        <v>2516</v>
      </c>
      <c r="C607" s="1">
        <f t="shared" si="60"/>
        <v>1.9262232795052708E-2</v>
      </c>
      <c r="R607" s="28">
        <v>606</v>
      </c>
      <c r="S607" s="29">
        <v>0</v>
      </c>
      <c r="T607" s="41">
        <f t="shared" si="56"/>
        <v>0</v>
      </c>
      <c r="U607" s="4">
        <f t="shared" si="57"/>
        <v>2.9837766449102646E-3</v>
      </c>
      <c r="V607" s="15">
        <f t="shared" si="61"/>
        <v>0.48322683706070285</v>
      </c>
      <c r="W607" s="33">
        <f t="shared" si="58"/>
        <v>-4.2056479071578133E-2</v>
      </c>
      <c r="X607" s="4">
        <f t="shared" si="59"/>
        <v>2.9837766449102646E-3</v>
      </c>
    </row>
    <row r="608" spans="1:24" ht="14.5" x14ac:dyDescent="0.35">
      <c r="A608" s="52">
        <v>44512</v>
      </c>
      <c r="B608" s="51">
        <v>2468</v>
      </c>
      <c r="C608" s="1">
        <f t="shared" si="60"/>
        <v>-3.2685253127193351E-2</v>
      </c>
      <c r="R608" s="28">
        <v>607</v>
      </c>
      <c r="S608" s="29">
        <v>0</v>
      </c>
      <c r="T608" s="41">
        <f t="shared" si="56"/>
        <v>0</v>
      </c>
      <c r="U608" s="4">
        <f t="shared" si="57"/>
        <v>2.9837766449102646E-3</v>
      </c>
      <c r="V608" s="15">
        <f t="shared" si="61"/>
        <v>0.48402555910543132</v>
      </c>
      <c r="W608" s="33">
        <f t="shared" si="58"/>
        <v>-4.0052691516766249E-2</v>
      </c>
      <c r="X608" s="4">
        <f t="shared" si="59"/>
        <v>2.9837766449102646E-3</v>
      </c>
    </row>
    <row r="609" spans="1:24" ht="14.5" x14ac:dyDescent="0.35">
      <c r="A609" s="52">
        <v>44511</v>
      </c>
      <c r="B609" s="51">
        <v>2550</v>
      </c>
      <c r="C609" s="1">
        <f t="shared" si="60"/>
        <v>-4.8976888098645949E-2</v>
      </c>
      <c r="R609" s="28">
        <v>608</v>
      </c>
      <c r="S609" s="29">
        <v>0</v>
      </c>
      <c r="T609" s="41">
        <f t="shared" si="56"/>
        <v>0</v>
      </c>
      <c r="U609" s="4">
        <f t="shared" si="57"/>
        <v>2.9837766449102646E-3</v>
      </c>
      <c r="V609" s="15">
        <f t="shared" si="61"/>
        <v>0.48482428115015974</v>
      </c>
      <c r="W609" s="33">
        <f t="shared" si="58"/>
        <v>-3.8049064767357928E-2</v>
      </c>
      <c r="X609" s="4">
        <f t="shared" si="59"/>
        <v>2.9837766449102646E-3</v>
      </c>
    </row>
    <row r="610" spans="1:24" ht="14.5" x14ac:dyDescent="0.35">
      <c r="A610" s="52">
        <v>44510</v>
      </c>
      <c r="B610" s="51">
        <v>2678</v>
      </c>
      <c r="C610" s="1">
        <f t="shared" si="60"/>
        <v>-1.7031141018285189E-2</v>
      </c>
      <c r="R610" s="28">
        <v>609</v>
      </c>
      <c r="S610" s="29">
        <v>0</v>
      </c>
      <c r="T610" s="41">
        <f t="shared" si="56"/>
        <v>0</v>
      </c>
      <c r="U610" s="4">
        <f t="shared" si="57"/>
        <v>2.9837766449102646E-3</v>
      </c>
      <c r="V610" s="15">
        <f t="shared" si="61"/>
        <v>0.48562300319488816</v>
      </c>
      <c r="W610" s="33">
        <f t="shared" si="58"/>
        <v>-3.6045590755196096E-2</v>
      </c>
      <c r="X610" s="4">
        <f t="shared" si="59"/>
        <v>2.9837766449102646E-3</v>
      </c>
    </row>
    <row r="611" spans="1:24" ht="14.5" x14ac:dyDescent="0.35">
      <c r="A611" s="52">
        <v>44509</v>
      </c>
      <c r="B611" s="51">
        <v>2724</v>
      </c>
      <c r="C611" s="1">
        <f t="shared" si="60"/>
        <v>8.8496152769826E-3</v>
      </c>
      <c r="R611" s="28">
        <v>610</v>
      </c>
      <c r="S611" s="29">
        <v>0</v>
      </c>
      <c r="T611" s="41">
        <f t="shared" si="56"/>
        <v>0</v>
      </c>
      <c r="U611" s="4">
        <f t="shared" si="57"/>
        <v>2.9837766449102646E-3</v>
      </c>
      <c r="V611" s="15">
        <f t="shared" si="61"/>
        <v>0.48642172523961663</v>
      </c>
      <c r="W611" s="33">
        <f t="shared" si="58"/>
        <v>-3.4042261416420902E-2</v>
      </c>
      <c r="X611" s="4">
        <f t="shared" si="59"/>
        <v>2.9837766449102646E-3</v>
      </c>
    </row>
    <row r="612" spans="1:24" ht="14.5" x14ac:dyDescent="0.35">
      <c r="A612" s="52">
        <v>44508</v>
      </c>
      <c r="B612" s="51">
        <v>2700</v>
      </c>
      <c r="C612" s="1">
        <f t="shared" si="60"/>
        <v>-2.0528580141128707E-2</v>
      </c>
      <c r="R612" s="28">
        <v>611</v>
      </c>
      <c r="S612" s="29">
        <v>0</v>
      </c>
      <c r="T612" s="41">
        <f t="shared" si="56"/>
        <v>0</v>
      </c>
      <c r="U612" s="4">
        <f t="shared" si="57"/>
        <v>2.9837766449102646E-3</v>
      </c>
      <c r="V612" s="15">
        <f t="shared" si="61"/>
        <v>0.48722044728434505</v>
      </c>
      <c r="W612" s="33">
        <f t="shared" si="58"/>
        <v>-3.2039068691242081E-2</v>
      </c>
      <c r="X612" s="4">
        <f t="shared" si="59"/>
        <v>2.9837766449102646E-3</v>
      </c>
    </row>
    <row r="613" spans="1:24" ht="14.5" x14ac:dyDescent="0.35">
      <c r="A613" s="52">
        <v>44505</v>
      </c>
      <c r="B613" s="51">
        <v>2756</v>
      </c>
      <c r="C613" s="1">
        <f t="shared" si="60"/>
        <v>-1.3693907683357985E-2</v>
      </c>
      <c r="R613" s="28">
        <v>612</v>
      </c>
      <c r="S613" s="29">
        <v>0</v>
      </c>
      <c r="T613" s="41">
        <f t="shared" si="56"/>
        <v>0</v>
      </c>
      <c r="U613" s="4">
        <f t="shared" si="57"/>
        <v>2.9837766449102646E-3</v>
      </c>
      <c r="V613" s="15">
        <f t="shared" si="61"/>
        <v>0.48801916932907347</v>
      </c>
      <c r="W613" s="33">
        <f t="shared" si="58"/>
        <v>-3.0036004523710504E-2</v>
      </c>
      <c r="X613" s="4">
        <f t="shared" si="59"/>
        <v>2.9837766449102646E-3</v>
      </c>
    </row>
    <row r="614" spans="1:24" ht="14.5" x14ac:dyDescent="0.35">
      <c r="A614" s="52">
        <v>44504</v>
      </c>
      <c r="B614" s="51">
        <v>2794</v>
      </c>
      <c r="C614" s="1">
        <f t="shared" si="60"/>
        <v>2.317265163790163E-2</v>
      </c>
      <c r="R614" s="28">
        <v>613</v>
      </c>
      <c r="S614" s="29">
        <v>0</v>
      </c>
      <c r="T614" s="41">
        <f t="shared" si="56"/>
        <v>0</v>
      </c>
      <c r="U614" s="4">
        <f t="shared" si="57"/>
        <v>2.9837766449102646E-3</v>
      </c>
      <c r="V614" s="15">
        <f t="shared" si="61"/>
        <v>0.48881789137380194</v>
      </c>
      <c r="W614" s="33">
        <f t="shared" si="58"/>
        <v>-2.803306086149111E-2</v>
      </c>
      <c r="X614" s="4">
        <f t="shared" si="59"/>
        <v>2.9837766449102646E-3</v>
      </c>
    </row>
    <row r="615" spans="1:24" ht="14.5" x14ac:dyDescent="0.35">
      <c r="A615" s="52">
        <v>44503</v>
      </c>
      <c r="B615" s="51">
        <v>2730</v>
      </c>
      <c r="C615" s="1">
        <f t="shared" si="60"/>
        <v>1.9978466930886295E-2</v>
      </c>
      <c r="R615" s="28">
        <v>614</v>
      </c>
      <c r="S615" s="29">
        <v>0</v>
      </c>
      <c r="T615" s="41">
        <f t="shared" si="56"/>
        <v>0</v>
      </c>
      <c r="U615" s="4">
        <f t="shared" si="57"/>
        <v>2.9837766449102646E-3</v>
      </c>
      <c r="V615" s="15">
        <f t="shared" si="61"/>
        <v>0.48961661341853036</v>
      </c>
      <c r="W615" s="33">
        <f t="shared" si="58"/>
        <v>-2.60302296556362E-2</v>
      </c>
      <c r="X615" s="4">
        <f t="shared" si="59"/>
        <v>2.9837766449102646E-3</v>
      </c>
    </row>
    <row r="616" spans="1:24" ht="14.5" x14ac:dyDescent="0.35">
      <c r="A616" s="52">
        <v>44502</v>
      </c>
      <c r="B616" s="51">
        <v>2676</v>
      </c>
      <c r="C616" s="1">
        <f t="shared" si="60"/>
        <v>5.9970194723742657E-3</v>
      </c>
      <c r="R616" s="28">
        <v>615</v>
      </c>
      <c r="S616" s="29">
        <v>0</v>
      </c>
      <c r="T616" s="41">
        <f t="shared" si="56"/>
        <v>0</v>
      </c>
      <c r="U616" s="4">
        <f t="shared" si="57"/>
        <v>2.9837766449102646E-3</v>
      </c>
      <c r="V616" s="15">
        <f t="shared" si="61"/>
        <v>0.49041533546325877</v>
      </c>
      <c r="W616" s="33">
        <f t="shared" si="58"/>
        <v>-2.4027502860357687E-2</v>
      </c>
      <c r="X616" s="4">
        <f t="shared" si="59"/>
        <v>2.9837766449102646E-3</v>
      </c>
    </row>
    <row r="617" spans="1:24" ht="14.5" x14ac:dyDescent="0.35">
      <c r="A617" s="52">
        <v>44498</v>
      </c>
      <c r="B617" s="51">
        <v>2660</v>
      </c>
      <c r="C617" s="1">
        <f t="shared" si="60"/>
        <v>2.2581868835918847E-3</v>
      </c>
      <c r="R617" s="28">
        <v>616</v>
      </c>
      <c r="S617" s="29">
        <v>0</v>
      </c>
      <c r="T617" s="41">
        <f t="shared" si="56"/>
        <v>0</v>
      </c>
      <c r="U617" s="4">
        <f t="shared" si="57"/>
        <v>2.9837766449102646E-3</v>
      </c>
      <c r="V617" s="15">
        <f t="shared" si="61"/>
        <v>0.49121405750798725</v>
      </c>
      <c r="W617" s="33">
        <f t="shared" si="58"/>
        <v>-2.2024872432800827E-2</v>
      </c>
      <c r="X617" s="4">
        <f t="shared" si="59"/>
        <v>2.9837766449102646E-3</v>
      </c>
    </row>
    <row r="618" spans="1:24" ht="14.5" x14ac:dyDescent="0.35">
      <c r="A618" s="52">
        <v>44497</v>
      </c>
      <c r="B618" s="51">
        <v>2654</v>
      </c>
      <c r="C618" s="1">
        <f t="shared" si="60"/>
        <v>-2.8233673286852612E-2</v>
      </c>
      <c r="R618" s="28">
        <v>617</v>
      </c>
      <c r="S618" s="29">
        <v>0</v>
      </c>
      <c r="T618" s="41">
        <f t="shared" si="56"/>
        <v>0</v>
      </c>
      <c r="U618" s="4">
        <f t="shared" si="57"/>
        <v>2.9837766449102646E-3</v>
      </c>
      <c r="V618" s="15">
        <f t="shared" si="61"/>
        <v>0.49201277955271566</v>
      </c>
      <c r="W618" s="33">
        <f t="shared" si="58"/>
        <v>-2.0022330332818215E-2</v>
      </c>
      <c r="X618" s="4">
        <f t="shared" si="59"/>
        <v>2.9837766449102646E-3</v>
      </c>
    </row>
    <row r="619" spans="1:24" ht="14.5" x14ac:dyDescent="0.35">
      <c r="A619" s="52">
        <v>44496</v>
      </c>
      <c r="B619" s="51">
        <v>2730</v>
      </c>
      <c r="C619" s="1">
        <f t="shared" si="60"/>
        <v>-5.8436981489109197E-3</v>
      </c>
      <c r="R619" s="28">
        <v>618</v>
      </c>
      <c r="S619" s="29">
        <v>0</v>
      </c>
      <c r="T619" s="41">
        <f t="shared" si="56"/>
        <v>0</v>
      </c>
      <c r="U619" s="4">
        <f t="shared" si="57"/>
        <v>2.9837766449102646E-3</v>
      </c>
      <c r="V619" s="15">
        <f t="shared" si="61"/>
        <v>0.49281150159744408</v>
      </c>
      <c r="W619" s="33">
        <f t="shared" si="58"/>
        <v>-1.8019868522742614E-2</v>
      </c>
      <c r="X619" s="4">
        <f t="shared" si="59"/>
        <v>2.9837766449102646E-3</v>
      </c>
    </row>
    <row r="620" spans="1:24" ht="14.5" x14ac:dyDescent="0.35">
      <c r="A620" s="52">
        <v>44495</v>
      </c>
      <c r="B620" s="51">
        <v>2746</v>
      </c>
      <c r="C620" s="1">
        <f t="shared" si="60"/>
        <v>-7.2806701432362008E-4</v>
      </c>
      <c r="R620" s="28">
        <v>619</v>
      </c>
      <c r="S620" s="29">
        <v>0</v>
      </c>
      <c r="T620" s="41">
        <f t="shared" si="56"/>
        <v>0</v>
      </c>
      <c r="U620" s="4">
        <f t="shared" si="57"/>
        <v>2.9837766449102646E-3</v>
      </c>
      <c r="V620" s="15">
        <f t="shared" si="61"/>
        <v>0.4936102236421725</v>
      </c>
      <c r="W620" s="33">
        <f t="shared" si="58"/>
        <v>-1.6017478967161485E-2</v>
      </c>
      <c r="X620" s="4">
        <f t="shared" si="59"/>
        <v>2.9837766449102646E-3</v>
      </c>
    </row>
    <row r="621" spans="1:24" ht="14.5" x14ac:dyDescent="0.35">
      <c r="A621" s="52">
        <v>44494</v>
      </c>
      <c r="B621" s="51">
        <v>2748</v>
      </c>
      <c r="C621" s="1">
        <f t="shared" si="60"/>
        <v>-7.9739458391442277E-3</v>
      </c>
      <c r="R621" s="28">
        <v>620</v>
      </c>
      <c r="S621" s="29">
        <v>0</v>
      </c>
      <c r="T621" s="41">
        <f t="shared" si="56"/>
        <v>0</v>
      </c>
      <c r="U621" s="4">
        <f t="shared" si="57"/>
        <v>2.9837766449102646E-3</v>
      </c>
      <c r="V621" s="15">
        <f t="shared" si="61"/>
        <v>0.49440894568690097</v>
      </c>
      <c r="W621" s="33">
        <f t="shared" si="58"/>
        <v>-1.4015153632690777E-2</v>
      </c>
      <c r="X621" s="4">
        <f t="shared" si="59"/>
        <v>2.9837766449102646E-3</v>
      </c>
    </row>
    <row r="622" spans="1:24" ht="14.5" x14ac:dyDescent="0.35">
      <c r="A622" s="52">
        <v>44491</v>
      </c>
      <c r="B622" s="51">
        <v>2770</v>
      </c>
      <c r="C622" s="1">
        <f t="shared" si="60"/>
        <v>3.6166404701885148E-3</v>
      </c>
      <c r="R622" s="28">
        <v>621</v>
      </c>
      <c r="S622" s="29">
        <v>0</v>
      </c>
      <c r="T622" s="41">
        <f t="shared" si="56"/>
        <v>0</v>
      </c>
      <c r="U622" s="4">
        <f t="shared" si="57"/>
        <v>2.9837766449102646E-3</v>
      </c>
      <c r="V622" s="15">
        <f t="shared" si="61"/>
        <v>0.49520766773162939</v>
      </c>
      <c r="W622" s="33">
        <f t="shared" si="58"/>
        <v>-1.2012884487749675E-2</v>
      </c>
      <c r="X622" s="4">
        <f t="shared" si="59"/>
        <v>2.9837766449102646E-3</v>
      </c>
    </row>
    <row r="623" spans="1:24" ht="14.5" x14ac:dyDescent="0.35">
      <c r="A623" s="52">
        <v>44490</v>
      </c>
      <c r="B623" s="51">
        <v>2760</v>
      </c>
      <c r="C623" s="1">
        <f t="shared" si="60"/>
        <v>1.4598799421152631E-2</v>
      </c>
      <c r="R623" s="28">
        <v>622</v>
      </c>
      <c r="S623" s="29">
        <v>0</v>
      </c>
      <c r="T623" s="41">
        <f t="shared" si="56"/>
        <v>0</v>
      </c>
      <c r="U623" s="4">
        <f t="shared" si="57"/>
        <v>2.9837766449102646E-3</v>
      </c>
      <c r="V623" s="15">
        <f t="shared" si="61"/>
        <v>0.4960063897763578</v>
      </c>
      <c r="W623" s="33">
        <f t="shared" si="58"/>
        <v>-1.0010663502334174E-2</v>
      </c>
      <c r="X623" s="4">
        <f t="shared" si="59"/>
        <v>2.9837766449102646E-3</v>
      </c>
    </row>
    <row r="624" spans="1:24" ht="14.5" x14ac:dyDescent="0.35">
      <c r="A624" s="52">
        <v>44489</v>
      </c>
      <c r="B624" s="51">
        <v>2720</v>
      </c>
      <c r="C624" s="1">
        <f t="shared" si="60"/>
        <v>-2.9368596733097135E-3</v>
      </c>
      <c r="R624" s="28">
        <v>623</v>
      </c>
      <c r="S624" s="29">
        <v>0</v>
      </c>
      <c r="T624" s="41">
        <f t="shared" si="56"/>
        <v>0</v>
      </c>
      <c r="U624" s="4">
        <f t="shared" si="57"/>
        <v>2.9837766449102646E-3</v>
      </c>
      <c r="V624" s="15">
        <f t="shared" si="61"/>
        <v>0.49680511182108628</v>
      </c>
      <c r="W624" s="33">
        <f t="shared" si="58"/>
        <v>-8.0084826477919268E-3</v>
      </c>
      <c r="X624" s="4">
        <f t="shared" si="59"/>
        <v>2.9837766449102646E-3</v>
      </c>
    </row>
    <row r="625" spans="1:24" ht="14.5" x14ac:dyDescent="0.35">
      <c r="A625" s="52">
        <v>44488</v>
      </c>
      <c r="B625" s="51">
        <v>2728</v>
      </c>
      <c r="C625" s="1">
        <f t="shared" si="60"/>
        <v>2.9368596733097057E-3</v>
      </c>
      <c r="R625" s="28">
        <v>624</v>
      </c>
      <c r="S625" s="29">
        <v>0</v>
      </c>
      <c r="T625" s="41">
        <f t="shared" si="56"/>
        <v>0</v>
      </c>
      <c r="U625" s="4">
        <f t="shared" si="57"/>
        <v>2.9837766449102646E-3</v>
      </c>
      <c r="V625" s="15">
        <f t="shared" si="61"/>
        <v>0.49760383386581469</v>
      </c>
      <c r="W625" s="33">
        <f t="shared" si="58"/>
        <v>-6.00633389659726E-3</v>
      </c>
      <c r="X625" s="4">
        <f t="shared" si="59"/>
        <v>2.9837766449102646E-3</v>
      </c>
    </row>
    <row r="626" spans="1:24" ht="14.5" x14ac:dyDescent="0.35">
      <c r="A626" s="52">
        <v>44487</v>
      </c>
      <c r="B626" s="51">
        <v>2720</v>
      </c>
      <c r="C626" s="1">
        <f t="shared" si="60"/>
        <v>-6.5958465583511889E-3</v>
      </c>
      <c r="R626" s="28">
        <v>625</v>
      </c>
      <c r="S626" s="29">
        <v>0</v>
      </c>
      <c r="T626" s="41">
        <f t="shared" si="56"/>
        <v>0</v>
      </c>
      <c r="U626" s="4">
        <f t="shared" si="57"/>
        <v>2.9837766449102646E-3</v>
      </c>
      <c r="V626" s="15">
        <f t="shared" si="61"/>
        <v>0.49840255591054311</v>
      </c>
      <c r="W626" s="33">
        <f t="shared" si="58"/>
        <v>-4.0042092221249702E-3</v>
      </c>
      <c r="X626" s="4">
        <f t="shared" si="59"/>
        <v>2.9837766449102646E-3</v>
      </c>
    </row>
    <row r="627" spans="1:24" ht="14.5" x14ac:dyDescent="0.35">
      <c r="A627" s="52">
        <v>44484</v>
      </c>
      <c r="B627" s="51">
        <v>2738</v>
      </c>
      <c r="C627" s="1">
        <f t="shared" si="60"/>
        <v>-1.0897310889166002E-2</v>
      </c>
      <c r="R627" s="28">
        <v>626</v>
      </c>
      <c r="S627" s="29">
        <v>0</v>
      </c>
      <c r="T627" s="41">
        <f t="shared" si="56"/>
        <v>0</v>
      </c>
      <c r="U627" s="4">
        <f t="shared" si="57"/>
        <v>2.9837766449102646E-3</v>
      </c>
      <c r="V627" s="15">
        <f t="shared" si="61"/>
        <v>0.49920127795527158</v>
      </c>
      <c r="W627" s="33">
        <f t="shared" si="58"/>
        <v>-2.0021005984254773E-3</v>
      </c>
      <c r="X627" s="4">
        <f t="shared" si="59"/>
        <v>2.9837766449102646E-3</v>
      </c>
    </row>
    <row r="628" spans="1:24" ht="14.5" x14ac:dyDescent="0.35">
      <c r="A628" s="52">
        <v>44483</v>
      </c>
      <c r="B628" s="51">
        <v>2768</v>
      </c>
      <c r="C628" s="1">
        <f t="shared" si="60"/>
        <v>2.7097959767250993E-2</v>
      </c>
      <c r="R628" s="28">
        <v>627</v>
      </c>
      <c r="S628" s="29">
        <v>0</v>
      </c>
      <c r="T628" s="41">
        <f t="shared" si="56"/>
        <v>0</v>
      </c>
      <c r="U628" s="4">
        <f t="shared" si="57"/>
        <v>2.9837766449102646E-3</v>
      </c>
      <c r="V628" s="15">
        <f t="shared" si="61"/>
        <v>0.5</v>
      </c>
      <c r="W628" s="33">
        <f t="shared" si="58"/>
        <v>0</v>
      </c>
      <c r="X628" s="4">
        <f t="shared" si="59"/>
        <v>2.9837766449102646E-3</v>
      </c>
    </row>
    <row r="629" spans="1:24" ht="14.5" x14ac:dyDescent="0.35">
      <c r="A629" s="52">
        <v>44482</v>
      </c>
      <c r="B629" s="51">
        <v>2694</v>
      </c>
      <c r="C629" s="1">
        <f t="shared" si="60"/>
        <v>-1.6930842411806604E-2</v>
      </c>
      <c r="R629" s="28">
        <v>628</v>
      </c>
      <c r="S629" s="29">
        <v>0</v>
      </c>
      <c r="T629" s="41">
        <f t="shared" si="56"/>
        <v>0</v>
      </c>
      <c r="U629" s="4">
        <f t="shared" si="57"/>
        <v>2.9837766449102646E-3</v>
      </c>
      <c r="V629" s="15">
        <f t="shared" si="61"/>
        <v>0.50079872204472842</v>
      </c>
      <c r="W629" s="33">
        <f t="shared" si="58"/>
        <v>2.0021005984254773E-3</v>
      </c>
      <c r="X629" s="4">
        <f t="shared" si="59"/>
        <v>2.9837766449102646E-3</v>
      </c>
    </row>
    <row r="630" spans="1:24" ht="14.5" x14ac:dyDescent="0.35">
      <c r="A630" s="52">
        <v>44481</v>
      </c>
      <c r="B630" s="51">
        <v>2740</v>
      </c>
      <c r="C630" s="1">
        <f t="shared" si="60"/>
        <v>1.1747565349950235E-2</v>
      </c>
      <c r="R630" s="28">
        <v>629</v>
      </c>
      <c r="S630" s="29">
        <v>0</v>
      </c>
      <c r="T630" s="41">
        <f t="shared" si="56"/>
        <v>0</v>
      </c>
      <c r="U630" s="4">
        <f t="shared" si="57"/>
        <v>2.9837766449102646E-3</v>
      </c>
      <c r="V630" s="15">
        <f t="shared" si="61"/>
        <v>0.50159744408945683</v>
      </c>
      <c r="W630" s="33">
        <f t="shared" si="58"/>
        <v>4.0042092221248314E-3</v>
      </c>
      <c r="X630" s="4">
        <f t="shared" si="59"/>
        <v>2.9837766449102646E-3</v>
      </c>
    </row>
    <row r="631" spans="1:24" ht="14.5" x14ac:dyDescent="0.35">
      <c r="A631" s="52">
        <v>44480</v>
      </c>
      <c r="B631" s="51">
        <v>2708</v>
      </c>
      <c r="C631" s="1">
        <f t="shared" si="60"/>
        <v>8.9021359405932511E-3</v>
      </c>
      <c r="R631" s="28">
        <v>630</v>
      </c>
      <c r="S631" s="29">
        <v>0</v>
      </c>
      <c r="T631" s="41">
        <f t="shared" si="56"/>
        <v>0</v>
      </c>
      <c r="U631" s="4">
        <f t="shared" si="57"/>
        <v>2.9837766449102646E-3</v>
      </c>
      <c r="V631" s="15">
        <f t="shared" si="61"/>
        <v>0.50239616613418525</v>
      </c>
      <c r="W631" s="33">
        <f t="shared" si="58"/>
        <v>6.0063338965971203E-3</v>
      </c>
      <c r="X631" s="4">
        <f t="shared" si="59"/>
        <v>2.9837766449102646E-3</v>
      </c>
    </row>
    <row r="632" spans="1:24" ht="14.5" x14ac:dyDescent="0.35">
      <c r="A632" s="52">
        <v>44477</v>
      </c>
      <c r="B632" s="51">
        <v>2684</v>
      </c>
      <c r="C632" s="1">
        <f t="shared" si="60"/>
        <v>1.4914245866701199E-3</v>
      </c>
      <c r="R632" s="28">
        <v>631</v>
      </c>
      <c r="S632" s="29">
        <v>0</v>
      </c>
      <c r="T632" s="41">
        <f t="shared" si="56"/>
        <v>0</v>
      </c>
      <c r="U632" s="4">
        <f t="shared" si="57"/>
        <v>2.9837766449102646E-3</v>
      </c>
      <c r="V632" s="15">
        <f t="shared" si="61"/>
        <v>0.50319488817891378</v>
      </c>
      <c r="W632" s="33">
        <f t="shared" si="58"/>
        <v>8.0084826477920673E-3</v>
      </c>
      <c r="X632" s="4">
        <f t="shared" si="59"/>
        <v>2.9837766449102646E-3</v>
      </c>
    </row>
    <row r="633" spans="1:24" ht="14.5" x14ac:dyDescent="0.35">
      <c r="A633" s="52">
        <v>44476</v>
      </c>
      <c r="B633" s="51">
        <v>2680</v>
      </c>
      <c r="C633" s="1">
        <f t="shared" si="60"/>
        <v>-2.9806281381377893E-3</v>
      </c>
      <c r="R633" s="28">
        <v>632</v>
      </c>
      <c r="S633" s="29">
        <v>0</v>
      </c>
      <c r="T633" s="41">
        <f t="shared" si="56"/>
        <v>0</v>
      </c>
      <c r="U633" s="4">
        <f t="shared" si="57"/>
        <v>2.9837766449102646E-3</v>
      </c>
      <c r="V633" s="15">
        <f t="shared" si="61"/>
        <v>0.5039936102236422</v>
      </c>
      <c r="W633" s="33">
        <f t="shared" si="58"/>
        <v>1.0010663502334174E-2</v>
      </c>
      <c r="X633" s="4">
        <f t="shared" si="59"/>
        <v>2.9837766449102646E-3</v>
      </c>
    </row>
    <row r="634" spans="1:24" ht="14.5" x14ac:dyDescent="0.35">
      <c r="A634" s="52">
        <v>44475</v>
      </c>
      <c r="B634" s="51">
        <v>2688</v>
      </c>
      <c r="C634" s="1">
        <f t="shared" si="60"/>
        <v>1.0471299867295437E-2</v>
      </c>
      <c r="R634" s="28">
        <v>633</v>
      </c>
      <c r="S634" s="29">
        <v>0</v>
      </c>
      <c r="T634" s="41">
        <f t="shared" si="56"/>
        <v>0</v>
      </c>
      <c r="U634" s="4">
        <f t="shared" si="57"/>
        <v>2.9837766449102646E-3</v>
      </c>
      <c r="V634" s="15">
        <f t="shared" si="61"/>
        <v>0.50479233226837061</v>
      </c>
      <c r="W634" s="33">
        <f t="shared" si="58"/>
        <v>1.2012884487749675E-2</v>
      </c>
      <c r="X634" s="4">
        <f t="shared" si="59"/>
        <v>2.9837766449102646E-3</v>
      </c>
    </row>
    <row r="635" spans="1:24" ht="14.5" x14ac:dyDescent="0.35">
      <c r="A635" s="52">
        <v>44474</v>
      </c>
      <c r="B635" s="51">
        <v>2660</v>
      </c>
      <c r="C635" s="1">
        <f t="shared" si="60"/>
        <v>2.0509644090954363E-2</v>
      </c>
      <c r="R635" s="28">
        <v>634</v>
      </c>
      <c r="S635" s="29">
        <v>0</v>
      </c>
      <c r="T635" s="41">
        <f t="shared" si="56"/>
        <v>0</v>
      </c>
      <c r="U635" s="4">
        <f t="shared" si="57"/>
        <v>2.9837766449102646E-3</v>
      </c>
      <c r="V635" s="15">
        <f t="shared" si="61"/>
        <v>0.50559105431309903</v>
      </c>
      <c r="W635" s="33">
        <f t="shared" si="58"/>
        <v>1.4015153632690777E-2</v>
      </c>
      <c r="X635" s="4">
        <f t="shared" si="59"/>
        <v>2.9837766449102646E-3</v>
      </c>
    </row>
    <row r="636" spans="1:24" ht="14.5" x14ac:dyDescent="0.35">
      <c r="A636" s="52">
        <v>44473</v>
      </c>
      <c r="B636" s="51">
        <v>2606</v>
      </c>
      <c r="C636" s="1">
        <f t="shared" si="60"/>
        <v>4.6153928084011831E-3</v>
      </c>
      <c r="R636" s="28">
        <v>635</v>
      </c>
      <c r="S636" s="29">
        <v>0</v>
      </c>
      <c r="T636" s="41">
        <f t="shared" si="56"/>
        <v>0</v>
      </c>
      <c r="U636" s="4">
        <f t="shared" si="57"/>
        <v>2.9837766449102646E-3</v>
      </c>
      <c r="V636" s="15">
        <f t="shared" si="61"/>
        <v>0.50638977635782745</v>
      </c>
      <c r="W636" s="33">
        <f t="shared" si="58"/>
        <v>1.6017478967161349E-2</v>
      </c>
      <c r="X636" s="4">
        <f t="shared" si="59"/>
        <v>2.9837766449102646E-3</v>
      </c>
    </row>
    <row r="637" spans="1:24" ht="14.5" x14ac:dyDescent="0.35">
      <c r="A637" s="52">
        <v>44470</v>
      </c>
      <c r="B637" s="51">
        <v>2594</v>
      </c>
      <c r="C637" s="1">
        <f t="shared" si="60"/>
        <v>3.8624999738967676E-3</v>
      </c>
      <c r="R637" s="28">
        <v>636</v>
      </c>
      <c r="S637" s="29">
        <v>0</v>
      </c>
      <c r="T637" s="41">
        <f t="shared" si="56"/>
        <v>0</v>
      </c>
      <c r="U637" s="4">
        <f t="shared" si="57"/>
        <v>2.9837766449102646E-3</v>
      </c>
      <c r="V637" s="15">
        <f t="shared" si="61"/>
        <v>0.50718849840255587</v>
      </c>
      <c r="W637" s="33">
        <f t="shared" si="58"/>
        <v>1.8019868522742476E-2</v>
      </c>
      <c r="X637" s="4">
        <f t="shared" si="59"/>
        <v>2.9837766449102646E-3</v>
      </c>
    </row>
    <row r="638" spans="1:24" ht="14.5" x14ac:dyDescent="0.35">
      <c r="A638" s="52">
        <v>44469</v>
      </c>
      <c r="B638" s="51">
        <v>2584</v>
      </c>
      <c r="C638" s="1">
        <f t="shared" si="60"/>
        <v>1.7962216628159416E-2</v>
      </c>
      <c r="R638" s="28">
        <v>637</v>
      </c>
      <c r="S638" s="29">
        <v>0</v>
      </c>
      <c r="T638" s="41">
        <f t="shared" si="56"/>
        <v>0</v>
      </c>
      <c r="U638" s="4">
        <f t="shared" si="57"/>
        <v>2.9837766449102646E-3</v>
      </c>
      <c r="V638" s="15">
        <f t="shared" si="61"/>
        <v>0.50798722044728439</v>
      </c>
      <c r="W638" s="33">
        <f t="shared" si="58"/>
        <v>2.0022330332818358E-2</v>
      </c>
      <c r="X638" s="4">
        <f t="shared" si="59"/>
        <v>2.9837766449102646E-3</v>
      </c>
    </row>
    <row r="639" spans="1:24" ht="14.5" x14ac:dyDescent="0.35">
      <c r="A639" s="52">
        <v>44468</v>
      </c>
      <c r="B639" s="51">
        <v>2538</v>
      </c>
      <c r="C639" s="1">
        <f t="shared" si="60"/>
        <v>2.4732014469846349E-2</v>
      </c>
      <c r="R639" s="28">
        <v>638</v>
      </c>
      <c r="S639" s="29">
        <v>0</v>
      </c>
      <c r="T639" s="41">
        <f t="shared" si="56"/>
        <v>0</v>
      </c>
      <c r="U639" s="4">
        <f t="shared" si="57"/>
        <v>2.9837766449102646E-3</v>
      </c>
      <c r="V639" s="15">
        <f t="shared" si="61"/>
        <v>0.50878594249201281</v>
      </c>
      <c r="W639" s="33">
        <f t="shared" si="58"/>
        <v>2.202487243280097E-2</v>
      </c>
      <c r="X639" s="4">
        <f t="shared" si="59"/>
        <v>2.9837766449102646E-3</v>
      </c>
    </row>
    <row r="640" spans="1:24" ht="14.5" x14ac:dyDescent="0.35">
      <c r="A640" s="52">
        <v>44467</v>
      </c>
      <c r="B640" s="51">
        <v>2476</v>
      </c>
      <c r="C640" s="1">
        <f t="shared" si="60"/>
        <v>5.6703270600879496E-3</v>
      </c>
      <c r="R640" s="28">
        <v>639</v>
      </c>
      <c r="S640" s="29">
        <v>0</v>
      </c>
      <c r="T640" s="41">
        <f t="shared" si="56"/>
        <v>0</v>
      </c>
      <c r="U640" s="4">
        <f t="shared" si="57"/>
        <v>2.9837766449102646E-3</v>
      </c>
      <c r="V640" s="15">
        <f t="shared" si="61"/>
        <v>0.50958466453674123</v>
      </c>
      <c r="W640" s="33">
        <f t="shared" si="58"/>
        <v>2.4027502860357687E-2</v>
      </c>
      <c r="X640" s="4">
        <f t="shared" si="59"/>
        <v>2.9837766449102646E-3</v>
      </c>
    </row>
    <row r="641" spans="1:24" ht="14.5" x14ac:dyDescent="0.35">
      <c r="A641" s="52">
        <v>44466</v>
      </c>
      <c r="B641" s="51">
        <v>2462</v>
      </c>
      <c r="C641" s="1">
        <f t="shared" si="60"/>
        <v>8.1267781799025782E-4</v>
      </c>
      <c r="R641" s="28">
        <v>640</v>
      </c>
      <c r="S641" s="29">
        <v>0</v>
      </c>
      <c r="T641" s="41">
        <f t="shared" si="56"/>
        <v>0</v>
      </c>
      <c r="U641" s="4">
        <f t="shared" si="57"/>
        <v>2.9837766449102646E-3</v>
      </c>
      <c r="V641" s="15">
        <f t="shared" si="61"/>
        <v>0.51038338658146964</v>
      </c>
      <c r="W641" s="33">
        <f t="shared" si="58"/>
        <v>2.60302296556362E-2</v>
      </c>
      <c r="X641" s="4">
        <f t="shared" si="59"/>
        <v>2.9837766449102646E-3</v>
      </c>
    </row>
    <row r="642" spans="1:24" ht="14.5" x14ac:dyDescent="0.35">
      <c r="A642" s="52">
        <v>44463</v>
      </c>
      <c r="B642" s="51">
        <v>2460</v>
      </c>
      <c r="C642" s="1">
        <f t="shared" si="60"/>
        <v>5.7073126792908727E-3</v>
      </c>
      <c r="R642" s="28">
        <v>641</v>
      </c>
      <c r="S642" s="29">
        <v>0</v>
      </c>
      <c r="T642" s="41">
        <f t="shared" si="56"/>
        <v>0</v>
      </c>
      <c r="U642" s="4">
        <f t="shared" si="57"/>
        <v>2.9837766449102646E-3</v>
      </c>
      <c r="V642" s="15">
        <f t="shared" si="61"/>
        <v>0.51118210862619806</v>
      </c>
      <c r="W642" s="33">
        <f t="shared" si="58"/>
        <v>2.803306086149111E-2</v>
      </c>
      <c r="X642" s="4">
        <f t="shared" si="59"/>
        <v>2.9837766449102646E-3</v>
      </c>
    </row>
    <row r="643" spans="1:24" ht="14.5" x14ac:dyDescent="0.35">
      <c r="A643" s="52">
        <v>44462</v>
      </c>
      <c r="B643" s="51">
        <v>2446</v>
      </c>
      <c r="C643" s="1">
        <f t="shared" si="60"/>
        <v>1.4827289762416932E-2</v>
      </c>
      <c r="R643" s="28">
        <v>642</v>
      </c>
      <c r="S643" s="29">
        <v>0</v>
      </c>
      <c r="T643" s="41">
        <f t="shared" ref="T643:T706" si="62">+IF(OR(S643&lt;($Z$3-3*$Z$4^0.5),S643&gt;($Z$3+3*$Z$4^0.5)),1,0)</f>
        <v>0</v>
      </c>
      <c r="U643" s="4">
        <f t="shared" ref="U643:U706" si="63">+(S643-AVERAGE($S$2:$S$1252))/_xlfn.STDEV.S($S$2:$S$1252)</f>
        <v>2.9837766449102646E-3</v>
      </c>
      <c r="V643" s="15">
        <f t="shared" si="61"/>
        <v>0.51198083067092648</v>
      </c>
      <c r="W643" s="33">
        <f t="shared" ref="W643:W706" si="64">+_xlfn.NORM.S.INV(V643)</f>
        <v>3.0036004523710365E-2</v>
      </c>
      <c r="X643" s="4">
        <f t="shared" ref="X643:X706" si="65">+U643</f>
        <v>2.9837766449102646E-3</v>
      </c>
    </row>
    <row r="644" spans="1:24" ht="14.5" x14ac:dyDescent="0.35">
      <c r="A644" s="52">
        <v>44461</v>
      </c>
      <c r="B644" s="51">
        <v>2410</v>
      </c>
      <c r="C644" s="1">
        <f t="shared" ref="C644:C707" si="66">+LN(B644/B645)</f>
        <v>1.9271647958711828E-2</v>
      </c>
      <c r="R644" s="28">
        <v>643</v>
      </c>
      <c r="S644" s="29">
        <v>0</v>
      </c>
      <c r="T644" s="41">
        <f t="shared" si="62"/>
        <v>0</v>
      </c>
      <c r="U644" s="4">
        <f t="shared" si="63"/>
        <v>2.9837766449102646E-3</v>
      </c>
      <c r="V644" s="15">
        <f t="shared" ref="V644:V707" si="67">+R643/1252</f>
        <v>0.51277955271565501</v>
      </c>
      <c r="W644" s="33">
        <f t="shared" si="64"/>
        <v>3.203906869124222E-2</v>
      </c>
      <c r="X644" s="4">
        <f t="shared" si="65"/>
        <v>2.9837766449102646E-3</v>
      </c>
    </row>
    <row r="645" spans="1:24" ht="14.5" x14ac:dyDescent="0.35">
      <c r="A645" s="52">
        <v>44460</v>
      </c>
      <c r="B645" s="51">
        <v>2364</v>
      </c>
      <c r="C645" s="1">
        <f t="shared" si="66"/>
        <v>-5.9046987247383326E-3</v>
      </c>
      <c r="R645" s="28">
        <v>644</v>
      </c>
      <c r="S645" s="29">
        <v>0</v>
      </c>
      <c r="T645" s="41">
        <f t="shared" si="62"/>
        <v>0</v>
      </c>
      <c r="U645" s="4">
        <f t="shared" si="63"/>
        <v>2.9837766449102646E-3</v>
      </c>
      <c r="V645" s="15">
        <f t="shared" si="67"/>
        <v>0.51357827476038342</v>
      </c>
      <c r="W645" s="33">
        <f t="shared" si="64"/>
        <v>3.4042261416421041E-2</v>
      </c>
      <c r="X645" s="4">
        <f t="shared" si="65"/>
        <v>2.9837766449102646E-3</v>
      </c>
    </row>
    <row r="646" spans="1:24" ht="14.5" x14ac:dyDescent="0.35">
      <c r="A646" s="52">
        <v>44459</v>
      </c>
      <c r="B646" s="51">
        <v>2378</v>
      </c>
      <c r="C646" s="1">
        <f t="shared" si="66"/>
        <v>-2.409755157906053E-2</v>
      </c>
      <c r="R646" s="28">
        <v>645</v>
      </c>
      <c r="S646" s="29">
        <v>0</v>
      </c>
      <c r="T646" s="41">
        <f t="shared" si="62"/>
        <v>0</v>
      </c>
      <c r="U646" s="4">
        <f t="shared" si="63"/>
        <v>2.9837766449102646E-3</v>
      </c>
      <c r="V646" s="15">
        <f t="shared" si="67"/>
        <v>0.51437699680511184</v>
      </c>
      <c r="W646" s="33">
        <f t="shared" si="64"/>
        <v>3.6045590755196096E-2</v>
      </c>
      <c r="X646" s="4">
        <f t="shared" si="65"/>
        <v>2.9837766449102646E-3</v>
      </c>
    </row>
    <row r="647" spans="1:24" ht="14.5" x14ac:dyDescent="0.35">
      <c r="A647" s="52">
        <v>44456</v>
      </c>
      <c r="B647" s="51">
        <v>2436</v>
      </c>
      <c r="C647" s="1">
        <f t="shared" si="66"/>
        <v>-8.2068121142922067E-4</v>
      </c>
      <c r="R647" s="28">
        <v>646</v>
      </c>
      <c r="S647" s="29">
        <v>0</v>
      </c>
      <c r="T647" s="41">
        <f t="shared" si="62"/>
        <v>0</v>
      </c>
      <c r="U647" s="4">
        <f t="shared" si="63"/>
        <v>2.9837766449102646E-3</v>
      </c>
      <c r="V647" s="15">
        <f t="shared" si="67"/>
        <v>0.51517571884984026</v>
      </c>
      <c r="W647" s="33">
        <f t="shared" si="64"/>
        <v>3.8049064767357928E-2</v>
      </c>
      <c r="X647" s="4">
        <f t="shared" si="65"/>
        <v>2.9837766449102646E-3</v>
      </c>
    </row>
    <row r="648" spans="1:24" ht="14.5" x14ac:dyDescent="0.35">
      <c r="A648" s="52">
        <v>44455</v>
      </c>
      <c r="B648" s="51">
        <v>2438</v>
      </c>
      <c r="C648" s="1">
        <f t="shared" si="66"/>
        <v>-2.4580102502691154E-3</v>
      </c>
      <c r="R648" s="28">
        <v>647</v>
      </c>
      <c r="S648" s="29">
        <v>0</v>
      </c>
      <c r="T648" s="41">
        <f t="shared" si="62"/>
        <v>0</v>
      </c>
      <c r="U648" s="4">
        <f t="shared" si="63"/>
        <v>2.9837766449102646E-3</v>
      </c>
      <c r="V648" s="15">
        <f t="shared" si="67"/>
        <v>0.51597444089456868</v>
      </c>
      <c r="W648" s="33">
        <f t="shared" si="64"/>
        <v>4.0052691516766249E-2</v>
      </c>
      <c r="X648" s="4">
        <f t="shared" si="65"/>
        <v>2.9837766449102646E-3</v>
      </c>
    </row>
    <row r="649" spans="1:24" ht="14.5" x14ac:dyDescent="0.35">
      <c r="A649" s="52">
        <v>44454</v>
      </c>
      <c r="B649" s="51">
        <v>2444</v>
      </c>
      <c r="C649" s="1">
        <f t="shared" si="66"/>
        <v>1.9835361056145896E-2</v>
      </c>
      <c r="R649" s="28">
        <v>648</v>
      </c>
      <c r="S649" s="29">
        <v>0</v>
      </c>
      <c r="T649" s="41">
        <f t="shared" si="62"/>
        <v>0</v>
      </c>
      <c r="U649" s="4">
        <f t="shared" si="63"/>
        <v>2.9837766449102646E-3</v>
      </c>
      <c r="V649" s="15">
        <f t="shared" si="67"/>
        <v>0.51677316293929709</v>
      </c>
      <c r="W649" s="33">
        <f t="shared" si="64"/>
        <v>4.2056479071577994E-2</v>
      </c>
      <c r="X649" s="4">
        <f t="shared" si="65"/>
        <v>2.9837766449102646E-3</v>
      </c>
    </row>
    <row r="650" spans="1:24" ht="14.5" x14ac:dyDescent="0.35">
      <c r="A650" s="52">
        <v>44453</v>
      </c>
      <c r="B650" s="51">
        <v>2396</v>
      </c>
      <c r="C650" s="1">
        <f t="shared" si="66"/>
        <v>-8.34376352119561E-4</v>
      </c>
      <c r="R650" s="28">
        <v>649</v>
      </c>
      <c r="S650" s="29">
        <v>0</v>
      </c>
      <c r="T650" s="41">
        <f t="shared" si="62"/>
        <v>0</v>
      </c>
      <c r="U650" s="4">
        <f t="shared" si="63"/>
        <v>2.9837766449102646E-3</v>
      </c>
      <c r="V650" s="15">
        <f t="shared" si="67"/>
        <v>0.51757188498402551</v>
      </c>
      <c r="W650" s="33">
        <f t="shared" si="64"/>
        <v>4.4060435504475588E-2</v>
      </c>
      <c r="X650" s="4">
        <f t="shared" si="65"/>
        <v>2.9837766449102646E-3</v>
      </c>
    </row>
    <row r="651" spans="1:24" ht="14.5" x14ac:dyDescent="0.35">
      <c r="A651" s="52">
        <v>44452</v>
      </c>
      <c r="B651" s="51">
        <v>2398</v>
      </c>
      <c r="C651" s="1">
        <f t="shared" si="66"/>
        <v>-8.3368074857745312E-4</v>
      </c>
      <c r="R651" s="28">
        <v>650</v>
      </c>
      <c r="S651" s="53">
        <v>0</v>
      </c>
      <c r="T651" s="41">
        <f t="shared" si="62"/>
        <v>0</v>
      </c>
      <c r="U651" s="4">
        <f t="shared" si="63"/>
        <v>2.9837766449102646E-3</v>
      </c>
      <c r="V651" s="15">
        <f t="shared" si="67"/>
        <v>0.51837060702875404</v>
      </c>
      <c r="W651" s="33">
        <f t="shared" si="64"/>
        <v>4.6064568892895917E-2</v>
      </c>
      <c r="X651" s="4">
        <f t="shared" si="65"/>
        <v>2.9837766449102646E-3</v>
      </c>
    </row>
    <row r="652" spans="1:24" ht="14.5" x14ac:dyDescent="0.35">
      <c r="A652" s="52">
        <v>44449</v>
      </c>
      <c r="B652" s="51">
        <v>2400</v>
      </c>
      <c r="C652" s="1">
        <f t="shared" si="66"/>
        <v>0</v>
      </c>
      <c r="R652" s="28">
        <v>651</v>
      </c>
      <c r="S652" s="29">
        <v>5.3806834766008144E-4</v>
      </c>
      <c r="T652" s="41">
        <f t="shared" si="62"/>
        <v>0</v>
      </c>
      <c r="U652" s="4">
        <f t="shared" si="63"/>
        <v>3.1359222396765286E-2</v>
      </c>
      <c r="V652" s="15">
        <f t="shared" si="67"/>
        <v>0.51916932907348246</v>
      </c>
      <c r="W652" s="33">
        <f t="shared" si="64"/>
        <v>4.8068887319258131E-2</v>
      </c>
      <c r="X652" s="4">
        <f t="shared" si="65"/>
        <v>3.1359222396765286E-2</v>
      </c>
    </row>
    <row r="653" spans="1:24" ht="14.5" x14ac:dyDescent="0.35">
      <c r="A653" s="52">
        <v>44448</v>
      </c>
      <c r="B653" s="51">
        <v>2400</v>
      </c>
      <c r="C653" s="1">
        <f t="shared" si="66"/>
        <v>-3.327790092674691E-3</v>
      </c>
      <c r="R653" s="28">
        <v>652</v>
      </c>
      <c r="S653" s="53">
        <v>6.0994207441441065E-4</v>
      </c>
      <c r="T653" s="41">
        <f t="shared" si="62"/>
        <v>0</v>
      </c>
      <c r="U653" s="4">
        <f t="shared" si="63"/>
        <v>3.5149538335939465E-2</v>
      </c>
      <c r="V653" s="15">
        <f t="shared" si="67"/>
        <v>0.51996805111821087</v>
      </c>
      <c r="W653" s="33">
        <f t="shared" si="64"/>
        <v>5.0073398871194746E-2</v>
      </c>
      <c r="X653" s="4">
        <f t="shared" si="65"/>
        <v>3.5149538335939465E-2</v>
      </c>
    </row>
    <row r="654" spans="1:24" ht="14.5" x14ac:dyDescent="0.35">
      <c r="A654" s="52">
        <v>44447</v>
      </c>
      <c r="B654" s="51">
        <v>2408</v>
      </c>
      <c r="C654" s="1">
        <f t="shared" si="66"/>
        <v>3.3277900926747457E-3</v>
      </c>
      <c r="R654" s="28">
        <v>653</v>
      </c>
      <c r="S654" s="29">
        <v>6.6159446673871847E-4</v>
      </c>
      <c r="T654" s="41">
        <f t="shared" si="62"/>
        <v>0</v>
      </c>
      <c r="U654" s="4">
        <f t="shared" si="63"/>
        <v>3.7873466741551315E-2</v>
      </c>
      <c r="V654" s="15">
        <f t="shared" si="67"/>
        <v>0.52076677316293929</v>
      </c>
      <c r="W654" s="33">
        <f t="shared" si="64"/>
        <v>5.207811164178016E-2</v>
      </c>
      <c r="X654" s="4">
        <f t="shared" si="65"/>
        <v>3.7873466741551315E-2</v>
      </c>
    </row>
    <row r="655" spans="1:24" ht="14.5" x14ac:dyDescent="0.35">
      <c r="A655" s="52">
        <v>44446</v>
      </c>
      <c r="B655" s="51">
        <v>2400</v>
      </c>
      <c r="C655" s="1">
        <f t="shared" si="66"/>
        <v>-4.158010148663677E-3</v>
      </c>
      <c r="R655" s="28">
        <v>654</v>
      </c>
      <c r="S655" s="29">
        <v>6.7046599896778368E-4</v>
      </c>
      <c r="T655" s="41">
        <f t="shared" si="62"/>
        <v>0</v>
      </c>
      <c r="U655" s="4">
        <f t="shared" si="63"/>
        <v>3.8341313777334775E-2</v>
      </c>
      <c r="V655" s="15">
        <f t="shared" si="67"/>
        <v>0.52156549520766771</v>
      </c>
      <c r="W655" s="33">
        <f t="shared" si="64"/>
        <v>5.4083033729761192E-2</v>
      </c>
      <c r="X655" s="4">
        <f t="shared" si="65"/>
        <v>3.8341313777334775E-2</v>
      </c>
    </row>
    <row r="656" spans="1:24" ht="14.5" x14ac:dyDescent="0.35">
      <c r="A656" s="52">
        <v>44445</v>
      </c>
      <c r="B656" s="51">
        <v>2410</v>
      </c>
      <c r="C656" s="1">
        <f t="shared" si="66"/>
        <v>-4.1407926660313879E-3</v>
      </c>
      <c r="R656" s="28">
        <v>655</v>
      </c>
      <c r="S656" s="29">
        <v>6.8846818554148454E-4</v>
      </c>
      <c r="T656" s="41">
        <f t="shared" si="62"/>
        <v>0</v>
      </c>
      <c r="U656" s="4">
        <f t="shared" si="63"/>
        <v>3.9290672851805972E-2</v>
      </c>
      <c r="V656" s="15">
        <f t="shared" si="67"/>
        <v>0.52236421725239612</v>
      </c>
      <c r="W656" s="33">
        <f t="shared" si="64"/>
        <v>5.6088173239787487E-2</v>
      </c>
      <c r="X656" s="4">
        <f t="shared" si="65"/>
        <v>3.9290672851805972E-2</v>
      </c>
    </row>
    <row r="657" spans="1:24" ht="14.5" x14ac:dyDescent="0.35">
      <c r="A657" s="52">
        <v>44442</v>
      </c>
      <c r="B657" s="51">
        <v>2420</v>
      </c>
      <c r="C657" s="1">
        <f t="shared" si="66"/>
        <v>4.1407926660313871E-3</v>
      </c>
      <c r="R657" s="28">
        <v>656</v>
      </c>
      <c r="S657" s="29">
        <v>6.9228109376093412E-4</v>
      </c>
      <c r="T657" s="41">
        <f t="shared" si="62"/>
        <v>0</v>
      </c>
      <c r="U657" s="4">
        <f t="shared" si="63"/>
        <v>3.9491749482327539E-2</v>
      </c>
      <c r="V657" s="15">
        <f t="shared" si="67"/>
        <v>0.52316293929712465</v>
      </c>
      <c r="W657" s="33">
        <f t="shared" si="64"/>
        <v>5.8093538282642923E-2</v>
      </c>
      <c r="X657" s="4">
        <f t="shared" si="65"/>
        <v>3.9491749482327539E-2</v>
      </c>
    </row>
    <row r="658" spans="1:24" ht="14.5" x14ac:dyDescent="0.35">
      <c r="A658" s="52">
        <v>44441</v>
      </c>
      <c r="B658" s="51">
        <v>2410</v>
      </c>
      <c r="C658" s="1">
        <f t="shared" si="66"/>
        <v>-5.7923207045044332E-3</v>
      </c>
      <c r="R658" s="28">
        <v>657</v>
      </c>
      <c r="S658" s="29">
        <v>6.937218453723083E-4</v>
      </c>
      <c r="T658" s="41">
        <f t="shared" si="62"/>
        <v>0</v>
      </c>
      <c r="U658" s="4">
        <f t="shared" si="63"/>
        <v>3.9567728620234888E-2</v>
      </c>
      <c r="V658" s="15">
        <f t="shared" si="67"/>
        <v>0.52396166134185307</v>
      </c>
      <c r="W658" s="33">
        <f t="shared" si="64"/>
        <v>6.009913697547576E-2</v>
      </c>
      <c r="X658" s="4">
        <f t="shared" si="65"/>
        <v>3.9567728620234888E-2</v>
      </c>
    </row>
    <row r="659" spans="1:24" ht="14.5" x14ac:dyDescent="0.35">
      <c r="A659" s="52">
        <v>44440</v>
      </c>
      <c r="B659" s="51">
        <v>2424</v>
      </c>
      <c r="C659" s="1">
        <f t="shared" si="66"/>
        <v>0</v>
      </c>
      <c r="R659" s="28">
        <v>658</v>
      </c>
      <c r="S659" s="29">
        <v>6.9710703415573443E-4</v>
      </c>
      <c r="T659" s="41">
        <f t="shared" si="62"/>
        <v>0</v>
      </c>
      <c r="U659" s="4">
        <f t="shared" si="63"/>
        <v>3.9746249139238875E-2</v>
      </c>
      <c r="V659" s="15">
        <f t="shared" si="67"/>
        <v>0.52476038338658149</v>
      </c>
      <c r="W659" s="33">
        <f t="shared" si="64"/>
        <v>6.2104977442032354E-2</v>
      </c>
      <c r="X659" s="4">
        <f t="shared" si="65"/>
        <v>3.9746249139238875E-2</v>
      </c>
    </row>
    <row r="660" spans="1:24" ht="14.5" x14ac:dyDescent="0.35">
      <c r="A660" s="52">
        <v>44439</v>
      </c>
      <c r="B660" s="51">
        <v>2424</v>
      </c>
      <c r="C660" s="1">
        <f t="shared" si="66"/>
        <v>1.6515280384729392E-3</v>
      </c>
      <c r="R660" s="28">
        <v>659</v>
      </c>
      <c r="S660" s="29">
        <v>7.0298772666621111E-4</v>
      </c>
      <c r="T660" s="41">
        <f t="shared" si="62"/>
        <v>0</v>
      </c>
      <c r="U660" s="4">
        <f t="shared" si="63"/>
        <v>4.0056371955494531E-2</v>
      </c>
      <c r="V660" s="15">
        <f t="shared" si="67"/>
        <v>0.5255591054313099</v>
      </c>
      <c r="W660" s="33">
        <f t="shared" si="64"/>
        <v>6.411106781288832E-2</v>
      </c>
      <c r="X660" s="4">
        <f t="shared" si="65"/>
        <v>4.0056371955494531E-2</v>
      </c>
    </row>
    <row r="661" spans="1:24" ht="14.5" x14ac:dyDescent="0.35">
      <c r="A661" s="52">
        <v>44438</v>
      </c>
      <c r="B661" s="51">
        <v>2420</v>
      </c>
      <c r="C661" s="1">
        <f t="shared" si="66"/>
        <v>9.1324835632724723E-3</v>
      </c>
      <c r="R661" s="28">
        <v>660</v>
      </c>
      <c r="S661" s="29">
        <v>7.1968337039364299E-4</v>
      </c>
      <c r="T661" s="41">
        <f t="shared" si="62"/>
        <v>0</v>
      </c>
      <c r="U661" s="4">
        <f t="shared" si="63"/>
        <v>4.0936829493909942E-2</v>
      </c>
      <c r="V661" s="15">
        <f t="shared" si="67"/>
        <v>0.52635782747603832</v>
      </c>
      <c r="W661" s="33">
        <f t="shared" si="64"/>
        <v>6.6117416225681749E-2</v>
      </c>
      <c r="X661" s="4">
        <f t="shared" si="65"/>
        <v>4.0936829493909942E-2</v>
      </c>
    </row>
    <row r="662" spans="1:24" ht="14.5" x14ac:dyDescent="0.35">
      <c r="A662" s="52">
        <v>44435</v>
      </c>
      <c r="B662" s="51">
        <v>2398</v>
      </c>
      <c r="C662" s="1">
        <f t="shared" si="66"/>
        <v>1.0901575469843402E-2</v>
      </c>
      <c r="R662" s="28">
        <v>661</v>
      </c>
      <c r="S662" s="29">
        <v>7.2332733714302591E-4</v>
      </c>
      <c r="T662" s="41">
        <f t="shared" si="62"/>
        <v>0</v>
      </c>
      <c r="U662" s="4">
        <f t="shared" si="63"/>
        <v>4.1128996866825175E-2</v>
      </c>
      <c r="V662" s="15">
        <f t="shared" si="67"/>
        <v>0.52715654952076674</v>
      </c>
      <c r="W662" s="33">
        <f t="shared" si="64"/>
        <v>6.8124030825346571E-2</v>
      </c>
      <c r="X662" s="4">
        <f t="shared" si="65"/>
        <v>4.1128996866825175E-2</v>
      </c>
    </row>
    <row r="663" spans="1:24" ht="14.5" x14ac:dyDescent="0.35">
      <c r="A663" s="52">
        <v>44434</v>
      </c>
      <c r="B663" s="51">
        <v>2372</v>
      </c>
      <c r="C663" s="1">
        <f t="shared" si="66"/>
        <v>-1.4232136417008162E-2</v>
      </c>
      <c r="R663" s="28">
        <v>662</v>
      </c>
      <c r="S663" s="29">
        <v>7.238509183230779E-4</v>
      </c>
      <c r="T663" s="41">
        <f t="shared" si="62"/>
        <v>0</v>
      </c>
      <c r="U663" s="4">
        <f t="shared" si="63"/>
        <v>4.1156608320715493E-2</v>
      </c>
      <c r="V663" s="15">
        <f t="shared" si="67"/>
        <v>0.52795527156549515</v>
      </c>
      <c r="W663" s="33">
        <f t="shared" si="64"/>
        <v>7.0130919764346544E-2</v>
      </c>
      <c r="X663" s="4">
        <f t="shared" si="65"/>
        <v>4.1156608320715493E-2</v>
      </c>
    </row>
    <row r="664" spans="1:24" ht="14.5" x14ac:dyDescent="0.35">
      <c r="A664" s="52">
        <v>44433</v>
      </c>
      <c r="B664" s="51">
        <v>2406</v>
      </c>
      <c r="C664" s="1">
        <f t="shared" si="66"/>
        <v>2.4968801985871458E-3</v>
      </c>
      <c r="R664" s="28">
        <v>663</v>
      </c>
      <c r="S664" s="29">
        <v>7.2859748214053983E-4</v>
      </c>
      <c r="T664" s="41">
        <f t="shared" si="62"/>
        <v>0</v>
      </c>
      <c r="U664" s="4">
        <f t="shared" si="63"/>
        <v>4.1406921993124998E-2</v>
      </c>
      <c r="V664" s="15">
        <f t="shared" si="67"/>
        <v>0.52875399361022368</v>
      </c>
      <c r="W664" s="33">
        <f t="shared" si="64"/>
        <v>7.2138091202909954E-2</v>
      </c>
      <c r="X664" s="4">
        <f t="shared" si="65"/>
        <v>4.1406921993124998E-2</v>
      </c>
    </row>
    <row r="665" spans="1:24" ht="14.5" x14ac:dyDescent="0.35">
      <c r="A665" s="52">
        <v>44432</v>
      </c>
      <c r="B665" s="51">
        <v>2400</v>
      </c>
      <c r="C665" s="1">
        <f t="shared" si="66"/>
        <v>-2.4968801985871545E-3</v>
      </c>
      <c r="R665" s="28">
        <v>664</v>
      </c>
      <c r="S665" s="29">
        <v>7.443245598572956E-4</v>
      </c>
      <c r="T665" s="41">
        <f t="shared" si="62"/>
        <v>0</v>
      </c>
      <c r="U665" s="4">
        <f t="shared" si="63"/>
        <v>4.2236301462346131E-2</v>
      </c>
      <c r="V665" s="15">
        <f t="shared" si="67"/>
        <v>0.5295527156549521</v>
      </c>
      <c r="W665" s="33">
        <f t="shared" si="64"/>
        <v>7.4145553309263604E-2</v>
      </c>
      <c r="X665" s="4">
        <f t="shared" si="65"/>
        <v>4.2236301462346131E-2</v>
      </c>
    </row>
    <row r="666" spans="1:24" ht="14.5" x14ac:dyDescent="0.35">
      <c r="A666" s="52">
        <v>44431</v>
      </c>
      <c r="B666" s="51">
        <v>2406</v>
      </c>
      <c r="C666" s="1">
        <f t="shared" si="66"/>
        <v>1.8456899777316474E-2</v>
      </c>
      <c r="R666" s="28">
        <v>665</v>
      </c>
      <c r="S666" s="29">
        <v>7.4654725378456299E-4</v>
      </c>
      <c r="T666" s="41">
        <f t="shared" si="62"/>
        <v>0</v>
      </c>
      <c r="U666" s="4">
        <f t="shared" si="63"/>
        <v>4.2353516926200173E-2</v>
      </c>
      <c r="V666" s="15">
        <f t="shared" si="67"/>
        <v>0.53035143769968052</v>
      </c>
      <c r="W666" s="33">
        <f t="shared" si="64"/>
        <v>7.6153314259870111E-2</v>
      </c>
      <c r="X666" s="4">
        <f t="shared" si="65"/>
        <v>4.2353516926200173E-2</v>
      </c>
    </row>
    <row r="667" spans="1:24" ht="14.5" x14ac:dyDescent="0.35">
      <c r="A667" s="52">
        <v>44427</v>
      </c>
      <c r="B667" s="51">
        <v>2362</v>
      </c>
      <c r="C667" s="1">
        <f t="shared" si="66"/>
        <v>-1.9287809671404029E-2</v>
      </c>
      <c r="R667" s="28">
        <v>666</v>
      </c>
      <c r="S667" s="29">
        <v>7.695267790285181E-4</v>
      </c>
      <c r="T667" s="41">
        <f t="shared" si="62"/>
        <v>0</v>
      </c>
      <c r="U667" s="4">
        <f t="shared" si="63"/>
        <v>4.3565359761406602E-2</v>
      </c>
      <c r="V667" s="15">
        <f t="shared" si="67"/>
        <v>0.53115015974440893</v>
      </c>
      <c r="W667" s="33">
        <f t="shared" si="64"/>
        <v>7.8161382239663096E-2</v>
      </c>
      <c r="X667" s="4">
        <f t="shared" si="65"/>
        <v>4.3565359761406602E-2</v>
      </c>
    </row>
    <row r="668" spans="1:24" ht="14.5" x14ac:dyDescent="0.35">
      <c r="A668" s="52">
        <v>44426</v>
      </c>
      <c r="B668" s="51">
        <v>2408</v>
      </c>
      <c r="C668" s="1">
        <f t="shared" si="66"/>
        <v>-2.4885952287651311E-3</v>
      </c>
      <c r="R668" s="28">
        <v>667</v>
      </c>
      <c r="S668" s="29">
        <v>8.1267781799025782E-4</v>
      </c>
      <c r="T668" s="41">
        <f t="shared" si="62"/>
        <v>0</v>
      </c>
      <c r="U668" s="4">
        <f t="shared" si="63"/>
        <v>4.5840962796819769E-2</v>
      </c>
      <c r="V668" s="15">
        <f t="shared" si="67"/>
        <v>0.53194888178913735</v>
      </c>
      <c r="W668" s="33">
        <f t="shared" si="64"/>
        <v>8.0169765442284296E-2</v>
      </c>
      <c r="X668" s="4">
        <f t="shared" si="65"/>
        <v>4.5840962796819769E-2</v>
      </c>
    </row>
    <row r="669" spans="1:24" ht="14.5" x14ac:dyDescent="0.35">
      <c r="A669" s="52">
        <v>44425</v>
      </c>
      <c r="B669" s="51">
        <v>2414</v>
      </c>
      <c r="C669" s="1">
        <f t="shared" si="66"/>
        <v>9.9917567319203985E-3</v>
      </c>
      <c r="R669" s="28">
        <v>668</v>
      </c>
      <c r="S669" s="29">
        <v>8.1466399617628358E-4</v>
      </c>
      <c r="T669" s="41">
        <f t="shared" si="62"/>
        <v>0</v>
      </c>
      <c r="U669" s="4">
        <f t="shared" si="63"/>
        <v>4.5945705422205892E-2</v>
      </c>
      <c r="V669" s="15">
        <f t="shared" si="67"/>
        <v>0.53274760383386577</v>
      </c>
      <c r="W669" s="33">
        <f t="shared" si="64"/>
        <v>8.2178472070321154E-2</v>
      </c>
      <c r="X669" s="4">
        <f t="shared" si="65"/>
        <v>4.5945705422205892E-2</v>
      </c>
    </row>
    <row r="670" spans="1:24" ht="14.5" x14ac:dyDescent="0.35">
      <c r="A670" s="52">
        <v>44424</v>
      </c>
      <c r="B670" s="51">
        <v>2390</v>
      </c>
      <c r="C670" s="1">
        <f t="shared" si="66"/>
        <v>-1.6597891409037828E-2</v>
      </c>
      <c r="R670" s="28">
        <v>669</v>
      </c>
      <c r="S670" s="29">
        <v>8.2000824603074601E-4</v>
      </c>
      <c r="T670" s="41">
        <f t="shared" si="62"/>
        <v>0</v>
      </c>
      <c r="U670" s="4">
        <f t="shared" si="63"/>
        <v>4.6227538524801735E-2</v>
      </c>
      <c r="V670" s="15">
        <f t="shared" si="67"/>
        <v>0.5335463258785943</v>
      </c>
      <c r="W670" s="33">
        <f t="shared" si="64"/>
        <v>8.4187510335545196E-2</v>
      </c>
      <c r="X670" s="4">
        <f t="shared" si="65"/>
        <v>4.6227538524801735E-2</v>
      </c>
    </row>
    <row r="671" spans="1:24" ht="14.5" x14ac:dyDescent="0.35">
      <c r="A671" s="52">
        <v>44421</v>
      </c>
      <c r="B671" s="51">
        <v>2430</v>
      </c>
      <c r="C671" s="1">
        <f t="shared" si="66"/>
        <v>0</v>
      </c>
      <c r="R671" s="28">
        <v>670</v>
      </c>
      <c r="S671" s="29">
        <v>8.3368074857740867E-4</v>
      </c>
      <c r="T671" s="41">
        <f t="shared" si="62"/>
        <v>0</v>
      </c>
      <c r="U671" s="4">
        <f t="shared" si="63"/>
        <v>4.6948568401381681E-2</v>
      </c>
      <c r="V671" s="15">
        <f t="shared" si="67"/>
        <v>0.53434504792332271</v>
      </c>
      <c r="W671" s="33">
        <f t="shared" si="64"/>
        <v>8.619688845914987E-2</v>
      </c>
      <c r="X671" s="4">
        <f t="shared" si="65"/>
        <v>4.6948568401381681E-2</v>
      </c>
    </row>
    <row r="672" spans="1:24" ht="14.5" x14ac:dyDescent="0.35">
      <c r="A672" s="52">
        <v>44420</v>
      </c>
      <c r="B672" s="51">
        <v>2430</v>
      </c>
      <c r="C672" s="1">
        <f t="shared" si="66"/>
        <v>-6.5627799125235484E-3</v>
      </c>
      <c r="R672" s="28">
        <v>671</v>
      </c>
      <c r="S672" s="29">
        <v>8.8066936559370499E-4</v>
      </c>
      <c r="T672" s="41">
        <f t="shared" si="62"/>
        <v>0</v>
      </c>
      <c r="U672" s="4">
        <f t="shared" si="63"/>
        <v>4.9426549049934758E-2</v>
      </c>
      <c r="V672" s="15">
        <f t="shared" si="67"/>
        <v>0.53514376996805113</v>
      </c>
      <c r="W672" s="33">
        <f t="shared" si="64"/>
        <v>8.8206614671991687E-2</v>
      </c>
      <c r="X672" s="4">
        <f t="shared" si="65"/>
        <v>4.9426549049934758E-2</v>
      </c>
    </row>
    <row r="673" spans="1:24" ht="14.5" x14ac:dyDescent="0.35">
      <c r="A673" s="52">
        <v>44419</v>
      </c>
      <c r="B673" s="51">
        <v>2446</v>
      </c>
      <c r="C673" s="1">
        <f t="shared" si="66"/>
        <v>1.8152313607188851E-2</v>
      </c>
      <c r="R673" s="28">
        <v>672</v>
      </c>
      <c r="S673" s="29">
        <v>9.0130695601288848E-4</v>
      </c>
      <c r="T673" s="41">
        <f t="shared" si="62"/>
        <v>0</v>
      </c>
      <c r="U673" s="4">
        <f t="shared" si="63"/>
        <v>5.0514888161378807E-2</v>
      </c>
      <c r="V673" s="15">
        <f t="shared" si="67"/>
        <v>0.53594249201277955</v>
      </c>
      <c r="W673" s="33">
        <f t="shared" si="64"/>
        <v>9.0216697214829542E-2</v>
      </c>
      <c r="X673" s="4">
        <f t="shared" si="65"/>
        <v>5.0514888161378807E-2</v>
      </c>
    </row>
    <row r="674" spans="1:24" ht="14.5" x14ac:dyDescent="0.35">
      <c r="A674" s="52">
        <v>44418</v>
      </c>
      <c r="B674" s="51">
        <v>2402</v>
      </c>
      <c r="C674" s="1">
        <f t="shared" si="66"/>
        <v>-3.9188688045594118E-2</v>
      </c>
      <c r="R674" s="28">
        <v>673</v>
      </c>
      <c r="S674" s="29">
        <v>9.0375062635667913E-4</v>
      </c>
      <c r="T674" s="41">
        <f t="shared" si="62"/>
        <v>0</v>
      </c>
      <c r="U674" s="4">
        <f t="shared" si="63"/>
        <v>5.0643756985529483E-2</v>
      </c>
      <c r="V674" s="15">
        <f t="shared" si="67"/>
        <v>0.53674121405750796</v>
      </c>
      <c r="W674" s="33">
        <f t="shared" si="64"/>
        <v>9.2227144338565867E-2</v>
      </c>
      <c r="X674" s="4">
        <f t="shared" si="65"/>
        <v>5.0643756985529483E-2</v>
      </c>
    </row>
    <row r="675" spans="1:24" ht="14.5" x14ac:dyDescent="0.35">
      <c r="A675" s="52">
        <v>44417</v>
      </c>
      <c r="B675" s="51">
        <v>2498</v>
      </c>
      <c r="C675" s="1">
        <f t="shared" si="66"/>
        <v>-1.1938064581225007E-2</v>
      </c>
      <c r="R675" s="28">
        <v>674</v>
      </c>
      <c r="S675" s="29">
        <v>9.1365926867476726E-4</v>
      </c>
      <c r="T675" s="41">
        <f t="shared" si="62"/>
        <v>0</v>
      </c>
      <c r="U675" s="4">
        <f t="shared" si="63"/>
        <v>5.1166296814891578E-2</v>
      </c>
      <c r="V675" s="15">
        <f t="shared" si="67"/>
        <v>0.53753993610223638</v>
      </c>
      <c r="W675" s="33">
        <f t="shared" si="64"/>
        <v>9.4237964304488456E-2</v>
      </c>
      <c r="X675" s="4">
        <f t="shared" si="65"/>
        <v>5.1166296814891578E-2</v>
      </c>
    </row>
    <row r="676" spans="1:24" ht="14.5" x14ac:dyDescent="0.35">
      <c r="A676" s="52">
        <v>44414</v>
      </c>
      <c r="B676" s="51">
        <v>2528</v>
      </c>
      <c r="C676" s="1">
        <f t="shared" si="66"/>
        <v>1.5145765807994841E-2</v>
      </c>
      <c r="R676" s="28">
        <v>675</v>
      </c>
      <c r="S676" s="29">
        <v>9.6571711995901315E-4</v>
      </c>
      <c r="T676" s="41">
        <f t="shared" si="62"/>
        <v>0</v>
      </c>
      <c r="U676" s="4">
        <f t="shared" si="63"/>
        <v>5.3911607408793007E-2</v>
      </c>
      <c r="V676" s="15">
        <f t="shared" si="67"/>
        <v>0.53833865814696491</v>
      </c>
      <c r="W676" s="33">
        <f t="shared" si="64"/>
        <v>9.6249165384513266E-2</v>
      </c>
      <c r="X676" s="4">
        <f t="shared" si="65"/>
        <v>5.3911607408793007E-2</v>
      </c>
    </row>
    <row r="677" spans="1:24" ht="14.5" x14ac:dyDescent="0.35">
      <c r="A677" s="52">
        <v>44413</v>
      </c>
      <c r="B677" s="51">
        <v>2490</v>
      </c>
      <c r="C677" s="1">
        <f t="shared" si="66"/>
        <v>0</v>
      </c>
      <c r="R677" s="28">
        <v>676</v>
      </c>
      <c r="S677" s="29">
        <v>9.7608597305545892E-4</v>
      </c>
      <c r="T677" s="41">
        <f t="shared" si="62"/>
        <v>0</v>
      </c>
      <c r="U677" s="4">
        <f t="shared" si="63"/>
        <v>5.4458416805455413E-2</v>
      </c>
      <c r="V677" s="15">
        <f t="shared" si="67"/>
        <v>0.53913738019169333</v>
      </c>
      <c r="W677" s="33">
        <f t="shared" si="64"/>
        <v>9.8260755861426727E-2</v>
      </c>
      <c r="X677" s="4">
        <f t="shared" si="65"/>
        <v>5.4458416805455413E-2</v>
      </c>
    </row>
    <row r="678" spans="1:24" ht="14.5" x14ac:dyDescent="0.35">
      <c r="A678" s="52">
        <v>44412</v>
      </c>
      <c r="B678" s="51">
        <v>2490</v>
      </c>
      <c r="C678" s="1">
        <f t="shared" si="66"/>
        <v>2.7689065345715646E-2</v>
      </c>
      <c r="R678" s="28">
        <v>677</v>
      </c>
      <c r="S678" s="29">
        <v>9.7799518797670989E-4</v>
      </c>
      <c r="T678" s="41">
        <f t="shared" si="62"/>
        <v>0</v>
      </c>
      <c r="U678" s="4">
        <f t="shared" si="63"/>
        <v>5.4559100714223104E-2</v>
      </c>
      <c r="V678" s="15">
        <f t="shared" si="67"/>
        <v>0.53993610223642174</v>
      </c>
      <c r="W678" s="33">
        <f t="shared" si="64"/>
        <v>0.10027274402913136</v>
      </c>
      <c r="X678" s="4">
        <f t="shared" si="65"/>
        <v>5.4559100714223104E-2</v>
      </c>
    </row>
    <row r="679" spans="1:24" ht="14.5" x14ac:dyDescent="0.35">
      <c r="A679" s="52">
        <v>44411</v>
      </c>
      <c r="B679" s="51">
        <v>2422</v>
      </c>
      <c r="C679" s="1">
        <f t="shared" si="66"/>
        <v>7.4596284579393568E-3</v>
      </c>
      <c r="R679" s="28">
        <v>678</v>
      </c>
      <c r="S679" s="29">
        <v>1.1142062434035577E-3</v>
      </c>
      <c r="T679" s="41">
        <f t="shared" si="62"/>
        <v>0</v>
      </c>
      <c r="U679" s="4">
        <f t="shared" si="63"/>
        <v>6.1742294876963817E-2</v>
      </c>
      <c r="V679" s="15">
        <f t="shared" si="67"/>
        <v>0.54073482428115016</v>
      </c>
      <c r="W679" s="33">
        <f t="shared" si="64"/>
        <v>0.10228513819288991</v>
      </c>
      <c r="X679" s="4">
        <f t="shared" si="65"/>
        <v>6.1742294876963817E-2</v>
      </c>
    </row>
    <row r="680" spans="1:24" ht="14.5" x14ac:dyDescent="0.35">
      <c r="A680" s="52">
        <v>44410</v>
      </c>
      <c r="B680" s="51">
        <v>2404</v>
      </c>
      <c r="C680" s="1">
        <f t="shared" si="66"/>
        <v>-2.4927308296024725E-3</v>
      </c>
      <c r="R680" s="28">
        <v>679</v>
      </c>
      <c r="S680" s="29">
        <v>1.208459361568327E-3</v>
      </c>
      <c r="T680" s="41">
        <f t="shared" si="62"/>
        <v>0</v>
      </c>
      <c r="U680" s="4">
        <f t="shared" si="63"/>
        <v>6.6712805134737166E-2</v>
      </c>
      <c r="V680" s="15">
        <f t="shared" si="67"/>
        <v>0.54153354632587858</v>
      </c>
      <c r="W680" s="33">
        <f t="shared" si="64"/>
        <v>0.10429794666957114</v>
      </c>
      <c r="X680" s="4">
        <f t="shared" si="65"/>
        <v>6.6712805134737166E-2</v>
      </c>
    </row>
    <row r="681" spans="1:24" ht="14.5" x14ac:dyDescent="0.35">
      <c r="A681" s="52">
        <v>44407</v>
      </c>
      <c r="B681" s="51">
        <v>2410</v>
      </c>
      <c r="C681" s="1">
        <f t="shared" si="66"/>
        <v>1.0846998299460354E-2</v>
      </c>
      <c r="R681" s="28">
        <v>680</v>
      </c>
      <c r="S681" s="29">
        <v>1.331558119512613E-3</v>
      </c>
      <c r="T681" s="41">
        <f t="shared" si="62"/>
        <v>0</v>
      </c>
      <c r="U681" s="4">
        <f t="shared" si="63"/>
        <v>7.3204512263318297E-2</v>
      </c>
      <c r="V681" s="15">
        <f t="shared" si="67"/>
        <v>0.542332268370607</v>
      </c>
      <c r="W681" s="33">
        <f t="shared" si="64"/>
        <v>0.10631117778789677</v>
      </c>
      <c r="X681" s="4">
        <f t="shared" si="65"/>
        <v>7.3204512263318297E-2</v>
      </c>
    </row>
    <row r="682" spans="1:24" ht="14.5" x14ac:dyDescent="0.35">
      <c r="A682" s="52">
        <v>44406</v>
      </c>
      <c r="B682" s="51">
        <v>2384</v>
      </c>
      <c r="C682" s="1">
        <f t="shared" si="66"/>
        <v>-8.3857447262102741E-4</v>
      </c>
      <c r="R682" s="28">
        <v>681</v>
      </c>
      <c r="S682" s="29">
        <v>1.3324452337786948E-3</v>
      </c>
      <c r="T682" s="41">
        <f t="shared" si="62"/>
        <v>0</v>
      </c>
      <c r="U682" s="4">
        <f t="shared" si="63"/>
        <v>7.3251294912478698E-2</v>
      </c>
      <c r="V682" s="15">
        <f t="shared" si="67"/>
        <v>0.54313099041533541</v>
      </c>
      <c r="W682" s="33">
        <f t="shared" si="64"/>
        <v>0.10832483988868892</v>
      </c>
      <c r="X682" s="4">
        <f t="shared" si="65"/>
        <v>7.3251294912478698E-2</v>
      </c>
    </row>
    <row r="683" spans="1:24" ht="14.5" x14ac:dyDescent="0.35">
      <c r="A683" s="52">
        <v>44405</v>
      </c>
      <c r="B683" s="51">
        <v>2386</v>
      </c>
      <c r="C683" s="1">
        <f t="shared" si="66"/>
        <v>2.0322460625847766E-2</v>
      </c>
      <c r="R683" s="28">
        <v>682</v>
      </c>
      <c r="S683" s="29">
        <v>1.3504390978715467E-3</v>
      </c>
      <c r="T683" s="41">
        <f t="shared" si="62"/>
        <v>0</v>
      </c>
      <c r="U683" s="4">
        <f t="shared" si="63"/>
        <v>7.4200215094558486E-2</v>
      </c>
      <c r="V683" s="15">
        <f t="shared" si="67"/>
        <v>0.54392971246006394</v>
      </c>
      <c r="W683" s="33">
        <f t="shared" si="64"/>
        <v>0.11033894132511891</v>
      </c>
      <c r="X683" s="4">
        <f t="shared" si="65"/>
        <v>7.4200215094558486E-2</v>
      </c>
    </row>
    <row r="684" spans="1:24" ht="14.5" x14ac:dyDescent="0.35">
      <c r="A684" s="52">
        <v>44404</v>
      </c>
      <c r="B684" s="51">
        <v>2338</v>
      </c>
      <c r="C684" s="1">
        <f t="shared" si="66"/>
        <v>-4.2680389159732929E-3</v>
      </c>
      <c r="R684" s="28">
        <v>683</v>
      </c>
      <c r="S684" s="29">
        <v>1.3661204310434418E-3</v>
      </c>
      <c r="T684" s="41">
        <f t="shared" si="62"/>
        <v>0</v>
      </c>
      <c r="U684" s="4">
        <f t="shared" si="63"/>
        <v>7.5027182190227484E-2</v>
      </c>
      <c r="V684" s="15">
        <f t="shared" si="67"/>
        <v>0.54472843450479236</v>
      </c>
      <c r="W684" s="33">
        <f t="shared" si="64"/>
        <v>0.11235349046295551</v>
      </c>
      <c r="X684" s="4">
        <f t="shared" si="65"/>
        <v>7.5027182190227484E-2</v>
      </c>
    </row>
    <row r="685" spans="1:24" ht="14.5" x14ac:dyDescent="0.35">
      <c r="A685" s="52">
        <v>44403</v>
      </c>
      <c r="B685" s="51">
        <v>2348</v>
      </c>
      <c r="C685" s="1">
        <f t="shared" si="66"/>
        <v>-9.3260531811897775E-3</v>
      </c>
      <c r="R685" s="28">
        <v>684</v>
      </c>
      <c r="S685" s="29">
        <v>1.3755160353098766E-3</v>
      </c>
      <c r="T685" s="41">
        <f t="shared" si="62"/>
        <v>0</v>
      </c>
      <c r="U685" s="4">
        <f t="shared" si="63"/>
        <v>7.5522666565637248E-2</v>
      </c>
      <c r="V685" s="15">
        <f t="shared" si="67"/>
        <v>0.54552715654952078</v>
      </c>
      <c r="W685" s="33">
        <f t="shared" si="64"/>
        <v>0.11436849568081703</v>
      </c>
      <c r="X685" s="4">
        <f t="shared" si="65"/>
        <v>7.5522666565637248E-2</v>
      </c>
    </row>
    <row r="686" spans="1:24" ht="14.5" x14ac:dyDescent="0.35">
      <c r="A686" s="52">
        <v>44400</v>
      </c>
      <c r="B686" s="51">
        <v>2370</v>
      </c>
      <c r="C686" s="1">
        <f t="shared" si="66"/>
        <v>-7.5662403833158132E-3</v>
      </c>
      <c r="R686" s="28">
        <v>685</v>
      </c>
      <c r="S686" s="29">
        <v>1.4124296133423584E-3</v>
      </c>
      <c r="T686" s="41">
        <f t="shared" si="62"/>
        <v>0</v>
      </c>
      <c r="U686" s="4">
        <f t="shared" si="63"/>
        <v>7.7469332329424684E-2</v>
      </c>
      <c r="V686" s="15">
        <f t="shared" si="67"/>
        <v>0.54632587859424919</v>
      </c>
      <c r="W686" s="33">
        <f t="shared" si="64"/>
        <v>0.11638396537042145</v>
      </c>
      <c r="X686" s="4">
        <f t="shared" si="65"/>
        <v>7.7469332329424684E-2</v>
      </c>
    </row>
    <row r="687" spans="1:24" ht="14.5" x14ac:dyDescent="0.35">
      <c r="A687" s="52">
        <v>44399</v>
      </c>
      <c r="B687" s="51">
        <v>2388</v>
      </c>
      <c r="C687" s="1">
        <f t="shared" si="66"/>
        <v>1.3490929741015288E-2</v>
      </c>
      <c r="R687" s="28">
        <v>686</v>
      </c>
      <c r="S687" s="29">
        <v>1.4275519911853237E-3</v>
      </c>
      <c r="T687" s="41">
        <f t="shared" si="62"/>
        <v>0</v>
      </c>
      <c r="U687" s="4">
        <f t="shared" si="63"/>
        <v>7.8266822488413171E-2</v>
      </c>
      <c r="V687" s="15">
        <f t="shared" si="67"/>
        <v>0.54712460063897761</v>
      </c>
      <c r="W687" s="33">
        <f t="shared" si="64"/>
        <v>0.11839990793683908</v>
      </c>
      <c r="X687" s="4">
        <f t="shared" si="65"/>
        <v>7.8266822488413171E-2</v>
      </c>
    </row>
    <row r="688" spans="1:24" ht="14.5" x14ac:dyDescent="0.35">
      <c r="A688" s="52">
        <v>44398</v>
      </c>
      <c r="B688" s="51">
        <v>2356</v>
      </c>
      <c r="C688" s="1">
        <f t="shared" si="66"/>
        <v>2.0583917143487191E-2</v>
      </c>
      <c r="R688" s="28">
        <v>687</v>
      </c>
      <c r="S688" s="29">
        <v>1.4285716715259137E-3</v>
      </c>
      <c r="T688" s="41">
        <f t="shared" si="62"/>
        <v>0</v>
      </c>
      <c r="U688" s="4">
        <f t="shared" si="63"/>
        <v>7.8320596110880408E-2</v>
      </c>
      <c r="V688" s="15">
        <f t="shared" si="67"/>
        <v>0.54792332268370603</v>
      </c>
      <c r="W688" s="33">
        <f t="shared" si="64"/>
        <v>0.12041633179874577</v>
      </c>
      <c r="X688" s="4">
        <f t="shared" si="65"/>
        <v>7.8320596110880408E-2</v>
      </c>
    </row>
    <row r="689" spans="1:24" ht="14.5" x14ac:dyDescent="0.35">
      <c r="A689" s="52">
        <v>44397</v>
      </c>
      <c r="B689" s="51">
        <v>2308</v>
      </c>
      <c r="C689" s="1">
        <f t="shared" si="66"/>
        <v>2.6030383461622081E-3</v>
      </c>
      <c r="R689" s="28">
        <v>688</v>
      </c>
      <c r="S689" s="29">
        <v>1.4781968693109652E-3</v>
      </c>
      <c r="T689" s="41">
        <f t="shared" si="62"/>
        <v>0</v>
      </c>
      <c r="U689" s="4">
        <f t="shared" si="63"/>
        <v>8.0937618862355065E-2</v>
      </c>
      <c r="V689" s="15">
        <f t="shared" si="67"/>
        <v>0.54872204472843455</v>
      </c>
      <c r="W689" s="33">
        <f t="shared" si="64"/>
        <v>0.1224332453886776</v>
      </c>
      <c r="X689" s="4">
        <f t="shared" si="65"/>
        <v>8.0937618862355065E-2</v>
      </c>
    </row>
    <row r="690" spans="1:24" ht="14.5" x14ac:dyDescent="0.35">
      <c r="A690" s="52">
        <v>44396</v>
      </c>
      <c r="B690" s="51">
        <v>2302</v>
      </c>
      <c r="C690" s="1">
        <f t="shared" si="66"/>
        <v>-3.9187296836090499E-2</v>
      </c>
      <c r="R690" s="28">
        <v>689</v>
      </c>
      <c r="S690" s="29">
        <v>1.4914245866701199E-3</v>
      </c>
      <c r="T690" s="41">
        <f t="shared" si="62"/>
        <v>0</v>
      </c>
      <c r="U690" s="4">
        <f t="shared" si="63"/>
        <v>8.1635192651963451E-2</v>
      </c>
      <c r="V690" s="15">
        <f t="shared" si="67"/>
        <v>0.54952076677316297</v>
      </c>
      <c r="W690" s="33">
        <f t="shared" si="64"/>
        <v>0.12445065715328515</v>
      </c>
      <c r="X690" s="4">
        <f t="shared" si="65"/>
        <v>8.1635192651963451E-2</v>
      </c>
    </row>
    <row r="691" spans="1:24" ht="14.5" x14ac:dyDescent="0.35">
      <c r="A691" s="52">
        <v>44393</v>
      </c>
      <c r="B691" s="51">
        <v>2394</v>
      </c>
      <c r="C691" s="1">
        <f t="shared" si="66"/>
        <v>1.6722411923621328E-3</v>
      </c>
      <c r="R691" s="28">
        <v>690</v>
      </c>
      <c r="S691" s="29">
        <v>1.5048911794203067E-3</v>
      </c>
      <c r="T691" s="41">
        <f t="shared" si="62"/>
        <v>0</v>
      </c>
      <c r="U691" s="4">
        <f t="shared" si="63"/>
        <v>8.2345363717975767E-2</v>
      </c>
      <c r="V691" s="15">
        <f t="shared" si="67"/>
        <v>0.55031948881789139</v>
      </c>
      <c r="W691" s="33">
        <f t="shared" si="64"/>
        <v>0.12646857555359156</v>
      </c>
      <c r="X691" s="4">
        <f t="shared" si="65"/>
        <v>8.2345363717975767E-2</v>
      </c>
    </row>
    <row r="692" spans="1:24" ht="14.5" x14ac:dyDescent="0.35">
      <c r="A692" s="52">
        <v>44392</v>
      </c>
      <c r="B692" s="51">
        <v>2390</v>
      </c>
      <c r="C692" s="1">
        <f t="shared" si="66"/>
        <v>-5.0083577143725192E-3</v>
      </c>
      <c r="R692" s="28">
        <v>691</v>
      </c>
      <c r="S692" s="29">
        <v>1.5117160853219392E-3</v>
      </c>
      <c r="T692" s="41">
        <f t="shared" si="62"/>
        <v>0</v>
      </c>
      <c r="U692" s="4">
        <f t="shared" si="63"/>
        <v>8.2705280349413879E-2</v>
      </c>
      <c r="V692" s="15">
        <f t="shared" si="67"/>
        <v>0.55111821086261981</v>
      </c>
      <c r="W692" s="33">
        <f t="shared" si="64"/>
        <v>0.12848700906524904</v>
      </c>
      <c r="X692" s="4">
        <f t="shared" si="65"/>
        <v>8.2705280349413879E-2</v>
      </c>
    </row>
    <row r="693" spans="1:24" ht="14.5" x14ac:dyDescent="0.35">
      <c r="A693" s="52">
        <v>44391</v>
      </c>
      <c r="B693" s="51">
        <v>2402</v>
      </c>
      <c r="C693" s="1">
        <f t="shared" si="66"/>
        <v>-5.8115564147766616E-3</v>
      </c>
      <c r="R693" s="28">
        <v>692</v>
      </c>
      <c r="S693" s="29">
        <v>1.5140048312150113E-3</v>
      </c>
      <c r="T693" s="41">
        <f t="shared" si="62"/>
        <v>0</v>
      </c>
      <c r="U693" s="4">
        <f t="shared" si="63"/>
        <v>8.2825979114191775E-2</v>
      </c>
      <c r="V693" s="15">
        <f t="shared" si="67"/>
        <v>0.55191693290734822</v>
      </c>
      <c r="W693" s="33">
        <f t="shared" si="64"/>
        <v>0.13050596617879759</v>
      </c>
      <c r="X693" s="4">
        <f t="shared" si="65"/>
        <v>8.2825979114191775E-2</v>
      </c>
    </row>
    <row r="694" spans="1:24" ht="14.5" x14ac:dyDescent="0.35">
      <c r="A694" s="52">
        <v>44390</v>
      </c>
      <c r="B694" s="51">
        <v>2416</v>
      </c>
      <c r="C694" s="1">
        <f t="shared" si="66"/>
        <v>2.1758180528716777E-2</v>
      </c>
      <c r="R694" s="28">
        <v>693</v>
      </c>
      <c r="S694" s="29">
        <v>1.5625003178916343E-3</v>
      </c>
      <c r="T694" s="41">
        <f t="shared" si="62"/>
        <v>0</v>
      </c>
      <c r="U694" s="4">
        <f t="shared" si="63"/>
        <v>8.5383425686521366E-2</v>
      </c>
      <c r="V694" s="15">
        <f t="shared" si="67"/>
        <v>0.55271565495207664</v>
      </c>
      <c r="W694" s="33">
        <f t="shared" si="64"/>
        <v>0.13252545539992511</v>
      </c>
      <c r="X694" s="4">
        <f t="shared" si="65"/>
        <v>8.5383425686521366E-2</v>
      </c>
    </row>
    <row r="695" spans="1:24" ht="14.5" x14ac:dyDescent="0.35">
      <c r="A695" s="52">
        <v>44389</v>
      </c>
      <c r="B695" s="51">
        <v>2364</v>
      </c>
      <c r="C695" s="1">
        <f t="shared" si="66"/>
        <v>-5.9046987247383326E-3</v>
      </c>
      <c r="R695" s="28">
        <v>694</v>
      </c>
      <c r="S695" s="29">
        <v>1.6116038943416128E-3</v>
      </c>
      <c r="T695" s="41">
        <f t="shared" si="62"/>
        <v>0</v>
      </c>
      <c r="U695" s="4">
        <f t="shared" si="63"/>
        <v>8.7972940338029271E-2</v>
      </c>
      <c r="V695" s="15">
        <f t="shared" si="67"/>
        <v>0.55351437699680506</v>
      </c>
      <c r="W695" s="33">
        <f t="shared" si="64"/>
        <v>0.13454548524972801</v>
      </c>
      <c r="X695" s="4">
        <f t="shared" si="65"/>
        <v>8.7972940338029271E-2</v>
      </c>
    </row>
    <row r="696" spans="1:24" ht="14.5" x14ac:dyDescent="0.35">
      <c r="A696" s="52">
        <v>44386</v>
      </c>
      <c r="B696" s="51">
        <v>2378</v>
      </c>
      <c r="C696" s="1">
        <f t="shared" si="66"/>
        <v>4.2140812468308931E-3</v>
      </c>
      <c r="R696" s="28">
        <v>695</v>
      </c>
      <c r="S696" s="29">
        <v>1.6339872916549549E-3</v>
      </c>
      <c r="T696" s="41">
        <f t="shared" si="62"/>
        <v>0</v>
      </c>
      <c r="U696" s="4">
        <f t="shared" si="63"/>
        <v>8.9153345910981133E-2</v>
      </c>
      <c r="V696" s="15">
        <f t="shared" si="67"/>
        <v>0.55431309904153359</v>
      </c>
      <c r="W696" s="33">
        <f t="shared" si="64"/>
        <v>0.13656606426497375</v>
      </c>
      <c r="X696" s="4">
        <f t="shared" si="65"/>
        <v>8.9153345910981133E-2</v>
      </c>
    </row>
    <row r="697" spans="1:24" ht="14.5" x14ac:dyDescent="0.35">
      <c r="A697" s="52">
        <v>44385</v>
      </c>
      <c r="B697" s="51">
        <v>2368</v>
      </c>
      <c r="C697" s="1">
        <f t="shared" si="66"/>
        <v>-1.4256006636032588E-2</v>
      </c>
      <c r="R697" s="28">
        <v>696</v>
      </c>
      <c r="S697" s="29">
        <v>1.635323340730838E-3</v>
      </c>
      <c r="T697" s="41">
        <f t="shared" si="62"/>
        <v>0</v>
      </c>
      <c r="U697" s="4">
        <f t="shared" si="63"/>
        <v>8.9223803480617772E-2</v>
      </c>
      <c r="V697" s="15">
        <f t="shared" si="67"/>
        <v>0.555111821086262</v>
      </c>
      <c r="W697" s="33">
        <f t="shared" si="64"/>
        <v>0.13858720099836302</v>
      </c>
      <c r="X697" s="4">
        <f t="shared" si="65"/>
        <v>8.9223803480617772E-2</v>
      </c>
    </row>
    <row r="698" spans="1:24" ht="14.5" x14ac:dyDescent="0.35">
      <c r="A698" s="52">
        <v>44384</v>
      </c>
      <c r="B698" s="51">
        <v>2402</v>
      </c>
      <c r="C698" s="1">
        <f t="shared" si="66"/>
        <v>1.6666670524692463E-3</v>
      </c>
      <c r="R698" s="28">
        <v>697</v>
      </c>
      <c r="S698" s="29">
        <v>1.6420364937443893E-3</v>
      </c>
      <c r="T698" s="41">
        <f t="shared" si="62"/>
        <v>0</v>
      </c>
      <c r="U698" s="4">
        <f t="shared" si="63"/>
        <v>8.9577826738050245E-2</v>
      </c>
      <c r="V698" s="15">
        <f t="shared" si="67"/>
        <v>0.55591054313099042</v>
      </c>
      <c r="W698" s="33">
        <f t="shared" si="64"/>
        <v>0.14060890401879589</v>
      </c>
      <c r="X698" s="4">
        <f t="shared" si="65"/>
        <v>8.9577826738050245E-2</v>
      </c>
    </row>
    <row r="699" spans="1:24" ht="14.5" x14ac:dyDescent="0.35">
      <c r="A699" s="52">
        <v>44383</v>
      </c>
      <c r="B699" s="51">
        <v>2398</v>
      </c>
      <c r="C699" s="1">
        <f t="shared" si="66"/>
        <v>8.3752583367324891E-3</v>
      </c>
      <c r="R699" s="28">
        <v>698</v>
      </c>
      <c r="S699" s="29">
        <v>1.6515280384729392E-3</v>
      </c>
      <c r="T699" s="41">
        <f t="shared" si="62"/>
        <v>0</v>
      </c>
      <c r="U699" s="4">
        <f t="shared" si="63"/>
        <v>9.0078370607091243E-2</v>
      </c>
      <c r="V699" s="15">
        <f t="shared" si="67"/>
        <v>0.55670926517571884</v>
      </c>
      <c r="W699" s="33">
        <f t="shared" si="64"/>
        <v>0.14263118191163637</v>
      </c>
      <c r="X699" s="4">
        <f t="shared" si="65"/>
        <v>9.0078370607091243E-2</v>
      </c>
    </row>
    <row r="700" spans="1:24" ht="14.5" x14ac:dyDescent="0.35">
      <c r="A700" s="52">
        <v>44382</v>
      </c>
      <c r="B700" s="51">
        <v>2378</v>
      </c>
      <c r="C700" s="1">
        <f t="shared" si="66"/>
        <v>-8.4068941479323528E-4</v>
      </c>
      <c r="R700" s="28">
        <v>699</v>
      </c>
      <c r="S700" s="29">
        <v>1.6666670524692463E-3</v>
      </c>
      <c r="T700" s="41">
        <f t="shared" si="62"/>
        <v>0</v>
      </c>
      <c r="U700" s="4">
        <f t="shared" si="63"/>
        <v>9.0876738086347178E-2</v>
      </c>
      <c r="V700" s="15">
        <f t="shared" si="67"/>
        <v>0.55750798722044725</v>
      </c>
      <c r="W700" s="33">
        <f t="shared" si="64"/>
        <v>0.14465404327897979</v>
      </c>
      <c r="X700" s="4">
        <f t="shared" si="65"/>
        <v>9.0876738086347178E-2</v>
      </c>
    </row>
    <row r="701" spans="1:24" ht="14.5" x14ac:dyDescent="0.35">
      <c r="A701" s="52">
        <v>44379</v>
      </c>
      <c r="B701" s="51">
        <v>2380</v>
      </c>
      <c r="C701" s="1">
        <f t="shared" si="66"/>
        <v>2.5241914959069226E-3</v>
      </c>
      <c r="R701" s="28">
        <v>700</v>
      </c>
      <c r="S701" s="29">
        <v>1.6722411923621328E-3</v>
      </c>
      <c r="T701" s="41">
        <f t="shared" si="62"/>
        <v>0</v>
      </c>
      <c r="U701" s="4">
        <f t="shared" si="63"/>
        <v>9.1170694615906447E-2</v>
      </c>
      <c r="V701" s="15">
        <f t="shared" si="67"/>
        <v>0.55830670926517567</v>
      </c>
      <c r="W701" s="33">
        <f t="shared" si="64"/>
        <v>0.14667749673992117</v>
      </c>
      <c r="X701" s="4">
        <f t="shared" si="65"/>
        <v>9.1170694615906447E-2</v>
      </c>
    </row>
    <row r="702" spans="1:24" ht="14.5" x14ac:dyDescent="0.35">
      <c r="A702" s="52">
        <v>44378</v>
      </c>
      <c r="B702" s="51">
        <v>2374</v>
      </c>
      <c r="C702" s="1">
        <f t="shared" si="66"/>
        <v>6.7624940722971708E-3</v>
      </c>
      <c r="R702" s="28">
        <v>701</v>
      </c>
      <c r="S702" s="29">
        <v>1.6736405580296937E-3</v>
      </c>
      <c r="T702" s="41">
        <f t="shared" si="62"/>
        <v>0</v>
      </c>
      <c r="U702" s="4">
        <f t="shared" si="63"/>
        <v>9.1244491234420744E-2</v>
      </c>
      <c r="V702" s="15">
        <f t="shared" si="67"/>
        <v>0.5591054313099042</v>
      </c>
      <c r="W702" s="33">
        <f t="shared" si="64"/>
        <v>0.14870155093082485</v>
      </c>
      <c r="X702" s="4">
        <f t="shared" si="65"/>
        <v>9.1244491234420744E-2</v>
      </c>
    </row>
    <row r="703" spans="1:24" ht="14.5" x14ac:dyDescent="0.35">
      <c r="A703" s="52">
        <v>44377</v>
      </c>
      <c r="B703" s="51">
        <v>2358</v>
      </c>
      <c r="C703" s="1">
        <f t="shared" si="66"/>
        <v>-7.6045993852193036E-3</v>
      </c>
      <c r="R703" s="28">
        <v>702</v>
      </c>
      <c r="S703" s="29">
        <v>1.7528488274143868E-3</v>
      </c>
      <c r="T703" s="41">
        <f t="shared" si="62"/>
        <v>0</v>
      </c>
      <c r="U703" s="4">
        <f t="shared" si="63"/>
        <v>9.5421599887620223E-2</v>
      </c>
      <c r="V703" s="15">
        <f t="shared" si="67"/>
        <v>0.55990415335463262</v>
      </c>
      <c r="W703" s="33">
        <f t="shared" si="64"/>
        <v>0.15072621450559454</v>
      </c>
      <c r="X703" s="4">
        <f t="shared" si="65"/>
        <v>9.5421599887620223E-2</v>
      </c>
    </row>
    <row r="704" spans="1:24" ht="14.5" x14ac:dyDescent="0.35">
      <c r="A704" s="52">
        <v>44376</v>
      </c>
      <c r="B704" s="51">
        <v>2376</v>
      </c>
      <c r="C704" s="1">
        <f t="shared" si="66"/>
        <v>-1.0050335853501451E-2</v>
      </c>
      <c r="R704" s="28">
        <v>703</v>
      </c>
      <c r="S704" s="29">
        <v>1.9980026626730579E-3</v>
      </c>
      <c r="T704" s="41">
        <f t="shared" si="62"/>
        <v>0</v>
      </c>
      <c r="U704" s="4">
        <f t="shared" si="63"/>
        <v>0.10834997484870644</v>
      </c>
      <c r="V704" s="15">
        <f t="shared" si="67"/>
        <v>0.56070287539936103</v>
      </c>
      <c r="W704" s="33">
        <f t="shared" si="64"/>
        <v>0.15275149613594721</v>
      </c>
      <c r="X704" s="4">
        <f t="shared" si="65"/>
        <v>0.10834997484870644</v>
      </c>
    </row>
    <row r="705" spans="1:24" ht="14.5" x14ac:dyDescent="0.35">
      <c r="A705" s="52">
        <v>44375</v>
      </c>
      <c r="B705" s="51">
        <v>2400</v>
      </c>
      <c r="C705" s="1">
        <f t="shared" si="66"/>
        <v>8.3368074857740867E-4</v>
      </c>
      <c r="R705" s="28">
        <v>704</v>
      </c>
      <c r="S705" s="29">
        <v>1.9993342214822607E-3</v>
      </c>
      <c r="T705" s="41">
        <f t="shared" si="62"/>
        <v>0</v>
      </c>
      <c r="U705" s="4">
        <f t="shared" si="63"/>
        <v>0.10842019562069619</v>
      </c>
      <c r="V705" s="15">
        <f t="shared" si="67"/>
        <v>0.56150159744408945</v>
      </c>
      <c r="W705" s="33">
        <f t="shared" si="64"/>
        <v>0.15477740451168545</v>
      </c>
      <c r="X705" s="4">
        <f t="shared" si="65"/>
        <v>0.10842019562069619</v>
      </c>
    </row>
    <row r="706" spans="1:24" ht="14.5" x14ac:dyDescent="0.35">
      <c r="A706" s="52">
        <v>44372</v>
      </c>
      <c r="B706" s="51">
        <v>2398</v>
      </c>
      <c r="C706" s="1">
        <f t="shared" si="66"/>
        <v>-8.3368074857745312E-4</v>
      </c>
      <c r="R706" s="28">
        <v>705</v>
      </c>
      <c r="S706" s="29">
        <v>2.0140993717011856E-3</v>
      </c>
      <c r="T706" s="41">
        <f t="shared" si="62"/>
        <v>0</v>
      </c>
      <c r="U706" s="4">
        <f t="shared" si="63"/>
        <v>0.10919884710777412</v>
      </c>
      <c r="V706" s="15">
        <f t="shared" si="67"/>
        <v>0.56230031948881787</v>
      </c>
      <c r="W706" s="33">
        <f t="shared" si="64"/>
        <v>0.15680394834097308</v>
      </c>
      <c r="X706" s="4">
        <f t="shared" si="65"/>
        <v>0.10919884710777412</v>
      </c>
    </row>
    <row r="707" spans="1:24" ht="14.5" x14ac:dyDescent="0.35">
      <c r="A707" s="52">
        <v>44371</v>
      </c>
      <c r="B707" s="51">
        <v>2400</v>
      </c>
      <c r="C707" s="1">
        <f t="shared" si="66"/>
        <v>-1.6652793190612089E-3</v>
      </c>
      <c r="R707" s="28">
        <v>706</v>
      </c>
      <c r="S707" s="29">
        <v>2.0222453807678706E-3</v>
      </c>
      <c r="T707" s="41">
        <f t="shared" ref="T707:T770" si="68">+IF(OR(S707&lt;($Z$3-3*$Z$4^0.5),S707&gt;($Z$3+3*$Z$4^0.5)),1,0)</f>
        <v>0</v>
      </c>
      <c r="U707" s="4">
        <f t="shared" ref="U707:U770" si="69">+(S707-AVERAGE($S$2:$S$1252))/_xlfn.STDEV.S($S$2:$S$1252)</f>
        <v>0.10962843312481273</v>
      </c>
      <c r="V707" s="15">
        <f t="shared" si="67"/>
        <v>0.56309904153354629</v>
      </c>
      <c r="W707" s="33">
        <f t="shared" ref="W707:W770" si="70">+_xlfn.NORM.S.INV(V707)</f>
        <v>0.15883113635061141</v>
      </c>
      <c r="X707" s="4">
        <f t="shared" ref="X707:X770" si="71">+U707</f>
        <v>0.10962843312481273</v>
      </c>
    </row>
    <row r="708" spans="1:24" ht="14.5" x14ac:dyDescent="0.35">
      <c r="A708" s="52">
        <v>44370</v>
      </c>
      <c r="B708" s="51">
        <v>2404</v>
      </c>
      <c r="C708" s="1">
        <f t="shared" ref="C708:C771" si="72">+LN(B708/B709)</f>
        <v>1.087421840437109E-2</v>
      </c>
      <c r="R708" s="28">
        <v>707</v>
      </c>
      <c r="S708" s="29">
        <v>2.0249753797713828E-3</v>
      </c>
      <c r="T708" s="41">
        <f t="shared" si="68"/>
        <v>0</v>
      </c>
      <c r="U708" s="4">
        <f t="shared" si="69"/>
        <v>0.10977240170977717</v>
      </c>
      <c r="V708" s="15">
        <f t="shared" ref="V708:V771" si="73">+R707/1252</f>
        <v>0.56389776357827481</v>
      </c>
      <c r="W708" s="33">
        <f t="shared" si="70"/>
        <v>0.16085897728631751</v>
      </c>
      <c r="X708" s="4">
        <f t="shared" si="71"/>
        <v>0.10977240170977717</v>
      </c>
    </row>
    <row r="709" spans="1:24" ht="14.5" x14ac:dyDescent="0.35">
      <c r="A709" s="52">
        <v>44369</v>
      </c>
      <c r="B709" s="51">
        <v>2378</v>
      </c>
      <c r="C709" s="1">
        <f t="shared" si="72"/>
        <v>1.6108868898979972E-2</v>
      </c>
      <c r="R709" s="28">
        <v>708</v>
      </c>
      <c r="S709" s="29">
        <v>2.0332097820978229E-3</v>
      </c>
      <c r="T709" s="41">
        <f t="shared" si="68"/>
        <v>0</v>
      </c>
      <c r="U709" s="4">
        <f t="shared" si="69"/>
        <v>0.11020664921295954</v>
      </c>
      <c r="V709" s="15">
        <f t="shared" si="73"/>
        <v>0.56469648562300323</v>
      </c>
      <c r="W709" s="33">
        <f t="shared" si="70"/>
        <v>0.16288747991300248</v>
      </c>
      <c r="X709" s="4">
        <f t="shared" si="71"/>
        <v>0.11020664921295954</v>
      </c>
    </row>
    <row r="710" spans="1:24" ht="14.5" x14ac:dyDescent="0.35">
      <c r="A710" s="52">
        <v>44368</v>
      </c>
      <c r="B710" s="51">
        <v>2340</v>
      </c>
      <c r="C710" s="1">
        <f t="shared" si="72"/>
        <v>8.583743691391435E-3</v>
      </c>
      <c r="R710" s="28">
        <v>709</v>
      </c>
      <c r="S710" s="29">
        <v>2.0540917869382694E-3</v>
      </c>
      <c r="T710" s="41">
        <f t="shared" si="68"/>
        <v>0</v>
      </c>
      <c r="U710" s="4">
        <f t="shared" si="69"/>
        <v>0.11130787770580222</v>
      </c>
      <c r="V710" s="15">
        <f t="shared" si="73"/>
        <v>0.56549520766773165</v>
      </c>
      <c r="W710" s="33">
        <f t="shared" si="70"/>
        <v>0.1649166530150539</v>
      </c>
      <c r="X710" s="4">
        <f t="shared" si="71"/>
        <v>0.11130787770580222</v>
      </c>
    </row>
    <row r="711" spans="1:24" ht="14.5" x14ac:dyDescent="0.35">
      <c r="A711" s="52">
        <v>44365</v>
      </c>
      <c r="B711" s="51">
        <v>2320</v>
      </c>
      <c r="C711" s="1">
        <f t="shared" si="72"/>
        <v>-3.1398421457562872E-2</v>
      </c>
      <c r="R711" s="28">
        <v>710</v>
      </c>
      <c r="S711" s="29">
        <v>2.0668281556628885E-3</v>
      </c>
      <c r="T711" s="41">
        <f t="shared" si="68"/>
        <v>0</v>
      </c>
      <c r="U711" s="4">
        <f t="shared" si="69"/>
        <v>0.11197953984945495</v>
      </c>
      <c r="V711" s="15">
        <f t="shared" si="73"/>
        <v>0.56629392971246006</v>
      </c>
      <c r="W711" s="33">
        <f t="shared" si="70"/>
        <v>0.16694650539661729</v>
      </c>
      <c r="X711" s="4">
        <f t="shared" si="71"/>
        <v>0.11197953984945495</v>
      </c>
    </row>
    <row r="712" spans="1:24" ht="14.5" x14ac:dyDescent="0.35">
      <c r="A712" s="52">
        <v>44364</v>
      </c>
      <c r="B712" s="51">
        <v>2394</v>
      </c>
      <c r="C712" s="1">
        <f t="shared" si="72"/>
        <v>-8.3195155395583888E-3</v>
      </c>
      <c r="R712" s="28">
        <v>711</v>
      </c>
      <c r="S712" s="29">
        <v>2.0711087831363196E-3</v>
      </c>
      <c r="T712" s="41">
        <f t="shared" si="68"/>
        <v>0</v>
      </c>
      <c r="U712" s="4">
        <f t="shared" si="69"/>
        <v>0.11220528201248027</v>
      </c>
      <c r="V712" s="15">
        <f t="shared" si="73"/>
        <v>0.56709265175718848</v>
      </c>
      <c r="W712" s="33">
        <f t="shared" si="70"/>
        <v>0.16897704588188017</v>
      </c>
      <c r="X712" s="4">
        <f t="shared" si="71"/>
        <v>0.11220528201248027</v>
      </c>
    </row>
    <row r="713" spans="1:24" ht="14.5" x14ac:dyDescent="0.35">
      <c r="A713" s="52">
        <v>44363</v>
      </c>
      <c r="B713" s="51">
        <v>2414</v>
      </c>
      <c r="C713" s="1">
        <f t="shared" si="72"/>
        <v>-1.235091863400917E-2</v>
      </c>
      <c r="R713" s="28">
        <v>712</v>
      </c>
      <c r="S713" s="29">
        <v>2.0855064910213611E-3</v>
      </c>
      <c r="T713" s="41">
        <f t="shared" si="68"/>
        <v>0</v>
      </c>
      <c r="U713" s="4">
        <f t="shared" si="69"/>
        <v>0.11296455614711333</v>
      </c>
      <c r="V713" s="15">
        <f t="shared" si="73"/>
        <v>0.5678913738019169</v>
      </c>
      <c r="W713" s="33">
        <f t="shared" si="70"/>
        <v>0.17100828331535772</v>
      </c>
      <c r="X713" s="4">
        <f t="shared" si="71"/>
        <v>0.11296455614711333</v>
      </c>
    </row>
    <row r="714" spans="1:24" ht="14.5" x14ac:dyDescent="0.35">
      <c r="A714" s="52">
        <v>44362</v>
      </c>
      <c r="B714" s="51">
        <v>2444</v>
      </c>
      <c r="C714" s="1">
        <f t="shared" si="72"/>
        <v>7.3922307874905169E-3</v>
      </c>
      <c r="R714" s="28">
        <v>713</v>
      </c>
      <c r="S714" s="29">
        <v>2.1045255049154431E-3</v>
      </c>
      <c r="T714" s="41">
        <f t="shared" si="68"/>
        <v>0</v>
      </c>
      <c r="U714" s="4">
        <f t="shared" si="69"/>
        <v>0.11396753838784947</v>
      </c>
      <c r="V714" s="15">
        <f t="shared" si="73"/>
        <v>0.56869009584664532</v>
      </c>
      <c r="W714" s="33">
        <f t="shared" si="70"/>
        <v>0.17304022656217957</v>
      </c>
      <c r="X714" s="4">
        <f t="shared" si="71"/>
        <v>0.11396753838784947</v>
      </c>
    </row>
    <row r="715" spans="1:24" ht="14.5" x14ac:dyDescent="0.35">
      <c r="A715" s="52">
        <v>44361</v>
      </c>
      <c r="B715" s="51">
        <v>2426</v>
      </c>
      <c r="C715" s="1">
        <f t="shared" si="72"/>
        <v>-4.9342205372213442E-3</v>
      </c>
      <c r="R715" s="28">
        <v>714</v>
      </c>
      <c r="S715" s="29">
        <v>2.114910904626034E-3</v>
      </c>
      <c r="T715" s="41">
        <f t="shared" si="68"/>
        <v>0</v>
      </c>
      <c r="U715" s="4">
        <f t="shared" si="69"/>
        <v>0.11451522038286133</v>
      </c>
      <c r="V715" s="15">
        <f t="shared" si="73"/>
        <v>0.56948881789137384</v>
      </c>
      <c r="W715" s="33">
        <f t="shared" si="70"/>
        <v>0.17507288450837918</v>
      </c>
      <c r="X715" s="4">
        <f t="shared" si="71"/>
        <v>0.11451522038286133</v>
      </c>
    </row>
    <row r="716" spans="1:24" ht="14.5" x14ac:dyDescent="0.35">
      <c r="A716" s="52">
        <v>44358</v>
      </c>
      <c r="B716" s="51">
        <v>2438</v>
      </c>
      <c r="C716" s="1">
        <f t="shared" si="72"/>
        <v>2.0721835528724128E-2</v>
      </c>
      <c r="R716" s="28">
        <v>715</v>
      </c>
      <c r="S716" s="29">
        <v>2.1699827683227275E-3</v>
      </c>
      <c r="T716" s="41">
        <f t="shared" si="68"/>
        <v>0</v>
      </c>
      <c r="U716" s="4">
        <f t="shared" si="69"/>
        <v>0.11741947722602038</v>
      </c>
      <c r="V716" s="15">
        <f t="shared" si="73"/>
        <v>0.57028753993610226</v>
      </c>
      <c r="W716" s="33">
        <f t="shared" si="70"/>
        <v>0.17710626606118277</v>
      </c>
      <c r="X716" s="4">
        <f t="shared" si="71"/>
        <v>0.11741947722602038</v>
      </c>
    </row>
    <row r="717" spans="1:24" ht="14.5" x14ac:dyDescent="0.35">
      <c r="A717" s="52">
        <v>44357</v>
      </c>
      <c r="B717" s="51">
        <v>2388</v>
      </c>
      <c r="C717" s="1">
        <f t="shared" si="72"/>
        <v>-1.6736405580296484E-3</v>
      </c>
      <c r="R717" s="28">
        <v>716</v>
      </c>
      <c r="S717" s="29">
        <v>2.1842018148412073E-3</v>
      </c>
      <c r="T717" s="41">
        <f t="shared" si="68"/>
        <v>0</v>
      </c>
      <c r="U717" s="4">
        <f t="shared" si="69"/>
        <v>0.11816932951687306</v>
      </c>
      <c r="V717" s="15">
        <f t="shared" si="73"/>
        <v>0.57108626198083068</v>
      </c>
      <c r="W717" s="33">
        <f t="shared" si="70"/>
        <v>0.17914038014930314</v>
      </c>
      <c r="X717" s="4">
        <f t="shared" si="71"/>
        <v>0.11816932951687306</v>
      </c>
    </row>
    <row r="718" spans="1:24" ht="14.5" x14ac:dyDescent="0.35">
      <c r="A718" s="52">
        <v>44356</v>
      </c>
      <c r="B718" s="51">
        <v>2392</v>
      </c>
      <c r="C718" s="1">
        <f t="shared" si="72"/>
        <v>1.6736405580296937E-3</v>
      </c>
      <c r="R718" s="28">
        <v>717</v>
      </c>
      <c r="S718" s="29">
        <v>2.2246950221111086E-3</v>
      </c>
      <c r="T718" s="41">
        <f t="shared" si="68"/>
        <v>0</v>
      </c>
      <c r="U718" s="4">
        <f t="shared" si="69"/>
        <v>0.12030476976568617</v>
      </c>
      <c r="V718" s="15">
        <f t="shared" si="73"/>
        <v>0.5718849840255591</v>
      </c>
      <c r="W718" s="33">
        <f t="shared" si="70"/>
        <v>0.1811752357232323</v>
      </c>
      <c r="X718" s="4">
        <f t="shared" si="71"/>
        <v>0.12030476976568617</v>
      </c>
    </row>
    <row r="719" spans="1:24" ht="14.5" x14ac:dyDescent="0.35">
      <c r="A719" s="52">
        <v>44355</v>
      </c>
      <c r="B719" s="51">
        <v>2388</v>
      </c>
      <c r="C719" s="1">
        <f t="shared" si="72"/>
        <v>-8.3717041306365862E-4</v>
      </c>
      <c r="R719" s="28">
        <v>718</v>
      </c>
      <c r="S719" s="29">
        <v>2.2514080804574279E-3</v>
      </c>
      <c r="T719" s="41">
        <f t="shared" si="68"/>
        <v>0</v>
      </c>
      <c r="U719" s="4">
        <f t="shared" si="69"/>
        <v>0.12171350332391989</v>
      </c>
      <c r="V719" s="15">
        <f t="shared" si="73"/>
        <v>0.57268370607028751</v>
      </c>
      <c r="W719" s="33">
        <f t="shared" si="70"/>
        <v>0.18321084175553715</v>
      </c>
      <c r="X719" s="4">
        <f t="shared" si="71"/>
        <v>0.12171350332391989</v>
      </c>
    </row>
    <row r="720" spans="1:24" ht="14.5" x14ac:dyDescent="0.35">
      <c r="A720" s="52">
        <v>44354</v>
      </c>
      <c r="B720" s="51">
        <v>2390</v>
      </c>
      <c r="C720" s="1">
        <f t="shared" si="72"/>
        <v>-1.2474174225175688E-2</v>
      </c>
      <c r="R720" s="28">
        <v>719</v>
      </c>
      <c r="S720" s="29">
        <v>2.2514080804574279E-3</v>
      </c>
      <c r="T720" s="41">
        <f t="shared" si="68"/>
        <v>0</v>
      </c>
      <c r="U720" s="4">
        <f t="shared" si="69"/>
        <v>0.12171350332391989</v>
      </c>
      <c r="V720" s="15">
        <f t="shared" si="73"/>
        <v>0.57348242811501593</v>
      </c>
      <c r="W720" s="33">
        <f t="shared" si="70"/>
        <v>0.18524720724115665</v>
      </c>
      <c r="X720" s="4">
        <f t="shared" si="71"/>
        <v>0.12171350332391989</v>
      </c>
    </row>
    <row r="721" spans="1:24" ht="14.5" x14ac:dyDescent="0.35">
      <c r="A721" s="52">
        <v>44351</v>
      </c>
      <c r="B721" s="51">
        <v>2420</v>
      </c>
      <c r="C721" s="1">
        <f t="shared" si="72"/>
        <v>1.0801933032813679E-2</v>
      </c>
      <c r="R721" s="28">
        <v>720</v>
      </c>
      <c r="S721" s="29">
        <v>2.2581868835918847E-3</v>
      </c>
      <c r="T721" s="41">
        <f t="shared" si="68"/>
        <v>0</v>
      </c>
      <c r="U721" s="4">
        <f t="shared" si="69"/>
        <v>0.12207098869067816</v>
      </c>
      <c r="V721" s="15">
        <f t="shared" si="73"/>
        <v>0.57428115015974446</v>
      </c>
      <c r="W721" s="33">
        <f t="shared" si="70"/>
        <v>0.18728434119770102</v>
      </c>
      <c r="X721" s="4">
        <f t="shared" si="71"/>
        <v>0.12207098869067816</v>
      </c>
    </row>
    <row r="722" spans="1:24" ht="14.5" x14ac:dyDescent="0.35">
      <c r="A722" s="52">
        <v>44350</v>
      </c>
      <c r="B722" s="51">
        <v>2394</v>
      </c>
      <c r="C722" s="1">
        <f t="shared" si="72"/>
        <v>5.8651194523980576E-3</v>
      </c>
      <c r="R722" s="28">
        <v>721</v>
      </c>
      <c r="S722" s="29">
        <v>2.2701485345390775E-3</v>
      </c>
      <c r="T722" s="41">
        <f t="shared" si="68"/>
        <v>0</v>
      </c>
      <c r="U722" s="4">
        <f t="shared" si="69"/>
        <v>0.12270179549994456</v>
      </c>
      <c r="V722" s="15">
        <f t="shared" si="73"/>
        <v>0.57507987220447288</v>
      </c>
      <c r="W722" s="33">
        <f t="shared" si="70"/>
        <v>0.18932225266575156</v>
      </c>
      <c r="X722" s="4">
        <f t="shared" si="71"/>
        <v>0.12270179549994456</v>
      </c>
    </row>
    <row r="723" spans="1:24" ht="14.5" x14ac:dyDescent="0.35">
      <c r="A723" s="52">
        <v>44349</v>
      </c>
      <c r="B723" s="51">
        <v>2380</v>
      </c>
      <c r="C723" s="1">
        <f t="shared" si="72"/>
        <v>2.1232220105774118E-2</v>
      </c>
      <c r="R723" s="28">
        <v>722</v>
      </c>
      <c r="S723" s="29">
        <v>2.2944560735236254E-3</v>
      </c>
      <c r="T723" s="41">
        <f t="shared" si="68"/>
        <v>0</v>
      </c>
      <c r="U723" s="4">
        <f t="shared" si="69"/>
        <v>0.12398367215523681</v>
      </c>
      <c r="V723" s="15">
        <f t="shared" si="73"/>
        <v>0.57587859424920129</v>
      </c>
      <c r="W723" s="33">
        <f t="shared" si="70"/>
        <v>0.19136095070916465</v>
      </c>
      <c r="X723" s="4">
        <f t="shared" si="71"/>
        <v>0.12398367215523681</v>
      </c>
    </row>
    <row r="724" spans="1:24" ht="14.5" x14ac:dyDescent="0.35">
      <c r="A724" s="52">
        <v>44348</v>
      </c>
      <c r="B724" s="51">
        <v>2330</v>
      </c>
      <c r="C724" s="1">
        <f t="shared" si="72"/>
        <v>8.6207430439069546E-3</v>
      </c>
      <c r="R724" s="28">
        <v>723</v>
      </c>
      <c r="S724" s="29">
        <v>2.3032639740930899E-3</v>
      </c>
      <c r="T724" s="41">
        <f t="shared" si="68"/>
        <v>0</v>
      </c>
      <c r="U724" s="4">
        <f t="shared" si="69"/>
        <v>0.1244481635267948</v>
      </c>
      <c r="V724" s="15">
        <f t="shared" si="73"/>
        <v>0.57667731629392971</v>
      </c>
      <c r="W724" s="33">
        <f t="shared" si="70"/>
        <v>0.19340044441537538</v>
      </c>
      <c r="X724" s="4">
        <f t="shared" si="71"/>
        <v>0.1244481635267948</v>
      </c>
    </row>
    <row r="725" spans="1:24" ht="14.5" x14ac:dyDescent="0.35">
      <c r="A725" s="52">
        <v>44347</v>
      </c>
      <c r="B725" s="51">
        <v>2310</v>
      </c>
      <c r="C725" s="1">
        <f t="shared" si="72"/>
        <v>6.9505058265233316E-3</v>
      </c>
      <c r="R725" s="28">
        <v>724</v>
      </c>
      <c r="S725" s="29">
        <v>2.3952107259548501E-3</v>
      </c>
      <c r="T725" s="41">
        <f t="shared" si="68"/>
        <v>0</v>
      </c>
      <c r="U725" s="4">
        <f t="shared" si="69"/>
        <v>0.12929704579399867</v>
      </c>
      <c r="V725" s="15">
        <f t="shared" si="73"/>
        <v>0.57747603833865813</v>
      </c>
      <c r="W725" s="33">
        <f t="shared" si="70"/>
        <v>0.19544074289570396</v>
      </c>
      <c r="X725" s="4">
        <f t="shared" si="71"/>
        <v>0.12929704579399867</v>
      </c>
    </row>
    <row r="726" spans="1:24" ht="14.5" x14ac:dyDescent="0.35">
      <c r="A726" s="52">
        <v>44344</v>
      </c>
      <c r="B726" s="51">
        <v>2294</v>
      </c>
      <c r="C726" s="1">
        <f t="shared" si="72"/>
        <v>1.316385836624254E-2</v>
      </c>
      <c r="R726" s="28">
        <v>725</v>
      </c>
      <c r="S726" s="29">
        <v>2.4968801985871458E-3</v>
      </c>
      <c r="T726" s="41">
        <f t="shared" si="68"/>
        <v>0</v>
      </c>
      <c r="U726" s="4">
        <f t="shared" si="69"/>
        <v>0.13465866317558814</v>
      </c>
      <c r="V726" s="15">
        <f t="shared" si="73"/>
        <v>0.57827476038338654</v>
      </c>
      <c r="W726" s="33">
        <f t="shared" si="70"/>
        <v>0.19748185528566395</v>
      </c>
      <c r="X726" s="4">
        <f t="shared" si="71"/>
        <v>0.13465866317558814</v>
      </c>
    </row>
    <row r="727" spans="1:24" ht="14.5" x14ac:dyDescent="0.35">
      <c r="A727" s="52">
        <v>44343</v>
      </c>
      <c r="B727" s="51">
        <v>2264</v>
      </c>
      <c r="C727" s="1">
        <f t="shared" si="72"/>
        <v>-2.6466711523747601E-3</v>
      </c>
      <c r="R727" s="28">
        <v>726</v>
      </c>
      <c r="S727" s="29">
        <v>2.5241914959069226E-3</v>
      </c>
      <c r="T727" s="41">
        <f t="shared" si="68"/>
        <v>0</v>
      </c>
      <c r="U727" s="4">
        <f t="shared" si="69"/>
        <v>0.13609894532353506</v>
      </c>
      <c r="V727" s="15">
        <f t="shared" si="73"/>
        <v>0.57907348242811496</v>
      </c>
      <c r="W727" s="33">
        <f t="shared" si="70"/>
        <v>0.19952379074527257</v>
      </c>
      <c r="X727" s="4">
        <f t="shared" si="71"/>
        <v>0.13609894532353506</v>
      </c>
    </row>
    <row r="728" spans="1:24" ht="14.5" x14ac:dyDescent="0.35">
      <c r="A728" s="52">
        <v>44342</v>
      </c>
      <c r="B728" s="51">
        <v>2270</v>
      </c>
      <c r="C728" s="1">
        <f t="shared" si="72"/>
        <v>7.0734158757266991E-3</v>
      </c>
      <c r="R728" s="28">
        <v>727</v>
      </c>
      <c r="S728" s="29">
        <v>2.6007817000574403E-3</v>
      </c>
      <c r="T728" s="41">
        <f t="shared" si="68"/>
        <v>0</v>
      </c>
      <c r="U728" s="4">
        <f t="shared" si="69"/>
        <v>0.14013798830468707</v>
      </c>
      <c r="V728" s="15">
        <f t="shared" si="73"/>
        <v>0.57987220447284349</v>
      </c>
      <c r="W728" s="33">
        <f t="shared" si="70"/>
        <v>0.20156655845936317</v>
      </c>
      <c r="X728" s="4">
        <f t="shared" si="71"/>
        <v>0.14013798830468707</v>
      </c>
    </row>
    <row r="729" spans="1:24" ht="14.5" x14ac:dyDescent="0.35">
      <c r="A729" s="52">
        <v>44341</v>
      </c>
      <c r="B729" s="51">
        <v>2254</v>
      </c>
      <c r="C729" s="1">
        <f t="shared" si="72"/>
        <v>-8.8339797107597519E-3</v>
      </c>
      <c r="R729" s="28">
        <v>728</v>
      </c>
      <c r="S729" s="29">
        <v>2.6007817000574403E-3</v>
      </c>
      <c r="T729" s="41">
        <f t="shared" si="68"/>
        <v>0</v>
      </c>
      <c r="U729" s="4">
        <f t="shared" si="69"/>
        <v>0.14013798830468707</v>
      </c>
      <c r="V729" s="15">
        <f t="shared" si="73"/>
        <v>0.58067092651757191</v>
      </c>
      <c r="W729" s="33">
        <f t="shared" si="70"/>
        <v>0.20361016763789802</v>
      </c>
      <c r="X729" s="4">
        <f t="shared" si="71"/>
        <v>0.14013798830468707</v>
      </c>
    </row>
    <row r="730" spans="1:24" ht="14.5" x14ac:dyDescent="0.35">
      <c r="A730" s="52">
        <v>44337</v>
      </c>
      <c r="B730" s="51">
        <v>2274</v>
      </c>
      <c r="C730" s="1">
        <f t="shared" si="72"/>
        <v>-5.263170044274644E-3</v>
      </c>
      <c r="R730" s="28">
        <v>729</v>
      </c>
      <c r="S730" s="29">
        <v>2.6030383461622081E-3</v>
      </c>
      <c r="T730" s="41">
        <f t="shared" si="68"/>
        <v>0</v>
      </c>
      <c r="U730" s="4">
        <f t="shared" si="69"/>
        <v>0.14025699426258337</v>
      </c>
      <c r="V730" s="15">
        <f t="shared" si="73"/>
        <v>0.58146964856230032</v>
      </c>
      <c r="W730" s="33">
        <f t="shared" si="70"/>
        <v>0.20565462751628658</v>
      </c>
      <c r="X730" s="4">
        <f t="shared" si="71"/>
        <v>0.14025699426258337</v>
      </c>
    </row>
    <row r="731" spans="1:24" ht="14.5" x14ac:dyDescent="0.35">
      <c r="A731" s="52">
        <v>44336</v>
      </c>
      <c r="B731" s="51">
        <v>2286</v>
      </c>
      <c r="C731" s="1">
        <f t="shared" si="72"/>
        <v>1.5873349156290163E-2</v>
      </c>
      <c r="R731" s="28">
        <v>730</v>
      </c>
      <c r="S731" s="29">
        <v>2.6990569691649835E-3</v>
      </c>
      <c r="T731" s="41">
        <f t="shared" si="68"/>
        <v>0</v>
      </c>
      <c r="U731" s="4">
        <f t="shared" si="69"/>
        <v>0.14532060976799552</v>
      </c>
      <c r="V731" s="15">
        <f t="shared" si="73"/>
        <v>0.58226837060702874</v>
      </c>
      <c r="W731" s="33">
        <f t="shared" si="70"/>
        <v>0.20769994735570219</v>
      </c>
      <c r="X731" s="4">
        <f t="shared" si="71"/>
        <v>0.14532060976799552</v>
      </c>
    </row>
    <row r="732" spans="1:24" ht="14.5" x14ac:dyDescent="0.35">
      <c r="A732" s="52">
        <v>44335</v>
      </c>
      <c r="B732" s="51">
        <v>2250</v>
      </c>
      <c r="C732" s="1">
        <f t="shared" si="72"/>
        <v>-1.2367648808661643E-2</v>
      </c>
      <c r="R732" s="28">
        <v>731</v>
      </c>
      <c r="S732" s="29">
        <v>2.7063615977428457E-3</v>
      </c>
      <c r="T732" s="41">
        <f t="shared" si="68"/>
        <v>0</v>
      </c>
      <c r="U732" s="4">
        <f t="shared" si="69"/>
        <v>0.14570582494158815</v>
      </c>
      <c r="V732" s="15">
        <f t="shared" si="73"/>
        <v>0.58306709265175716</v>
      </c>
      <c r="W732" s="33">
        <f t="shared" si="70"/>
        <v>0.20974613644340301</v>
      </c>
      <c r="X732" s="4">
        <f t="shared" si="71"/>
        <v>0.14570582494158815</v>
      </c>
    </row>
    <row r="733" spans="1:24" ht="14.5" x14ac:dyDescent="0.35">
      <c r="A733" s="52">
        <v>44334</v>
      </c>
      <c r="B733" s="51">
        <v>2278</v>
      </c>
      <c r="C733" s="1">
        <f t="shared" si="72"/>
        <v>0</v>
      </c>
      <c r="R733" s="28">
        <v>732</v>
      </c>
      <c r="S733" s="29">
        <v>2.7416055554947178E-3</v>
      </c>
      <c r="T733" s="41">
        <f t="shared" si="68"/>
        <v>0</v>
      </c>
      <c r="U733" s="4">
        <f t="shared" si="69"/>
        <v>0.14756444200318994</v>
      </c>
      <c r="V733" s="15">
        <f t="shared" si="73"/>
        <v>0.58386581469648557</v>
      </c>
      <c r="W733" s="33">
        <f t="shared" si="70"/>
        <v>0.21179320409305447</v>
      </c>
      <c r="X733" s="4">
        <f t="shared" si="71"/>
        <v>0.14756444200318994</v>
      </c>
    </row>
    <row r="734" spans="1:24" ht="14.5" x14ac:dyDescent="0.35">
      <c r="A734" s="52">
        <v>44333</v>
      </c>
      <c r="B734" s="51">
        <v>2278</v>
      </c>
      <c r="C734" s="1">
        <f t="shared" si="72"/>
        <v>-2.6304267687734108E-3</v>
      </c>
      <c r="R734" s="28">
        <v>733</v>
      </c>
      <c r="S734" s="29">
        <v>2.7624326959100796E-3</v>
      </c>
      <c r="T734" s="41">
        <f t="shared" si="68"/>
        <v>0</v>
      </c>
      <c r="U734" s="4">
        <f t="shared" si="69"/>
        <v>0.14866277717862328</v>
      </c>
      <c r="V734" s="15">
        <f t="shared" si="73"/>
        <v>0.5846645367412141</v>
      </c>
      <c r="W734" s="33">
        <f t="shared" si="70"/>
        <v>0.21384115964505382</v>
      </c>
      <c r="X734" s="4">
        <f t="shared" si="71"/>
        <v>0.14866277717862328</v>
      </c>
    </row>
    <row r="735" spans="1:24" ht="14.5" x14ac:dyDescent="0.35">
      <c r="A735" s="52">
        <v>44330</v>
      </c>
      <c r="B735" s="51">
        <v>2284</v>
      </c>
      <c r="C735" s="1">
        <f t="shared" si="72"/>
        <v>1.0563478509569246E-2</v>
      </c>
      <c r="R735" s="28">
        <v>734</v>
      </c>
      <c r="S735" s="29">
        <v>2.7624326959100796E-3</v>
      </c>
      <c r="T735" s="41">
        <f t="shared" si="68"/>
        <v>0</v>
      </c>
      <c r="U735" s="4">
        <f t="shared" si="69"/>
        <v>0.14866277717862328</v>
      </c>
      <c r="V735" s="15">
        <f t="shared" si="73"/>
        <v>0.58546325878594252</v>
      </c>
      <c r="W735" s="33">
        <f t="shared" si="70"/>
        <v>0.21589001246685627</v>
      </c>
      <c r="X735" s="4">
        <f t="shared" si="71"/>
        <v>0.14866277717862328</v>
      </c>
    </row>
    <row r="736" spans="1:24" ht="14.5" x14ac:dyDescent="0.35">
      <c r="A736" s="52">
        <v>44329</v>
      </c>
      <c r="B736" s="51">
        <v>2260</v>
      </c>
      <c r="C736" s="1">
        <f t="shared" si="72"/>
        <v>2.6907452919924402E-2</v>
      </c>
      <c r="R736" s="28">
        <v>735</v>
      </c>
      <c r="S736" s="29">
        <v>2.7624326959100796E-3</v>
      </c>
      <c r="T736" s="41">
        <f t="shared" si="68"/>
        <v>0</v>
      </c>
      <c r="U736" s="4">
        <f t="shared" si="69"/>
        <v>0.14866277717862328</v>
      </c>
      <c r="V736" s="15">
        <f t="shared" si="73"/>
        <v>0.58626198083067094</v>
      </c>
      <c r="W736" s="33">
        <f t="shared" si="70"/>
        <v>0.21793977195330541</v>
      </c>
      <c r="X736" s="4">
        <f t="shared" si="71"/>
        <v>0.14866277717862328</v>
      </c>
    </row>
    <row r="737" spans="1:24" ht="14.5" x14ac:dyDescent="0.35">
      <c r="A737" s="52">
        <v>44328</v>
      </c>
      <c r="B737" s="51">
        <v>2200</v>
      </c>
      <c r="C737" s="1">
        <f t="shared" si="72"/>
        <v>-3.6297680505787237E-3</v>
      </c>
      <c r="R737" s="28">
        <v>736</v>
      </c>
      <c r="S737" s="29">
        <v>2.7624326959100796E-3</v>
      </c>
      <c r="T737" s="41">
        <f t="shared" si="68"/>
        <v>0</v>
      </c>
      <c r="U737" s="4">
        <f t="shared" si="69"/>
        <v>0.14866277717862328</v>
      </c>
      <c r="V737" s="15">
        <f t="shared" si="73"/>
        <v>0.58706070287539935</v>
      </c>
      <c r="W737" s="33">
        <f t="shared" si="70"/>
        <v>0.21999044752696323</v>
      </c>
      <c r="X737" s="4">
        <f t="shared" si="71"/>
        <v>0.14866277717862328</v>
      </c>
    </row>
    <row r="738" spans="1:24" ht="14.5" x14ac:dyDescent="0.35">
      <c r="A738" s="52">
        <v>44327</v>
      </c>
      <c r="B738" s="51">
        <v>2208</v>
      </c>
      <c r="C738" s="1">
        <f t="shared" si="72"/>
        <v>-1.6172859245600957E-2</v>
      </c>
      <c r="R738" s="28">
        <v>737</v>
      </c>
      <c r="S738" s="29">
        <v>2.7643417741498857E-3</v>
      </c>
      <c r="T738" s="41">
        <f t="shared" si="68"/>
        <v>0</v>
      </c>
      <c r="U738" s="4">
        <f t="shared" si="69"/>
        <v>0.14876345387939047</v>
      </c>
      <c r="V738" s="15">
        <f t="shared" si="73"/>
        <v>0.58785942492012777</v>
      </c>
      <c r="W738" s="33">
        <f t="shared" si="70"/>
        <v>0.22204204863844443</v>
      </c>
      <c r="X738" s="4">
        <f t="shared" si="71"/>
        <v>0.14876345387939047</v>
      </c>
    </row>
    <row r="739" spans="1:24" ht="14.5" x14ac:dyDescent="0.35">
      <c r="A739" s="52">
        <v>44326</v>
      </c>
      <c r="B739" s="51">
        <v>2244</v>
      </c>
      <c r="C739" s="1">
        <f t="shared" si="72"/>
        <v>2.0712131679020165E-2</v>
      </c>
      <c r="R739" s="28">
        <v>738</v>
      </c>
      <c r="S739" s="29">
        <v>2.8169032711133734E-3</v>
      </c>
      <c r="T739" s="41">
        <f t="shared" si="68"/>
        <v>0</v>
      </c>
      <c r="U739" s="4">
        <f t="shared" si="69"/>
        <v>0.15153532461330316</v>
      </c>
      <c r="V739" s="15">
        <f t="shared" si="73"/>
        <v>0.58865814696485619</v>
      </c>
      <c r="W739" s="33">
        <f t="shared" si="70"/>
        <v>0.22409458476675156</v>
      </c>
      <c r="X739" s="4">
        <f t="shared" si="71"/>
        <v>0.15153532461330316</v>
      </c>
    </row>
    <row r="740" spans="1:24" ht="14.5" x14ac:dyDescent="0.35">
      <c r="A740" s="52">
        <v>44323</v>
      </c>
      <c r="B740" s="51">
        <v>2198</v>
      </c>
      <c r="C740" s="1">
        <f t="shared" si="72"/>
        <v>2.0221277247232858E-2</v>
      </c>
      <c r="R740" s="28">
        <v>739</v>
      </c>
      <c r="S740" s="29">
        <v>2.8328630843041072E-3</v>
      </c>
      <c r="T740" s="41">
        <f t="shared" si="68"/>
        <v>0</v>
      </c>
      <c r="U740" s="4">
        <f t="shared" si="69"/>
        <v>0.15237697756570745</v>
      </c>
      <c r="V740" s="15">
        <f t="shared" si="73"/>
        <v>0.58945686900958472</v>
      </c>
      <c r="W740" s="33">
        <f t="shared" si="70"/>
        <v>0.2261480654196141</v>
      </c>
      <c r="X740" s="4">
        <f t="shared" si="71"/>
        <v>0.15237697756570745</v>
      </c>
    </row>
    <row r="741" spans="1:24" ht="14.5" x14ac:dyDescent="0.35">
      <c r="A741" s="52">
        <v>44322</v>
      </c>
      <c r="B741" s="51">
        <v>2154</v>
      </c>
      <c r="C741" s="1">
        <f t="shared" si="72"/>
        <v>-2.7816429618768026E-3</v>
      </c>
      <c r="R741" s="28">
        <v>740</v>
      </c>
      <c r="S741" s="29">
        <v>2.8348707858471271E-3</v>
      </c>
      <c r="T741" s="41">
        <f t="shared" si="68"/>
        <v>0</v>
      </c>
      <c r="U741" s="4">
        <f t="shared" si="69"/>
        <v>0.15248285524178265</v>
      </c>
      <c r="V741" s="15">
        <f t="shared" si="73"/>
        <v>0.59025559105431313</v>
      </c>
      <c r="W741" s="33">
        <f t="shared" si="70"/>
        <v>0.22820250013382765</v>
      </c>
      <c r="X741" s="4">
        <f t="shared" si="71"/>
        <v>0.15248285524178265</v>
      </c>
    </row>
    <row r="742" spans="1:24" ht="14.5" x14ac:dyDescent="0.35">
      <c r="A742" s="52">
        <v>44321</v>
      </c>
      <c r="B742" s="51">
        <v>2160</v>
      </c>
      <c r="C742" s="1">
        <f t="shared" si="72"/>
        <v>9.3023926623134103E-3</v>
      </c>
      <c r="R742" s="28">
        <v>741</v>
      </c>
      <c r="S742" s="29">
        <v>2.8510354308390845E-3</v>
      </c>
      <c r="T742" s="41">
        <f t="shared" si="68"/>
        <v>0</v>
      </c>
      <c r="U742" s="4">
        <f t="shared" si="69"/>
        <v>0.15333531015585064</v>
      </c>
      <c r="V742" s="15">
        <f t="shared" si="73"/>
        <v>0.59105431309904155</v>
      </c>
      <c r="W742" s="33">
        <f t="shared" si="70"/>
        <v>0.23025789847559838</v>
      </c>
      <c r="X742" s="4">
        <f t="shared" si="71"/>
        <v>0.15333531015585064</v>
      </c>
    </row>
    <row r="743" spans="1:24" ht="14.5" x14ac:dyDescent="0.35">
      <c r="A743" s="52">
        <v>44320</v>
      </c>
      <c r="B743" s="51">
        <v>2140</v>
      </c>
      <c r="C743" s="1">
        <f t="shared" si="72"/>
        <v>3.5191458336313326E-2</v>
      </c>
      <c r="R743" s="28">
        <v>742</v>
      </c>
      <c r="S743" s="29">
        <v>2.857144800779744E-3</v>
      </c>
      <c r="T743" s="41">
        <f t="shared" si="68"/>
        <v>0</v>
      </c>
      <c r="U743" s="4">
        <f t="shared" si="69"/>
        <v>0.15365749245124691</v>
      </c>
      <c r="V743" s="15">
        <f t="shared" si="73"/>
        <v>0.59185303514376997</v>
      </c>
      <c r="W743" s="33">
        <f t="shared" si="70"/>
        <v>0.23231427004088778</v>
      </c>
      <c r="X743" s="4">
        <f t="shared" si="71"/>
        <v>0.15365749245124691</v>
      </c>
    </row>
    <row r="744" spans="1:24" ht="14.5" x14ac:dyDescent="0.35">
      <c r="A744" s="52">
        <v>44319</v>
      </c>
      <c r="B744" s="51">
        <v>2066</v>
      </c>
      <c r="C744" s="1">
        <f t="shared" si="72"/>
        <v>-1.9342365798308656E-3</v>
      </c>
      <c r="R744" s="28">
        <v>743</v>
      </c>
      <c r="S744" s="29">
        <v>2.9078240902005552E-3</v>
      </c>
      <c r="T744" s="41">
        <f t="shared" si="68"/>
        <v>0</v>
      </c>
      <c r="U744" s="4">
        <f t="shared" si="69"/>
        <v>0.15633010353115243</v>
      </c>
      <c r="V744" s="15">
        <f t="shared" si="73"/>
        <v>0.59265175718849838</v>
      </c>
      <c r="W744" s="33">
        <f t="shared" si="70"/>
        <v>0.23437162445576049</v>
      </c>
      <c r="X744" s="4">
        <f t="shared" si="71"/>
        <v>0.15633010353115243</v>
      </c>
    </row>
    <row r="745" spans="1:24" ht="14.5" x14ac:dyDescent="0.35">
      <c r="A745" s="52">
        <v>44316</v>
      </c>
      <c r="B745" s="51">
        <v>2070</v>
      </c>
      <c r="C745" s="1">
        <f t="shared" si="72"/>
        <v>-2.0086758566737344E-2</v>
      </c>
      <c r="R745" s="28">
        <v>744</v>
      </c>
      <c r="S745" s="29">
        <v>2.9133305383573071E-3</v>
      </c>
      <c r="T745" s="41">
        <f t="shared" si="68"/>
        <v>0</v>
      </c>
      <c r="U745" s="4">
        <f t="shared" si="69"/>
        <v>0.15662049028524566</v>
      </c>
      <c r="V745" s="15">
        <f t="shared" si="73"/>
        <v>0.5934504792332268</v>
      </c>
      <c r="W745" s="33">
        <f t="shared" si="70"/>
        <v>0.23642997137673485</v>
      </c>
      <c r="X745" s="4">
        <f t="shared" si="71"/>
        <v>0.15662049028524566</v>
      </c>
    </row>
    <row r="746" spans="1:24" ht="14.5" x14ac:dyDescent="0.35">
      <c r="A746" s="52">
        <v>44315</v>
      </c>
      <c r="B746" s="51">
        <v>2112</v>
      </c>
      <c r="C746" s="1">
        <f t="shared" si="72"/>
        <v>3.7950709685515343E-3</v>
      </c>
      <c r="R746" s="28">
        <v>745</v>
      </c>
      <c r="S746" s="29">
        <v>2.9218428383647722E-3</v>
      </c>
      <c r="T746" s="41">
        <f t="shared" si="68"/>
        <v>0</v>
      </c>
      <c r="U746" s="4">
        <f t="shared" si="69"/>
        <v>0.15706939293513342</v>
      </c>
      <c r="V746" s="15">
        <f t="shared" si="73"/>
        <v>0.59424920127795522</v>
      </c>
      <c r="W746" s="33">
        <f t="shared" si="70"/>
        <v>0.23848932049113575</v>
      </c>
      <c r="X746" s="4">
        <f t="shared" si="71"/>
        <v>0.15706939293513342</v>
      </c>
    </row>
    <row r="747" spans="1:24" ht="14.5" x14ac:dyDescent="0.35">
      <c r="A747" s="52">
        <v>44314</v>
      </c>
      <c r="B747" s="51">
        <v>2104</v>
      </c>
      <c r="C747" s="1">
        <f t="shared" si="72"/>
        <v>2.3077947282544673E-2</v>
      </c>
      <c r="R747" s="28">
        <v>746</v>
      </c>
      <c r="S747" s="29">
        <v>2.9339874347875704E-3</v>
      </c>
      <c r="T747" s="41">
        <f t="shared" si="68"/>
        <v>0</v>
      </c>
      <c r="U747" s="4">
        <f t="shared" si="69"/>
        <v>0.15770984751394648</v>
      </c>
      <c r="V747" s="15">
        <f t="shared" si="73"/>
        <v>0.59504792332268375</v>
      </c>
      <c r="W747" s="33">
        <f t="shared" si="70"/>
        <v>0.24054968151745071</v>
      </c>
      <c r="X747" s="4">
        <f t="shared" si="71"/>
        <v>0.15770984751394648</v>
      </c>
    </row>
    <row r="748" spans="1:24" ht="14.5" x14ac:dyDescent="0.35">
      <c r="A748" s="52">
        <v>44313</v>
      </c>
      <c r="B748" s="51">
        <v>2056</v>
      </c>
      <c r="C748" s="1">
        <f t="shared" si="72"/>
        <v>-1.9436352085710144E-3</v>
      </c>
      <c r="R748" s="28">
        <v>747</v>
      </c>
      <c r="S748" s="29">
        <v>2.9347049675940221E-3</v>
      </c>
      <c r="T748" s="41">
        <f t="shared" si="68"/>
        <v>0</v>
      </c>
      <c r="U748" s="4">
        <f t="shared" si="69"/>
        <v>0.15774768715516158</v>
      </c>
      <c r="V748" s="15">
        <f t="shared" si="73"/>
        <v>0.59584664536741216</v>
      </c>
      <c r="W748" s="33">
        <f t="shared" si="70"/>
        <v>0.24261106420568665</v>
      </c>
      <c r="X748" s="4">
        <f t="shared" si="71"/>
        <v>0.15774768715516158</v>
      </c>
    </row>
    <row r="749" spans="1:24" ht="14.5" x14ac:dyDescent="0.35">
      <c r="A749" s="52">
        <v>44312</v>
      </c>
      <c r="B749" s="51">
        <v>2060</v>
      </c>
      <c r="C749" s="1">
        <f t="shared" si="72"/>
        <v>1.7630231376270501E-2</v>
      </c>
      <c r="R749" s="28">
        <v>748</v>
      </c>
      <c r="S749" s="29">
        <v>2.9368596733097057E-3</v>
      </c>
      <c r="T749" s="41">
        <f t="shared" si="68"/>
        <v>0</v>
      </c>
      <c r="U749" s="4">
        <f t="shared" si="69"/>
        <v>0.15786131720869004</v>
      </c>
      <c r="V749" s="15">
        <f t="shared" si="73"/>
        <v>0.59664536741214058</v>
      </c>
      <c r="W749" s="33">
        <f t="shared" si="70"/>
        <v>0.24467347833773251</v>
      </c>
      <c r="X749" s="4">
        <f t="shared" si="71"/>
        <v>0.15786131720869004</v>
      </c>
    </row>
    <row r="750" spans="1:24" ht="14.5" x14ac:dyDescent="0.35">
      <c r="A750" s="52">
        <v>44309</v>
      </c>
      <c r="B750" s="51">
        <v>2024</v>
      </c>
      <c r="C750" s="1">
        <f t="shared" si="72"/>
        <v>-1.0810916104215617E-2</v>
      </c>
      <c r="R750" s="28">
        <v>749</v>
      </c>
      <c r="S750" s="29">
        <v>2.9368596733097057E-3</v>
      </c>
      <c r="T750" s="41">
        <f t="shared" si="68"/>
        <v>0</v>
      </c>
      <c r="U750" s="4">
        <f t="shared" si="69"/>
        <v>0.15786131720869004</v>
      </c>
      <c r="V750" s="15">
        <f t="shared" si="73"/>
        <v>0.597444089456869</v>
      </c>
      <c r="W750" s="33">
        <f t="shared" si="70"/>
        <v>0.24673693372772171</v>
      </c>
      <c r="X750" s="4">
        <f t="shared" si="71"/>
        <v>0.15786131720869004</v>
      </c>
    </row>
    <row r="751" spans="1:24" ht="14.5" x14ac:dyDescent="0.35">
      <c r="A751" s="52">
        <v>44308</v>
      </c>
      <c r="B751" s="51">
        <v>2046</v>
      </c>
      <c r="C751" s="1">
        <f t="shared" si="72"/>
        <v>0</v>
      </c>
      <c r="R751" s="28">
        <v>750</v>
      </c>
      <c r="S751" s="29">
        <v>3.0349036951541112E-3</v>
      </c>
      <c r="T751" s="41">
        <f t="shared" si="68"/>
        <v>0</v>
      </c>
      <c r="U751" s="4">
        <f t="shared" si="69"/>
        <v>0.16303174367075196</v>
      </c>
      <c r="V751" s="15">
        <f t="shared" si="73"/>
        <v>0.59824281150159742</v>
      </c>
      <c r="W751" s="33">
        <f t="shared" si="70"/>
        <v>0.24880144022239856</v>
      </c>
      <c r="X751" s="4">
        <f t="shared" si="71"/>
        <v>0.16303174367075196</v>
      </c>
    </row>
    <row r="752" spans="1:24" ht="14.5" x14ac:dyDescent="0.35">
      <c r="A752" s="52">
        <v>44307</v>
      </c>
      <c r="B752" s="51">
        <v>2046</v>
      </c>
      <c r="C752" s="1">
        <f t="shared" si="72"/>
        <v>9.7799518797670989E-4</v>
      </c>
      <c r="R752" s="28">
        <v>751</v>
      </c>
      <c r="S752" s="29">
        <v>3.0627895305457308E-3</v>
      </c>
      <c r="T752" s="41">
        <f t="shared" si="68"/>
        <v>0</v>
      </c>
      <c r="U752" s="4">
        <f t="shared" si="69"/>
        <v>0.16450232452324234</v>
      </c>
      <c r="V752" s="15">
        <f t="shared" si="73"/>
        <v>0.59904153354632583</v>
      </c>
      <c r="W752" s="33">
        <f t="shared" si="70"/>
        <v>0.25086700770148757</v>
      </c>
      <c r="X752" s="4">
        <f t="shared" si="71"/>
        <v>0.16450232452324234</v>
      </c>
    </row>
    <row r="753" spans="1:24" ht="14.5" x14ac:dyDescent="0.35">
      <c r="A753" s="52">
        <v>44306</v>
      </c>
      <c r="B753" s="51">
        <v>2044</v>
      </c>
      <c r="C753" s="1">
        <f t="shared" si="72"/>
        <v>6.8728792877620504E-3</v>
      </c>
      <c r="R753" s="28">
        <v>752</v>
      </c>
      <c r="S753" s="29">
        <v>3.0854698961542233E-3</v>
      </c>
      <c r="T753" s="41">
        <f t="shared" si="68"/>
        <v>0</v>
      </c>
      <c r="U753" s="4">
        <f t="shared" si="69"/>
        <v>0.165698390946318</v>
      </c>
      <c r="V753" s="15">
        <f t="shared" si="73"/>
        <v>0.59984025559105436</v>
      </c>
      <c r="W753" s="33">
        <f t="shared" si="70"/>
        <v>0.25293364607806507</v>
      </c>
      <c r="X753" s="4">
        <f t="shared" si="71"/>
        <v>0.165698390946318</v>
      </c>
    </row>
    <row r="754" spans="1:24" ht="14.5" x14ac:dyDescent="0.35">
      <c r="A754" s="52">
        <v>44305</v>
      </c>
      <c r="B754" s="51">
        <v>2030</v>
      </c>
      <c r="C754" s="1">
        <f t="shared" si="72"/>
        <v>-2.0478531343540676E-2</v>
      </c>
      <c r="R754" s="28">
        <v>753</v>
      </c>
      <c r="S754" s="29">
        <v>3.0911925696728796E-3</v>
      </c>
      <c r="T754" s="41">
        <f t="shared" si="68"/>
        <v>0</v>
      </c>
      <c r="U754" s="4">
        <f t="shared" si="69"/>
        <v>0.16600018051020959</v>
      </c>
      <c r="V754" s="15">
        <f t="shared" si="73"/>
        <v>0.60063897763578278</v>
      </c>
      <c r="W754" s="33">
        <f t="shared" si="70"/>
        <v>0.25500136529893336</v>
      </c>
      <c r="X754" s="4">
        <f t="shared" si="71"/>
        <v>0.16600018051020959</v>
      </c>
    </row>
    <row r="755" spans="1:24" ht="14.5" x14ac:dyDescent="0.35">
      <c r="A755" s="52">
        <v>44302</v>
      </c>
      <c r="B755" s="51">
        <v>2072</v>
      </c>
      <c r="C755" s="1">
        <f t="shared" si="72"/>
        <v>9.6571711995901315E-4</v>
      </c>
      <c r="R755" s="28">
        <v>754</v>
      </c>
      <c r="S755" s="29">
        <v>3.2599865872075008E-3</v>
      </c>
      <c r="T755" s="41">
        <f t="shared" si="68"/>
        <v>0</v>
      </c>
      <c r="U755" s="4">
        <f t="shared" si="69"/>
        <v>0.17490166209451027</v>
      </c>
      <c r="V755" s="15">
        <f t="shared" si="73"/>
        <v>0.6014376996805112</v>
      </c>
      <c r="W755" s="33">
        <f t="shared" si="70"/>
        <v>0.25707017534499943</v>
      </c>
      <c r="X755" s="4">
        <f t="shared" si="71"/>
        <v>0.17490166209451027</v>
      </c>
    </row>
    <row r="756" spans="1:24" ht="14.5" x14ac:dyDescent="0.35">
      <c r="A756" s="52">
        <v>44301</v>
      </c>
      <c r="B756" s="51">
        <v>2070</v>
      </c>
      <c r="C756" s="1">
        <f t="shared" si="72"/>
        <v>1.1661939747842957E-2</v>
      </c>
      <c r="R756" s="28">
        <v>755</v>
      </c>
      <c r="S756" s="29">
        <v>3.2760062059007237E-3</v>
      </c>
      <c r="T756" s="41">
        <f t="shared" si="68"/>
        <v>0</v>
      </c>
      <c r="U756" s="4">
        <f t="shared" si="69"/>
        <v>0.17574646893581905</v>
      </c>
      <c r="V756" s="15">
        <f t="shared" si="73"/>
        <v>0.60223642172523961</v>
      </c>
      <c r="W756" s="33">
        <f t="shared" si="70"/>
        <v>0.25914008623165485</v>
      </c>
      <c r="X756" s="4">
        <f t="shared" si="71"/>
        <v>0.17574646893581905</v>
      </c>
    </row>
    <row r="757" spans="1:24" ht="14.5" x14ac:dyDescent="0.35">
      <c r="A757" s="52">
        <v>44300</v>
      </c>
      <c r="B757" s="51">
        <v>2046</v>
      </c>
      <c r="C757" s="1">
        <f t="shared" si="72"/>
        <v>-1.6481226183791921E-2</v>
      </c>
      <c r="R757" s="28">
        <v>756</v>
      </c>
      <c r="S757" s="29">
        <v>3.2976122215566729E-3</v>
      </c>
      <c r="T757" s="41">
        <f t="shared" si="68"/>
        <v>0</v>
      </c>
      <c r="U757" s="4">
        <f t="shared" si="69"/>
        <v>0.17688587869263758</v>
      </c>
      <c r="V757" s="15">
        <f t="shared" si="73"/>
        <v>0.60303514376996803</v>
      </c>
      <c r="W757" s="33">
        <f t="shared" si="70"/>
        <v>0.26121110800915892</v>
      </c>
      <c r="X757" s="4">
        <f t="shared" si="71"/>
        <v>0.17688587869263758</v>
      </c>
    </row>
    <row r="758" spans="1:24" ht="14.5" x14ac:dyDescent="0.35">
      <c r="A758" s="52">
        <v>44299</v>
      </c>
      <c r="B758" s="51">
        <v>2080</v>
      </c>
      <c r="C758" s="1">
        <f t="shared" si="72"/>
        <v>-2.093320966646579E-2</v>
      </c>
      <c r="R758" s="28">
        <v>757</v>
      </c>
      <c r="S758" s="29">
        <v>3.3112613036560051E-3</v>
      </c>
      <c r="T758" s="41">
        <f t="shared" si="68"/>
        <v>0</v>
      </c>
      <c r="U758" s="4">
        <f t="shared" si="69"/>
        <v>0.17760567347401893</v>
      </c>
      <c r="V758" s="15">
        <f t="shared" si="73"/>
        <v>0.60383386581469645</v>
      </c>
      <c r="W758" s="33">
        <f t="shared" si="70"/>
        <v>0.26328325076302594</v>
      </c>
      <c r="X758" s="4">
        <f t="shared" si="71"/>
        <v>0.17760567347401893</v>
      </c>
    </row>
    <row r="759" spans="1:24" ht="14.5" x14ac:dyDescent="0.35">
      <c r="A759" s="52">
        <v>44298</v>
      </c>
      <c r="B759" s="51">
        <v>2124</v>
      </c>
      <c r="C759" s="1">
        <f t="shared" si="72"/>
        <v>-1.0304540828814331E-2</v>
      </c>
      <c r="R759" s="28">
        <v>758</v>
      </c>
      <c r="S759" s="29">
        <v>3.3123581129828744E-3</v>
      </c>
      <c r="T759" s="41">
        <f t="shared" si="68"/>
        <v>0</v>
      </c>
      <c r="U759" s="4">
        <f t="shared" si="69"/>
        <v>0.17766351455255489</v>
      </c>
      <c r="V759" s="15">
        <f t="shared" si="73"/>
        <v>0.60463258785942497</v>
      </c>
      <c r="W759" s="33">
        <f t="shared" si="70"/>
        <v>0.26535652461441434</v>
      </c>
      <c r="X759" s="4">
        <f t="shared" si="71"/>
        <v>0.17766351455255489</v>
      </c>
    </row>
    <row r="760" spans="1:24" ht="14.5" x14ac:dyDescent="0.35">
      <c r="A760" s="52">
        <v>44295</v>
      </c>
      <c r="B760" s="51">
        <v>2146</v>
      </c>
      <c r="C760" s="1">
        <f t="shared" si="72"/>
        <v>-1.8621979310646511E-3</v>
      </c>
      <c r="R760" s="28">
        <v>759</v>
      </c>
      <c r="S760" s="29">
        <v>3.3277900926747457E-3</v>
      </c>
      <c r="T760" s="41">
        <f t="shared" si="68"/>
        <v>0</v>
      </c>
      <c r="U760" s="4">
        <f t="shared" si="69"/>
        <v>0.17847733180178479</v>
      </c>
      <c r="V760" s="15">
        <f t="shared" si="73"/>
        <v>0.60543130990415339</v>
      </c>
      <c r="W760" s="33">
        <f t="shared" si="70"/>
        <v>0.26743093972051823</v>
      </c>
      <c r="X760" s="4">
        <f t="shared" si="71"/>
        <v>0.17847733180178479</v>
      </c>
    </row>
    <row r="761" spans="1:24" ht="14.5" x14ac:dyDescent="0.35">
      <c r="A761" s="52">
        <v>44294</v>
      </c>
      <c r="B761" s="51">
        <v>2150</v>
      </c>
      <c r="C761" s="1">
        <f t="shared" si="72"/>
        <v>-1.0180559932117604E-2</v>
      </c>
      <c r="R761" s="28">
        <v>760</v>
      </c>
      <c r="S761" s="29">
        <v>3.3366730990394703E-3</v>
      </c>
      <c r="T761" s="41">
        <f t="shared" si="68"/>
        <v>0</v>
      </c>
      <c r="U761" s="4">
        <f t="shared" si="69"/>
        <v>0.17894578393488605</v>
      </c>
      <c r="V761" s="15">
        <f t="shared" si="73"/>
        <v>0.60623003194888181</v>
      </c>
      <c r="W761" s="33">
        <f t="shared" si="70"/>
        <v>0.26950650627496547</v>
      </c>
      <c r="X761" s="4">
        <f t="shared" si="71"/>
        <v>0.17894578393488605</v>
      </c>
    </row>
    <row r="762" spans="1:24" ht="14.5" x14ac:dyDescent="0.35">
      <c r="A762" s="52">
        <v>44293</v>
      </c>
      <c r="B762" s="51">
        <v>2172</v>
      </c>
      <c r="C762" s="1">
        <f t="shared" si="72"/>
        <v>3.6900410874539631E-3</v>
      </c>
      <c r="R762" s="28">
        <v>761</v>
      </c>
      <c r="S762" s="29">
        <v>3.3411324098351299E-3</v>
      </c>
      <c r="T762" s="41">
        <f t="shared" si="68"/>
        <v>0</v>
      </c>
      <c r="U762" s="4">
        <f t="shared" si="69"/>
        <v>0.17918094909954063</v>
      </c>
      <c r="V762" s="15">
        <f t="shared" si="73"/>
        <v>0.60702875399361023</v>
      </c>
      <c r="W762" s="33">
        <f t="shared" si="70"/>
        <v>0.27158323450821464</v>
      </c>
      <c r="X762" s="4">
        <f t="shared" si="71"/>
        <v>0.17918094909954063</v>
      </c>
    </row>
    <row r="763" spans="1:24" ht="14.5" x14ac:dyDescent="0.35">
      <c r="A763" s="52">
        <v>44292</v>
      </c>
      <c r="B763" s="51">
        <v>2164</v>
      </c>
      <c r="C763" s="1">
        <f t="shared" si="72"/>
        <v>1.5836381262901395E-2</v>
      </c>
      <c r="R763" s="28">
        <v>762</v>
      </c>
      <c r="S763" s="29">
        <v>3.4164706958972777E-3</v>
      </c>
      <c r="T763" s="41">
        <f t="shared" si="68"/>
        <v>0</v>
      </c>
      <c r="U763" s="4">
        <f t="shared" si="69"/>
        <v>0.18315397122301391</v>
      </c>
      <c r="V763" s="15">
        <f t="shared" si="73"/>
        <v>0.60782747603833864</v>
      </c>
      <c r="W763" s="33">
        <f t="shared" si="70"/>
        <v>0.27366113468795827</v>
      </c>
      <c r="X763" s="4">
        <f t="shared" si="71"/>
        <v>0.18315397122301391</v>
      </c>
    </row>
    <row r="764" spans="1:24" ht="14.5" x14ac:dyDescent="0.35">
      <c r="A764" s="52">
        <v>44287</v>
      </c>
      <c r="B764" s="51">
        <v>2130</v>
      </c>
      <c r="C764" s="1">
        <f t="shared" si="72"/>
        <v>-4.8566575571519013E-2</v>
      </c>
      <c r="R764" s="28">
        <v>763</v>
      </c>
      <c r="S764" s="29">
        <v>3.4211459984711712E-3</v>
      </c>
      <c r="T764" s="41">
        <f t="shared" si="68"/>
        <v>0</v>
      </c>
      <c r="U764" s="4">
        <f t="shared" si="69"/>
        <v>0.18340052687925337</v>
      </c>
      <c r="V764" s="15">
        <f t="shared" si="73"/>
        <v>0.60862619808306706</v>
      </c>
      <c r="W764" s="33">
        <f t="shared" si="70"/>
        <v>0.27574021711952768</v>
      </c>
      <c r="X764" s="4">
        <f t="shared" si="71"/>
        <v>0.18340052687925337</v>
      </c>
    </row>
    <row r="765" spans="1:24" ht="14.5" x14ac:dyDescent="0.35">
      <c r="A765" s="52">
        <v>44286</v>
      </c>
      <c r="B765" s="51">
        <v>2236</v>
      </c>
      <c r="C765" s="1">
        <f t="shared" si="72"/>
        <v>-1.6851840035491585E-2</v>
      </c>
      <c r="R765" s="28">
        <v>764</v>
      </c>
      <c r="S765" s="29">
        <v>3.4258341145190102E-3</v>
      </c>
      <c r="T765" s="41">
        <f t="shared" si="68"/>
        <v>0</v>
      </c>
      <c r="U765" s="4">
        <f t="shared" si="69"/>
        <v>0.18364775826383928</v>
      </c>
      <c r="V765" s="15">
        <f t="shared" si="73"/>
        <v>0.60942492012779548</v>
      </c>
      <c r="W765" s="33">
        <f t="shared" si="70"/>
        <v>0.27782049214630183</v>
      </c>
      <c r="X765" s="4">
        <f t="shared" si="71"/>
        <v>0.18364775826383928</v>
      </c>
    </row>
    <row r="766" spans="1:24" ht="14.5" x14ac:dyDescent="0.35">
      <c r="A766" s="52">
        <v>44285</v>
      </c>
      <c r="B766" s="51">
        <v>2274</v>
      </c>
      <c r="C766" s="1">
        <f t="shared" si="72"/>
        <v>6.1755820441498624E-3</v>
      </c>
      <c r="R766" s="28">
        <v>765</v>
      </c>
      <c r="S766" s="29">
        <v>3.4258341145190102E-3</v>
      </c>
      <c r="T766" s="41">
        <f t="shared" si="68"/>
        <v>0</v>
      </c>
      <c r="U766" s="4">
        <f t="shared" si="69"/>
        <v>0.18364775826383928</v>
      </c>
      <c r="V766" s="15">
        <f t="shared" si="73"/>
        <v>0.61022364217252401</v>
      </c>
      <c r="W766" s="33">
        <f t="shared" si="70"/>
        <v>0.27990197015012014</v>
      </c>
      <c r="X766" s="4">
        <f t="shared" si="71"/>
        <v>0.18364775826383928</v>
      </c>
    </row>
    <row r="767" spans="1:24" ht="14.5" x14ac:dyDescent="0.35">
      <c r="A767" s="52">
        <v>44284</v>
      </c>
      <c r="B767" s="51">
        <v>2260</v>
      </c>
      <c r="C767" s="1">
        <f t="shared" si="72"/>
        <v>1.6957122066756293E-2</v>
      </c>
      <c r="R767" s="28">
        <v>766</v>
      </c>
      <c r="S767" s="29">
        <v>3.4782643763247925E-3</v>
      </c>
      <c r="T767" s="41">
        <f t="shared" si="68"/>
        <v>0</v>
      </c>
      <c r="U767" s="4">
        <f t="shared" si="69"/>
        <v>0.18641270821136044</v>
      </c>
      <c r="V767" s="15">
        <f t="shared" si="73"/>
        <v>0.61102236421725242</v>
      </c>
      <c r="W767" s="33">
        <f t="shared" si="70"/>
        <v>0.28198466155169616</v>
      </c>
      <c r="X767" s="4">
        <f t="shared" si="71"/>
        <v>0.18641270821136044</v>
      </c>
    </row>
    <row r="768" spans="1:24" ht="14.5" x14ac:dyDescent="0.35">
      <c r="A768" s="52">
        <v>44281</v>
      </c>
      <c r="B768" s="51">
        <v>2222</v>
      </c>
      <c r="C768" s="1">
        <f t="shared" si="72"/>
        <v>9.950330853168092E-3</v>
      </c>
      <c r="R768" s="28">
        <v>767</v>
      </c>
      <c r="S768" s="29">
        <v>3.5323244075452938E-3</v>
      </c>
      <c r="T768" s="41">
        <f t="shared" si="68"/>
        <v>0</v>
      </c>
      <c r="U768" s="4">
        <f t="shared" si="69"/>
        <v>0.18926360529518221</v>
      </c>
      <c r="V768" s="15">
        <f t="shared" si="73"/>
        <v>0.61182108626198084</v>
      </c>
      <c r="W768" s="33">
        <f t="shared" si="70"/>
        <v>0.2840685768110387</v>
      </c>
      <c r="X768" s="4">
        <f t="shared" si="71"/>
        <v>0.18926360529518221</v>
      </c>
    </row>
    <row r="769" spans="1:24" ht="14.5" x14ac:dyDescent="0.35">
      <c r="A769" s="52">
        <v>44280</v>
      </c>
      <c r="B769" s="51">
        <v>2200</v>
      </c>
      <c r="C769" s="1">
        <f t="shared" si="72"/>
        <v>7.2993024816115351E-3</v>
      </c>
      <c r="R769" s="28">
        <v>768</v>
      </c>
      <c r="S769" s="29">
        <v>3.5398267051239868E-3</v>
      </c>
      <c r="T769" s="41">
        <f t="shared" si="68"/>
        <v>0</v>
      </c>
      <c r="U769" s="4">
        <f t="shared" si="69"/>
        <v>0.18965924469468273</v>
      </c>
      <c r="V769" s="15">
        <f t="shared" si="73"/>
        <v>0.61261980830670926</v>
      </c>
      <c r="W769" s="33">
        <f t="shared" si="70"/>
        <v>0.28615372642787296</v>
      </c>
      <c r="X769" s="4">
        <f t="shared" si="71"/>
        <v>0.18965924469468273</v>
      </c>
    </row>
    <row r="770" spans="1:24" ht="14.5" x14ac:dyDescent="0.35">
      <c r="A770" s="52">
        <v>44279</v>
      </c>
      <c r="B770" s="51">
        <v>2184</v>
      </c>
      <c r="C770" s="1">
        <f t="shared" si="72"/>
        <v>2.8799017690867224E-2</v>
      </c>
      <c r="R770" s="28">
        <v>769</v>
      </c>
      <c r="S770" s="29">
        <v>3.5863756312276532E-3</v>
      </c>
      <c r="T770" s="41">
        <f t="shared" si="68"/>
        <v>0</v>
      </c>
      <c r="U770" s="4">
        <f t="shared" si="69"/>
        <v>0.19211403790674531</v>
      </c>
      <c r="V770" s="15">
        <f t="shared" si="73"/>
        <v>0.61341853035143767</v>
      </c>
      <c r="W770" s="33">
        <f t="shared" si="70"/>
        <v>0.28824012094206697</v>
      </c>
      <c r="X770" s="4">
        <f t="shared" si="71"/>
        <v>0.19211403790674531</v>
      </c>
    </row>
    <row r="771" spans="1:24" ht="14.5" x14ac:dyDescent="0.35">
      <c r="A771" s="52">
        <v>44278</v>
      </c>
      <c r="B771" s="51">
        <v>2122</v>
      </c>
      <c r="C771" s="1">
        <f t="shared" si="72"/>
        <v>-1.1246604016715298E-2</v>
      </c>
      <c r="R771" s="28">
        <v>770</v>
      </c>
      <c r="S771" s="29">
        <v>3.5932485661254862E-3</v>
      </c>
      <c r="T771" s="41">
        <f t="shared" ref="T771:T834" si="74">+IF(OR(S771&lt;($Z$3-3*$Z$4^0.5),S771&gt;($Z$3+3*$Z$4^0.5)),1,0)</f>
        <v>0</v>
      </c>
      <c r="U771" s="4">
        <f t="shared" ref="U771:U834" si="75">+(S771-AVERAGE($S$2:$S$1252))/_xlfn.STDEV.S($S$2:$S$1252)</f>
        <v>0.19247648738402379</v>
      </c>
      <c r="V771" s="15">
        <f t="shared" si="73"/>
        <v>0.61421725239616609</v>
      </c>
      <c r="W771" s="33">
        <f t="shared" ref="W771:W834" si="76">+_xlfn.NORM.S.INV(V771)</f>
        <v>0.29032777093406087</v>
      </c>
      <c r="X771" s="4">
        <f t="shared" ref="X771:X834" si="77">+U771</f>
        <v>0.19247648738402379</v>
      </c>
    </row>
    <row r="772" spans="1:24" ht="14.5" x14ac:dyDescent="0.35">
      <c r="A772" s="52">
        <v>44277</v>
      </c>
      <c r="B772" s="51">
        <v>2146</v>
      </c>
      <c r="C772" s="1">
        <f t="shared" ref="C772:C835" si="78">+LN(B772/B773)</f>
        <v>-6.5025774875669571E-3</v>
      </c>
      <c r="R772" s="28">
        <v>771</v>
      </c>
      <c r="S772" s="29">
        <v>3.6166404701885148E-3</v>
      </c>
      <c r="T772" s="41">
        <f t="shared" si="74"/>
        <v>0</v>
      </c>
      <c r="U772" s="4">
        <f t="shared" si="75"/>
        <v>0.1937100773315826</v>
      </c>
      <c r="V772" s="15">
        <f t="shared" ref="V772:V835" si="79">+R771/1252</f>
        <v>0.61501597444089462</v>
      </c>
      <c r="W772" s="33">
        <f t="shared" si="76"/>
        <v>0.29241668702530055</v>
      </c>
      <c r="X772" s="4">
        <f t="shared" si="77"/>
        <v>0.1937100773315826</v>
      </c>
    </row>
    <row r="773" spans="1:24" ht="14.5" x14ac:dyDescent="0.35">
      <c r="A773" s="52">
        <v>44274</v>
      </c>
      <c r="B773" s="51">
        <v>2160</v>
      </c>
      <c r="C773" s="1">
        <f t="shared" si="78"/>
        <v>-1.8349138668196541E-2</v>
      </c>
      <c r="R773" s="28">
        <v>772</v>
      </c>
      <c r="S773" s="29">
        <v>3.6509715618810675E-3</v>
      </c>
      <c r="T773" s="41">
        <f t="shared" si="74"/>
        <v>0</v>
      </c>
      <c r="U773" s="4">
        <f t="shared" si="75"/>
        <v>0.19552055370351631</v>
      </c>
      <c r="V773" s="15">
        <f t="shared" si="79"/>
        <v>0.61581469648562304</v>
      </c>
      <c r="W773" s="33">
        <f t="shared" si="76"/>
        <v>0.29450687987867352</v>
      </c>
      <c r="X773" s="4">
        <f t="shared" si="77"/>
        <v>0.19552055370351631</v>
      </c>
    </row>
    <row r="774" spans="1:24" ht="14.5" x14ac:dyDescent="0.35">
      <c r="A774" s="52">
        <v>44273</v>
      </c>
      <c r="B774" s="51">
        <v>2200</v>
      </c>
      <c r="C774" s="1">
        <f t="shared" si="78"/>
        <v>2.2059718064732257E-2</v>
      </c>
      <c r="R774" s="28">
        <v>773</v>
      </c>
      <c r="S774" s="29">
        <v>3.6900410874539631E-3</v>
      </c>
      <c r="T774" s="41">
        <f t="shared" si="74"/>
        <v>0</v>
      </c>
      <c r="U774" s="4">
        <f t="shared" si="75"/>
        <v>0.19758091500940894</v>
      </c>
      <c r="V774" s="15">
        <f t="shared" si="79"/>
        <v>0.61661341853035145</v>
      </c>
      <c r="W774" s="33">
        <f t="shared" si="76"/>
        <v>0.29659836019895114</v>
      </c>
      <c r="X774" s="4">
        <f t="shared" si="77"/>
        <v>0.19758091500940894</v>
      </c>
    </row>
    <row r="775" spans="1:24" ht="14.5" x14ac:dyDescent="0.35">
      <c r="A775" s="52">
        <v>44272</v>
      </c>
      <c r="B775" s="51">
        <v>2152</v>
      </c>
      <c r="C775" s="1">
        <f t="shared" si="78"/>
        <v>-1.8416726786231151E-2</v>
      </c>
      <c r="R775" s="28">
        <v>774</v>
      </c>
      <c r="S775" s="29">
        <v>3.6914032319596769E-3</v>
      </c>
      <c r="T775" s="41">
        <f t="shared" si="74"/>
        <v>0</v>
      </c>
      <c r="U775" s="4">
        <f t="shared" si="75"/>
        <v>0.19765274874149177</v>
      </c>
      <c r="V775" s="15">
        <f t="shared" si="79"/>
        <v>0.61741214057507987</v>
      </c>
      <c r="W775" s="33">
        <f t="shared" si="76"/>
        <v>0.29869113873323189</v>
      </c>
      <c r="X775" s="4">
        <f t="shared" si="77"/>
        <v>0.19765274874149177</v>
      </c>
    </row>
    <row r="776" spans="1:24" ht="14.5" x14ac:dyDescent="0.35">
      <c r="A776" s="52">
        <v>44271</v>
      </c>
      <c r="B776" s="51">
        <v>2192</v>
      </c>
      <c r="C776" s="1">
        <f t="shared" si="78"/>
        <v>-1.2692826798418958E-2</v>
      </c>
      <c r="R776" s="28">
        <v>775</v>
      </c>
      <c r="S776" s="29">
        <v>3.6968618813262026E-3</v>
      </c>
      <c r="T776" s="41">
        <f t="shared" si="74"/>
        <v>0</v>
      </c>
      <c r="U776" s="4">
        <f t="shared" si="75"/>
        <v>0.19794061478983274</v>
      </c>
      <c r="V776" s="15">
        <f t="shared" si="79"/>
        <v>0.61821086261980829</v>
      </c>
      <c r="W776" s="33">
        <f t="shared" si="76"/>
        <v>0.30078522627139009</v>
      </c>
      <c r="X776" s="4">
        <f t="shared" si="77"/>
        <v>0.19794061478983274</v>
      </c>
    </row>
    <row r="777" spans="1:24" ht="14.5" x14ac:dyDescent="0.35">
      <c r="A777" s="52">
        <v>44267</v>
      </c>
      <c r="B777" s="51">
        <v>2220</v>
      </c>
      <c r="C777" s="1">
        <f t="shared" si="78"/>
        <v>2.7063615977428457E-3</v>
      </c>
      <c r="R777" s="28">
        <v>776</v>
      </c>
      <c r="S777" s="29">
        <v>3.7383221106071581E-3</v>
      </c>
      <c r="T777" s="41">
        <f t="shared" si="74"/>
        <v>0</v>
      </c>
      <c r="U777" s="4">
        <f t="shared" si="75"/>
        <v>0.20012705168383943</v>
      </c>
      <c r="V777" s="15">
        <f t="shared" si="79"/>
        <v>0.61900958466453671</v>
      </c>
      <c r="W777" s="33">
        <f t="shared" si="76"/>
        <v>0.30288063364652773</v>
      </c>
      <c r="X777" s="4">
        <f t="shared" si="77"/>
        <v>0.20012705168383943</v>
      </c>
    </row>
    <row r="778" spans="1:24" ht="14.5" x14ac:dyDescent="0.35">
      <c r="A778" s="52">
        <v>44266</v>
      </c>
      <c r="B778" s="51">
        <v>2214</v>
      </c>
      <c r="C778" s="1">
        <f t="shared" si="78"/>
        <v>9.0375062635667913E-4</v>
      </c>
      <c r="R778" s="28">
        <v>777</v>
      </c>
      <c r="S778" s="29">
        <v>3.7411192156035496E-3</v>
      </c>
      <c r="T778" s="41">
        <f t="shared" si="74"/>
        <v>0</v>
      </c>
      <c r="U778" s="4">
        <f t="shared" si="75"/>
        <v>0.20027455915465145</v>
      </c>
      <c r="V778" s="15">
        <f t="shared" si="79"/>
        <v>0.61980830670926512</v>
      </c>
      <c r="W778" s="33">
        <f t="shared" si="76"/>
        <v>0.30497737173543127</v>
      </c>
      <c r="X778" s="4">
        <f t="shared" si="77"/>
        <v>0.20027455915465145</v>
      </c>
    </row>
    <row r="779" spans="1:24" ht="14.5" x14ac:dyDescent="0.35">
      <c r="A779" s="52">
        <v>44265</v>
      </c>
      <c r="B779" s="51">
        <v>2212</v>
      </c>
      <c r="C779" s="1">
        <f t="shared" si="78"/>
        <v>-8.1045018119390699E-3</v>
      </c>
      <c r="R779" s="28">
        <v>778</v>
      </c>
      <c r="S779" s="29">
        <v>3.7523496185503718E-3</v>
      </c>
      <c r="T779" s="41">
        <f t="shared" si="74"/>
        <v>0</v>
      </c>
      <c r="U779" s="4">
        <f t="shared" si="75"/>
        <v>0.20086680304146404</v>
      </c>
      <c r="V779" s="15">
        <f t="shared" si="79"/>
        <v>0.62060702875399365</v>
      </c>
      <c r="W779" s="33">
        <f t="shared" si="76"/>
        <v>0.30707545145903103</v>
      </c>
      <c r="X779" s="4">
        <f t="shared" si="77"/>
        <v>0.20086680304146404</v>
      </c>
    </row>
    <row r="780" spans="1:24" ht="14.5" x14ac:dyDescent="0.35">
      <c r="A780" s="52">
        <v>44264</v>
      </c>
      <c r="B780" s="51">
        <v>2230</v>
      </c>
      <c r="C780" s="1">
        <f t="shared" si="78"/>
        <v>-2.0417930792057119E-2</v>
      </c>
      <c r="R780" s="28">
        <v>779</v>
      </c>
      <c r="S780" s="29">
        <v>3.7950709685515343E-3</v>
      </c>
      <c r="T780" s="41">
        <f t="shared" si="74"/>
        <v>0</v>
      </c>
      <c r="U780" s="4">
        <f t="shared" si="75"/>
        <v>0.20311974610097627</v>
      </c>
      <c r="V780" s="15">
        <f t="shared" si="79"/>
        <v>0.62140575079872207</v>
      </c>
      <c r="W780" s="33">
        <f t="shared" si="76"/>
        <v>0.30917488378286528</v>
      </c>
      <c r="X780" s="4">
        <f t="shared" si="77"/>
        <v>0.20311974610097627</v>
      </c>
    </row>
    <row r="781" spans="1:24" ht="14.5" x14ac:dyDescent="0.35">
      <c r="A781" s="52">
        <v>44263</v>
      </c>
      <c r="B781" s="51">
        <v>2276</v>
      </c>
      <c r="C781" s="1">
        <f t="shared" si="78"/>
        <v>2.9427000734422937E-2</v>
      </c>
      <c r="R781" s="28">
        <v>780</v>
      </c>
      <c r="S781" s="29">
        <v>3.8624999738967676E-3</v>
      </c>
      <c r="T781" s="41">
        <f t="shared" si="74"/>
        <v>0</v>
      </c>
      <c r="U781" s="4">
        <f t="shared" si="75"/>
        <v>0.20667566625795222</v>
      </c>
      <c r="V781" s="15">
        <f t="shared" si="79"/>
        <v>0.62220447284345048</v>
      </c>
      <c r="W781" s="33">
        <f t="shared" si="76"/>
        <v>0.3112756797175496</v>
      </c>
      <c r="X781" s="4">
        <f t="shared" si="77"/>
        <v>0.20667566625795222</v>
      </c>
    </row>
    <row r="782" spans="1:24" ht="14.5" x14ac:dyDescent="0.35">
      <c r="A782" s="52">
        <v>44260</v>
      </c>
      <c r="B782" s="51">
        <v>2210</v>
      </c>
      <c r="C782" s="1">
        <f t="shared" si="78"/>
        <v>2.1958796312644965E-2</v>
      </c>
      <c r="R782" s="28">
        <v>781</v>
      </c>
      <c r="S782" s="29">
        <v>3.949972219314069E-3</v>
      </c>
      <c r="T782" s="41">
        <f t="shared" si="74"/>
        <v>0</v>
      </c>
      <c r="U782" s="4">
        <f t="shared" si="75"/>
        <v>0.21128858200634257</v>
      </c>
      <c r="V782" s="15">
        <f t="shared" si="79"/>
        <v>0.6230031948881789</v>
      </c>
      <c r="W782" s="33">
        <f t="shared" si="76"/>
        <v>0.31337785031924825</v>
      </c>
      <c r="X782" s="4">
        <f t="shared" si="77"/>
        <v>0.21128858200634257</v>
      </c>
    </row>
    <row r="783" spans="1:24" ht="14.5" x14ac:dyDescent="0.35">
      <c r="A783" s="52">
        <v>44259</v>
      </c>
      <c r="B783" s="51">
        <v>2162</v>
      </c>
      <c r="C783" s="1">
        <f t="shared" si="78"/>
        <v>-2.1958796312644947E-2</v>
      </c>
      <c r="R783" s="28">
        <v>782</v>
      </c>
      <c r="S783" s="29">
        <v>3.9793128514810537E-3</v>
      </c>
      <c r="T783" s="41">
        <f t="shared" si="74"/>
        <v>0</v>
      </c>
      <c r="U783" s="4">
        <f t="shared" si="75"/>
        <v>0.21283588267920311</v>
      </c>
      <c r="V783" s="15">
        <f t="shared" si="79"/>
        <v>0.62380191693290732</v>
      </c>
      <c r="W783" s="33">
        <f t="shared" si="76"/>
        <v>0.3154814066901514</v>
      </c>
      <c r="X783" s="4">
        <f t="shared" si="77"/>
        <v>0.21283588267920311</v>
      </c>
    </row>
    <row r="784" spans="1:24" ht="14.5" x14ac:dyDescent="0.35">
      <c r="A784" s="52">
        <v>44258</v>
      </c>
      <c r="B784" s="51">
        <v>2210</v>
      </c>
      <c r="C784" s="1">
        <f t="shared" si="78"/>
        <v>-2.7667985329243517E-2</v>
      </c>
      <c r="R784" s="28">
        <v>783</v>
      </c>
      <c r="S784" s="29">
        <v>4.0107005634072747E-3</v>
      </c>
      <c r="T784" s="41">
        <f t="shared" si="74"/>
        <v>0</v>
      </c>
      <c r="U784" s="4">
        <f t="shared" si="75"/>
        <v>0.21449113766848191</v>
      </c>
      <c r="V784" s="15">
        <f t="shared" si="79"/>
        <v>0.62460063897763574</v>
      </c>
      <c r="W784" s="33">
        <f t="shared" si="76"/>
        <v>0.31758635997895596</v>
      </c>
      <c r="X784" s="4">
        <f t="shared" si="77"/>
        <v>0.21449113766848191</v>
      </c>
    </row>
    <row r="785" spans="1:24" ht="14.5" x14ac:dyDescent="0.35">
      <c r="A785" s="52">
        <v>44257</v>
      </c>
      <c r="B785" s="51">
        <v>2272</v>
      </c>
      <c r="C785" s="1">
        <f t="shared" si="78"/>
        <v>8.8066936559370499E-4</v>
      </c>
      <c r="R785" s="28">
        <v>784</v>
      </c>
      <c r="S785" s="29">
        <v>4.0600948992983599E-3</v>
      </c>
      <c r="T785" s="41">
        <f t="shared" si="74"/>
        <v>0</v>
      </c>
      <c r="U785" s="4">
        <f t="shared" si="75"/>
        <v>0.21709598574144795</v>
      </c>
      <c r="V785" s="15">
        <f t="shared" si="79"/>
        <v>0.62539936102236426</v>
      </c>
      <c r="W785" s="33">
        <f t="shared" si="76"/>
        <v>0.31969272138135102</v>
      </c>
      <c r="X785" s="4">
        <f t="shared" si="77"/>
        <v>0.21709598574144795</v>
      </c>
    </row>
    <row r="786" spans="1:24" ht="14.5" x14ac:dyDescent="0.35">
      <c r="A786" s="52">
        <v>44256</v>
      </c>
      <c r="B786" s="51">
        <v>2270</v>
      </c>
      <c r="C786" s="1">
        <f t="shared" si="78"/>
        <v>5.1525178446560668E-2</v>
      </c>
      <c r="R786" s="28">
        <v>785</v>
      </c>
      <c r="S786" s="29">
        <v>4.0899852515250664E-3</v>
      </c>
      <c r="T786" s="41">
        <f t="shared" si="74"/>
        <v>0</v>
      </c>
      <c r="U786" s="4">
        <f t="shared" si="75"/>
        <v>0.2186722763220055</v>
      </c>
      <c r="V786" s="15">
        <f t="shared" si="79"/>
        <v>0.62619808306709268</v>
      </c>
      <c r="W786" s="33">
        <f t="shared" si="76"/>
        <v>0.32180050214050671</v>
      </c>
      <c r="X786" s="4">
        <f t="shared" si="77"/>
        <v>0.2186722763220055</v>
      </c>
    </row>
    <row r="787" spans="1:24" ht="14.5" x14ac:dyDescent="0.35">
      <c r="A787" s="52">
        <v>44253</v>
      </c>
      <c r="B787" s="51">
        <v>2156</v>
      </c>
      <c r="C787" s="1">
        <f t="shared" si="78"/>
        <v>-1.9293202934678896E-2</v>
      </c>
      <c r="R787" s="28">
        <v>786</v>
      </c>
      <c r="S787" s="29">
        <v>4.098366392282185E-3</v>
      </c>
      <c r="T787" s="41">
        <f t="shared" si="74"/>
        <v>0</v>
      </c>
      <c r="U787" s="4">
        <f t="shared" si="75"/>
        <v>0.21911426218853433</v>
      </c>
      <c r="V787" s="15">
        <f t="shared" si="79"/>
        <v>0.6269968051118211</v>
      </c>
      <c r="W787" s="33">
        <f t="shared" si="76"/>
        <v>0.32390971354756987</v>
      </c>
      <c r="X787" s="4">
        <f t="shared" si="77"/>
        <v>0.21911426218853433</v>
      </c>
    </row>
    <row r="788" spans="1:24" ht="14.5" x14ac:dyDescent="0.35">
      <c r="A788" s="52">
        <v>44252</v>
      </c>
      <c r="B788" s="51">
        <v>2198</v>
      </c>
      <c r="C788" s="1">
        <f t="shared" si="78"/>
        <v>1.6514136764413014E-2</v>
      </c>
      <c r="R788" s="28">
        <v>787</v>
      </c>
      <c r="S788" s="29">
        <v>4.1407926660313871E-3</v>
      </c>
      <c r="T788" s="41">
        <f t="shared" si="74"/>
        <v>0</v>
      </c>
      <c r="U788" s="4">
        <f t="shared" si="75"/>
        <v>0.22135164417626718</v>
      </c>
      <c r="V788" s="15">
        <f t="shared" si="79"/>
        <v>0.62779552715654952</v>
      </c>
      <c r="W788" s="33">
        <f t="shared" si="76"/>
        <v>0.32602036694216147</v>
      </c>
      <c r="X788" s="4">
        <f t="shared" si="77"/>
        <v>0.22135164417626718</v>
      </c>
    </row>
    <row r="789" spans="1:24" ht="14.5" x14ac:dyDescent="0.35">
      <c r="A789" s="52">
        <v>44251</v>
      </c>
      <c r="B789" s="51">
        <v>2162</v>
      </c>
      <c r="C789" s="1">
        <f t="shared" si="78"/>
        <v>5.5658770774451765E-3</v>
      </c>
      <c r="R789" s="28">
        <v>788</v>
      </c>
      <c r="S789" s="29">
        <v>4.1695682367248309E-3</v>
      </c>
      <c r="T789" s="41">
        <f t="shared" si="74"/>
        <v>0</v>
      </c>
      <c r="U789" s="4">
        <f t="shared" si="75"/>
        <v>0.22286914590024204</v>
      </c>
      <c r="V789" s="15">
        <f t="shared" si="79"/>
        <v>0.62859424920127793</v>
      </c>
      <c r="W789" s="33">
        <f t="shared" si="76"/>
        <v>0.32813247371288057</v>
      </c>
      <c r="X789" s="4">
        <f t="shared" si="77"/>
        <v>0.22286914590024204</v>
      </c>
    </row>
    <row r="790" spans="1:24" ht="14.5" x14ac:dyDescent="0.35">
      <c r="A790" s="52">
        <v>44250</v>
      </c>
      <c r="B790" s="51">
        <v>2150</v>
      </c>
      <c r="C790" s="1">
        <f t="shared" si="78"/>
        <v>-1.2020486854124776E-2</v>
      </c>
      <c r="R790" s="28">
        <v>789</v>
      </c>
      <c r="S790" s="29">
        <v>4.1724678058007031E-3</v>
      </c>
      <c r="T790" s="41">
        <f t="shared" si="74"/>
        <v>0</v>
      </c>
      <c r="U790" s="4">
        <f t="shared" si="75"/>
        <v>0.22302205689263543</v>
      </c>
      <c r="V790" s="15">
        <f t="shared" si="79"/>
        <v>0.62939297124600635</v>
      </c>
      <c r="W790" s="33">
        <f t="shared" si="76"/>
        <v>0.33024604529781199</v>
      </c>
      <c r="X790" s="4">
        <f t="shared" si="77"/>
        <v>0.22302205689263543</v>
      </c>
    </row>
    <row r="791" spans="1:24" ht="14.5" x14ac:dyDescent="0.35">
      <c r="A791" s="52">
        <v>44249</v>
      </c>
      <c r="B791" s="51">
        <v>2176</v>
      </c>
      <c r="C791" s="1">
        <f t="shared" si="78"/>
        <v>-2.271792385965684E-2</v>
      </c>
      <c r="R791" s="28">
        <v>790</v>
      </c>
      <c r="S791" s="29">
        <v>4.187026354216453E-3</v>
      </c>
      <c r="T791" s="41">
        <f t="shared" si="74"/>
        <v>0</v>
      </c>
      <c r="U791" s="4">
        <f t="shared" si="75"/>
        <v>0.2237898130756433</v>
      </c>
      <c r="V791" s="15">
        <f t="shared" si="79"/>
        <v>0.63019169329073488</v>
      </c>
      <c r="W791" s="33">
        <f t="shared" si="76"/>
        <v>0.33236109318503909</v>
      </c>
      <c r="X791" s="4">
        <f t="shared" si="77"/>
        <v>0.2237898130756433</v>
      </c>
    </row>
    <row r="792" spans="1:24" ht="14.5" x14ac:dyDescent="0.35">
      <c r="A792" s="52">
        <v>44246</v>
      </c>
      <c r="B792" s="51">
        <v>2226</v>
      </c>
      <c r="C792" s="1">
        <f t="shared" si="78"/>
        <v>-6.2696130135953742E-3</v>
      </c>
      <c r="R792" s="28">
        <v>791</v>
      </c>
      <c r="S792" s="29">
        <v>4.2140812468308931E-3</v>
      </c>
      <c r="T792" s="41">
        <f t="shared" si="74"/>
        <v>0</v>
      </c>
      <c r="U792" s="4">
        <f t="shared" si="75"/>
        <v>0.22521657352539251</v>
      </c>
      <c r="V792" s="15">
        <f t="shared" si="79"/>
        <v>0.63099041533546329</v>
      </c>
      <c r="W792" s="33">
        <f t="shared" si="76"/>
        <v>0.3344776289131603</v>
      </c>
      <c r="X792" s="4">
        <f t="shared" si="77"/>
        <v>0.22521657352539251</v>
      </c>
    </row>
    <row r="793" spans="1:24" ht="14.5" x14ac:dyDescent="0.35">
      <c r="A793" s="52">
        <v>44245</v>
      </c>
      <c r="B793" s="51">
        <v>2240</v>
      </c>
      <c r="C793" s="1">
        <f t="shared" si="78"/>
        <v>0</v>
      </c>
      <c r="R793" s="28">
        <v>792</v>
      </c>
      <c r="S793" s="29">
        <v>4.246290881451004E-3</v>
      </c>
      <c r="T793" s="41">
        <f t="shared" si="74"/>
        <v>0</v>
      </c>
      <c r="U793" s="4">
        <f t="shared" si="75"/>
        <v>0.22691517323642293</v>
      </c>
      <c r="V793" s="15">
        <f t="shared" si="79"/>
        <v>0.63178913738019171</v>
      </c>
      <c r="W793" s="33">
        <f t="shared" si="76"/>
        <v>0.33659566407181285</v>
      </c>
      <c r="X793" s="4">
        <f t="shared" si="77"/>
        <v>0.22691517323642293</v>
      </c>
    </row>
    <row r="794" spans="1:24" ht="14.5" x14ac:dyDescent="0.35">
      <c r="A794" s="52">
        <v>44244</v>
      </c>
      <c r="B794" s="51">
        <v>2240</v>
      </c>
      <c r="C794" s="1">
        <f t="shared" si="78"/>
        <v>-2.2075951699199847E-2</v>
      </c>
      <c r="R794" s="28">
        <v>793</v>
      </c>
      <c r="S794" s="29">
        <v>4.2492981786577486E-3</v>
      </c>
      <c r="T794" s="41">
        <f t="shared" si="74"/>
        <v>0</v>
      </c>
      <c r="U794" s="4">
        <f t="shared" si="75"/>
        <v>0.22707376535417301</v>
      </c>
      <c r="V794" s="15">
        <f t="shared" si="79"/>
        <v>0.63258785942492013</v>
      </c>
      <c r="W794" s="33">
        <f t="shared" si="76"/>
        <v>0.33871521030219887</v>
      </c>
      <c r="X794" s="4">
        <f t="shared" si="77"/>
        <v>0.22707376535417301</v>
      </c>
    </row>
    <row r="795" spans="1:24" ht="14.5" x14ac:dyDescent="0.35">
      <c r="A795" s="52">
        <v>44243</v>
      </c>
      <c r="B795" s="51">
        <v>2290</v>
      </c>
      <c r="C795" s="1">
        <f t="shared" si="78"/>
        <v>1.4958483930335824E-2</v>
      </c>
      <c r="R795" s="28">
        <v>794</v>
      </c>
      <c r="S795" s="29">
        <v>4.2887842722177201E-3</v>
      </c>
      <c r="T795" s="41">
        <f t="shared" si="74"/>
        <v>0</v>
      </c>
      <c r="U795" s="4">
        <f t="shared" si="75"/>
        <v>0.22915609469139589</v>
      </c>
      <c r="V795" s="15">
        <f t="shared" si="79"/>
        <v>0.63338658146964855</v>
      </c>
      <c r="W795" s="33">
        <f t="shared" si="76"/>
        <v>0.34083627929761778</v>
      </c>
      <c r="X795" s="4">
        <f t="shared" si="77"/>
        <v>0.22915609469139589</v>
      </c>
    </row>
    <row r="796" spans="1:24" ht="14.5" x14ac:dyDescent="0.35">
      <c r="A796" s="52">
        <v>44242</v>
      </c>
      <c r="B796" s="51">
        <v>2256</v>
      </c>
      <c r="C796" s="1">
        <f t="shared" si="78"/>
        <v>9.7996329888035607E-3</v>
      </c>
      <c r="R796" s="28">
        <v>795</v>
      </c>
      <c r="S796" s="29">
        <v>4.30725719758027E-3</v>
      </c>
      <c r="T796" s="41">
        <f t="shared" si="74"/>
        <v>0</v>
      </c>
      <c r="U796" s="4">
        <f t="shared" si="75"/>
        <v>0.230130278535851</v>
      </c>
      <c r="V796" s="15">
        <f t="shared" si="79"/>
        <v>0.63418530351437696</v>
      </c>
      <c r="W796" s="33">
        <f t="shared" si="76"/>
        <v>0.34295888280400322</v>
      </c>
      <c r="X796" s="4">
        <f t="shared" si="77"/>
        <v>0.230130278535851</v>
      </c>
    </row>
    <row r="797" spans="1:24" ht="14.5" x14ac:dyDescent="0.35">
      <c r="A797" s="52">
        <v>44239</v>
      </c>
      <c r="B797" s="51">
        <v>2234</v>
      </c>
      <c r="C797" s="1">
        <f t="shared" si="78"/>
        <v>8.089931761971484E-3</v>
      </c>
      <c r="R797" s="28">
        <v>796</v>
      </c>
      <c r="S797" s="29">
        <v>4.30725719758027E-3</v>
      </c>
      <c r="T797" s="41">
        <f t="shared" si="74"/>
        <v>0</v>
      </c>
      <c r="U797" s="4">
        <f t="shared" si="75"/>
        <v>0.230130278535851</v>
      </c>
      <c r="V797" s="15">
        <f t="shared" si="79"/>
        <v>0.63498402555910538</v>
      </c>
      <c r="W797" s="33">
        <f t="shared" si="76"/>
        <v>0.34508303262046586</v>
      </c>
      <c r="X797" s="4">
        <f t="shared" si="77"/>
        <v>0.230130278535851</v>
      </c>
    </row>
    <row r="798" spans="1:24" ht="14.5" x14ac:dyDescent="0.35">
      <c r="A798" s="52">
        <v>44238</v>
      </c>
      <c r="B798" s="51">
        <v>2216</v>
      </c>
      <c r="C798" s="1">
        <f t="shared" si="78"/>
        <v>-3.2848048681110888E-2</v>
      </c>
      <c r="R798" s="28">
        <v>797</v>
      </c>
      <c r="S798" s="29">
        <v>4.30725719758027E-3</v>
      </c>
      <c r="T798" s="41">
        <f t="shared" si="74"/>
        <v>0</v>
      </c>
      <c r="U798" s="4">
        <f t="shared" si="75"/>
        <v>0.230130278535851</v>
      </c>
      <c r="V798" s="15">
        <f t="shared" si="79"/>
        <v>0.63578274760383391</v>
      </c>
      <c r="W798" s="33">
        <f t="shared" si="76"/>
        <v>0.34720874059984047</v>
      </c>
      <c r="X798" s="4">
        <f t="shared" si="77"/>
        <v>0.230130278535851</v>
      </c>
    </row>
    <row r="799" spans="1:24" ht="14.5" x14ac:dyDescent="0.35">
      <c r="A799" s="52">
        <v>44237</v>
      </c>
      <c r="B799" s="51">
        <v>2290</v>
      </c>
      <c r="C799" s="1">
        <f t="shared" si="78"/>
        <v>-1.8174450922097702E-2</v>
      </c>
      <c r="R799" s="28">
        <v>798</v>
      </c>
      <c r="S799" s="29">
        <v>4.3290110895854786E-3</v>
      </c>
      <c r="T799" s="41">
        <f t="shared" si="74"/>
        <v>0</v>
      </c>
      <c r="U799" s="4">
        <f t="shared" si="75"/>
        <v>0.23127748666502249</v>
      </c>
      <c r="V799" s="15">
        <f t="shared" si="79"/>
        <v>0.63658146964856233</v>
      </c>
      <c r="W799" s="33">
        <f t="shared" si="76"/>
        <v>0.34933601864923775</v>
      </c>
      <c r="X799" s="4">
        <f t="shared" si="77"/>
        <v>0.23127748666502249</v>
      </c>
    </row>
    <row r="800" spans="1:24" ht="14.5" x14ac:dyDescent="0.35">
      <c r="A800" s="52">
        <v>44236</v>
      </c>
      <c r="B800" s="51">
        <v>2332</v>
      </c>
      <c r="C800" s="1">
        <f t="shared" si="78"/>
        <v>2.3428403463255629E-2</v>
      </c>
      <c r="R800" s="28">
        <v>799</v>
      </c>
      <c r="S800" s="29">
        <v>4.3900979884331824E-3</v>
      </c>
      <c r="T800" s="41">
        <f t="shared" si="74"/>
        <v>0</v>
      </c>
      <c r="U800" s="4">
        <f t="shared" si="75"/>
        <v>0.23449895098631185</v>
      </c>
      <c r="V800" s="15">
        <f t="shared" si="79"/>
        <v>0.63738019169329074</v>
      </c>
      <c r="W800" s="33">
        <f t="shared" si="76"/>
        <v>0.35146487873060422</v>
      </c>
      <c r="X800" s="4">
        <f t="shared" si="77"/>
        <v>0.23449895098631185</v>
      </c>
    </row>
    <row r="801" spans="1:24" ht="14.5" x14ac:dyDescent="0.35">
      <c r="A801" s="52">
        <v>44235</v>
      </c>
      <c r="B801" s="51">
        <v>2278</v>
      </c>
      <c r="C801" s="1">
        <f t="shared" si="78"/>
        <v>7.9330517407959211E-3</v>
      </c>
      <c r="R801" s="28">
        <v>800</v>
      </c>
      <c r="S801" s="29">
        <v>4.4543503493803746E-3</v>
      </c>
      <c r="T801" s="41">
        <f t="shared" si="74"/>
        <v>0</v>
      </c>
      <c r="U801" s="4">
        <f t="shared" si="75"/>
        <v>0.23788734837191208</v>
      </c>
      <c r="V801" s="15">
        <f t="shared" si="79"/>
        <v>0.63817891373801916</v>
      </c>
      <c r="W801" s="33">
        <f t="shared" si="76"/>
        <v>0.35359533286128414</v>
      </c>
      <c r="X801" s="4">
        <f t="shared" si="77"/>
        <v>0.23788734837191208</v>
      </c>
    </row>
    <row r="802" spans="1:24" ht="14.5" x14ac:dyDescent="0.35">
      <c r="A802" s="52">
        <v>44232</v>
      </c>
      <c r="B802" s="51">
        <v>2260</v>
      </c>
      <c r="C802" s="1">
        <f t="shared" si="78"/>
        <v>0</v>
      </c>
      <c r="R802" s="28">
        <v>801</v>
      </c>
      <c r="S802" s="29">
        <v>4.4543503493803746E-3</v>
      </c>
      <c r="T802" s="41">
        <f t="shared" si="74"/>
        <v>0</v>
      </c>
      <c r="U802" s="4">
        <f t="shared" si="75"/>
        <v>0.23788734837191208</v>
      </c>
      <c r="V802" s="15">
        <f t="shared" si="79"/>
        <v>0.63897763578274758</v>
      </c>
      <c r="W802" s="33">
        <f t="shared" si="76"/>
        <v>0.35572739311458912</v>
      </c>
      <c r="X802" s="4">
        <f t="shared" si="77"/>
        <v>0.23788734837191208</v>
      </c>
    </row>
    <row r="803" spans="1:24" ht="14.5" x14ac:dyDescent="0.35">
      <c r="A803" s="52">
        <v>44231</v>
      </c>
      <c r="B803" s="51">
        <v>2260</v>
      </c>
      <c r="C803" s="1">
        <f t="shared" si="78"/>
        <v>1.3363227812167158E-2</v>
      </c>
      <c r="R803" s="28">
        <v>802</v>
      </c>
      <c r="S803" s="29">
        <v>4.4857492712579534E-3</v>
      </c>
      <c r="T803" s="41">
        <f t="shared" si="74"/>
        <v>0</v>
      </c>
      <c r="U803" s="4">
        <f t="shared" si="75"/>
        <v>0.23954319452654749</v>
      </c>
      <c r="V803" s="15">
        <f t="shared" si="79"/>
        <v>0.63977635782747599</v>
      </c>
      <c r="W803" s="33">
        <f t="shared" si="76"/>
        <v>0.35786107162037167</v>
      </c>
      <c r="X803" s="4">
        <f t="shared" si="77"/>
        <v>0.23954319452654749</v>
      </c>
    </row>
    <row r="804" spans="1:24" ht="14.5" x14ac:dyDescent="0.35">
      <c r="A804" s="52">
        <v>44230</v>
      </c>
      <c r="B804" s="51">
        <v>2230</v>
      </c>
      <c r="C804" s="1">
        <f t="shared" si="78"/>
        <v>-8.9286307443013184E-3</v>
      </c>
      <c r="R804" s="28">
        <v>803</v>
      </c>
      <c r="S804" s="29">
        <v>4.5001683146124434E-3</v>
      </c>
      <c r="T804" s="41">
        <f t="shared" si="74"/>
        <v>0</v>
      </c>
      <c r="U804" s="4">
        <f t="shared" si="75"/>
        <v>0.24030359380347624</v>
      </c>
      <c r="V804" s="15">
        <f t="shared" si="79"/>
        <v>0.64057507987220452</v>
      </c>
      <c r="W804" s="33">
        <f t="shared" si="76"/>
        <v>0.3599963805656069</v>
      </c>
      <c r="X804" s="4">
        <f t="shared" si="77"/>
        <v>0.24030359380347624</v>
      </c>
    </row>
    <row r="805" spans="1:24" ht="14.5" x14ac:dyDescent="0.35">
      <c r="A805" s="52">
        <v>44229</v>
      </c>
      <c r="B805" s="51">
        <v>2250</v>
      </c>
      <c r="C805" s="1">
        <f t="shared" si="78"/>
        <v>1.3423020332140771E-2</v>
      </c>
      <c r="R805" s="28">
        <v>804</v>
      </c>
      <c r="S805" s="29">
        <v>4.5045121211045079E-3</v>
      </c>
      <c r="T805" s="41">
        <f t="shared" si="74"/>
        <v>0</v>
      </c>
      <c r="U805" s="4">
        <f t="shared" si="75"/>
        <v>0.2405326677603595</v>
      </c>
      <c r="V805" s="15">
        <f t="shared" si="79"/>
        <v>0.64137380191693294</v>
      </c>
      <c r="W805" s="33">
        <f t="shared" si="76"/>
        <v>0.36213333219497579</v>
      </c>
      <c r="X805" s="4">
        <f t="shared" si="77"/>
        <v>0.2405326677603595</v>
      </c>
    </row>
    <row r="806" spans="1:24" ht="14.5" x14ac:dyDescent="0.35">
      <c r="A806" s="52">
        <v>44228</v>
      </c>
      <c r="B806" s="51">
        <v>2220</v>
      </c>
      <c r="C806" s="1">
        <f t="shared" si="78"/>
        <v>0</v>
      </c>
      <c r="R806" s="28">
        <v>805</v>
      </c>
      <c r="S806" s="29">
        <v>4.5420214345009858E-3</v>
      </c>
      <c r="T806" s="41">
        <f t="shared" si="74"/>
        <v>0</v>
      </c>
      <c r="U806" s="4">
        <f t="shared" si="75"/>
        <v>0.24251075008410078</v>
      </c>
      <c r="V806" s="15">
        <f t="shared" si="79"/>
        <v>0.64217252396166136</v>
      </c>
      <c r="W806" s="33">
        <f t="shared" si="76"/>
        <v>0.36427193881145892</v>
      </c>
      <c r="X806" s="4">
        <f t="shared" si="77"/>
        <v>0.24251075008410078</v>
      </c>
    </row>
    <row r="807" spans="1:24" ht="14.5" x14ac:dyDescent="0.35">
      <c r="A807" s="52">
        <v>44225</v>
      </c>
      <c r="B807" s="51">
        <v>2220</v>
      </c>
      <c r="C807" s="1">
        <f t="shared" si="78"/>
        <v>-1.1643660432063345E-2</v>
      </c>
      <c r="R807" s="28">
        <v>806</v>
      </c>
      <c r="S807" s="29">
        <v>4.5766670274118935E-3</v>
      </c>
      <c r="T807" s="41">
        <f t="shared" si="74"/>
        <v>0</v>
      </c>
      <c r="U807" s="4">
        <f t="shared" si="75"/>
        <v>0.24433781191827017</v>
      </c>
      <c r="V807" s="15">
        <f t="shared" si="79"/>
        <v>0.64297124600638977</v>
      </c>
      <c r="W807" s="33">
        <f t="shared" si="76"/>
        <v>0.36641221277693303</v>
      </c>
      <c r="X807" s="4">
        <f t="shared" si="77"/>
        <v>0.24433781191827017</v>
      </c>
    </row>
    <row r="808" spans="1:24" ht="14.5" x14ac:dyDescent="0.35">
      <c r="A808" s="52">
        <v>44224</v>
      </c>
      <c r="B808" s="51">
        <v>2246</v>
      </c>
      <c r="C808" s="1">
        <f t="shared" si="78"/>
        <v>1.7063727901402471E-2</v>
      </c>
      <c r="R808" s="28">
        <v>807</v>
      </c>
      <c r="S808" s="29">
        <v>4.6153928084011831E-3</v>
      </c>
      <c r="T808" s="41">
        <f t="shared" si="74"/>
        <v>0</v>
      </c>
      <c r="U808" s="4">
        <f t="shared" si="75"/>
        <v>0.24638004559069945</v>
      </c>
      <c r="V808" s="15">
        <f t="shared" si="79"/>
        <v>0.64376996805111819</v>
      </c>
      <c r="W808" s="33">
        <f t="shared" si="76"/>
        <v>0.36855416651277412</v>
      </c>
      <c r="X808" s="4">
        <f t="shared" si="77"/>
        <v>0.24638004559069945</v>
      </c>
    </row>
    <row r="809" spans="1:24" ht="14.5" x14ac:dyDescent="0.35">
      <c r="A809" s="52">
        <v>44223</v>
      </c>
      <c r="B809" s="51">
        <v>2208</v>
      </c>
      <c r="C809" s="1">
        <f t="shared" si="78"/>
        <v>-1.4388737452099556E-2</v>
      </c>
      <c r="R809" s="28">
        <v>808</v>
      </c>
      <c r="S809" s="29">
        <v>4.6995722614858243E-3</v>
      </c>
      <c r="T809" s="41">
        <f t="shared" si="74"/>
        <v>0</v>
      </c>
      <c r="U809" s="4">
        <f t="shared" si="75"/>
        <v>0.25081931341756863</v>
      </c>
      <c r="V809" s="15">
        <f t="shared" si="79"/>
        <v>0.64456869009584661</v>
      </c>
      <c r="W809" s="33">
        <f t="shared" si="76"/>
        <v>0.37069781250046707</v>
      </c>
      <c r="X809" s="4">
        <f t="shared" si="77"/>
        <v>0.25081931341756863</v>
      </c>
    </row>
    <row r="810" spans="1:24" ht="14.5" x14ac:dyDescent="0.35">
      <c r="A810" s="52">
        <v>44222</v>
      </c>
      <c r="B810" s="51">
        <v>2240</v>
      </c>
      <c r="C810" s="1">
        <f t="shared" si="78"/>
        <v>8.0681746495101792E-3</v>
      </c>
      <c r="R810" s="28">
        <v>809</v>
      </c>
      <c r="S810" s="29">
        <v>4.7095848430851669E-3</v>
      </c>
      <c r="T810" s="41">
        <f t="shared" si="74"/>
        <v>0</v>
      </c>
      <c r="U810" s="4">
        <f t="shared" si="75"/>
        <v>0.25134733456440561</v>
      </c>
      <c r="V810" s="15">
        <f t="shared" si="79"/>
        <v>0.64536741214057503</v>
      </c>
      <c r="W810" s="33">
        <f t="shared" si="76"/>
        <v>0.37284316328222106</v>
      </c>
      <c r="X810" s="4">
        <f t="shared" si="77"/>
        <v>0.25134733456440561</v>
      </c>
    </row>
    <row r="811" spans="1:24" ht="14.5" x14ac:dyDescent="0.35">
      <c r="A811" s="52">
        <v>44221</v>
      </c>
      <c r="B811" s="51">
        <v>2222</v>
      </c>
      <c r="C811" s="1">
        <f t="shared" si="78"/>
        <v>-7.1749186722952054E-3</v>
      </c>
      <c r="R811" s="28">
        <v>810</v>
      </c>
      <c r="S811" s="29">
        <v>4.7132844520981366E-3</v>
      </c>
      <c r="T811" s="41">
        <f t="shared" si="74"/>
        <v>0</v>
      </c>
      <c r="U811" s="4">
        <f t="shared" si="75"/>
        <v>0.2515424362746384</v>
      </c>
      <c r="V811" s="15">
        <f t="shared" si="79"/>
        <v>0.64616613418530355</v>
      </c>
      <c r="W811" s="33">
        <f t="shared" si="76"/>
        <v>0.37499023146159105</v>
      </c>
      <c r="X811" s="4">
        <f t="shared" si="77"/>
        <v>0.2515424362746384</v>
      </c>
    </row>
    <row r="812" spans="1:24" ht="14.5" x14ac:dyDescent="0.35">
      <c r="A812" s="52">
        <v>44218</v>
      </c>
      <c r="B812" s="51">
        <v>2238</v>
      </c>
      <c r="C812" s="1">
        <f t="shared" si="78"/>
        <v>-2.384218896275964E-2</v>
      </c>
      <c r="R812" s="28">
        <v>811</v>
      </c>
      <c r="S812" s="29">
        <v>4.763534016033486E-3</v>
      </c>
      <c r="T812" s="41">
        <f t="shared" si="74"/>
        <v>0</v>
      </c>
      <c r="U812" s="4">
        <f t="shared" si="75"/>
        <v>0.25419238545247524</v>
      </c>
      <c r="V812" s="15">
        <f t="shared" si="79"/>
        <v>0.64696485623003197</v>
      </c>
      <c r="W812" s="33">
        <f t="shared" si="76"/>
        <v>0.3771390297041054</v>
      </c>
      <c r="X812" s="4">
        <f t="shared" si="77"/>
        <v>0.25419238545247524</v>
      </c>
    </row>
    <row r="813" spans="1:24" ht="14.5" x14ac:dyDescent="0.35">
      <c r="A813" s="52">
        <v>44217</v>
      </c>
      <c r="B813" s="51">
        <v>2292</v>
      </c>
      <c r="C813" s="1">
        <f t="shared" si="78"/>
        <v>-4.3535114471977754E-3</v>
      </c>
      <c r="R813" s="28">
        <v>812</v>
      </c>
      <c r="S813" s="29">
        <v>4.7885167317970939E-3</v>
      </c>
      <c r="T813" s="41">
        <f t="shared" si="74"/>
        <v>0</v>
      </c>
      <c r="U813" s="4">
        <f t="shared" si="75"/>
        <v>0.25550986807149023</v>
      </c>
      <c r="V813" s="15">
        <f t="shared" si="79"/>
        <v>0.64776357827476039</v>
      </c>
      <c r="W813" s="33">
        <f t="shared" si="76"/>
        <v>0.3792895707379012</v>
      </c>
      <c r="X813" s="4">
        <f t="shared" si="77"/>
        <v>0.25550986807149023</v>
      </c>
    </row>
    <row r="814" spans="1:24" ht="14.5" x14ac:dyDescent="0.35">
      <c r="A814" s="52">
        <v>44216</v>
      </c>
      <c r="B814" s="51">
        <v>2302</v>
      </c>
      <c r="C814" s="1">
        <f t="shared" si="78"/>
        <v>-1.1231219569500449E-2</v>
      </c>
      <c r="R814" s="28">
        <v>813</v>
      </c>
      <c r="S814" s="29">
        <v>4.8159707805846899E-3</v>
      </c>
      <c r="T814" s="41">
        <f t="shared" si="74"/>
        <v>0</v>
      </c>
      <c r="U814" s="4">
        <f t="shared" si="75"/>
        <v>0.25695767832724858</v>
      </c>
      <c r="V814" s="15">
        <f t="shared" si="79"/>
        <v>0.6485623003194888</v>
      </c>
      <c r="W814" s="33">
        <f t="shared" si="76"/>
        <v>0.38144186735436381</v>
      </c>
      <c r="X814" s="4">
        <f t="shared" si="77"/>
        <v>0.25695767832724858</v>
      </c>
    </row>
    <row r="815" spans="1:24" ht="14.5" x14ac:dyDescent="0.35">
      <c r="A815" s="52">
        <v>44215</v>
      </c>
      <c r="B815" s="51">
        <v>2328</v>
      </c>
      <c r="C815" s="1">
        <f t="shared" si="78"/>
        <v>-2.2090957814191972E-2</v>
      </c>
      <c r="R815" s="28">
        <v>814</v>
      </c>
      <c r="S815" s="29">
        <v>4.8493340614376504E-3</v>
      </c>
      <c r="T815" s="41">
        <f t="shared" si="74"/>
        <v>0</v>
      </c>
      <c r="U815" s="4">
        <f t="shared" si="75"/>
        <v>0.25871711645451256</v>
      </c>
      <c r="V815" s="15">
        <f t="shared" si="79"/>
        <v>0.64936102236421722</v>
      </c>
      <c r="W815" s="33">
        <f t="shared" si="76"/>
        <v>0.38359593240877488</v>
      </c>
      <c r="X815" s="4">
        <f t="shared" si="77"/>
        <v>0.25871711645451256</v>
      </c>
    </row>
    <row r="816" spans="1:24" ht="14.5" x14ac:dyDescent="0.35">
      <c r="A816" s="52">
        <v>44214</v>
      </c>
      <c r="B816" s="51">
        <v>2380</v>
      </c>
      <c r="C816" s="1">
        <f t="shared" si="78"/>
        <v>1.0984478845298302E-2</v>
      </c>
      <c r="R816" s="28">
        <v>815</v>
      </c>
      <c r="S816" s="29">
        <v>4.8695748399565156E-3</v>
      </c>
      <c r="T816" s="41">
        <f t="shared" si="74"/>
        <v>0</v>
      </c>
      <c r="U816" s="4">
        <f t="shared" si="75"/>
        <v>0.25978452938696817</v>
      </c>
      <c r="V816" s="15">
        <f t="shared" si="79"/>
        <v>0.65015974440894564</v>
      </c>
      <c r="W816" s="33">
        <f t="shared" si="76"/>
        <v>0.38575177882096573</v>
      </c>
      <c r="X816" s="4">
        <f t="shared" si="77"/>
        <v>0.25978452938696817</v>
      </c>
    </row>
    <row r="817" spans="1:24" ht="14.5" x14ac:dyDescent="0.35">
      <c r="A817" s="52">
        <v>44211</v>
      </c>
      <c r="B817" s="51">
        <v>2354</v>
      </c>
      <c r="C817" s="1">
        <f t="shared" si="78"/>
        <v>-2.5169113837254776E-2</v>
      </c>
      <c r="R817" s="28">
        <v>816</v>
      </c>
      <c r="S817" s="29">
        <v>4.9071251641006957E-3</v>
      </c>
      <c r="T817" s="41">
        <f t="shared" si="74"/>
        <v>0</v>
      </c>
      <c r="U817" s="4">
        <f t="shared" si="75"/>
        <v>0.26176477444384871</v>
      </c>
      <c r="V817" s="15">
        <f t="shared" si="79"/>
        <v>0.65095846645367417</v>
      </c>
      <c r="W817" s="33">
        <f t="shared" si="76"/>
        <v>0.38790941957597891</v>
      </c>
      <c r="X817" s="4">
        <f t="shared" si="77"/>
        <v>0.26176477444384871</v>
      </c>
    </row>
    <row r="818" spans="1:24" ht="14.5" x14ac:dyDescent="0.35">
      <c r="A818" s="52">
        <v>44210</v>
      </c>
      <c r="B818" s="51">
        <v>2414</v>
      </c>
      <c r="C818" s="1">
        <f t="shared" si="78"/>
        <v>-2.4824174932553066E-3</v>
      </c>
      <c r="R818" s="28">
        <v>817</v>
      </c>
      <c r="S818" s="29">
        <v>5.0233331322244775E-3</v>
      </c>
      <c r="T818" s="41">
        <f t="shared" si="74"/>
        <v>0</v>
      </c>
      <c r="U818" s="4">
        <f t="shared" si="75"/>
        <v>0.26789309050215138</v>
      </c>
      <c r="V818" s="15">
        <f t="shared" si="79"/>
        <v>0.65175718849840258</v>
      </c>
      <c r="W818" s="33">
        <f t="shared" si="76"/>
        <v>0.3900688677247337</v>
      </c>
      <c r="X818" s="4">
        <f t="shared" si="77"/>
        <v>0.26789309050215138</v>
      </c>
    </row>
    <row r="819" spans="1:24" ht="14.5" x14ac:dyDescent="0.35">
      <c r="A819" s="52">
        <v>44209</v>
      </c>
      <c r="B819" s="51">
        <v>2420</v>
      </c>
      <c r="C819" s="1">
        <f t="shared" si="78"/>
        <v>3.3112613036560051E-3</v>
      </c>
      <c r="R819" s="28">
        <v>818</v>
      </c>
      <c r="S819" s="29">
        <v>5.0718620979603489E-3</v>
      </c>
      <c r="T819" s="41">
        <f t="shared" si="74"/>
        <v>0</v>
      </c>
      <c r="U819" s="4">
        <f t="shared" si="75"/>
        <v>0.27045230261827047</v>
      </c>
      <c r="V819" s="15">
        <f t="shared" si="79"/>
        <v>0.652555910543131</v>
      </c>
      <c r="W819" s="33">
        <f t="shared" si="76"/>
        <v>0.39223013638470289</v>
      </c>
      <c r="X819" s="4">
        <f t="shared" si="77"/>
        <v>0.27045230261827047</v>
      </c>
    </row>
    <row r="820" spans="1:24" ht="14.5" x14ac:dyDescent="0.35">
      <c r="A820" s="52">
        <v>44208</v>
      </c>
      <c r="B820" s="51">
        <v>2412</v>
      </c>
      <c r="C820" s="1">
        <f t="shared" si="78"/>
        <v>-1.3179762444409847E-2</v>
      </c>
      <c r="R820" s="28">
        <v>819</v>
      </c>
      <c r="S820" s="29">
        <v>5.0853723832794311E-3</v>
      </c>
      <c r="T820" s="41">
        <f t="shared" si="74"/>
        <v>0</v>
      </c>
      <c r="U820" s="4">
        <f t="shared" si="75"/>
        <v>0.27116477784531334</v>
      </c>
      <c r="V820" s="15">
        <f t="shared" si="79"/>
        <v>0.65335463258785942</v>
      </c>
      <c r="W820" s="33">
        <f t="shared" si="76"/>
        <v>0.39439323874059246</v>
      </c>
      <c r="X820" s="4">
        <f t="shared" si="77"/>
        <v>0.27116477784531334</v>
      </c>
    </row>
    <row r="821" spans="1:24" ht="14.5" x14ac:dyDescent="0.35">
      <c r="A821" s="52">
        <v>44207</v>
      </c>
      <c r="B821" s="51">
        <v>2444</v>
      </c>
      <c r="C821" s="1">
        <f t="shared" si="78"/>
        <v>-8.179959556316983E-4</v>
      </c>
      <c r="R821" s="28">
        <v>820</v>
      </c>
      <c r="S821" s="29">
        <v>5.0927720112894856E-3</v>
      </c>
      <c r="T821" s="41">
        <f t="shared" si="74"/>
        <v>0</v>
      </c>
      <c r="U821" s="4">
        <f t="shared" si="75"/>
        <v>0.27155500288660467</v>
      </c>
      <c r="V821" s="15">
        <f t="shared" si="79"/>
        <v>0.65415335463258784</v>
      </c>
      <c r="W821" s="33">
        <f t="shared" si="76"/>
        <v>0.39655818804503096</v>
      </c>
      <c r="X821" s="4">
        <f t="shared" si="77"/>
        <v>0.27155500288660467</v>
      </c>
    </row>
    <row r="822" spans="1:24" ht="14.5" x14ac:dyDescent="0.35">
      <c r="A822" s="52">
        <v>44204</v>
      </c>
      <c r="B822" s="51">
        <v>2446</v>
      </c>
      <c r="C822" s="1">
        <f t="shared" si="78"/>
        <v>8.210226743122143E-3</v>
      </c>
      <c r="R822" s="28">
        <v>821</v>
      </c>
      <c r="S822" s="29">
        <v>5.171310813378004E-3</v>
      </c>
      <c r="T822" s="41">
        <f t="shared" si="74"/>
        <v>0</v>
      </c>
      <c r="U822" s="4">
        <f t="shared" si="75"/>
        <v>0.27569680667002716</v>
      </c>
      <c r="V822" s="15">
        <f t="shared" si="79"/>
        <v>0.65495207667731625</v>
      </c>
      <c r="W822" s="33">
        <f t="shared" si="76"/>
        <v>0.39872499761926466</v>
      </c>
      <c r="X822" s="4">
        <f t="shared" si="77"/>
        <v>0.27569680667002716</v>
      </c>
    </row>
    <row r="823" spans="1:24" ht="14.5" x14ac:dyDescent="0.35">
      <c r="A823" s="52">
        <v>44203</v>
      </c>
      <c r="B823" s="51">
        <v>2426</v>
      </c>
      <c r="C823" s="1">
        <f t="shared" si="78"/>
        <v>4.1234280652667071E-2</v>
      </c>
      <c r="R823" s="28">
        <v>822</v>
      </c>
      <c r="S823" s="29">
        <v>5.1813587419975845E-3</v>
      </c>
      <c r="T823" s="41">
        <f t="shared" si="74"/>
        <v>0</v>
      </c>
      <c r="U823" s="4">
        <f t="shared" si="75"/>
        <v>0.27622669186900478</v>
      </c>
      <c r="V823" s="15">
        <f t="shared" si="79"/>
        <v>0.65575079872204478</v>
      </c>
      <c r="W823" s="33">
        <f t="shared" si="76"/>
        <v>0.40089368085386123</v>
      </c>
      <c r="X823" s="4">
        <f t="shared" si="77"/>
        <v>0.27622669186900478</v>
      </c>
    </row>
    <row r="824" spans="1:24" ht="14.5" x14ac:dyDescent="0.35">
      <c r="A824" s="52">
        <v>44202</v>
      </c>
      <c r="B824" s="51">
        <v>2328</v>
      </c>
      <c r="C824" s="1">
        <f t="shared" si="78"/>
        <v>4.750233398500326E-2</v>
      </c>
      <c r="R824" s="28">
        <v>823</v>
      </c>
      <c r="S824" s="29">
        <v>5.2321898303021065E-3</v>
      </c>
      <c r="T824" s="41">
        <f t="shared" si="74"/>
        <v>0</v>
      </c>
      <c r="U824" s="4">
        <f t="shared" si="75"/>
        <v>0.27890730817911696</v>
      </c>
      <c r="V824" s="15">
        <f t="shared" si="79"/>
        <v>0.6565495207667732</v>
      </c>
      <c r="W824" s="33">
        <f t="shared" si="76"/>
        <v>0.40306425120941858</v>
      </c>
      <c r="X824" s="4">
        <f t="shared" si="77"/>
        <v>0.27890730817911696</v>
      </c>
    </row>
    <row r="825" spans="1:24" ht="14.5" x14ac:dyDescent="0.35">
      <c r="A825" s="52">
        <v>44201</v>
      </c>
      <c r="B825" s="51">
        <v>2220</v>
      </c>
      <c r="C825" s="1">
        <f t="shared" si="78"/>
        <v>9.0130695601288848E-4</v>
      </c>
      <c r="R825" s="28">
        <v>824</v>
      </c>
      <c r="S825" s="29">
        <v>5.2730818981580408E-3</v>
      </c>
      <c r="T825" s="41">
        <f t="shared" si="74"/>
        <v>0</v>
      </c>
      <c r="U825" s="4">
        <f t="shared" si="75"/>
        <v>0.28106378264592624</v>
      </c>
      <c r="V825" s="15">
        <f t="shared" si="79"/>
        <v>0.65734824281150162</v>
      </c>
      <c r="W825" s="33">
        <f t="shared" si="76"/>
        <v>0.40523672221728529</v>
      </c>
      <c r="X825" s="4">
        <f t="shared" si="77"/>
        <v>0.28106378264592624</v>
      </c>
    </row>
    <row r="826" spans="1:24" ht="14.5" x14ac:dyDescent="0.35">
      <c r="A826" s="52">
        <v>44200</v>
      </c>
      <c r="B826" s="51">
        <v>2218</v>
      </c>
      <c r="C826" s="1">
        <f t="shared" si="78"/>
        <v>1.2704345099765861E-2</v>
      </c>
      <c r="R826" s="28">
        <v>825</v>
      </c>
      <c r="S826" s="29">
        <v>5.3374125947209753E-3</v>
      </c>
      <c r="T826" s="41">
        <f t="shared" si="74"/>
        <v>0</v>
      </c>
      <c r="U826" s="4">
        <f t="shared" si="75"/>
        <v>0.2844563111201226</v>
      </c>
      <c r="V826" s="15">
        <f t="shared" si="79"/>
        <v>0.65814696485623003</v>
      </c>
      <c r="W826" s="33">
        <f t="shared" si="76"/>
        <v>0.40741110748028431</v>
      </c>
      <c r="X826" s="4">
        <f t="shared" si="77"/>
        <v>0.2844563111201226</v>
      </c>
    </row>
    <row r="827" spans="1:24" ht="14.5" x14ac:dyDescent="0.35">
      <c r="A827" s="52">
        <v>44195</v>
      </c>
      <c r="B827" s="51">
        <v>2190</v>
      </c>
      <c r="C827" s="1">
        <f t="shared" si="78"/>
        <v>9.1365926867476726E-4</v>
      </c>
      <c r="R827" s="28">
        <v>826</v>
      </c>
      <c r="S827" s="29">
        <v>5.3876215323788211E-3</v>
      </c>
      <c r="T827" s="41">
        <f t="shared" si="74"/>
        <v>0</v>
      </c>
      <c r="U827" s="4">
        <f t="shared" si="75"/>
        <v>0.28710411784015011</v>
      </c>
      <c r="V827" s="15">
        <f t="shared" si="79"/>
        <v>0.65894568690095845</v>
      </c>
      <c r="W827" s="33">
        <f t="shared" si="76"/>
        <v>0.40958742067344739</v>
      </c>
      <c r="X827" s="4">
        <f t="shared" si="77"/>
        <v>0.28710411784015011</v>
      </c>
    </row>
    <row r="828" spans="1:24" ht="14.5" x14ac:dyDescent="0.35">
      <c r="A828" s="52">
        <v>44194</v>
      </c>
      <c r="B828" s="51">
        <v>2188</v>
      </c>
      <c r="C828" s="1">
        <f t="shared" si="78"/>
        <v>-2.7384772933036873E-3</v>
      </c>
      <c r="R828" s="28">
        <v>827</v>
      </c>
      <c r="S828" s="29">
        <v>5.390848634876373E-3</v>
      </c>
      <c r="T828" s="41">
        <f t="shared" si="74"/>
        <v>0</v>
      </c>
      <c r="U828" s="4">
        <f t="shared" si="75"/>
        <v>0.28727430155798667</v>
      </c>
      <c r="V828" s="15">
        <f t="shared" si="79"/>
        <v>0.65974440894568687</v>
      </c>
      <c r="W828" s="33">
        <f t="shared" si="76"/>
        <v>0.41176567554475496</v>
      </c>
      <c r="X828" s="4">
        <f t="shared" si="77"/>
        <v>0.28727430155798667</v>
      </c>
    </row>
    <row r="829" spans="1:24" ht="14.5" x14ac:dyDescent="0.35">
      <c r="A829" s="52">
        <v>44193</v>
      </c>
      <c r="B829" s="51">
        <v>2194</v>
      </c>
      <c r="C829" s="1">
        <f t="shared" si="78"/>
        <v>2.4920532819278467E-2</v>
      </c>
      <c r="R829" s="28">
        <v>828</v>
      </c>
      <c r="S829" s="29">
        <v>5.3981237695573097E-3</v>
      </c>
      <c r="T829" s="41">
        <f t="shared" si="74"/>
        <v>0</v>
      </c>
      <c r="U829" s="4">
        <f t="shared" si="75"/>
        <v>0.28765796134837218</v>
      </c>
      <c r="V829" s="15">
        <f t="shared" si="79"/>
        <v>0.66054313099041528</v>
      </c>
      <c r="W829" s="33">
        <f t="shared" si="76"/>
        <v>0.41394588591588705</v>
      </c>
      <c r="X829" s="4">
        <f t="shared" si="77"/>
        <v>0.28765796134837218</v>
      </c>
    </row>
    <row r="830" spans="1:24" ht="14.5" x14ac:dyDescent="0.35">
      <c r="A830" s="52">
        <v>44188</v>
      </c>
      <c r="B830" s="51">
        <v>2140</v>
      </c>
      <c r="C830" s="1">
        <f t="shared" si="78"/>
        <v>1.8868484304382736E-2</v>
      </c>
      <c r="R830" s="28">
        <v>829</v>
      </c>
      <c r="S830" s="29">
        <v>5.4200674693391133E-3</v>
      </c>
      <c r="T830" s="41">
        <f t="shared" si="74"/>
        <v>0</v>
      </c>
      <c r="U830" s="4">
        <f t="shared" si="75"/>
        <v>0.28881517913578036</v>
      </c>
      <c r="V830" s="15">
        <f t="shared" si="79"/>
        <v>0.66134185303514381</v>
      </c>
      <c r="W830" s="33">
        <f t="shared" si="76"/>
        <v>0.41612806568297928</v>
      </c>
      <c r="X830" s="4">
        <f t="shared" si="77"/>
        <v>0.28881517913578036</v>
      </c>
    </row>
    <row r="831" spans="1:24" ht="14.5" x14ac:dyDescent="0.35">
      <c r="A831" s="52">
        <v>44187</v>
      </c>
      <c r="B831" s="51">
        <v>2100</v>
      </c>
      <c r="C831" s="1">
        <f t="shared" si="78"/>
        <v>1.9231361927887592E-2</v>
      </c>
      <c r="R831" s="28">
        <v>830</v>
      </c>
      <c r="S831" s="29">
        <v>5.4384906309384272E-3</v>
      </c>
      <c r="T831" s="41">
        <f t="shared" si="74"/>
        <v>0</v>
      </c>
      <c r="U831" s="4">
        <f t="shared" si="75"/>
        <v>0.28978673865012894</v>
      </c>
      <c r="V831" s="15">
        <f t="shared" si="79"/>
        <v>0.66214057507987223</v>
      </c>
      <c r="W831" s="33">
        <f t="shared" si="76"/>
        <v>0.41831222881738783</v>
      </c>
      <c r="X831" s="4">
        <f t="shared" si="77"/>
        <v>0.28978673865012894</v>
      </c>
    </row>
    <row r="832" spans="1:24" ht="14.5" x14ac:dyDescent="0.35">
      <c r="A832" s="52">
        <v>44186</v>
      </c>
      <c r="B832" s="51">
        <v>2060</v>
      </c>
      <c r="C832" s="1">
        <f t="shared" si="78"/>
        <v>-2.8710105882431367E-2</v>
      </c>
      <c r="R832" s="28">
        <v>831</v>
      </c>
      <c r="S832" s="29">
        <v>5.4533195813132691E-3</v>
      </c>
      <c r="T832" s="41">
        <f t="shared" si="74"/>
        <v>0</v>
      </c>
      <c r="U832" s="4">
        <f t="shared" si="75"/>
        <v>0.29056875468721444</v>
      </c>
      <c r="V832" s="15">
        <f t="shared" si="79"/>
        <v>0.66293929712460065</v>
      </c>
      <c r="W832" s="33">
        <f t="shared" si="76"/>
        <v>0.42049838936646489</v>
      </c>
      <c r="X832" s="4">
        <f t="shared" si="77"/>
        <v>0.29056875468721444</v>
      </c>
    </row>
    <row r="833" spans="1:24" ht="14.5" x14ac:dyDescent="0.35">
      <c r="A833" s="52">
        <v>44183</v>
      </c>
      <c r="B833" s="51">
        <v>2120</v>
      </c>
      <c r="C833" s="1">
        <f t="shared" si="78"/>
        <v>-2.4232313387767972E-2</v>
      </c>
      <c r="R833" s="28">
        <v>832</v>
      </c>
      <c r="S833" s="29">
        <v>5.4570394630581174E-3</v>
      </c>
      <c r="T833" s="41">
        <f t="shared" si="74"/>
        <v>0</v>
      </c>
      <c r="U833" s="4">
        <f t="shared" si="75"/>
        <v>0.29076492549546451</v>
      </c>
      <c r="V833" s="15">
        <f t="shared" si="79"/>
        <v>0.66373801916932906</v>
      </c>
      <c r="W833" s="33">
        <f t="shared" si="76"/>
        <v>0.42268656145433925</v>
      </c>
      <c r="X833" s="4">
        <f t="shared" si="77"/>
        <v>0.29076492549546451</v>
      </c>
    </row>
    <row r="834" spans="1:24" ht="14.5" x14ac:dyDescent="0.35">
      <c r="A834" s="52">
        <v>44182</v>
      </c>
      <c r="B834" s="51">
        <v>2172</v>
      </c>
      <c r="C834" s="1">
        <f t="shared" si="78"/>
        <v>0</v>
      </c>
      <c r="R834" s="28">
        <v>833</v>
      </c>
      <c r="S834" s="29">
        <v>5.4757152559627631E-3</v>
      </c>
      <c r="T834" s="41">
        <f t="shared" si="74"/>
        <v>0</v>
      </c>
      <c r="U834" s="4">
        <f t="shared" si="75"/>
        <v>0.29174980771487624</v>
      </c>
      <c r="V834" s="15">
        <f t="shared" si="79"/>
        <v>0.66453674121405748</v>
      </c>
      <c r="W834" s="33">
        <f t="shared" si="76"/>
        <v>0.42487675928270802</v>
      </c>
      <c r="X834" s="4">
        <f t="shared" si="77"/>
        <v>0.29174980771487624</v>
      </c>
    </row>
    <row r="835" spans="1:24" ht="14.5" x14ac:dyDescent="0.35">
      <c r="A835" s="52">
        <v>44181</v>
      </c>
      <c r="B835" s="51">
        <v>2172</v>
      </c>
      <c r="C835" s="1">
        <f t="shared" si="78"/>
        <v>-4.5934853391900949E-3</v>
      </c>
      <c r="R835" s="28">
        <v>834</v>
      </c>
      <c r="S835" s="29">
        <v>5.547864437717963E-3</v>
      </c>
      <c r="T835" s="41">
        <f t="shared" ref="T835:T898" si="80">+IF(OR(S835&lt;($Z$3-3*$Z$4^0.5),S835&gt;($Z$3+3*$Z$4^0.5)),1,0)</f>
        <v>0</v>
      </c>
      <c r="U835" s="4">
        <f t="shared" ref="U835:U898" si="81">+(S835-AVERAGE($S$2:$S$1252))/_xlfn.STDEV.S($S$2:$S$1252)</f>
        <v>0.29555464998415004</v>
      </c>
      <c r="V835" s="15">
        <f t="shared" si="79"/>
        <v>0.6653354632587859</v>
      </c>
      <c r="W835" s="33">
        <f t="shared" ref="W835:W898" si="82">+_xlfn.NORM.S.INV(V835)</f>
        <v>0.42706899713163571</v>
      </c>
      <c r="X835" s="4">
        <f t="shared" ref="X835:X898" si="83">+U835</f>
        <v>0.29555464998415004</v>
      </c>
    </row>
    <row r="836" spans="1:24" ht="14.5" x14ac:dyDescent="0.35">
      <c r="A836" s="52">
        <v>44180</v>
      </c>
      <c r="B836" s="51">
        <v>2182</v>
      </c>
      <c r="C836" s="1">
        <f t="shared" ref="C836:C899" si="84">+LN(B836/B837)</f>
        <v>-1.093903342043161E-2</v>
      </c>
      <c r="R836" s="28">
        <v>835</v>
      </c>
      <c r="S836" s="29">
        <v>5.5517144675077115E-3</v>
      </c>
      <c r="T836" s="41">
        <f t="shared" si="80"/>
        <v>0</v>
      </c>
      <c r="U836" s="4">
        <f t="shared" si="81"/>
        <v>0.29575768424906662</v>
      </c>
      <c r="V836" s="15">
        <f t="shared" ref="V836:V899" si="85">+R835/1252</f>
        <v>0.66613418530351443</v>
      </c>
      <c r="W836" s="33">
        <f t="shared" si="82"/>
        <v>0.42926328936036201</v>
      </c>
      <c r="X836" s="4">
        <f t="shared" si="83"/>
        <v>0.29575768424906662</v>
      </c>
    </row>
    <row r="837" spans="1:24" ht="14.5" x14ac:dyDescent="0.35">
      <c r="A837" s="52">
        <v>44179</v>
      </c>
      <c r="B837" s="51">
        <v>2206</v>
      </c>
      <c r="C837" s="1">
        <f t="shared" si="84"/>
        <v>3.0375091797550543E-2</v>
      </c>
      <c r="R837" s="28">
        <v>836</v>
      </c>
      <c r="S837" s="29">
        <v>5.5555698446019637E-3</v>
      </c>
      <c r="T837" s="41">
        <f t="shared" si="80"/>
        <v>0</v>
      </c>
      <c r="U837" s="4">
        <f t="shared" si="81"/>
        <v>0.29596100050817503</v>
      </c>
      <c r="V837" s="15">
        <f t="shared" si="85"/>
        <v>0.66693290734824284</v>
      </c>
      <c r="W837" s="33">
        <f t="shared" si="82"/>
        <v>0.43145965040811834</v>
      </c>
      <c r="X837" s="4">
        <f t="shared" si="83"/>
        <v>0.29596100050817503</v>
      </c>
    </row>
    <row r="838" spans="1:24" ht="14.5" x14ac:dyDescent="0.35">
      <c r="A838" s="52">
        <v>44176</v>
      </c>
      <c r="B838" s="51">
        <v>2140</v>
      </c>
      <c r="C838" s="1">
        <f t="shared" si="84"/>
        <v>1.6015415321976274E-2</v>
      </c>
      <c r="R838" s="28">
        <v>837</v>
      </c>
      <c r="S838" s="29">
        <v>5.5658770774451765E-3</v>
      </c>
      <c r="T838" s="41">
        <f t="shared" si="80"/>
        <v>0</v>
      </c>
      <c r="U838" s="4">
        <f t="shared" si="81"/>
        <v>0.29650456031366484</v>
      </c>
      <c r="V838" s="15">
        <f t="shared" si="85"/>
        <v>0.66773162939297126</v>
      </c>
      <c r="W838" s="33">
        <f t="shared" si="82"/>
        <v>0.43365809479495632</v>
      </c>
      <c r="X838" s="4">
        <f t="shared" si="83"/>
        <v>0.29650456031366484</v>
      </c>
    </row>
    <row r="839" spans="1:24" ht="14.5" x14ac:dyDescent="0.35">
      <c r="A839" s="52">
        <v>44175</v>
      </c>
      <c r="B839" s="51">
        <v>2106</v>
      </c>
      <c r="C839" s="1">
        <f t="shared" si="84"/>
        <v>1.9176043014336959E-2</v>
      </c>
      <c r="R839" s="28">
        <v>838</v>
      </c>
      <c r="S839" s="29">
        <v>5.6101128907667828E-3</v>
      </c>
      <c r="T839" s="41">
        <f t="shared" si="80"/>
        <v>0</v>
      </c>
      <c r="U839" s="4">
        <f t="shared" si="81"/>
        <v>0.29883736975442643</v>
      </c>
      <c r="V839" s="15">
        <f t="shared" si="85"/>
        <v>0.66853035143769968</v>
      </c>
      <c r="W839" s="33">
        <f t="shared" si="82"/>
        <v>0.43585863712258077</v>
      </c>
      <c r="X839" s="4">
        <f t="shared" si="83"/>
        <v>0.29883736975442643</v>
      </c>
    </row>
    <row r="840" spans="1:24" ht="14.5" x14ac:dyDescent="0.35">
      <c r="A840" s="52">
        <v>44174</v>
      </c>
      <c r="B840" s="51">
        <v>2066</v>
      </c>
      <c r="C840" s="1">
        <f t="shared" si="84"/>
        <v>3.3467690471084929E-2</v>
      </c>
      <c r="R840" s="28">
        <v>839</v>
      </c>
      <c r="S840" s="29">
        <v>5.6577237198588547E-3</v>
      </c>
      <c r="T840" s="41">
        <f t="shared" si="80"/>
        <v>0</v>
      </c>
      <c r="U840" s="4">
        <f t="shared" si="81"/>
        <v>0.30134816323257463</v>
      </c>
      <c r="V840" s="15">
        <f t="shared" si="85"/>
        <v>0.66932907348242809</v>
      </c>
      <c r="W840" s="33">
        <f t="shared" si="82"/>
        <v>0.43806129207519545</v>
      </c>
      <c r="X840" s="4">
        <f t="shared" si="83"/>
        <v>0.30134816323257463</v>
      </c>
    </row>
    <row r="841" spans="1:24" ht="14.5" x14ac:dyDescent="0.35">
      <c r="A841" s="52">
        <v>44173</v>
      </c>
      <c r="B841" s="51">
        <v>1998</v>
      </c>
      <c r="C841" s="1">
        <f t="shared" si="84"/>
        <v>-2.00000066666711E-3</v>
      </c>
      <c r="R841" s="28">
        <v>840</v>
      </c>
      <c r="S841" s="29">
        <v>5.6657375356772999E-3</v>
      </c>
      <c r="T841" s="41">
        <f t="shared" si="80"/>
        <v>0</v>
      </c>
      <c r="U841" s="4">
        <f t="shared" si="81"/>
        <v>0.30177077793758478</v>
      </c>
      <c r="V841" s="15">
        <f t="shared" si="85"/>
        <v>0.67012779552715651</v>
      </c>
      <c r="W841" s="33">
        <f t="shared" si="82"/>
        <v>0.44026607442035687</v>
      </c>
      <c r="X841" s="4">
        <f t="shared" si="83"/>
        <v>0.30177077793758478</v>
      </c>
    </row>
    <row r="842" spans="1:24" ht="14.5" x14ac:dyDescent="0.35">
      <c r="A842" s="52">
        <v>44172</v>
      </c>
      <c r="B842" s="51">
        <v>2002</v>
      </c>
      <c r="C842" s="1">
        <f t="shared" si="84"/>
        <v>-6.9686693160933158E-3</v>
      </c>
      <c r="R842" s="28">
        <v>841</v>
      </c>
      <c r="S842" s="29">
        <v>5.6703270600879496E-3</v>
      </c>
      <c r="T842" s="41">
        <f t="shared" si="80"/>
        <v>0</v>
      </c>
      <c r="U842" s="4">
        <f t="shared" si="81"/>
        <v>0.3020128100167947</v>
      </c>
      <c r="V842" s="15">
        <f t="shared" si="85"/>
        <v>0.67092651757188504</v>
      </c>
      <c r="W842" s="33">
        <f t="shared" si="82"/>
        <v>0.44247299900983844</v>
      </c>
      <c r="X842" s="4">
        <f t="shared" si="83"/>
        <v>0.3020128100167947</v>
      </c>
    </row>
    <row r="843" spans="1:24" ht="14.5" x14ac:dyDescent="0.35">
      <c r="A843" s="52">
        <v>44169</v>
      </c>
      <c r="B843" s="51">
        <v>2016</v>
      </c>
      <c r="C843" s="1">
        <f t="shared" si="84"/>
        <v>1.8018505502678212E-2</v>
      </c>
      <c r="R843" s="28">
        <v>842</v>
      </c>
      <c r="S843" s="29">
        <v>5.6980211146377959E-3</v>
      </c>
      <c r="T843" s="41">
        <f t="shared" si="80"/>
        <v>0</v>
      </c>
      <c r="U843" s="4">
        <f t="shared" si="81"/>
        <v>0.30347327715994749</v>
      </c>
      <c r="V843" s="15">
        <f t="shared" si="85"/>
        <v>0.67172523961661346</v>
      </c>
      <c r="W843" s="33">
        <f t="shared" si="82"/>
        <v>0.44468208078050253</v>
      </c>
      <c r="X843" s="4">
        <f t="shared" si="83"/>
        <v>0.30347327715994749</v>
      </c>
    </row>
    <row r="844" spans="1:24" ht="14.5" x14ac:dyDescent="0.35">
      <c r="A844" s="52">
        <v>44168</v>
      </c>
      <c r="B844" s="51">
        <v>1980</v>
      </c>
      <c r="C844" s="1">
        <f t="shared" si="84"/>
        <v>-2.7890253981832439E-2</v>
      </c>
      <c r="R844" s="28">
        <v>843</v>
      </c>
      <c r="S844" s="29">
        <v>5.7073126792908727E-3</v>
      </c>
      <c r="T844" s="41">
        <f t="shared" si="80"/>
        <v>0</v>
      </c>
      <c r="U844" s="4">
        <f t="shared" si="81"/>
        <v>0.30396327492679215</v>
      </c>
      <c r="V844" s="15">
        <f t="shared" si="85"/>
        <v>0.67252396166134187</v>
      </c>
      <c r="W844" s="33">
        <f t="shared" si="82"/>
        <v>0.44689333475518556</v>
      </c>
      <c r="X844" s="4">
        <f t="shared" si="83"/>
        <v>0.30396327492679215</v>
      </c>
    </row>
    <row r="845" spans="1:24" ht="14.5" x14ac:dyDescent="0.35">
      <c r="A845" s="52">
        <v>44167</v>
      </c>
      <c r="B845" s="51">
        <v>2036</v>
      </c>
      <c r="C845" s="1">
        <f t="shared" si="84"/>
        <v>1.1857846450783468E-2</v>
      </c>
      <c r="R845" s="28">
        <v>844</v>
      </c>
      <c r="S845" s="29">
        <v>5.7306747089850745E-3</v>
      </c>
      <c r="T845" s="41">
        <f t="shared" si="80"/>
        <v>0</v>
      </c>
      <c r="U845" s="4">
        <f t="shared" si="81"/>
        <v>0.30519528942666724</v>
      </c>
      <c r="V845" s="15">
        <f t="shared" si="85"/>
        <v>0.67332268370607029</v>
      </c>
      <c r="W845" s="33">
        <f t="shared" si="82"/>
        <v>0.44910677604359084</v>
      </c>
      <c r="X845" s="4">
        <f t="shared" si="83"/>
        <v>0.30519528942666724</v>
      </c>
    </row>
    <row r="846" spans="1:24" ht="14.5" x14ac:dyDescent="0.35">
      <c r="A846" s="52">
        <v>44166</v>
      </c>
      <c r="B846" s="51">
        <v>2012</v>
      </c>
      <c r="C846" s="1">
        <f t="shared" si="84"/>
        <v>-9.9354205887778983E-4</v>
      </c>
      <c r="R846" s="28">
        <v>845</v>
      </c>
      <c r="S846" s="29">
        <v>5.8233745931765999E-3</v>
      </c>
      <c r="T846" s="41">
        <f t="shared" si="80"/>
        <v>0</v>
      </c>
      <c r="U846" s="4">
        <f t="shared" si="81"/>
        <v>0.31008388870316955</v>
      </c>
      <c r="V846" s="15">
        <f t="shared" si="85"/>
        <v>0.67412140575079871</v>
      </c>
      <c r="W846" s="33">
        <f t="shared" si="82"/>
        <v>0.45132241984319144</v>
      </c>
      <c r="X846" s="4">
        <f t="shared" si="83"/>
        <v>0.31008388870316955</v>
      </c>
    </row>
    <row r="847" spans="1:24" ht="14.5" x14ac:dyDescent="0.35">
      <c r="A847" s="52">
        <v>44165</v>
      </c>
      <c r="B847" s="51">
        <v>2014</v>
      </c>
      <c r="C847" s="1">
        <f t="shared" si="84"/>
        <v>-3.4166329594749981E-2</v>
      </c>
      <c r="R847" s="28">
        <v>846</v>
      </c>
      <c r="S847" s="29">
        <v>5.8651194523980576E-3</v>
      </c>
      <c r="T847" s="41">
        <f t="shared" si="80"/>
        <v>0</v>
      </c>
      <c r="U847" s="4">
        <f t="shared" si="81"/>
        <v>0.31228533577473305</v>
      </c>
      <c r="V847" s="15">
        <f t="shared" si="85"/>
        <v>0.67492012779552712</v>
      </c>
      <c r="W847" s="33">
        <f t="shared" si="82"/>
        <v>0.45354028144014391</v>
      </c>
      <c r="X847" s="4">
        <f t="shared" si="83"/>
        <v>0.31228533577473305</v>
      </c>
    </row>
    <row r="848" spans="1:24" ht="14.5" x14ac:dyDescent="0.35">
      <c r="A848" s="52">
        <v>44162</v>
      </c>
      <c r="B848" s="51">
        <v>2084</v>
      </c>
      <c r="C848" s="1">
        <f t="shared" si="84"/>
        <v>1.6449330740803687E-2</v>
      </c>
      <c r="R848" s="28">
        <v>847</v>
      </c>
      <c r="S848" s="29">
        <v>5.9128036271133217E-3</v>
      </c>
      <c r="T848" s="41">
        <f t="shared" si="80"/>
        <v>0</v>
      </c>
      <c r="U848" s="4">
        <f t="shared" si="81"/>
        <v>0.31479999719040463</v>
      </c>
      <c r="V848" s="15">
        <f t="shared" si="85"/>
        <v>0.67571884984025554</v>
      </c>
      <c r="W848" s="33">
        <f t="shared" si="82"/>
        <v>0.45576037621021404</v>
      </c>
      <c r="X848" s="4">
        <f t="shared" si="83"/>
        <v>0.31479999719040463</v>
      </c>
    </row>
    <row r="849" spans="1:24" ht="14.5" x14ac:dyDescent="0.35">
      <c r="A849" s="52">
        <v>44161</v>
      </c>
      <c r="B849" s="51">
        <v>2050</v>
      </c>
      <c r="C849" s="1">
        <f t="shared" si="84"/>
        <v>-8.742163495865915E-3</v>
      </c>
      <c r="R849" s="28">
        <v>848</v>
      </c>
      <c r="S849" s="29">
        <v>5.9488575197724838E-3</v>
      </c>
      <c r="T849" s="41">
        <f t="shared" si="80"/>
        <v>0</v>
      </c>
      <c r="U849" s="4">
        <f t="shared" si="81"/>
        <v>0.31670132678866514</v>
      </c>
      <c r="V849" s="15">
        <f t="shared" si="85"/>
        <v>0.67651757188498407</v>
      </c>
      <c r="W849" s="33">
        <f t="shared" si="82"/>
        <v>0.45798271961971038</v>
      </c>
      <c r="X849" s="4">
        <f t="shared" si="83"/>
        <v>0.31670132678866514</v>
      </c>
    </row>
    <row r="850" spans="1:24" ht="14.5" x14ac:dyDescent="0.35">
      <c r="A850" s="52">
        <v>44160</v>
      </c>
      <c r="B850" s="51">
        <v>2068</v>
      </c>
      <c r="C850" s="1">
        <f t="shared" si="84"/>
        <v>-9.6665063109498996E-4</v>
      </c>
      <c r="R850" s="28">
        <v>849</v>
      </c>
      <c r="S850" s="29">
        <v>5.9970194723742657E-3</v>
      </c>
      <c r="T850" s="41">
        <f t="shared" si="80"/>
        <v>0</v>
      </c>
      <c r="U850" s="4">
        <f t="shared" si="81"/>
        <v>0.31924118418651865</v>
      </c>
      <c r="V850" s="15">
        <f t="shared" si="85"/>
        <v>0.67731629392971249</v>
      </c>
      <c r="W850" s="33">
        <f t="shared" si="82"/>
        <v>0.46020732722642965</v>
      </c>
      <c r="X850" s="4">
        <f t="shared" si="83"/>
        <v>0.31924118418651865</v>
      </c>
    </row>
    <row r="851" spans="1:24" ht="14.5" x14ac:dyDescent="0.35">
      <c r="A851" s="52">
        <v>44159</v>
      </c>
      <c r="B851" s="51">
        <v>2070</v>
      </c>
      <c r="C851" s="1">
        <f t="shared" si="84"/>
        <v>2.8419355039785019E-2</v>
      </c>
      <c r="R851" s="28">
        <v>850</v>
      </c>
      <c r="S851" s="29">
        <v>6.015055729761189E-3</v>
      </c>
      <c r="T851" s="41">
        <f t="shared" si="80"/>
        <v>0</v>
      </c>
      <c r="U851" s="4">
        <f t="shared" si="81"/>
        <v>0.32019234001137764</v>
      </c>
      <c r="V851" s="15">
        <f t="shared" si="85"/>
        <v>0.6781150159744409</v>
      </c>
      <c r="W851" s="33">
        <f t="shared" si="82"/>
        <v>0.46243421468061463</v>
      </c>
      <c r="X851" s="4">
        <f t="shared" si="83"/>
        <v>0.32019234001137764</v>
      </c>
    </row>
    <row r="852" spans="1:24" ht="14.5" x14ac:dyDescent="0.35">
      <c r="A852" s="52">
        <v>44158</v>
      </c>
      <c r="B852" s="51">
        <v>2012</v>
      </c>
      <c r="C852" s="1">
        <f t="shared" si="84"/>
        <v>6.4821967192298545E-3</v>
      </c>
      <c r="R852" s="28">
        <v>851</v>
      </c>
      <c r="S852" s="29">
        <v>6.0560366770416093E-3</v>
      </c>
      <c r="T852" s="41">
        <f t="shared" si="80"/>
        <v>0</v>
      </c>
      <c r="U852" s="4">
        <f t="shared" si="81"/>
        <v>0.32235350160259957</v>
      </c>
      <c r="V852" s="15">
        <f t="shared" si="85"/>
        <v>0.67891373801916932</v>
      </c>
      <c r="W852" s="33">
        <f t="shared" si="82"/>
        <v>0.46466339772592158</v>
      </c>
      <c r="X852" s="4">
        <f t="shared" si="83"/>
        <v>0.32235350160259957</v>
      </c>
    </row>
    <row r="853" spans="1:24" ht="14.5" x14ac:dyDescent="0.35">
      <c r="A853" s="52">
        <v>44155</v>
      </c>
      <c r="B853" s="51">
        <v>1999</v>
      </c>
      <c r="C853" s="1">
        <f t="shared" si="84"/>
        <v>1.0055388897834243E-2</v>
      </c>
      <c r="R853" s="28">
        <v>852</v>
      </c>
      <c r="S853" s="29">
        <v>6.0679797837560473E-3</v>
      </c>
      <c r="T853" s="41">
        <f t="shared" si="80"/>
        <v>0</v>
      </c>
      <c r="U853" s="4">
        <f t="shared" si="81"/>
        <v>0.32298333046757161</v>
      </c>
      <c r="V853" s="15">
        <f t="shared" si="85"/>
        <v>0.67971246006389774</v>
      </c>
      <c r="W853" s="33">
        <f t="shared" si="82"/>
        <v>0.46689489220039887</v>
      </c>
      <c r="X853" s="4">
        <f t="shared" si="83"/>
        <v>0.32298333046757161</v>
      </c>
    </row>
    <row r="854" spans="1:24" ht="14.5" x14ac:dyDescent="0.35">
      <c r="A854" s="52">
        <v>44154</v>
      </c>
      <c r="B854" s="51">
        <v>1979</v>
      </c>
      <c r="C854" s="1">
        <f t="shared" si="84"/>
        <v>-1.6537585617064057E-2</v>
      </c>
      <c r="R854" s="28">
        <v>853</v>
      </c>
      <c r="S854" s="29">
        <v>6.0996461567231781E-3</v>
      </c>
      <c r="T854" s="41">
        <f t="shared" si="80"/>
        <v>0</v>
      </c>
      <c r="U854" s="4">
        <f t="shared" si="81"/>
        <v>0.32465328085992307</v>
      </c>
      <c r="V854" s="15">
        <f t="shared" si="85"/>
        <v>0.68051118210862616</v>
      </c>
      <c r="W854" s="33">
        <f t="shared" si="82"/>
        <v>0.46912871403747708</v>
      </c>
      <c r="X854" s="4">
        <f t="shared" si="83"/>
        <v>0.32465328085992307</v>
      </c>
    </row>
    <row r="855" spans="1:24" ht="14.5" x14ac:dyDescent="0.35">
      <c r="A855" s="52">
        <v>44153</v>
      </c>
      <c r="B855" s="51">
        <v>2012</v>
      </c>
      <c r="C855" s="1">
        <f t="shared" si="84"/>
        <v>1.9067311226202945E-2</v>
      </c>
      <c r="R855" s="28">
        <v>854</v>
      </c>
      <c r="S855" s="29">
        <v>6.1050250668028827E-3</v>
      </c>
      <c r="T855" s="41">
        <f t="shared" si="80"/>
        <v>0</v>
      </c>
      <c r="U855" s="4">
        <f t="shared" si="81"/>
        <v>0.32493694179600024</v>
      </c>
      <c r="V855" s="15">
        <f t="shared" si="85"/>
        <v>0.68130990415335468</v>
      </c>
      <c r="W855" s="33">
        <f t="shared" si="82"/>
        <v>0.47136487926697268</v>
      </c>
      <c r="X855" s="4">
        <f t="shared" si="83"/>
        <v>0.32493694179600024</v>
      </c>
    </row>
    <row r="856" spans="1:24" ht="14.5" x14ac:dyDescent="0.35">
      <c r="A856" s="52">
        <v>44152</v>
      </c>
      <c r="B856" s="51">
        <v>1974</v>
      </c>
      <c r="C856" s="1">
        <f t="shared" si="84"/>
        <v>2.9300476947782383E-2</v>
      </c>
      <c r="R856" s="28">
        <v>855</v>
      </c>
      <c r="S856" s="29">
        <v>6.1349885675159293E-3</v>
      </c>
      <c r="T856" s="41">
        <f t="shared" si="80"/>
        <v>0</v>
      </c>
      <c r="U856" s="4">
        <f t="shared" si="81"/>
        <v>0.32651708991791845</v>
      </c>
      <c r="V856" s="15">
        <f t="shared" si="85"/>
        <v>0.6821086261980831</v>
      </c>
      <c r="W856" s="33">
        <f t="shared" si="82"/>
        <v>0.47360340401609935</v>
      </c>
      <c r="X856" s="4">
        <f t="shared" si="83"/>
        <v>0.32651708991791845</v>
      </c>
    </row>
    <row r="857" spans="1:24" ht="14.5" x14ac:dyDescent="0.35">
      <c r="A857" s="52">
        <v>44151</v>
      </c>
      <c r="B857" s="51">
        <v>1917</v>
      </c>
      <c r="C857" s="1">
        <f t="shared" si="84"/>
        <v>1.1542625529117672E-2</v>
      </c>
      <c r="R857" s="28">
        <v>856</v>
      </c>
      <c r="S857" s="29">
        <v>6.1412680220824288E-3</v>
      </c>
      <c r="T857" s="41">
        <f t="shared" si="80"/>
        <v>0</v>
      </c>
      <c r="U857" s="4">
        <f t="shared" si="81"/>
        <v>0.32684824175611488</v>
      </c>
      <c r="V857" s="15">
        <f t="shared" si="85"/>
        <v>0.68290734824281152</v>
      </c>
      <c r="W857" s="33">
        <f t="shared" si="82"/>
        <v>0.47584430451049581</v>
      </c>
      <c r="X857" s="4">
        <f t="shared" si="83"/>
        <v>0.32684824175611488</v>
      </c>
    </row>
    <row r="858" spans="1:24" ht="14.5" x14ac:dyDescent="0.35">
      <c r="A858" s="52">
        <v>44148</v>
      </c>
      <c r="B858" s="51">
        <v>1895</v>
      </c>
      <c r="C858" s="1">
        <f t="shared" si="84"/>
        <v>1.0610179112015469E-2</v>
      </c>
      <c r="R858" s="28">
        <v>857</v>
      </c>
      <c r="S858" s="29">
        <v>6.1538655743782859E-3</v>
      </c>
      <c r="T858" s="41">
        <f t="shared" si="80"/>
        <v>0</v>
      </c>
      <c r="U858" s="4">
        <f t="shared" si="81"/>
        <v>0.32751258330924982</v>
      </c>
      <c r="V858" s="15">
        <f t="shared" si="85"/>
        <v>0.68370607028753994</v>
      </c>
      <c r="W858" s="33">
        <f t="shared" si="82"/>
        <v>0.47808759707526399</v>
      </c>
      <c r="X858" s="4">
        <f t="shared" si="83"/>
        <v>0.32751258330924982</v>
      </c>
    </row>
    <row r="859" spans="1:24" ht="14.5" x14ac:dyDescent="0.35">
      <c r="A859" s="52">
        <v>44147</v>
      </c>
      <c r="B859" s="51">
        <v>1875</v>
      </c>
      <c r="C859" s="1">
        <f t="shared" si="84"/>
        <v>-1.1137744410455872E-2</v>
      </c>
      <c r="R859" s="28">
        <v>858</v>
      </c>
      <c r="S859" s="29">
        <v>6.1665149156639584E-3</v>
      </c>
      <c r="T859" s="41">
        <f t="shared" si="80"/>
        <v>0</v>
      </c>
      <c r="U859" s="4">
        <f t="shared" si="81"/>
        <v>0.32817965599436349</v>
      </c>
      <c r="V859" s="15">
        <f t="shared" si="85"/>
        <v>0.68450479233226835</v>
      </c>
      <c r="W859" s="33">
        <f t="shared" si="82"/>
        <v>0.48033329813601716</v>
      </c>
      <c r="X859" s="4">
        <f t="shared" si="83"/>
        <v>0.32817965599436349</v>
      </c>
    </row>
    <row r="860" spans="1:24" ht="14.5" x14ac:dyDescent="0.35">
      <c r="A860" s="52">
        <v>44146</v>
      </c>
      <c r="B860" s="51">
        <v>1896</v>
      </c>
      <c r="C860" s="1">
        <f t="shared" si="84"/>
        <v>2.5642430613337652E-2</v>
      </c>
      <c r="R860" s="28">
        <v>859</v>
      </c>
      <c r="S860" s="29">
        <v>6.1728591070810161E-3</v>
      </c>
      <c r="T860" s="41">
        <f t="shared" si="80"/>
        <v>0</v>
      </c>
      <c r="U860" s="4">
        <f t="shared" si="81"/>
        <v>0.32851422177987566</v>
      </c>
      <c r="V860" s="15">
        <f t="shared" si="85"/>
        <v>0.68530351437699677</v>
      </c>
      <c r="W860" s="33">
        <f t="shared" si="82"/>
        <v>0.48258142421994488</v>
      </c>
      <c r="X860" s="4">
        <f t="shared" si="83"/>
        <v>0.32851422177987566</v>
      </c>
    </row>
    <row r="861" spans="1:24" ht="14.5" x14ac:dyDescent="0.35">
      <c r="A861" s="52">
        <v>44145</v>
      </c>
      <c r="B861" s="51">
        <v>1848</v>
      </c>
      <c r="C861" s="1">
        <f t="shared" si="84"/>
        <v>7.1779682394130739E-2</v>
      </c>
      <c r="R861" s="28">
        <v>860</v>
      </c>
      <c r="S861" s="29">
        <v>6.1755820441498624E-3</v>
      </c>
      <c r="T861" s="41">
        <f t="shared" si="80"/>
        <v>0</v>
      </c>
      <c r="U861" s="4">
        <f t="shared" si="81"/>
        <v>0.3286578179483155</v>
      </c>
      <c r="V861" s="15">
        <f t="shared" si="85"/>
        <v>0.68610223642172519</v>
      </c>
      <c r="W861" s="33">
        <f t="shared" si="82"/>
        <v>0.48483199195688748</v>
      </c>
      <c r="X861" s="4">
        <f t="shared" si="83"/>
        <v>0.3286578179483155</v>
      </c>
    </row>
    <row r="862" spans="1:24" ht="14.5" x14ac:dyDescent="0.35">
      <c r="A862" s="52">
        <v>44144</v>
      </c>
      <c r="B862" s="51">
        <v>1720</v>
      </c>
      <c r="C862" s="1">
        <f t="shared" si="84"/>
        <v>4.3976188570483507E-2</v>
      </c>
      <c r="R862" s="28">
        <v>861</v>
      </c>
      <c r="S862" s="29">
        <v>6.3371568227343711E-3</v>
      </c>
      <c r="T862" s="41">
        <f t="shared" si="80"/>
        <v>0</v>
      </c>
      <c r="U862" s="4">
        <f t="shared" si="81"/>
        <v>0.33717858744633677</v>
      </c>
      <c r="V862" s="15">
        <f t="shared" si="85"/>
        <v>0.68690095846645371</v>
      </c>
      <c r="W862" s="33">
        <f t="shared" si="82"/>
        <v>0.48708501808042493</v>
      </c>
      <c r="X862" s="4">
        <f t="shared" si="83"/>
        <v>0.33717858744633677</v>
      </c>
    </row>
    <row r="863" spans="1:24" ht="14.5" x14ac:dyDescent="0.35">
      <c r="A863" s="52">
        <v>44141</v>
      </c>
      <c r="B863" s="51">
        <v>1646</v>
      </c>
      <c r="C863" s="1">
        <f t="shared" si="84"/>
        <v>1.4071813722423939E-2</v>
      </c>
      <c r="R863" s="28">
        <v>862</v>
      </c>
      <c r="S863" s="29">
        <v>6.3419065252842228E-3</v>
      </c>
      <c r="T863" s="41">
        <f t="shared" si="80"/>
        <v>0</v>
      </c>
      <c r="U863" s="4">
        <f t="shared" si="81"/>
        <v>0.3374290666421989</v>
      </c>
      <c r="V863" s="15">
        <f t="shared" si="85"/>
        <v>0.68769968051118213</v>
      </c>
      <c r="W863" s="33">
        <f t="shared" si="82"/>
        <v>0.48934051942897694</v>
      </c>
      <c r="X863" s="4">
        <f t="shared" si="83"/>
        <v>0.3374290666421989</v>
      </c>
    </row>
    <row r="864" spans="1:24" ht="14.5" x14ac:dyDescent="0.35">
      <c r="A864" s="52">
        <v>44140</v>
      </c>
      <c r="B864" s="51">
        <v>1623</v>
      </c>
      <c r="C864" s="1">
        <f t="shared" si="84"/>
        <v>3.0854698961542233E-3</v>
      </c>
      <c r="R864" s="28">
        <v>863</v>
      </c>
      <c r="S864" s="29">
        <v>6.3626937878286504E-3</v>
      </c>
      <c r="T864" s="41">
        <f t="shared" si="80"/>
        <v>0</v>
      </c>
      <c r="U864" s="4">
        <f t="shared" si="81"/>
        <v>0.33852529882761562</v>
      </c>
      <c r="V864" s="15">
        <f t="shared" si="85"/>
        <v>0.68849840255591055</v>
      </c>
      <c r="W864" s="33">
        <f t="shared" si="82"/>
        <v>0.49159851294692014</v>
      </c>
      <c r="X864" s="4">
        <f t="shared" si="83"/>
        <v>0.33852529882761562</v>
      </c>
    </row>
    <row r="865" spans="1:24" ht="14.5" x14ac:dyDescent="0.35">
      <c r="A865" s="52">
        <v>44139</v>
      </c>
      <c r="B865" s="51">
        <v>1618</v>
      </c>
      <c r="C865" s="1">
        <f t="shared" si="84"/>
        <v>3.6504997374854353E-2</v>
      </c>
      <c r="R865" s="28">
        <v>864</v>
      </c>
      <c r="S865" s="29">
        <v>6.3717029726926867E-3</v>
      </c>
      <c r="T865" s="41">
        <f t="shared" si="80"/>
        <v>0</v>
      </c>
      <c r="U865" s="4">
        <f t="shared" si="81"/>
        <v>0.33900040508036139</v>
      </c>
      <c r="V865" s="15">
        <f t="shared" si="85"/>
        <v>0.68929712460063897</v>
      </c>
      <c r="W865" s="33">
        <f t="shared" si="82"/>
        <v>0.49385901568571405</v>
      </c>
      <c r="X865" s="4">
        <f t="shared" si="83"/>
        <v>0.33900040508036139</v>
      </c>
    </row>
    <row r="866" spans="1:24" ht="14.5" x14ac:dyDescent="0.35">
      <c r="A866" s="52">
        <v>44138</v>
      </c>
      <c r="B866" s="51">
        <v>1560</v>
      </c>
      <c r="C866" s="1">
        <f t="shared" si="84"/>
        <v>2.5975486403260736E-2</v>
      </c>
      <c r="R866" s="28">
        <v>865</v>
      </c>
      <c r="S866" s="29">
        <v>6.3897980987709883E-3</v>
      </c>
      <c r="T866" s="41">
        <f t="shared" si="80"/>
        <v>0</v>
      </c>
      <c r="U866" s="4">
        <f t="shared" si="81"/>
        <v>0.33995466539067459</v>
      </c>
      <c r="V866" s="15">
        <f t="shared" si="85"/>
        <v>0.69009584664536738</v>
      </c>
      <c r="W866" s="33">
        <f t="shared" si="82"/>
        <v>0.49612204480504463</v>
      </c>
      <c r="X866" s="4">
        <f t="shared" si="83"/>
        <v>0.33995466539067459</v>
      </c>
    </row>
    <row r="867" spans="1:24" ht="14.5" x14ac:dyDescent="0.35">
      <c r="A867" s="52">
        <v>44137</v>
      </c>
      <c r="B867" s="51">
        <v>1520</v>
      </c>
      <c r="C867" s="1">
        <f t="shared" si="84"/>
        <v>-4.5946913783104174E-3</v>
      </c>
      <c r="R867" s="28">
        <v>866</v>
      </c>
      <c r="S867" s="29">
        <v>6.4725145056175196E-3</v>
      </c>
      <c r="T867" s="41">
        <f t="shared" si="80"/>
        <v>0</v>
      </c>
      <c r="U867" s="4">
        <f t="shared" si="81"/>
        <v>0.34431677835544777</v>
      </c>
      <c r="V867" s="15">
        <f t="shared" si="85"/>
        <v>0.6908945686900958</v>
      </c>
      <c r="W867" s="33">
        <f t="shared" si="82"/>
        <v>0.49838761757397904</v>
      </c>
      <c r="X867" s="4">
        <f t="shared" si="83"/>
        <v>0.34431677835544777</v>
      </c>
    </row>
    <row r="868" spans="1:24" ht="14.5" x14ac:dyDescent="0.35">
      <c r="A868" s="52">
        <v>44134</v>
      </c>
      <c r="B868" s="51">
        <v>1527</v>
      </c>
      <c r="C868" s="1">
        <f t="shared" si="84"/>
        <v>8.5498712212382609E-3</v>
      </c>
      <c r="R868" s="28">
        <v>867</v>
      </c>
      <c r="S868" s="29">
        <v>6.4821967192298545E-3</v>
      </c>
      <c r="T868" s="41">
        <f t="shared" si="80"/>
        <v>0</v>
      </c>
      <c r="U868" s="4">
        <f t="shared" si="81"/>
        <v>0.34482737729387153</v>
      </c>
      <c r="V868" s="15">
        <f t="shared" si="85"/>
        <v>0.69169329073482433</v>
      </c>
      <c r="W868" s="33">
        <f t="shared" si="82"/>
        <v>0.50065575137213703</v>
      </c>
      <c r="X868" s="4">
        <f t="shared" si="83"/>
        <v>0.34482737729387153</v>
      </c>
    </row>
    <row r="869" spans="1:24" ht="14.5" x14ac:dyDescent="0.35">
      <c r="A869" s="52">
        <v>44133</v>
      </c>
      <c r="B869" s="51">
        <v>1514</v>
      </c>
      <c r="C869" s="1">
        <f t="shared" si="84"/>
        <v>-1.5727716068195154E-2</v>
      </c>
      <c r="R869" s="28">
        <v>868</v>
      </c>
      <c r="S869" s="29">
        <v>6.6939632627988147E-3</v>
      </c>
      <c r="T869" s="41">
        <f t="shared" si="80"/>
        <v>0</v>
      </c>
      <c r="U869" s="4">
        <f t="shared" si="81"/>
        <v>0.35599504789785769</v>
      </c>
      <c r="V869" s="15">
        <f t="shared" si="85"/>
        <v>0.69249201277955275</v>
      </c>
      <c r="W869" s="33">
        <f t="shared" si="82"/>
        <v>0.50292646369087279</v>
      </c>
      <c r="X869" s="4">
        <f t="shared" si="83"/>
        <v>0.35599504789785769</v>
      </c>
    </row>
    <row r="870" spans="1:24" ht="14.5" x14ac:dyDescent="0.35">
      <c r="A870" s="52">
        <v>44132</v>
      </c>
      <c r="B870" s="51">
        <v>1538</v>
      </c>
      <c r="C870" s="1">
        <f t="shared" si="84"/>
        <v>-2.3772401194144113E-2</v>
      </c>
      <c r="R870" s="28">
        <v>869</v>
      </c>
      <c r="S870" s="29">
        <v>6.7624940722971708E-3</v>
      </c>
      <c r="T870" s="41">
        <f t="shared" si="80"/>
        <v>0</v>
      </c>
      <c r="U870" s="4">
        <f t="shared" si="81"/>
        <v>0.35960907253935132</v>
      </c>
      <c r="V870" s="15">
        <f t="shared" si="85"/>
        <v>0.69329073482428116</v>
      </c>
      <c r="W870" s="33">
        <f t="shared" si="82"/>
        <v>0.50519977213447687</v>
      </c>
      <c r="X870" s="4">
        <f t="shared" si="83"/>
        <v>0.35960907253935132</v>
      </c>
    </row>
    <row r="871" spans="1:24" ht="14.5" x14ac:dyDescent="0.35">
      <c r="A871" s="52">
        <v>44131</v>
      </c>
      <c r="B871" s="51">
        <v>1575</v>
      </c>
      <c r="C871" s="1">
        <f t="shared" si="84"/>
        <v>8.9286307443013982E-3</v>
      </c>
      <c r="R871" s="28">
        <v>870</v>
      </c>
      <c r="S871" s="29">
        <v>6.7796869853787691E-3</v>
      </c>
      <c r="T871" s="41">
        <f t="shared" si="80"/>
        <v>0</v>
      </c>
      <c r="U871" s="4">
        <f t="shared" si="81"/>
        <v>0.36051575395739943</v>
      </c>
      <c r="V871" s="15">
        <f t="shared" si="85"/>
        <v>0.69408945686900958</v>
      </c>
      <c r="W871" s="33">
        <f t="shared" si="82"/>
        <v>0.50747569442138774</v>
      </c>
      <c r="X871" s="4">
        <f t="shared" si="83"/>
        <v>0.36051575395739943</v>
      </c>
    </row>
    <row r="872" spans="1:24" ht="14.5" x14ac:dyDescent="0.35">
      <c r="A872" s="52">
        <v>44130</v>
      </c>
      <c r="B872" s="51">
        <v>1561</v>
      </c>
      <c r="C872" s="1">
        <f t="shared" si="84"/>
        <v>-3.7099507710997702E-2</v>
      </c>
      <c r="R872" s="28">
        <v>871</v>
      </c>
      <c r="S872" s="29">
        <v>6.8728792877620504E-3</v>
      </c>
      <c r="T872" s="41">
        <f t="shared" si="80"/>
        <v>0</v>
      </c>
      <c r="U872" s="4">
        <f t="shared" si="81"/>
        <v>0.36543032128377528</v>
      </c>
      <c r="V872" s="15">
        <f t="shared" si="85"/>
        <v>0.694888178913738</v>
      </c>
      <c r="W872" s="33">
        <f t="shared" si="82"/>
        <v>0.50975424838542183</v>
      </c>
      <c r="X872" s="4">
        <f t="shared" si="83"/>
        <v>0.36543032128377528</v>
      </c>
    </row>
    <row r="873" spans="1:24" ht="14.5" x14ac:dyDescent="0.35">
      <c r="A873" s="52">
        <v>44126</v>
      </c>
      <c r="B873" s="51">
        <v>1620</v>
      </c>
      <c r="C873" s="1">
        <f t="shared" si="84"/>
        <v>-5.5401803756153561E-3</v>
      </c>
      <c r="R873" s="28">
        <v>872</v>
      </c>
      <c r="S873" s="29">
        <v>6.8992224602719334E-3</v>
      </c>
      <c r="T873" s="41">
        <f t="shared" si="80"/>
        <v>0</v>
      </c>
      <c r="U873" s="4">
        <f t="shared" si="81"/>
        <v>0.36681954862958854</v>
      </c>
      <c r="V873" s="15">
        <f t="shared" si="85"/>
        <v>0.69568690095846641</v>
      </c>
      <c r="W873" s="33">
        <f t="shared" si="82"/>
        <v>0.51203545197701628</v>
      </c>
      <c r="X873" s="4">
        <f t="shared" si="83"/>
        <v>0.36681954862958854</v>
      </c>
    </row>
    <row r="874" spans="1:24" ht="14.5" x14ac:dyDescent="0.35">
      <c r="A874" s="52">
        <v>44125</v>
      </c>
      <c r="B874" s="51">
        <v>1629</v>
      </c>
      <c r="C874" s="1">
        <f t="shared" si="84"/>
        <v>-4.2879085606471849E-3</v>
      </c>
      <c r="R874" s="28">
        <v>873</v>
      </c>
      <c r="S874" s="29">
        <v>6.920442844573757E-3</v>
      </c>
      <c r="T874" s="41">
        <f t="shared" si="80"/>
        <v>0</v>
      </c>
      <c r="U874" s="4">
        <f t="shared" si="81"/>
        <v>0.36793862182207138</v>
      </c>
      <c r="V874" s="15">
        <f t="shared" si="85"/>
        <v>0.69648562300319494</v>
      </c>
      <c r="W874" s="33">
        <f t="shared" si="82"/>
        <v>0.51431932326448981</v>
      </c>
      <c r="X874" s="4">
        <f t="shared" si="83"/>
        <v>0.36793862182207138</v>
      </c>
    </row>
    <row r="875" spans="1:24" ht="14.5" x14ac:dyDescent="0.35">
      <c r="A875" s="52">
        <v>44124</v>
      </c>
      <c r="B875" s="51">
        <v>1636</v>
      </c>
      <c r="C875" s="1">
        <f t="shared" si="84"/>
        <v>-2.2961733886728296E-2</v>
      </c>
      <c r="R875" s="28">
        <v>874</v>
      </c>
      <c r="S875" s="29">
        <v>6.9396531105404002E-3</v>
      </c>
      <c r="T875" s="41">
        <f t="shared" si="80"/>
        <v>0</v>
      </c>
      <c r="U875" s="4">
        <f t="shared" si="81"/>
        <v>0.36895168988709637</v>
      </c>
      <c r="V875" s="15">
        <f t="shared" si="85"/>
        <v>0.69728434504792336</v>
      </c>
      <c r="W875" s="33">
        <f t="shared" si="82"/>
        <v>0.51660588043531597</v>
      </c>
      <c r="X875" s="4">
        <f t="shared" si="83"/>
        <v>0.36895168988709637</v>
      </c>
    </row>
    <row r="876" spans="1:24" ht="14.5" x14ac:dyDescent="0.35">
      <c r="A876" s="52">
        <v>44123</v>
      </c>
      <c r="B876" s="51">
        <v>1674</v>
      </c>
      <c r="C876" s="1">
        <f t="shared" si="84"/>
        <v>5.390848634876373E-3</v>
      </c>
      <c r="R876" s="28">
        <v>875</v>
      </c>
      <c r="S876" s="29">
        <v>6.9505058265233316E-3</v>
      </c>
      <c r="T876" s="41">
        <f t="shared" si="80"/>
        <v>0</v>
      </c>
      <c r="U876" s="4">
        <f t="shared" si="81"/>
        <v>0.36952401616306696</v>
      </c>
      <c r="V876" s="15">
        <f t="shared" si="85"/>
        <v>0.69808306709265178</v>
      </c>
      <c r="W876" s="33">
        <f t="shared" si="82"/>
        <v>0.51889514179741658</v>
      </c>
      <c r="X876" s="4">
        <f t="shared" si="83"/>
        <v>0.36952401616306696</v>
      </c>
    </row>
    <row r="877" spans="1:24" ht="14.5" x14ac:dyDescent="0.35">
      <c r="A877" s="52">
        <v>44120</v>
      </c>
      <c r="B877" s="51">
        <v>1665</v>
      </c>
      <c r="C877" s="1">
        <f t="shared" si="84"/>
        <v>5.4200674693391133E-3</v>
      </c>
      <c r="R877" s="28">
        <v>876</v>
      </c>
      <c r="S877" s="29">
        <v>6.9756137364251382E-3</v>
      </c>
      <c r="T877" s="41">
        <f t="shared" si="80"/>
        <v>0</v>
      </c>
      <c r="U877" s="4">
        <f t="shared" si="81"/>
        <v>0.37084810099069049</v>
      </c>
      <c r="V877" s="15">
        <f t="shared" si="85"/>
        <v>0.69888178913738019</v>
      </c>
      <c r="W877" s="33">
        <f t="shared" si="82"/>
        <v>0.521187125780468</v>
      </c>
      <c r="X877" s="4">
        <f t="shared" si="83"/>
        <v>0.37084810099069049</v>
      </c>
    </row>
    <row r="878" spans="1:24" ht="14.5" x14ac:dyDescent="0.35">
      <c r="A878" s="52">
        <v>44119</v>
      </c>
      <c r="B878" s="51">
        <v>1656</v>
      </c>
      <c r="C878" s="1">
        <f t="shared" si="84"/>
        <v>1.208459361568327E-3</v>
      </c>
      <c r="R878" s="28">
        <v>877</v>
      </c>
      <c r="S878" s="29">
        <v>7.0713317641079299E-3</v>
      </c>
      <c r="T878" s="41">
        <f t="shared" si="80"/>
        <v>0</v>
      </c>
      <c r="U878" s="4">
        <f t="shared" si="81"/>
        <v>0.3758958643720508</v>
      </c>
      <c r="V878" s="15">
        <f t="shared" si="85"/>
        <v>0.69968051118210861</v>
      </c>
      <c r="W878" s="33">
        <f t="shared" si="82"/>
        <v>0.52348185093722488</v>
      </c>
      <c r="X878" s="4">
        <f t="shared" si="83"/>
        <v>0.3758958643720508</v>
      </c>
    </row>
    <row r="879" spans="1:24" ht="14.5" x14ac:dyDescent="0.35">
      <c r="A879" s="52">
        <v>44118</v>
      </c>
      <c r="B879" s="51">
        <v>1654</v>
      </c>
      <c r="C879" s="1">
        <f t="shared" si="84"/>
        <v>8.5003547653925253E-3</v>
      </c>
      <c r="R879" s="28">
        <v>878</v>
      </c>
      <c r="S879" s="29">
        <v>7.0734158757266991E-3</v>
      </c>
      <c r="T879" s="41">
        <f t="shared" si="80"/>
        <v>0</v>
      </c>
      <c r="U879" s="4">
        <f t="shared" si="81"/>
        <v>0.37600577159189819</v>
      </c>
      <c r="V879" s="15">
        <f t="shared" si="85"/>
        <v>0.70047923322683703</v>
      </c>
      <c r="W879" s="33">
        <f t="shared" si="82"/>
        <v>0.52577933594486137</v>
      </c>
      <c r="X879" s="4">
        <f t="shared" si="83"/>
        <v>0.37600577159189819</v>
      </c>
    </row>
    <row r="880" spans="1:24" ht="14.5" x14ac:dyDescent="0.35">
      <c r="A880" s="52">
        <v>44117</v>
      </c>
      <c r="B880" s="51">
        <v>1640</v>
      </c>
      <c r="C880" s="1">
        <f t="shared" si="84"/>
        <v>2.1572485254127763E-2</v>
      </c>
      <c r="R880" s="28">
        <v>879</v>
      </c>
      <c r="S880" s="29">
        <v>7.1276139242321401E-3</v>
      </c>
      <c r="T880" s="41">
        <f t="shared" si="80"/>
        <v>0</v>
      </c>
      <c r="U880" s="4">
        <f t="shared" si="81"/>
        <v>0.37886394712277721</v>
      </c>
      <c r="V880" s="15">
        <f t="shared" si="85"/>
        <v>0.70127795527156545</v>
      </c>
      <c r="W880" s="33">
        <f t="shared" si="82"/>
        <v>0.52807959960632811</v>
      </c>
      <c r="X880" s="4">
        <f t="shared" si="83"/>
        <v>0.37886394712277721</v>
      </c>
    </row>
    <row r="881" spans="1:24" ht="14.5" x14ac:dyDescent="0.35">
      <c r="A881" s="52">
        <v>44116</v>
      </c>
      <c r="B881" s="51">
        <v>1605</v>
      </c>
      <c r="C881" s="1">
        <f t="shared" si="84"/>
        <v>-3.9699869846684582E-2</v>
      </c>
      <c r="R881" s="28">
        <v>880</v>
      </c>
      <c r="S881" s="29">
        <v>7.1428875123802039E-3</v>
      </c>
      <c r="T881" s="41">
        <f t="shared" si="80"/>
        <v>0</v>
      </c>
      <c r="U881" s="4">
        <f t="shared" si="81"/>
        <v>0.37966941147282918</v>
      </c>
      <c r="V881" s="15">
        <f t="shared" si="85"/>
        <v>0.70207667731629397</v>
      </c>
      <c r="W881" s="33">
        <f t="shared" si="82"/>
        <v>0.53038266085172869</v>
      </c>
      <c r="X881" s="4">
        <f t="shared" si="83"/>
        <v>0.37966941147282918</v>
      </c>
    </row>
    <row r="882" spans="1:24" ht="14.5" x14ac:dyDescent="0.35">
      <c r="A882" s="52">
        <v>44113</v>
      </c>
      <c r="B882" s="51">
        <v>1670</v>
      </c>
      <c r="C882" s="1">
        <f t="shared" si="84"/>
        <v>0</v>
      </c>
      <c r="R882" s="28">
        <v>881</v>
      </c>
      <c r="S882" s="29">
        <v>7.1633544135640435E-3</v>
      </c>
      <c r="T882" s="41">
        <f t="shared" si="80"/>
        <v>0</v>
      </c>
      <c r="U882" s="4">
        <f t="shared" si="81"/>
        <v>0.38074874915692858</v>
      </c>
      <c r="V882" s="15">
        <f t="shared" si="85"/>
        <v>0.70287539936102239</v>
      </c>
      <c r="W882" s="33">
        <f t="shared" si="82"/>
        <v>0.53268853873970945</v>
      </c>
      <c r="X882" s="4">
        <f t="shared" si="83"/>
        <v>0.38074874915692858</v>
      </c>
    </row>
    <row r="883" spans="1:24" ht="14.5" x14ac:dyDescent="0.35">
      <c r="A883" s="52">
        <v>44112</v>
      </c>
      <c r="B883" s="51">
        <v>1670</v>
      </c>
      <c r="C883" s="1">
        <f t="shared" si="84"/>
        <v>1.8127384592556701E-2</v>
      </c>
      <c r="R883" s="28">
        <v>882</v>
      </c>
      <c r="S883" s="29">
        <v>7.1868892504559582E-3</v>
      </c>
      <c r="T883" s="41">
        <f t="shared" si="80"/>
        <v>0</v>
      </c>
      <c r="U883" s="4">
        <f t="shared" si="81"/>
        <v>0.38198987677651336</v>
      </c>
      <c r="V883" s="15">
        <f t="shared" si="85"/>
        <v>0.70367412140575081</v>
      </c>
      <c r="W883" s="33">
        <f t="shared" si="82"/>
        <v>0.53499725245887308</v>
      </c>
      <c r="X883" s="4">
        <f t="shared" si="83"/>
        <v>0.38198987677651336</v>
      </c>
    </row>
    <row r="884" spans="1:24" ht="14.5" x14ac:dyDescent="0.35">
      <c r="A884" s="52">
        <v>44111</v>
      </c>
      <c r="B884" s="51">
        <v>1640</v>
      </c>
      <c r="C884" s="1">
        <f t="shared" si="84"/>
        <v>-1.8726007777149632E-2</v>
      </c>
      <c r="R884" s="28">
        <v>883</v>
      </c>
      <c r="S884" s="29">
        <v>7.2162400297426264E-3</v>
      </c>
      <c r="T884" s="41">
        <f t="shared" si="80"/>
        <v>0</v>
      </c>
      <c r="U884" s="4">
        <f t="shared" si="81"/>
        <v>0.38353771256548952</v>
      </c>
      <c r="V884" s="15">
        <f t="shared" si="85"/>
        <v>0.70447284345047922</v>
      </c>
      <c r="W884" s="33">
        <f t="shared" si="82"/>
        <v>0.53730882132920532</v>
      </c>
      <c r="X884" s="4">
        <f t="shared" si="83"/>
        <v>0.38353771256548952</v>
      </c>
    </row>
    <row r="885" spans="1:24" ht="14.5" x14ac:dyDescent="0.35">
      <c r="A885" s="52">
        <v>44110</v>
      </c>
      <c r="B885" s="51">
        <v>1671</v>
      </c>
      <c r="C885" s="1">
        <f t="shared" si="84"/>
        <v>-2.3909156637731428E-3</v>
      </c>
      <c r="R885" s="28">
        <v>884</v>
      </c>
      <c r="S885" s="29">
        <v>7.2493269549105347E-3</v>
      </c>
      <c r="T885" s="41">
        <f t="shared" si="80"/>
        <v>0</v>
      </c>
      <c r="U885" s="4">
        <f t="shared" si="81"/>
        <v>0.38528257686438483</v>
      </c>
      <c r="V885" s="15">
        <f t="shared" si="85"/>
        <v>0.70527156549520764</v>
      </c>
      <c r="W885" s="33">
        <f t="shared" si="82"/>
        <v>0.53962326480352163</v>
      </c>
      <c r="X885" s="4">
        <f t="shared" si="83"/>
        <v>0.38528257686438483</v>
      </c>
    </row>
    <row r="886" spans="1:24" ht="14.5" x14ac:dyDescent="0.35">
      <c r="A886" s="52">
        <v>44109</v>
      </c>
      <c r="B886" s="51">
        <v>1675</v>
      </c>
      <c r="C886" s="1">
        <f t="shared" si="84"/>
        <v>5.3876215323788211E-3</v>
      </c>
      <c r="R886" s="28">
        <v>885</v>
      </c>
      <c r="S886" s="29">
        <v>7.2583624503229013E-3</v>
      </c>
      <c r="T886" s="41">
        <f t="shared" si="80"/>
        <v>0</v>
      </c>
      <c r="U886" s="4">
        <f t="shared" si="81"/>
        <v>0.38575907062401532</v>
      </c>
      <c r="V886" s="15">
        <f t="shared" si="85"/>
        <v>0.70607028753993606</v>
      </c>
      <c r="W886" s="33">
        <f t="shared" si="82"/>
        <v>0.54194060246893383</v>
      </c>
      <c r="X886" s="4">
        <f t="shared" si="83"/>
        <v>0.38575907062401532</v>
      </c>
    </row>
    <row r="887" spans="1:24" ht="14.5" x14ac:dyDescent="0.35">
      <c r="A887" s="52">
        <v>44106</v>
      </c>
      <c r="B887" s="51">
        <v>1666</v>
      </c>
      <c r="C887" s="1">
        <f t="shared" si="84"/>
        <v>-1.430298519033114E-2</v>
      </c>
      <c r="R887" s="28">
        <v>886</v>
      </c>
      <c r="S887" s="53">
        <v>7.2771697738952222E-3</v>
      </c>
      <c r="T887" s="41">
        <f t="shared" si="80"/>
        <v>0</v>
      </c>
      <c r="U887" s="4">
        <f t="shared" si="81"/>
        <v>0.38675088921376283</v>
      </c>
      <c r="V887" s="15">
        <f t="shared" si="85"/>
        <v>0.70686900958466459</v>
      </c>
      <c r="W887" s="33">
        <f t="shared" si="82"/>
        <v>0.5442608540483348</v>
      </c>
      <c r="X887" s="4">
        <f t="shared" si="83"/>
        <v>0.38675088921376283</v>
      </c>
    </row>
    <row r="888" spans="1:24" ht="14.5" x14ac:dyDescent="0.35">
      <c r="A888" s="52">
        <v>44105</v>
      </c>
      <c r="B888" s="51">
        <v>1690</v>
      </c>
      <c r="C888" s="1">
        <f t="shared" si="84"/>
        <v>-5.9154098146113783E-4</v>
      </c>
      <c r="R888" s="28">
        <v>887</v>
      </c>
      <c r="S888" s="29">
        <v>7.2872134336842802E-3</v>
      </c>
      <c r="T888" s="41">
        <f t="shared" si="80"/>
        <v>0</v>
      </c>
      <c r="U888" s="4">
        <f t="shared" si="81"/>
        <v>0.38728054929269862</v>
      </c>
      <c r="V888" s="15">
        <f t="shared" si="85"/>
        <v>0.707667731629393</v>
      </c>
      <c r="W888" s="33">
        <f t="shared" si="82"/>
        <v>0.54658403940190059</v>
      </c>
      <c r="X888" s="4">
        <f t="shared" si="83"/>
        <v>0.38728054929269862</v>
      </c>
    </row>
    <row r="889" spans="1:24" ht="14.5" x14ac:dyDescent="0.35">
      <c r="A889" s="52">
        <v>44104</v>
      </c>
      <c r="B889" s="51">
        <v>1691</v>
      </c>
      <c r="C889" s="1">
        <f t="shared" si="84"/>
        <v>2.2728251077556091E-2</v>
      </c>
      <c r="R889" s="28">
        <v>888</v>
      </c>
      <c r="S889" s="29">
        <v>7.2968814642759275E-3</v>
      </c>
      <c r="T889" s="41">
        <f t="shared" si="80"/>
        <v>0</v>
      </c>
      <c r="U889" s="4">
        <f t="shared" si="81"/>
        <v>0.38779040027868134</v>
      </c>
      <c r="V889" s="15">
        <f t="shared" si="85"/>
        <v>0.70846645367412142</v>
      </c>
      <c r="W889" s="33">
        <f t="shared" si="82"/>
        <v>0.54891017852861668</v>
      </c>
      <c r="X889" s="4">
        <f t="shared" si="83"/>
        <v>0.38779040027868134</v>
      </c>
    </row>
    <row r="890" spans="1:24" ht="14.5" x14ac:dyDescent="0.35">
      <c r="A890" s="52">
        <v>44103</v>
      </c>
      <c r="B890" s="51">
        <v>1653</v>
      </c>
      <c r="C890" s="1">
        <f t="shared" si="84"/>
        <v>-6.6325235601296722E-3</v>
      </c>
      <c r="R890" s="28">
        <v>889</v>
      </c>
      <c r="S890" s="29">
        <v>7.2993024816115351E-3</v>
      </c>
      <c r="T890" s="41">
        <f t="shared" si="80"/>
        <v>0</v>
      </c>
      <c r="U890" s="4">
        <f t="shared" si="81"/>
        <v>0.38791807447912363</v>
      </c>
      <c r="V890" s="15">
        <f t="shared" si="85"/>
        <v>0.70926517571884984</v>
      </c>
      <c r="W890" s="33">
        <f t="shared" si="82"/>
        <v>0.55123929156782003</v>
      </c>
      <c r="X890" s="4">
        <f t="shared" si="83"/>
        <v>0.38791807447912363</v>
      </c>
    </row>
    <row r="891" spans="1:24" ht="14.5" x14ac:dyDescent="0.35">
      <c r="A891" s="52">
        <v>44102</v>
      </c>
      <c r="B891" s="51">
        <v>1664</v>
      </c>
      <c r="C891" s="1">
        <f t="shared" si="84"/>
        <v>6.5179752323377305E-2</v>
      </c>
      <c r="R891" s="28">
        <v>890</v>
      </c>
      <c r="S891" s="29">
        <v>7.3162946906841974E-3</v>
      </c>
      <c r="T891" s="41">
        <f t="shared" si="80"/>
        <v>0</v>
      </c>
      <c r="U891" s="4">
        <f t="shared" si="81"/>
        <v>0.38881417161779069</v>
      </c>
      <c r="V891" s="15">
        <f t="shared" si="85"/>
        <v>0.71006389776357826</v>
      </c>
      <c r="W891" s="33">
        <f t="shared" si="82"/>
        <v>0.55357139880076323</v>
      </c>
      <c r="X891" s="4">
        <f t="shared" si="83"/>
        <v>0.38881417161779069</v>
      </c>
    </row>
    <row r="892" spans="1:24" ht="14.5" x14ac:dyDescent="0.35">
      <c r="A892" s="52">
        <v>44099</v>
      </c>
      <c r="B892" s="51">
        <v>1559</v>
      </c>
      <c r="C892" s="1">
        <f t="shared" si="84"/>
        <v>4.5001683146124434E-3</v>
      </c>
      <c r="R892" s="28">
        <v>891</v>
      </c>
      <c r="S892" s="29">
        <v>7.3583849311871785E-3</v>
      </c>
      <c r="T892" s="41">
        <f t="shared" si="80"/>
        <v>0</v>
      </c>
      <c r="U892" s="4">
        <f t="shared" si="81"/>
        <v>0.39103383263533376</v>
      </c>
      <c r="V892" s="15">
        <f t="shared" si="85"/>
        <v>0.71086261980830667</v>
      </c>
      <c r="W892" s="33">
        <f t="shared" si="82"/>
        <v>0.55590652065219881</v>
      </c>
      <c r="X892" s="4">
        <f t="shared" si="83"/>
        <v>0.39103383263533376</v>
      </c>
    </row>
    <row r="893" spans="1:24" ht="14.5" x14ac:dyDescent="0.35">
      <c r="A893" s="52">
        <v>44098</v>
      </c>
      <c r="B893" s="51">
        <v>1552</v>
      </c>
      <c r="C893" s="1">
        <f t="shared" si="84"/>
        <v>-4.1646396875272974E-2</v>
      </c>
      <c r="R893" s="28">
        <v>892</v>
      </c>
      <c r="S893" s="29">
        <v>7.3922307874905169E-3</v>
      </c>
      <c r="T893" s="41">
        <f t="shared" si="80"/>
        <v>0</v>
      </c>
      <c r="U893" s="4">
        <f t="shared" si="81"/>
        <v>0.39281871974797833</v>
      </c>
      <c r="V893" s="15">
        <f t="shared" si="85"/>
        <v>0.71166134185303509</v>
      </c>
      <c r="W893" s="33">
        <f t="shared" si="82"/>
        <v>0.55824467769198538</v>
      </c>
      <c r="X893" s="4">
        <f t="shared" si="83"/>
        <v>0.39281871974797833</v>
      </c>
    </row>
    <row r="894" spans="1:24" ht="14.5" x14ac:dyDescent="0.35">
      <c r="A894" s="52">
        <v>44097</v>
      </c>
      <c r="B894" s="51">
        <v>1618</v>
      </c>
      <c r="C894" s="1">
        <f t="shared" si="84"/>
        <v>-1.0451985712916787E-2</v>
      </c>
      <c r="R894" s="28">
        <v>893</v>
      </c>
      <c r="S894" s="29">
        <v>7.4129323891255336E-3</v>
      </c>
      <c r="T894" s="41">
        <f t="shared" si="80"/>
        <v>0</v>
      </c>
      <c r="U894" s="4">
        <f t="shared" si="81"/>
        <v>0.39391043453983604</v>
      </c>
      <c r="V894" s="15">
        <f t="shared" si="85"/>
        <v>0.71246006389776362</v>
      </c>
      <c r="W894" s="33">
        <f t="shared" si="82"/>
        <v>0.56058589063671327</v>
      </c>
      <c r="X894" s="4">
        <f t="shared" si="83"/>
        <v>0.39391043453983604</v>
      </c>
    </row>
    <row r="895" spans="1:24" ht="14.5" x14ac:dyDescent="0.35">
      <c r="A895" s="52">
        <v>44096</v>
      </c>
      <c r="B895" s="51">
        <v>1635</v>
      </c>
      <c r="C895" s="1">
        <f t="shared" si="84"/>
        <v>2.2264370497399506E-2</v>
      </c>
      <c r="R895" s="28">
        <v>894</v>
      </c>
      <c r="S895" s="29">
        <v>7.4411256946881749E-3</v>
      </c>
      <c r="T895" s="41">
        <f t="shared" si="80"/>
        <v>0</v>
      </c>
      <c r="U895" s="4">
        <f t="shared" si="81"/>
        <v>0.39539723006690464</v>
      </c>
      <c r="V895" s="15">
        <f t="shared" si="85"/>
        <v>0.71325878594249204</v>
      </c>
      <c r="W895" s="33">
        <f t="shared" si="82"/>
        <v>0.56293018035135345</v>
      </c>
      <c r="X895" s="4">
        <f t="shared" si="83"/>
        <v>0.39539723006690464</v>
      </c>
    </row>
    <row r="896" spans="1:24" ht="14.5" x14ac:dyDescent="0.35">
      <c r="A896" s="52">
        <v>44095</v>
      </c>
      <c r="B896" s="51">
        <v>1599</v>
      </c>
      <c r="C896" s="1">
        <f t="shared" si="84"/>
        <v>-1.9201580966853787E-2</v>
      </c>
      <c r="R896" s="28">
        <v>895</v>
      </c>
      <c r="S896" s="29">
        <v>7.4596284579393568E-3</v>
      </c>
      <c r="T896" s="41">
        <f t="shared" si="80"/>
        <v>0</v>
      </c>
      <c r="U896" s="4">
        <f t="shared" si="81"/>
        <v>0.39637298743523247</v>
      </c>
      <c r="V896" s="15">
        <f t="shared" si="85"/>
        <v>0.71405750798722045</v>
      </c>
      <c r="W896" s="33">
        <f t="shared" si="82"/>
        <v>0.56527756785092831</v>
      </c>
      <c r="X896" s="4">
        <f t="shared" si="83"/>
        <v>0.39637298743523247</v>
      </c>
    </row>
    <row r="897" spans="1:24" ht="14.5" x14ac:dyDescent="0.35">
      <c r="A897" s="52">
        <v>44092</v>
      </c>
      <c r="B897" s="51">
        <v>1630</v>
      </c>
      <c r="C897" s="1">
        <f t="shared" si="84"/>
        <v>6.1538655743782859E-3</v>
      </c>
      <c r="R897" s="28">
        <v>896</v>
      </c>
      <c r="S897" s="29">
        <v>7.4813316522887663E-3</v>
      </c>
      <c r="T897" s="41">
        <f t="shared" si="80"/>
        <v>0</v>
      </c>
      <c r="U897" s="4">
        <f t="shared" si="81"/>
        <v>0.39751752198475909</v>
      </c>
      <c r="V897" s="15">
        <f t="shared" si="85"/>
        <v>0.71485623003194887</v>
      </c>
      <c r="W897" s="33">
        <f t="shared" si="82"/>
        <v>0.56762807430220341</v>
      </c>
      <c r="X897" s="4">
        <f t="shared" si="83"/>
        <v>0.39751752198475909</v>
      </c>
    </row>
    <row r="898" spans="1:24" ht="14.5" x14ac:dyDescent="0.35">
      <c r="A898" s="52">
        <v>44091</v>
      </c>
      <c r="B898" s="51">
        <v>1620</v>
      </c>
      <c r="C898" s="1">
        <f t="shared" si="84"/>
        <v>0</v>
      </c>
      <c r="R898" s="28">
        <v>897</v>
      </c>
      <c r="S898" s="29">
        <v>7.4906717291576587E-3</v>
      </c>
      <c r="T898" s="41">
        <f t="shared" si="80"/>
        <v>0</v>
      </c>
      <c r="U898" s="4">
        <f t="shared" si="81"/>
        <v>0.39801007808040001</v>
      </c>
      <c r="V898" s="15">
        <f t="shared" si="85"/>
        <v>0.71565495207667729</v>
      </c>
      <c r="W898" s="33">
        <f t="shared" si="82"/>
        <v>0.56998172102540434</v>
      </c>
      <c r="X898" s="4">
        <f t="shared" si="83"/>
        <v>0.39801007808040001</v>
      </c>
    </row>
    <row r="899" spans="1:24" ht="14.5" x14ac:dyDescent="0.35">
      <c r="A899" s="52">
        <v>44090</v>
      </c>
      <c r="B899" s="51">
        <v>1620</v>
      </c>
      <c r="C899" s="1">
        <f t="shared" si="84"/>
        <v>3.0911925696728796E-3</v>
      </c>
      <c r="R899" s="28">
        <v>898</v>
      </c>
      <c r="S899" s="29">
        <v>7.5603733192533672E-3</v>
      </c>
      <c r="T899" s="41">
        <f t="shared" ref="T899:T962" si="86">+IF(OR(S899&lt;($Z$3-3*$Z$4^0.5),S899&gt;($Z$3+3*$Z$4^0.5)),1,0)</f>
        <v>0</v>
      </c>
      <c r="U899" s="4">
        <f t="shared" ref="U899:U962" si="87">+(S899-AVERAGE($S$2:$S$1252))/_xlfn.STDEV.S($S$2:$S$1252)</f>
        <v>0.40168584473194119</v>
      </c>
      <c r="V899" s="15">
        <f t="shared" si="85"/>
        <v>0.7164536741214057</v>
      </c>
      <c r="W899" s="33">
        <f t="shared" ref="W899:W962" si="88">+_xlfn.NORM.S.INV(V899)</f>
        <v>0.57233852949595376</v>
      </c>
      <c r="X899" s="4">
        <f t="shared" ref="X899:X962" si="89">+U899</f>
        <v>0.40168584473194119</v>
      </c>
    </row>
    <row r="900" spans="1:24" ht="14.5" x14ac:dyDescent="0.35">
      <c r="A900" s="52">
        <v>44089</v>
      </c>
      <c r="B900" s="51">
        <v>1615</v>
      </c>
      <c r="C900" s="1">
        <f t="shared" ref="C900:C963" si="90">+LN(B900/B901)</f>
        <v>-1.9620494520883457E-2</v>
      </c>
      <c r="R900" s="28">
        <v>899</v>
      </c>
      <c r="S900" s="29">
        <v>7.5888601528213322E-3</v>
      </c>
      <c r="T900" s="41">
        <f t="shared" si="86"/>
        <v>0</v>
      </c>
      <c r="U900" s="4">
        <f t="shared" si="87"/>
        <v>0.40318811968281892</v>
      </c>
      <c r="V900" s="15">
        <f t="shared" ref="V900:V963" si="91">+R899/1252</f>
        <v>0.71725239616613423</v>
      </c>
      <c r="W900" s="33">
        <f t="shared" si="88"/>
        <v>0.57469852134623489</v>
      </c>
      <c r="X900" s="4">
        <f t="shared" si="89"/>
        <v>0.40318811968281892</v>
      </c>
    </row>
    <row r="901" spans="1:24" ht="14.5" x14ac:dyDescent="0.35">
      <c r="A901" s="52">
        <v>44088</v>
      </c>
      <c r="B901" s="51">
        <v>1647</v>
      </c>
      <c r="C901" s="1">
        <f t="shared" si="90"/>
        <v>-1.3269193484194782E-2</v>
      </c>
      <c r="R901" s="28">
        <v>900</v>
      </c>
      <c r="S901" s="29">
        <v>7.6256868666368348E-3</v>
      </c>
      <c r="T901" s="41">
        <f t="shared" si="86"/>
        <v>0</v>
      </c>
      <c r="U901" s="4">
        <f t="shared" si="87"/>
        <v>0.40513020459570259</v>
      </c>
      <c r="V901" s="15">
        <f t="shared" si="91"/>
        <v>0.71805111821086265</v>
      </c>
      <c r="W901" s="33">
        <f t="shared" si="88"/>
        <v>0.57706171836737608</v>
      </c>
      <c r="X901" s="4">
        <f t="shared" si="89"/>
        <v>0.40513020459570259</v>
      </c>
    </row>
    <row r="902" spans="1:24" ht="14.5" x14ac:dyDescent="0.35">
      <c r="A902" s="52">
        <v>44085</v>
      </c>
      <c r="B902" s="51">
        <v>1669</v>
      </c>
      <c r="C902" s="1">
        <f t="shared" si="90"/>
        <v>-4.7818381613737313E-3</v>
      </c>
      <c r="R902" s="28">
        <v>901</v>
      </c>
      <c r="S902" s="29">
        <v>7.7220460939103185E-3</v>
      </c>
      <c r="T902" s="41">
        <f t="shared" si="86"/>
        <v>0</v>
      </c>
      <c r="U902" s="4">
        <f t="shared" si="87"/>
        <v>0.41021178212777615</v>
      </c>
      <c r="V902" s="15">
        <f t="shared" si="91"/>
        <v>0.71884984025559107</v>
      </c>
      <c r="W902" s="33">
        <f t="shared" si="88"/>
        <v>0.57942814251106189</v>
      </c>
      <c r="X902" s="4">
        <f t="shared" si="89"/>
        <v>0.41021178212777615</v>
      </c>
    </row>
    <row r="903" spans="1:24" ht="14.5" x14ac:dyDescent="0.35">
      <c r="A903" s="52">
        <v>44084</v>
      </c>
      <c r="B903" s="51">
        <v>1677</v>
      </c>
      <c r="C903" s="1">
        <f t="shared" si="90"/>
        <v>7.782140442054949E-3</v>
      </c>
      <c r="R903" s="28">
        <v>902</v>
      </c>
      <c r="S903" s="29">
        <v>7.7648753977266017E-3</v>
      </c>
      <c r="T903" s="41">
        <f t="shared" si="86"/>
        <v>0</v>
      </c>
      <c r="U903" s="4">
        <f t="shared" si="87"/>
        <v>0.41247041821427649</v>
      </c>
      <c r="V903" s="15">
        <f t="shared" si="91"/>
        <v>0.71964856230031948</v>
      </c>
      <c r="W903" s="33">
        <f t="shared" si="88"/>
        <v>0.58179781589136859</v>
      </c>
      <c r="X903" s="4">
        <f t="shared" si="89"/>
        <v>0.41247041821427649</v>
      </c>
    </row>
    <row r="904" spans="1:24" ht="14.5" x14ac:dyDescent="0.35">
      <c r="A904" s="52">
        <v>44083</v>
      </c>
      <c r="B904" s="51">
        <v>1664</v>
      </c>
      <c r="C904" s="1">
        <f t="shared" si="90"/>
        <v>1.2092045765028772E-2</v>
      </c>
      <c r="R904" s="28">
        <v>903</v>
      </c>
      <c r="S904" s="29">
        <v>7.782140442054949E-3</v>
      </c>
      <c r="T904" s="41">
        <f t="shared" si="86"/>
        <v>0</v>
      </c>
      <c r="U904" s="4">
        <f t="shared" si="87"/>
        <v>0.41338090352877765</v>
      </c>
      <c r="V904" s="15">
        <f t="shared" si="91"/>
        <v>0.7204472843450479</v>
      </c>
      <c r="W904" s="33">
        <f t="shared" si="88"/>
        <v>0.58417076078662311</v>
      </c>
      <c r="X904" s="4">
        <f t="shared" si="89"/>
        <v>0.41338090352877765</v>
      </c>
    </row>
    <row r="905" spans="1:24" ht="14.5" x14ac:dyDescent="0.35">
      <c r="A905" s="52">
        <v>44082</v>
      </c>
      <c r="B905" s="51">
        <v>1644</v>
      </c>
      <c r="C905" s="1">
        <f t="shared" si="90"/>
        <v>-3.5259105046563079E-2</v>
      </c>
      <c r="R905" s="28">
        <v>904</v>
      </c>
      <c r="S905" s="29">
        <v>7.815315089992031E-3</v>
      </c>
      <c r="T905" s="41">
        <f t="shared" si="86"/>
        <v>0</v>
      </c>
      <c r="U905" s="4">
        <f t="shared" si="87"/>
        <v>0.41513039395498313</v>
      </c>
      <c r="V905" s="15">
        <f t="shared" si="91"/>
        <v>0.72124600638977632</v>
      </c>
      <c r="W905" s="33">
        <f t="shared" si="88"/>
        <v>0.58654699964128998</v>
      </c>
      <c r="X905" s="4">
        <f t="shared" si="89"/>
        <v>0.41513039395498313</v>
      </c>
    </row>
    <row r="906" spans="1:24" ht="14.5" x14ac:dyDescent="0.35">
      <c r="A906" s="52">
        <v>44081</v>
      </c>
      <c r="B906" s="51">
        <v>1703</v>
      </c>
      <c r="C906" s="1">
        <f t="shared" si="90"/>
        <v>7.0713317641079299E-3</v>
      </c>
      <c r="R906" s="28">
        <v>905</v>
      </c>
      <c r="S906" s="29">
        <v>7.9051795071132473E-3</v>
      </c>
      <c r="T906" s="41">
        <f t="shared" si="86"/>
        <v>0</v>
      </c>
      <c r="U906" s="4">
        <f t="shared" si="87"/>
        <v>0.41986946270737152</v>
      </c>
      <c r="V906" s="15">
        <f t="shared" si="91"/>
        <v>0.72204472843450485</v>
      </c>
      <c r="W906" s="33">
        <f t="shared" si="88"/>
        <v>0.58892655506788139</v>
      </c>
      <c r="X906" s="4">
        <f t="shared" si="89"/>
        <v>0.41986946270737152</v>
      </c>
    </row>
    <row r="907" spans="1:24" ht="14.5" x14ac:dyDescent="0.35">
      <c r="A907" s="52">
        <v>44078</v>
      </c>
      <c r="B907" s="51">
        <v>1691</v>
      </c>
      <c r="C907" s="1">
        <f t="shared" si="90"/>
        <v>9.5069046394134545E-3</v>
      </c>
      <c r="R907" s="28">
        <v>906</v>
      </c>
      <c r="S907" s="29">
        <v>7.9108647008787995E-3</v>
      </c>
      <c r="T907" s="41">
        <f t="shared" si="86"/>
        <v>0</v>
      </c>
      <c r="U907" s="4">
        <f t="shared" si="87"/>
        <v>0.42016927574782403</v>
      </c>
      <c r="V907" s="15">
        <f t="shared" si="91"/>
        <v>0.72284345047923326</v>
      </c>
      <c r="W907" s="33">
        <f t="shared" si="88"/>
        <v>0.59130944984889589</v>
      </c>
      <c r="X907" s="4">
        <f t="shared" si="89"/>
        <v>0.42016927574782403</v>
      </c>
    </row>
    <row r="908" spans="1:24" ht="14.5" x14ac:dyDescent="0.35">
      <c r="A908" s="52">
        <v>44077</v>
      </c>
      <c r="B908" s="51">
        <v>1675</v>
      </c>
      <c r="C908" s="1">
        <f t="shared" si="90"/>
        <v>1.080442683260383E-2</v>
      </c>
      <c r="R908" s="28">
        <v>907</v>
      </c>
      <c r="S908" s="29">
        <v>7.9330517407959211E-3</v>
      </c>
      <c r="T908" s="41">
        <f t="shared" si="86"/>
        <v>0</v>
      </c>
      <c r="U908" s="4">
        <f t="shared" si="87"/>
        <v>0.42133932626334003</v>
      </c>
      <c r="V908" s="15">
        <f t="shared" si="91"/>
        <v>0.72364217252396168</v>
      </c>
      <c r="W908" s="33">
        <f t="shared" si="88"/>
        <v>0.59369570693878382</v>
      </c>
      <c r="X908" s="4">
        <f t="shared" si="89"/>
        <v>0.42133932626334003</v>
      </c>
    </row>
    <row r="909" spans="1:24" ht="14.5" x14ac:dyDescent="0.35">
      <c r="A909" s="52">
        <v>44076</v>
      </c>
      <c r="B909" s="51">
        <v>1657</v>
      </c>
      <c r="C909" s="1">
        <f t="shared" si="90"/>
        <v>-1.7350121135237855E-2</v>
      </c>
      <c r="R909" s="28">
        <v>908</v>
      </c>
      <c r="S909" s="29">
        <v>7.9681696491768813E-3</v>
      </c>
      <c r="T909" s="41">
        <f t="shared" si="86"/>
        <v>0</v>
      </c>
      <c r="U909" s="4">
        <f t="shared" si="87"/>
        <v>0.42319129601498218</v>
      </c>
      <c r="V909" s="15">
        <f t="shared" si="91"/>
        <v>0.7244408945686901</v>
      </c>
      <c r="W909" s="33">
        <f t="shared" si="88"/>
        <v>0.59608534946593994</v>
      </c>
      <c r="X909" s="4">
        <f t="shared" si="89"/>
        <v>0.42319129601498218</v>
      </c>
    </row>
    <row r="910" spans="1:24" ht="14.5" x14ac:dyDescent="0.35">
      <c r="A910" s="52">
        <v>44075</v>
      </c>
      <c r="B910" s="51">
        <v>1686</v>
      </c>
      <c r="C910" s="1">
        <f t="shared" si="90"/>
        <v>5.9488575197724838E-3</v>
      </c>
      <c r="R910" s="28">
        <v>909</v>
      </c>
      <c r="S910" s="29">
        <v>7.9971345871214759E-3</v>
      </c>
      <c r="T910" s="41">
        <f t="shared" si="86"/>
        <v>0</v>
      </c>
      <c r="U910" s="4">
        <f t="shared" si="87"/>
        <v>0.4247187841657476</v>
      </c>
      <c r="V910" s="15">
        <f t="shared" si="91"/>
        <v>0.72523961661341851</v>
      </c>
      <c r="W910" s="33">
        <f t="shared" si="88"/>
        <v>0.59847840073472047</v>
      </c>
      <c r="X910" s="4">
        <f t="shared" si="89"/>
        <v>0.4247187841657476</v>
      </c>
    </row>
    <row r="911" spans="1:24" ht="14.5" x14ac:dyDescent="0.35">
      <c r="A911" s="52">
        <v>44074</v>
      </c>
      <c r="B911" s="51">
        <v>1676</v>
      </c>
      <c r="C911" s="1">
        <f t="shared" si="90"/>
        <v>3.5863756312276532E-3</v>
      </c>
      <c r="R911" s="28">
        <v>910</v>
      </c>
      <c r="S911" s="29">
        <v>8.0053796437856307E-3</v>
      </c>
      <c r="T911" s="41">
        <f t="shared" si="86"/>
        <v>0</v>
      </c>
      <c r="U911" s="4">
        <f t="shared" si="87"/>
        <v>0.42515359353357629</v>
      </c>
      <c r="V911" s="15">
        <f t="shared" si="91"/>
        <v>0.72603833865814693</v>
      </c>
      <c r="W911" s="33">
        <f t="shared" si="88"/>
        <v>0.6008748842274958</v>
      </c>
      <c r="X911" s="4">
        <f t="shared" si="89"/>
        <v>0.42515359353357629</v>
      </c>
    </row>
    <row r="912" spans="1:24" ht="14.5" x14ac:dyDescent="0.35">
      <c r="A912" s="52">
        <v>44071</v>
      </c>
      <c r="B912" s="51">
        <v>1670</v>
      </c>
      <c r="C912" s="1">
        <f t="shared" si="90"/>
        <v>-1.1904902506318314E-2</v>
      </c>
      <c r="R912" s="28">
        <v>911</v>
      </c>
      <c r="S912" s="29">
        <v>8.0321716972642527E-3</v>
      </c>
      <c r="T912" s="41">
        <f t="shared" si="86"/>
        <v>0</v>
      </c>
      <c r="U912" s="4">
        <f t="shared" si="87"/>
        <v>0.42656649296051619</v>
      </c>
      <c r="V912" s="15">
        <f t="shared" si="91"/>
        <v>0.72683706070287535</v>
      </c>
      <c r="W912" s="33">
        <f t="shared" si="88"/>
        <v>0.60327482360672424</v>
      </c>
      <c r="X912" s="4">
        <f t="shared" si="89"/>
        <v>0.42656649296051619</v>
      </c>
    </row>
    <row r="913" spans="1:24" ht="14.5" x14ac:dyDescent="0.35">
      <c r="A913" s="52">
        <v>44070</v>
      </c>
      <c r="B913" s="51">
        <v>1690</v>
      </c>
      <c r="C913" s="1">
        <f t="shared" si="90"/>
        <v>-2.1078063726254131E-2</v>
      </c>
      <c r="R913" s="28">
        <v>912</v>
      </c>
      <c r="S913" s="29">
        <v>8.0681746495101792E-3</v>
      </c>
      <c r="T913" s="41">
        <f t="shared" si="86"/>
        <v>0</v>
      </c>
      <c r="U913" s="4">
        <f t="shared" si="87"/>
        <v>0.42846513617713278</v>
      </c>
      <c r="V913" s="15">
        <f t="shared" si="91"/>
        <v>0.72763578274760388</v>
      </c>
      <c r="W913" s="33">
        <f t="shared" si="88"/>
        <v>0.60567824271706006</v>
      </c>
      <c r="X913" s="4">
        <f t="shared" si="89"/>
        <v>0.42846513617713278</v>
      </c>
    </row>
    <row r="914" spans="1:24" ht="14.5" x14ac:dyDescent="0.35">
      <c r="A914" s="52">
        <v>44069</v>
      </c>
      <c r="B914" s="51">
        <v>1726</v>
      </c>
      <c r="C914" s="1">
        <f t="shared" si="90"/>
        <v>7.5603733192533672E-3</v>
      </c>
      <c r="R914" s="28">
        <v>913</v>
      </c>
      <c r="S914" s="29">
        <v>8.089931761971484E-3</v>
      </c>
      <c r="T914" s="41">
        <f t="shared" si="86"/>
        <v>0</v>
      </c>
      <c r="U914" s="4">
        <f t="shared" si="87"/>
        <v>0.42961251413951901</v>
      </c>
      <c r="V914" s="15">
        <f t="shared" si="91"/>
        <v>0.72843450479233229</v>
      </c>
      <c r="W914" s="33">
        <f t="shared" si="88"/>
        <v>0.60808516558748693</v>
      </c>
      <c r="X914" s="4">
        <f t="shared" si="89"/>
        <v>0.42961251413951901</v>
      </c>
    </row>
    <row r="915" spans="1:24" ht="14.5" x14ac:dyDescent="0.35">
      <c r="A915" s="52">
        <v>44068</v>
      </c>
      <c r="B915" s="51">
        <v>1713</v>
      </c>
      <c r="C915" s="1">
        <f t="shared" si="90"/>
        <v>1.7528488274143868E-3</v>
      </c>
      <c r="R915" s="28">
        <v>914</v>
      </c>
      <c r="S915" s="29">
        <v>8.1151312189910278E-3</v>
      </c>
      <c r="T915" s="41">
        <f t="shared" si="86"/>
        <v>0</v>
      </c>
      <c r="U915" s="4">
        <f t="shared" si="87"/>
        <v>0.43094142677439862</v>
      </c>
      <c r="V915" s="15">
        <f t="shared" si="91"/>
        <v>0.72923322683706071</v>
      </c>
      <c r="W915" s="33">
        <f t="shared" si="88"/>
        <v>0.61049561643348849</v>
      </c>
      <c r="X915" s="4">
        <f t="shared" si="89"/>
        <v>0.43094142677439862</v>
      </c>
    </row>
    <row r="916" spans="1:24" ht="14.5" x14ac:dyDescent="0.35">
      <c r="A916" s="52">
        <v>44067</v>
      </c>
      <c r="B916" s="51">
        <v>1710</v>
      </c>
      <c r="C916" s="1">
        <f t="shared" si="90"/>
        <v>-5.2493558861436782E-3</v>
      </c>
      <c r="R916" s="28">
        <v>915</v>
      </c>
      <c r="S916" s="29">
        <v>8.1301260832503091E-3</v>
      </c>
      <c r="T916" s="41">
        <f t="shared" si="86"/>
        <v>0</v>
      </c>
      <c r="U916" s="4">
        <f t="shared" si="87"/>
        <v>0.43173219240704735</v>
      </c>
      <c r="V916" s="15">
        <f t="shared" si="91"/>
        <v>0.73003194888178913</v>
      </c>
      <c r="W916" s="33">
        <f t="shared" si="88"/>
        <v>0.61290961965924273</v>
      </c>
      <c r="X916" s="4">
        <f t="shared" si="89"/>
        <v>0.43173219240704735</v>
      </c>
    </row>
    <row r="917" spans="1:24" ht="14.5" x14ac:dyDescent="0.35">
      <c r="A917" s="52">
        <v>44062</v>
      </c>
      <c r="B917" s="51">
        <v>1719</v>
      </c>
      <c r="C917" s="1">
        <f t="shared" si="90"/>
        <v>-5.2219439811517126E-3</v>
      </c>
      <c r="R917" s="28">
        <v>916</v>
      </c>
      <c r="S917" s="29">
        <v>8.1754450152418598E-3</v>
      </c>
      <c r="T917" s="41">
        <f t="shared" si="86"/>
        <v>0</v>
      </c>
      <c r="U917" s="4">
        <f t="shared" si="87"/>
        <v>0.43412212093908326</v>
      </c>
      <c r="V917" s="15">
        <f t="shared" si="91"/>
        <v>0.73083067092651754</v>
      </c>
      <c r="W917" s="33">
        <f t="shared" si="88"/>
        <v>0.61532719985985007</v>
      </c>
      <c r="X917" s="4">
        <f t="shared" si="89"/>
        <v>0.43412212093908326</v>
      </c>
    </row>
    <row r="918" spans="1:24" ht="14.5" x14ac:dyDescent="0.35">
      <c r="A918" s="52">
        <v>44061</v>
      </c>
      <c r="B918" s="51">
        <v>1728</v>
      </c>
      <c r="C918" s="1">
        <f t="shared" si="90"/>
        <v>-2.9086738301834267E-2</v>
      </c>
      <c r="R918" s="28">
        <v>917</v>
      </c>
      <c r="S918" s="29">
        <v>8.2059393703231859E-3</v>
      </c>
      <c r="T918" s="41">
        <f t="shared" si="86"/>
        <v>0</v>
      </c>
      <c r="U918" s="4">
        <f t="shared" si="87"/>
        <v>0.43573026407203447</v>
      </c>
      <c r="V918" s="15">
        <f t="shared" si="91"/>
        <v>0.73162939297124596</v>
      </c>
      <c r="W918" s="33">
        <f t="shared" si="88"/>
        <v>0.6177483818235957</v>
      </c>
      <c r="X918" s="4">
        <f t="shared" si="89"/>
        <v>0.43573026407203447</v>
      </c>
    </row>
    <row r="919" spans="1:24" ht="14.5" x14ac:dyDescent="0.35">
      <c r="A919" s="52">
        <v>44060</v>
      </c>
      <c r="B919" s="51">
        <v>1779</v>
      </c>
      <c r="C919" s="1">
        <f t="shared" si="90"/>
        <v>5.0718620979603489E-3</v>
      </c>
      <c r="R919" s="28">
        <v>918</v>
      </c>
      <c r="S919" s="29">
        <v>8.210226743122143E-3</v>
      </c>
      <c r="T919" s="41">
        <f t="shared" si="86"/>
        <v>0</v>
      </c>
      <c r="U919" s="4">
        <f t="shared" si="87"/>
        <v>0.43595636195495929</v>
      </c>
      <c r="V919" s="15">
        <f t="shared" si="91"/>
        <v>0.73242811501597449</v>
      </c>
      <c r="W919" s="33">
        <f t="shared" si="88"/>
        <v>0.62017319053424147</v>
      </c>
      <c r="X919" s="4">
        <f t="shared" si="89"/>
        <v>0.43595636195495929</v>
      </c>
    </row>
    <row r="920" spans="1:24" ht="14.5" x14ac:dyDescent="0.35">
      <c r="A920" s="52">
        <v>44057</v>
      </c>
      <c r="B920" s="51">
        <v>1770</v>
      </c>
      <c r="C920" s="1">
        <f t="shared" si="90"/>
        <v>-8.4388686458645949E-3</v>
      </c>
      <c r="R920" s="28">
        <v>919</v>
      </c>
      <c r="S920" s="29">
        <v>8.2304991365154435E-3</v>
      </c>
      <c r="T920" s="41">
        <f t="shared" si="86"/>
        <v>0</v>
      </c>
      <c r="U920" s="4">
        <f t="shared" si="87"/>
        <v>0.43702544212199274</v>
      </c>
      <c r="V920" s="15">
        <f t="shared" si="91"/>
        <v>0.73322683706070291</v>
      </c>
      <c r="W920" s="33">
        <f t="shared" si="88"/>
        <v>0.62260165117335076</v>
      </c>
      <c r="X920" s="4">
        <f t="shared" si="89"/>
        <v>0.43702544212199274</v>
      </c>
    </row>
    <row r="921" spans="1:24" ht="14.5" x14ac:dyDescent="0.35">
      <c r="A921" s="52">
        <v>44056</v>
      </c>
      <c r="B921" s="51">
        <v>1785</v>
      </c>
      <c r="C921" s="1">
        <f t="shared" si="90"/>
        <v>-1.280284673838236E-2</v>
      </c>
      <c r="R921" s="28">
        <v>920</v>
      </c>
      <c r="S921" s="29">
        <v>8.3056955872783996E-3</v>
      </c>
      <c r="T921" s="41">
        <f t="shared" si="86"/>
        <v>0</v>
      </c>
      <c r="U921" s="4">
        <f t="shared" si="87"/>
        <v>0.44099098445250773</v>
      </c>
      <c r="V921" s="15">
        <f t="shared" si="91"/>
        <v>0.73402555910543132</v>
      </c>
      <c r="W921" s="33">
        <f t="shared" si="88"/>
        <v>0.62503378912265017</v>
      </c>
      <c r="X921" s="4">
        <f t="shared" si="89"/>
        <v>0.44099098445250773</v>
      </c>
    </row>
    <row r="922" spans="1:24" ht="14.5" x14ac:dyDescent="0.35">
      <c r="A922" s="52">
        <v>44055</v>
      </c>
      <c r="B922" s="51">
        <v>1808</v>
      </c>
      <c r="C922" s="1">
        <f t="shared" si="90"/>
        <v>7.2162400297426264E-3</v>
      </c>
      <c r="R922" s="28">
        <v>921</v>
      </c>
      <c r="S922" s="29">
        <v>8.3555366479318369E-3</v>
      </c>
      <c r="T922" s="41">
        <f t="shared" si="86"/>
        <v>0</v>
      </c>
      <c r="U922" s="4">
        <f t="shared" si="87"/>
        <v>0.44361939089740787</v>
      </c>
      <c r="V922" s="15">
        <f t="shared" si="91"/>
        <v>0.73482428115015974</v>
      </c>
      <c r="W922" s="33">
        <f t="shared" si="88"/>
        <v>0.62746962996642153</v>
      </c>
      <c r="X922" s="4">
        <f t="shared" si="89"/>
        <v>0.44361939089740787</v>
      </c>
    </row>
    <row r="923" spans="1:24" ht="14.5" x14ac:dyDescent="0.35">
      <c r="A923" s="52">
        <v>44054</v>
      </c>
      <c r="B923" s="51">
        <v>1795</v>
      </c>
      <c r="C923" s="1">
        <f t="shared" si="90"/>
        <v>-8.3218233374922172E-3</v>
      </c>
      <c r="R923" s="28">
        <v>922</v>
      </c>
      <c r="S923" s="29">
        <v>8.3752583367324891E-3</v>
      </c>
      <c r="T923" s="41">
        <f t="shared" si="86"/>
        <v>0</v>
      </c>
      <c r="U923" s="4">
        <f t="shared" si="87"/>
        <v>0.44465942923664759</v>
      </c>
      <c r="V923" s="15">
        <f t="shared" si="91"/>
        <v>0.73562300319488816</v>
      </c>
      <c r="W923" s="33">
        <f t="shared" si="88"/>
        <v>0.62990919949393132</v>
      </c>
      <c r="X923" s="4">
        <f t="shared" si="89"/>
        <v>0.44465942923664759</v>
      </c>
    </row>
    <row r="924" spans="1:24" ht="14.5" x14ac:dyDescent="0.35">
      <c r="A924" s="52">
        <v>44053</v>
      </c>
      <c r="B924" s="51">
        <v>1810</v>
      </c>
      <c r="C924" s="1">
        <f t="shared" si="90"/>
        <v>-1.6438726343159835E-2</v>
      </c>
      <c r="R924" s="28">
        <v>923</v>
      </c>
      <c r="S924" s="29">
        <v>8.5003547653925253E-3</v>
      </c>
      <c r="T924" s="41">
        <f t="shared" si="86"/>
        <v>0</v>
      </c>
      <c r="U924" s="4">
        <f t="shared" si="87"/>
        <v>0.45125648505795773</v>
      </c>
      <c r="V924" s="15">
        <f t="shared" si="91"/>
        <v>0.73642172523961658</v>
      </c>
      <c r="W924" s="33">
        <f t="shared" si="88"/>
        <v>0.63235252370189365</v>
      </c>
      <c r="X924" s="4">
        <f t="shared" si="89"/>
        <v>0.45125648505795773</v>
      </c>
    </row>
    <row r="925" spans="1:24" ht="14.5" x14ac:dyDescent="0.35">
      <c r="A925" s="52">
        <v>44050</v>
      </c>
      <c r="B925" s="51">
        <v>1840</v>
      </c>
      <c r="C925" s="1">
        <f t="shared" si="90"/>
        <v>2.5875376997898495E-2</v>
      </c>
      <c r="R925" s="28">
        <v>924</v>
      </c>
      <c r="S925" s="29">
        <v>8.5046579228343581E-3</v>
      </c>
      <c r="T925" s="41">
        <f t="shared" si="86"/>
        <v>0</v>
      </c>
      <c r="U925" s="4">
        <f t="shared" si="87"/>
        <v>0.45148341535609443</v>
      </c>
      <c r="V925" s="15">
        <f t="shared" si="91"/>
        <v>0.73722044728434499</v>
      </c>
      <c r="W925" s="33">
        <f t="shared" si="88"/>
        <v>0.63479962879697227</v>
      </c>
      <c r="X925" s="4">
        <f t="shared" si="89"/>
        <v>0.45148341535609443</v>
      </c>
    </row>
    <row r="926" spans="1:24" ht="14.5" x14ac:dyDescent="0.35">
      <c r="A926" s="52">
        <v>44049</v>
      </c>
      <c r="B926" s="51">
        <v>1793</v>
      </c>
      <c r="C926" s="1">
        <f t="shared" si="90"/>
        <v>-5.5756901360858621E-4</v>
      </c>
      <c r="R926" s="28">
        <v>925</v>
      </c>
      <c r="S926" s="29">
        <v>8.5470605784583476E-3</v>
      </c>
      <c r="T926" s="41">
        <f t="shared" si="86"/>
        <v>0</v>
      </c>
      <c r="U926" s="4">
        <f t="shared" si="87"/>
        <v>0.45371955182393442</v>
      </c>
      <c r="V926" s="15">
        <f t="shared" si="91"/>
        <v>0.73801916932907352</v>
      </c>
      <c r="W926" s="33">
        <f t="shared" si="88"/>
        <v>0.63725054119831459</v>
      </c>
      <c r="X926" s="4">
        <f t="shared" si="89"/>
        <v>0.45371955182393442</v>
      </c>
    </row>
    <row r="927" spans="1:24" ht="14.5" x14ac:dyDescent="0.35">
      <c r="A927" s="52">
        <v>44048</v>
      </c>
      <c r="B927" s="51">
        <v>1794</v>
      </c>
      <c r="C927" s="1">
        <f t="shared" si="90"/>
        <v>4.9710319824300783E-2</v>
      </c>
      <c r="R927" s="28">
        <v>926</v>
      </c>
      <c r="S927" s="29">
        <v>8.5498712212382609E-3</v>
      </c>
      <c r="T927" s="41">
        <f t="shared" si="86"/>
        <v>0</v>
      </c>
      <c r="U927" s="4">
        <f t="shared" si="87"/>
        <v>0.45386777322011224</v>
      </c>
      <c r="V927" s="15">
        <f t="shared" si="91"/>
        <v>0.73881789137380194</v>
      </c>
      <c r="W927" s="33">
        <f t="shared" si="88"/>
        <v>0.63970528754012834</v>
      </c>
      <c r="X927" s="4">
        <f t="shared" si="89"/>
        <v>0.45386777322011224</v>
      </c>
    </row>
    <row r="928" spans="1:24" ht="14.5" x14ac:dyDescent="0.35">
      <c r="A928" s="52">
        <v>44047</v>
      </c>
      <c r="B928" s="51">
        <v>1707</v>
      </c>
      <c r="C928" s="1">
        <f t="shared" si="90"/>
        <v>-8.7489621932355377E-3</v>
      </c>
      <c r="R928" s="28">
        <v>927</v>
      </c>
      <c r="S928" s="29">
        <v>8.5611323020335865E-3</v>
      </c>
      <c r="T928" s="41">
        <f t="shared" si="86"/>
        <v>0</v>
      </c>
      <c r="U928" s="4">
        <f t="shared" si="87"/>
        <v>0.45446163492672365</v>
      </c>
      <c r="V928" s="15">
        <f t="shared" si="91"/>
        <v>0.73961661341853036</v>
      </c>
      <c r="W928" s="33">
        <f t="shared" si="88"/>
        <v>0.64216389467429247</v>
      </c>
      <c r="X928" s="4">
        <f t="shared" si="89"/>
        <v>0.45446163492672365</v>
      </c>
    </row>
    <row r="929" spans="1:24" ht="14.5" x14ac:dyDescent="0.35">
      <c r="A929" s="52">
        <v>44046</v>
      </c>
      <c r="B929" s="51">
        <v>1722</v>
      </c>
      <c r="C929" s="1">
        <f t="shared" si="90"/>
        <v>2.9078240902005552E-3</v>
      </c>
      <c r="R929" s="28">
        <v>928</v>
      </c>
      <c r="S929" s="29">
        <v>8.583743691391435E-3</v>
      </c>
      <c r="T929" s="41">
        <f t="shared" si="86"/>
        <v>0</v>
      </c>
      <c r="U929" s="4">
        <f t="shared" si="87"/>
        <v>0.45565406383447837</v>
      </c>
      <c r="V929" s="15">
        <f t="shared" si="91"/>
        <v>0.74041533546325877</v>
      </c>
      <c r="W929" s="33">
        <f t="shared" si="88"/>
        <v>0.644626389673008</v>
      </c>
      <c r="X929" s="4">
        <f t="shared" si="89"/>
        <v>0.45565406383447837</v>
      </c>
    </row>
    <row r="930" spans="1:24" ht="14.5" x14ac:dyDescent="0.35">
      <c r="A930" s="52">
        <v>44043</v>
      </c>
      <c r="B930" s="51">
        <v>1717</v>
      </c>
      <c r="C930" s="1">
        <f t="shared" si="90"/>
        <v>-4.9982009869505788E-2</v>
      </c>
      <c r="R930" s="28">
        <v>929</v>
      </c>
      <c r="S930" s="29">
        <v>8.583743691391435E-3</v>
      </c>
      <c r="T930" s="41">
        <f t="shared" si="86"/>
        <v>0</v>
      </c>
      <c r="U930" s="4">
        <f t="shared" si="87"/>
        <v>0.45565406383447837</v>
      </c>
      <c r="V930" s="15">
        <f t="shared" si="91"/>
        <v>0.74121405750798719</v>
      </c>
      <c r="W930" s="33">
        <f t="shared" si="88"/>
        <v>0.64709279983148937</v>
      </c>
      <c r="X930" s="4">
        <f t="shared" si="89"/>
        <v>0.45565406383447837</v>
      </c>
    </row>
    <row r="931" spans="1:24" ht="14.5" x14ac:dyDescent="0.35">
      <c r="A931" s="52">
        <v>44042</v>
      </c>
      <c r="B931" s="51">
        <v>1805</v>
      </c>
      <c r="C931" s="1">
        <f t="shared" si="90"/>
        <v>1.9581045199106563E-2</v>
      </c>
      <c r="R931" s="28">
        <v>930</v>
      </c>
      <c r="S931" s="29">
        <v>8.6207430439069546E-3</v>
      </c>
      <c r="T931" s="41">
        <f t="shared" si="86"/>
        <v>0</v>
      </c>
      <c r="U931" s="4">
        <f t="shared" si="87"/>
        <v>0.4576052529812169</v>
      </c>
      <c r="V931" s="15">
        <f t="shared" si="91"/>
        <v>0.74201277955271561</v>
      </c>
      <c r="W931" s="33">
        <f t="shared" si="88"/>
        <v>0.64956315267069464</v>
      </c>
      <c r="X931" s="4">
        <f t="shared" si="89"/>
        <v>0.4576052529812169</v>
      </c>
    </row>
    <row r="932" spans="1:24" ht="14.5" x14ac:dyDescent="0.35">
      <c r="A932" s="52">
        <v>44041</v>
      </c>
      <c r="B932" s="51">
        <v>1770</v>
      </c>
      <c r="C932" s="1">
        <f t="shared" si="90"/>
        <v>2.4014876203873919E-2</v>
      </c>
      <c r="R932" s="28">
        <v>931</v>
      </c>
      <c r="S932" s="29">
        <v>8.7454307810297151E-3</v>
      </c>
      <c r="T932" s="41">
        <f t="shared" si="86"/>
        <v>0</v>
      </c>
      <c r="U932" s="4">
        <f t="shared" si="87"/>
        <v>0.46418075614179977</v>
      </c>
      <c r="V932" s="15">
        <f t="shared" si="91"/>
        <v>0.74281150159744413</v>
      </c>
      <c r="W932" s="33">
        <f t="shared" si="88"/>
        <v>0.65203747594009698</v>
      </c>
      <c r="X932" s="4">
        <f t="shared" si="89"/>
        <v>0.46418075614179977</v>
      </c>
    </row>
    <row r="933" spans="1:24" ht="14.5" x14ac:dyDescent="0.35">
      <c r="A933" s="52">
        <v>44040</v>
      </c>
      <c r="B933" s="51">
        <v>1728</v>
      </c>
      <c r="C933" s="1">
        <f t="shared" si="90"/>
        <v>-6.9204428445737952E-3</v>
      </c>
      <c r="R933" s="28">
        <v>932</v>
      </c>
      <c r="S933" s="29">
        <v>8.7610072263292985E-3</v>
      </c>
      <c r="T933" s="41">
        <f t="shared" si="86"/>
        <v>0</v>
      </c>
      <c r="U933" s="4">
        <f t="shared" si="87"/>
        <v>0.46500219189531911</v>
      </c>
      <c r="V933" s="15">
        <f t="shared" si="91"/>
        <v>0.74361022364217255</v>
      </c>
      <c r="W933" s="33">
        <f t="shared" si="88"/>
        <v>0.65451579762049583</v>
      </c>
      <c r="X933" s="4">
        <f t="shared" si="89"/>
        <v>0.46500219189531911</v>
      </c>
    </row>
    <row r="934" spans="1:24" ht="14.5" x14ac:dyDescent="0.35">
      <c r="A934" s="52">
        <v>44039</v>
      </c>
      <c r="B934" s="51">
        <v>1740</v>
      </c>
      <c r="C934" s="1">
        <f t="shared" si="90"/>
        <v>6.3419065252842228E-3</v>
      </c>
      <c r="R934" s="28">
        <v>933</v>
      </c>
      <c r="S934" s="29">
        <v>8.8192634340813359E-3</v>
      </c>
      <c r="T934" s="41">
        <f t="shared" si="86"/>
        <v>0</v>
      </c>
      <c r="U934" s="4">
        <f t="shared" si="87"/>
        <v>0.4680743775571693</v>
      </c>
      <c r="V934" s="15">
        <f t="shared" si="91"/>
        <v>0.74440894568690097</v>
      </c>
      <c r="W934" s="33">
        <f t="shared" si="88"/>
        <v>0.65699814592687567</v>
      </c>
      <c r="X934" s="4">
        <f t="shared" si="89"/>
        <v>0.4680743775571693</v>
      </c>
    </row>
    <row r="935" spans="1:24" ht="14.5" x14ac:dyDescent="0.35">
      <c r="A935" s="52">
        <v>44036</v>
      </c>
      <c r="B935" s="51">
        <v>1729</v>
      </c>
      <c r="C935" s="1">
        <f t="shared" si="90"/>
        <v>-2.5693677186234297E-2</v>
      </c>
      <c r="R935" s="28">
        <v>934</v>
      </c>
      <c r="S935" s="29">
        <v>8.8496152769826E-3</v>
      </c>
      <c r="T935" s="41">
        <f t="shared" si="86"/>
        <v>0</v>
      </c>
      <c r="U935" s="4">
        <f t="shared" si="87"/>
        <v>0.46967500520133199</v>
      </c>
      <c r="V935" s="15">
        <f t="shared" si="91"/>
        <v>0.74520766773162939</v>
      </c>
      <c r="W935" s="33">
        <f t="shared" si="88"/>
        <v>0.65948454931130407</v>
      </c>
      <c r="X935" s="4">
        <f t="shared" si="89"/>
        <v>0.46967500520133199</v>
      </c>
    </row>
    <row r="936" spans="1:24" ht="14.5" x14ac:dyDescent="0.35">
      <c r="A936" s="52">
        <v>44035</v>
      </c>
      <c r="B936" s="51">
        <v>1774</v>
      </c>
      <c r="C936" s="1">
        <f t="shared" si="90"/>
        <v>1.3049830583672956E-2</v>
      </c>
      <c r="R936" s="28">
        <v>935</v>
      </c>
      <c r="S936" s="29">
        <v>8.8768080328340011E-3</v>
      </c>
      <c r="T936" s="41">
        <f t="shared" si="86"/>
        <v>0</v>
      </c>
      <c r="U936" s="4">
        <f t="shared" si="87"/>
        <v>0.47110903597430048</v>
      </c>
      <c r="V936" s="15">
        <f t="shared" si="91"/>
        <v>0.7460063897763578</v>
      </c>
      <c r="W936" s="33">
        <f t="shared" si="88"/>
        <v>0.6619750364658723</v>
      </c>
      <c r="X936" s="4">
        <f t="shared" si="89"/>
        <v>0.47110903597430048</v>
      </c>
    </row>
    <row r="937" spans="1:24" ht="14.5" x14ac:dyDescent="0.35">
      <c r="A937" s="52">
        <v>44034</v>
      </c>
      <c r="B937" s="51">
        <v>1751</v>
      </c>
      <c r="C937" s="1">
        <f t="shared" si="90"/>
        <v>-5.126755746345627E-3</v>
      </c>
      <c r="R937" s="28">
        <v>936</v>
      </c>
      <c r="S937" s="29">
        <v>8.9021359405932511E-3</v>
      </c>
      <c r="T937" s="41">
        <f t="shared" si="86"/>
        <v>0</v>
      </c>
      <c r="U937" s="4">
        <f t="shared" si="87"/>
        <v>0.4724447225571593</v>
      </c>
      <c r="V937" s="15">
        <f t="shared" si="91"/>
        <v>0.74680511182108622</v>
      </c>
      <c r="W937" s="33">
        <f t="shared" si="88"/>
        <v>0.66446963632568534</v>
      </c>
      <c r="X937" s="4">
        <f t="shared" si="89"/>
        <v>0.4724447225571593</v>
      </c>
    </row>
    <row r="938" spans="1:24" ht="14.5" x14ac:dyDescent="0.35">
      <c r="A938" s="52">
        <v>44033</v>
      </c>
      <c r="B938" s="51">
        <v>1760</v>
      </c>
      <c r="C938" s="1">
        <f t="shared" si="90"/>
        <v>5.6980211146377959E-3</v>
      </c>
      <c r="R938" s="28">
        <v>937</v>
      </c>
      <c r="S938" s="29">
        <v>8.9286307443013982E-3</v>
      </c>
      <c r="T938" s="41">
        <f t="shared" si="86"/>
        <v>0</v>
      </c>
      <c r="U938" s="4">
        <f t="shared" si="87"/>
        <v>0.47384194629015891</v>
      </c>
      <c r="V938" s="15">
        <f t="shared" si="91"/>
        <v>0.74760383386581475</v>
      </c>
      <c r="W938" s="33">
        <f t="shared" si="88"/>
        <v>0.66696837807189324</v>
      </c>
      <c r="X938" s="4">
        <f t="shared" si="89"/>
        <v>0.47384194629015891</v>
      </c>
    </row>
    <row r="939" spans="1:24" ht="14.5" x14ac:dyDescent="0.35">
      <c r="A939" s="52">
        <v>44032</v>
      </c>
      <c r="B939" s="51">
        <v>1750</v>
      </c>
      <c r="C939" s="1">
        <f t="shared" si="90"/>
        <v>-1.4184634991956413E-2</v>
      </c>
      <c r="R939" s="28">
        <v>938</v>
      </c>
      <c r="S939" s="29">
        <v>8.9624867424333739E-3</v>
      </c>
      <c r="T939" s="41">
        <f t="shared" si="86"/>
        <v>0</v>
      </c>
      <c r="U939" s="4">
        <f t="shared" si="87"/>
        <v>0.47562736823989177</v>
      </c>
      <c r="V939" s="15">
        <f t="shared" si="91"/>
        <v>0.74840255591054317</v>
      </c>
      <c r="W939" s="33">
        <f t="shared" si="88"/>
        <v>0.66947129113477133</v>
      </c>
      <c r="X939" s="4">
        <f t="shared" si="89"/>
        <v>0.47562736823989177</v>
      </c>
    </row>
    <row r="940" spans="1:24" ht="14.5" x14ac:dyDescent="0.35">
      <c r="A940" s="52">
        <v>44029</v>
      </c>
      <c r="B940" s="51">
        <v>1775</v>
      </c>
      <c r="C940" s="1">
        <f t="shared" si="90"/>
        <v>-8.9737001511956214E-3</v>
      </c>
      <c r="R940" s="28">
        <v>939</v>
      </c>
      <c r="S940" s="29">
        <v>8.9872710002366768E-3</v>
      </c>
      <c r="T940" s="41">
        <f t="shared" si="86"/>
        <v>0</v>
      </c>
      <c r="U940" s="4">
        <f t="shared" si="87"/>
        <v>0.47693438502661767</v>
      </c>
      <c r="V940" s="15">
        <f t="shared" si="91"/>
        <v>0.74920127795527158</v>
      </c>
      <c r="W940" s="33">
        <f t="shared" si="88"/>
        <v>0.6719784051968487</v>
      </c>
      <c r="X940" s="4">
        <f t="shared" si="89"/>
        <v>0.47693438502661767</v>
      </c>
    </row>
    <row r="941" spans="1:24" ht="14.5" x14ac:dyDescent="0.35">
      <c r="A941" s="52">
        <v>44028</v>
      </c>
      <c r="B941" s="51">
        <v>1791</v>
      </c>
      <c r="C941" s="1">
        <f t="shared" si="90"/>
        <v>-1.0552722199159615E-2</v>
      </c>
      <c r="R941" s="28">
        <v>940</v>
      </c>
      <c r="S941" s="29">
        <v>8.9980157195605828E-3</v>
      </c>
      <c r="T941" s="41">
        <f t="shared" si="86"/>
        <v>0</v>
      </c>
      <c r="U941" s="4">
        <f t="shared" si="87"/>
        <v>0.47750101601619416</v>
      </c>
      <c r="V941" s="15">
        <f t="shared" si="91"/>
        <v>0.75</v>
      </c>
      <c r="W941" s="33">
        <f t="shared" si="88"/>
        <v>0.67448975019608193</v>
      </c>
      <c r="X941" s="4">
        <f t="shared" si="89"/>
        <v>0.47750101601619416</v>
      </c>
    </row>
    <row r="942" spans="1:24" ht="14.5" x14ac:dyDescent="0.35">
      <c r="A942" s="52">
        <v>44027</v>
      </c>
      <c r="B942" s="51">
        <v>1810</v>
      </c>
      <c r="C942" s="1">
        <f t="shared" si="90"/>
        <v>7.7648753977266017E-3</v>
      </c>
      <c r="R942" s="28">
        <v>941</v>
      </c>
      <c r="S942" s="29">
        <v>9.0909717012521048E-3</v>
      </c>
      <c r="T942" s="41">
        <f t="shared" si="86"/>
        <v>0</v>
      </c>
      <c r="U942" s="4">
        <f t="shared" si="87"/>
        <v>0.48240312079018566</v>
      </c>
      <c r="V942" s="15">
        <f t="shared" si="91"/>
        <v>0.75079872204472842</v>
      </c>
      <c r="W942" s="33">
        <f t="shared" si="88"/>
        <v>0.67700535632907999</v>
      </c>
      <c r="X942" s="4">
        <f t="shared" si="89"/>
        <v>0.48240312079018566</v>
      </c>
    </row>
    <row r="943" spans="1:24" ht="14.5" x14ac:dyDescent="0.35">
      <c r="A943" s="52">
        <v>44026</v>
      </c>
      <c r="B943" s="51">
        <v>1796</v>
      </c>
      <c r="C943" s="1">
        <f t="shared" si="90"/>
        <v>1.1142062434035577E-3</v>
      </c>
      <c r="R943" s="28">
        <v>942</v>
      </c>
      <c r="S943" s="29">
        <v>9.1047669929190667E-3</v>
      </c>
      <c r="T943" s="41">
        <f t="shared" si="86"/>
        <v>0</v>
      </c>
      <c r="U943" s="4">
        <f t="shared" si="87"/>
        <v>0.48313062604491624</v>
      </c>
      <c r="V943" s="15">
        <f t="shared" si="91"/>
        <v>0.75159744408945683</v>
      </c>
      <c r="W943" s="33">
        <f t="shared" si="88"/>
        <v>0.67952525405437891</v>
      </c>
      <c r="X943" s="4">
        <f t="shared" si="89"/>
        <v>0.48313062604491624</v>
      </c>
    </row>
    <row r="944" spans="1:24" ht="14.5" x14ac:dyDescent="0.35">
      <c r="A944" s="52">
        <v>44025</v>
      </c>
      <c r="B944" s="51">
        <v>1794</v>
      </c>
      <c r="C944" s="1">
        <f t="shared" si="90"/>
        <v>-2.2051610197668783E-2</v>
      </c>
      <c r="R944" s="28">
        <v>943</v>
      </c>
      <c r="S944" s="29">
        <v>9.1324835632724723E-3</v>
      </c>
      <c r="T944" s="41">
        <f t="shared" si="86"/>
        <v>0</v>
      </c>
      <c r="U944" s="4">
        <f t="shared" si="87"/>
        <v>0.48459228057618664</v>
      </c>
      <c r="V944" s="15">
        <f t="shared" si="91"/>
        <v>0.75239616613418525</v>
      </c>
      <c r="W944" s="33">
        <f t="shared" si="88"/>
        <v>0.68204947409576822</v>
      </c>
      <c r="X944" s="4">
        <f t="shared" si="89"/>
        <v>0.48459228057618664</v>
      </c>
    </row>
    <row r="945" spans="1:24" ht="14.5" x14ac:dyDescent="0.35">
      <c r="A945" s="52">
        <v>44022</v>
      </c>
      <c r="B945" s="51">
        <v>1834</v>
      </c>
      <c r="C945" s="1">
        <f t="shared" si="90"/>
        <v>-1.6761679261505746E-2</v>
      </c>
      <c r="R945" s="28">
        <v>944</v>
      </c>
      <c r="S945" s="29">
        <v>9.3023926623134103E-3</v>
      </c>
      <c r="T945" s="41">
        <f t="shared" si="86"/>
        <v>0</v>
      </c>
      <c r="U945" s="4">
        <f t="shared" si="87"/>
        <v>0.49355256683637838</v>
      </c>
      <c r="V945" s="15">
        <f t="shared" si="91"/>
        <v>0.75319488817891378</v>
      </c>
      <c r="W945" s="33">
        <f t="shared" si="88"/>
        <v>0.68457804744566686</v>
      </c>
      <c r="X945" s="4">
        <f t="shared" si="89"/>
        <v>0.49355256683637838</v>
      </c>
    </row>
    <row r="946" spans="1:24" ht="14.5" x14ac:dyDescent="0.35">
      <c r="A946" s="52">
        <v>44021</v>
      </c>
      <c r="B946" s="51">
        <v>1865</v>
      </c>
      <c r="C946" s="1">
        <f t="shared" si="90"/>
        <v>-5.3604932937325071E-4</v>
      </c>
      <c r="R946" s="28">
        <v>945</v>
      </c>
      <c r="S946" s="29">
        <v>9.3290952885183385E-3</v>
      </c>
      <c r="T946" s="41">
        <f t="shared" si="86"/>
        <v>0</v>
      </c>
      <c r="U946" s="4">
        <f t="shared" si="87"/>
        <v>0.49496075024765879</v>
      </c>
      <c r="V946" s="15">
        <f t="shared" si="91"/>
        <v>0.7539936102236422</v>
      </c>
      <c r="W946" s="33">
        <f t="shared" si="88"/>
        <v>0.68711100536855518</v>
      </c>
      <c r="X946" s="4">
        <f t="shared" si="89"/>
        <v>0.49496075024765879</v>
      </c>
    </row>
    <row r="947" spans="1:24" ht="14.5" x14ac:dyDescent="0.35">
      <c r="A947" s="52">
        <v>44020</v>
      </c>
      <c r="B947" s="51">
        <v>1866</v>
      </c>
      <c r="C947" s="1">
        <f t="shared" si="90"/>
        <v>2.386230358738551E-2</v>
      </c>
      <c r="R947" s="28">
        <v>946</v>
      </c>
      <c r="S947" s="29">
        <v>9.3425041723166034E-3</v>
      </c>
      <c r="T947" s="41">
        <f t="shared" si="86"/>
        <v>0</v>
      </c>
      <c r="U947" s="4">
        <f t="shared" si="87"/>
        <v>0.49566787798796391</v>
      </c>
      <c r="V947" s="15">
        <f t="shared" si="91"/>
        <v>0.75479233226837061</v>
      </c>
      <c r="W947" s="33">
        <f t="shared" si="88"/>
        <v>0.68964837940445989</v>
      </c>
      <c r="X947" s="4">
        <f t="shared" si="89"/>
        <v>0.49566787798796391</v>
      </c>
    </row>
    <row r="948" spans="1:24" ht="14.5" x14ac:dyDescent="0.35">
      <c r="A948" s="52">
        <v>44019</v>
      </c>
      <c r="B948" s="51">
        <v>1822</v>
      </c>
      <c r="C948" s="1">
        <f t="shared" si="90"/>
        <v>-2.0103909901540387E-2</v>
      </c>
      <c r="R948" s="28">
        <v>947</v>
      </c>
      <c r="S948" s="29">
        <v>9.3626899278508625E-3</v>
      </c>
      <c r="T948" s="41">
        <f t="shared" si="86"/>
        <v>0</v>
      </c>
      <c r="U948" s="4">
        <f t="shared" si="87"/>
        <v>0.49673238924125257</v>
      </c>
      <c r="V948" s="15">
        <f t="shared" si="91"/>
        <v>0.75559105431309903</v>
      </c>
      <c r="W948" s="33">
        <f t="shared" si="88"/>
        <v>0.69219020137249287</v>
      </c>
      <c r="X948" s="4">
        <f t="shared" si="89"/>
        <v>0.49673238924125257</v>
      </c>
    </row>
    <row r="949" spans="1:24" ht="14.5" x14ac:dyDescent="0.35">
      <c r="A949" s="52">
        <v>44018</v>
      </c>
      <c r="B949" s="51">
        <v>1859</v>
      </c>
      <c r="C949" s="1">
        <f t="shared" si="90"/>
        <v>5.3806834766008144E-4</v>
      </c>
      <c r="R949" s="28">
        <v>948</v>
      </c>
      <c r="S949" s="29">
        <v>9.4580552267963941E-3</v>
      </c>
      <c r="T949" s="41">
        <f t="shared" si="86"/>
        <v>0</v>
      </c>
      <c r="U949" s="4">
        <f t="shared" si="87"/>
        <v>0.50176155120293675</v>
      </c>
      <c r="V949" s="15">
        <f t="shared" si="91"/>
        <v>0.75638977635782745</v>
      </c>
      <c r="W949" s="33">
        <f t="shared" si="88"/>
        <v>0.69473650337444759</v>
      </c>
      <c r="X949" s="4">
        <f t="shared" si="89"/>
        <v>0.50176155120293675</v>
      </c>
    </row>
    <row r="950" spans="1:24" ht="14.5" x14ac:dyDescent="0.35">
      <c r="A950" s="52">
        <v>44015</v>
      </c>
      <c r="B950" s="51">
        <v>1858</v>
      </c>
      <c r="C950" s="1">
        <f t="shared" si="90"/>
        <v>-1.0758473334631254E-3</v>
      </c>
      <c r="R950" s="28">
        <v>949</v>
      </c>
      <c r="S950" s="29">
        <v>9.5069046394134545E-3</v>
      </c>
      <c r="T950" s="41">
        <f t="shared" si="86"/>
        <v>0</v>
      </c>
      <c r="U950" s="4">
        <f t="shared" si="87"/>
        <v>0.50433766233036748</v>
      </c>
      <c r="V950" s="15">
        <f t="shared" si="91"/>
        <v>0.75718849840255587</v>
      </c>
      <c r="W950" s="33">
        <f t="shared" si="88"/>
        <v>0.69728731779845299</v>
      </c>
      <c r="X950" s="4">
        <f t="shared" si="89"/>
        <v>0.50433766233036748</v>
      </c>
    </row>
    <row r="951" spans="1:24" ht="14.5" x14ac:dyDescent="0.35">
      <c r="A951" s="52">
        <v>44014</v>
      </c>
      <c r="B951" s="51">
        <v>1860</v>
      </c>
      <c r="C951" s="1">
        <f t="shared" si="90"/>
        <v>2.1190686979639054E-2</v>
      </c>
      <c r="R951" s="28">
        <v>950</v>
      </c>
      <c r="S951" s="29">
        <v>9.5949563403885194E-3</v>
      </c>
      <c r="T951" s="41">
        <f t="shared" si="86"/>
        <v>0</v>
      </c>
      <c r="U951" s="4">
        <f t="shared" si="87"/>
        <v>0.50898113611068163</v>
      </c>
      <c r="V951" s="15">
        <f t="shared" si="91"/>
        <v>0.75798722044728439</v>
      </c>
      <c r="W951" s="33">
        <f t="shared" si="88"/>
        <v>0.69984267732268368</v>
      </c>
      <c r="X951" s="4">
        <f t="shared" si="89"/>
        <v>0.50898113611068163</v>
      </c>
    </row>
    <row r="952" spans="1:24" ht="14.5" x14ac:dyDescent="0.35">
      <c r="A952" s="52">
        <v>44013</v>
      </c>
      <c r="B952" s="51">
        <v>1821</v>
      </c>
      <c r="C952" s="1">
        <f t="shared" si="90"/>
        <v>-2.0114839646175872E-2</v>
      </c>
      <c r="R952" s="28">
        <v>951</v>
      </c>
      <c r="S952" s="29">
        <v>9.6485931158319365E-3</v>
      </c>
      <c r="T952" s="41">
        <f t="shared" si="86"/>
        <v>0</v>
      </c>
      <c r="U952" s="4">
        <f t="shared" si="87"/>
        <v>0.5118097124774531</v>
      </c>
      <c r="V952" s="15">
        <f t="shared" si="91"/>
        <v>0.75878594249201281</v>
      </c>
      <c r="W952" s="33">
        <f t="shared" si="88"/>
        <v>0.70240261491912992</v>
      </c>
      <c r="X952" s="4">
        <f t="shared" si="89"/>
        <v>0.5118097124774531</v>
      </c>
    </row>
    <row r="953" spans="1:24" ht="14.5" x14ac:dyDescent="0.35">
      <c r="A953" s="52">
        <v>44012</v>
      </c>
      <c r="B953" s="51">
        <v>1858</v>
      </c>
      <c r="C953" s="1">
        <f t="shared" si="90"/>
        <v>-4.29646203350534E-3</v>
      </c>
      <c r="R953" s="28">
        <v>952</v>
      </c>
      <c r="S953" s="29">
        <v>9.6619109117368901E-3</v>
      </c>
      <c r="T953" s="41">
        <f t="shared" si="86"/>
        <v>0</v>
      </c>
      <c r="U953" s="4">
        <f t="shared" si="87"/>
        <v>0.51251203662805345</v>
      </c>
      <c r="V953" s="15">
        <f t="shared" si="91"/>
        <v>0.75958466453674123</v>
      </c>
      <c r="W953" s="33">
        <f t="shared" si="88"/>
        <v>0.70496716385743308</v>
      </c>
      <c r="X953" s="4">
        <f t="shared" si="89"/>
        <v>0.51251203662805345</v>
      </c>
    </row>
    <row r="954" spans="1:24" ht="14.5" x14ac:dyDescent="0.35">
      <c r="A954" s="52">
        <v>44011</v>
      </c>
      <c r="B954" s="51">
        <v>1866</v>
      </c>
      <c r="C954" s="1">
        <f t="shared" si="90"/>
        <v>-6.9426180061762273E-3</v>
      </c>
      <c r="R954" s="28">
        <v>953</v>
      </c>
      <c r="S954" s="29">
        <v>9.6619109117368901E-3</v>
      </c>
      <c r="T954" s="41">
        <f t="shared" si="86"/>
        <v>0</v>
      </c>
      <c r="U954" s="4">
        <f t="shared" si="87"/>
        <v>0.51251203662805345</v>
      </c>
      <c r="V954" s="15">
        <f t="shared" si="91"/>
        <v>0.76038338658146964</v>
      </c>
      <c r="W954" s="33">
        <f t="shared" si="88"/>
        <v>0.7075363577087741</v>
      </c>
      <c r="X954" s="4">
        <f t="shared" si="89"/>
        <v>0.51251203662805345</v>
      </c>
    </row>
    <row r="955" spans="1:24" ht="14.5" x14ac:dyDescent="0.35">
      <c r="A955" s="52">
        <v>44008</v>
      </c>
      <c r="B955" s="51">
        <v>1879</v>
      </c>
      <c r="C955" s="1">
        <f t="shared" si="90"/>
        <v>-1.269186788268423E-2</v>
      </c>
      <c r="R955" s="28">
        <v>954</v>
      </c>
      <c r="S955" s="29">
        <v>9.7996329888035607E-3</v>
      </c>
      <c r="T955" s="41">
        <f t="shared" si="86"/>
        <v>0</v>
      </c>
      <c r="U955" s="4">
        <f t="shared" si="87"/>
        <v>0.51977491567238421</v>
      </c>
      <c r="V955" s="15">
        <f t="shared" si="91"/>
        <v>0.76118210862619806</v>
      </c>
      <c r="W955" s="33">
        <f t="shared" si="88"/>
        <v>0.71011023034983434</v>
      </c>
      <c r="X955" s="4">
        <f t="shared" si="89"/>
        <v>0.51977491567238421</v>
      </c>
    </row>
    <row r="956" spans="1:24" ht="14.5" x14ac:dyDescent="0.35">
      <c r="A956" s="52">
        <v>44007</v>
      </c>
      <c r="B956" s="51">
        <v>1903</v>
      </c>
      <c r="C956" s="1">
        <f t="shared" si="90"/>
        <v>-4.7182263151970541E-3</v>
      </c>
      <c r="R956" s="28">
        <v>955</v>
      </c>
      <c r="S956" s="29">
        <v>9.9092470627717682E-3</v>
      </c>
      <c r="T956" s="41">
        <f t="shared" si="86"/>
        <v>0</v>
      </c>
      <c r="U956" s="4">
        <f t="shared" si="87"/>
        <v>0.52555549768032206</v>
      </c>
      <c r="V956" s="15">
        <f t="shared" si="91"/>
        <v>0.76198083067092648</v>
      </c>
      <c r="W956" s="33">
        <f t="shared" si="88"/>
        <v>0.71268881596681288</v>
      </c>
      <c r="X956" s="4">
        <f t="shared" si="89"/>
        <v>0.52555549768032206</v>
      </c>
    </row>
    <row r="957" spans="1:24" ht="14.5" x14ac:dyDescent="0.35">
      <c r="A957" s="52">
        <v>44006</v>
      </c>
      <c r="B957" s="51">
        <v>1912</v>
      </c>
      <c r="C957" s="1">
        <f t="shared" si="90"/>
        <v>-1.0923385596984289E-2</v>
      </c>
      <c r="R957" s="28">
        <v>956</v>
      </c>
      <c r="S957" s="29">
        <v>9.9150953921964442E-3</v>
      </c>
      <c r="T957" s="41">
        <f t="shared" si="86"/>
        <v>0</v>
      </c>
      <c r="U957" s="4">
        <f t="shared" si="87"/>
        <v>0.52586391380450137</v>
      </c>
      <c r="V957" s="15">
        <f t="shared" si="91"/>
        <v>0.76277955271565501</v>
      </c>
      <c r="W957" s="33">
        <f t="shared" si="88"/>
        <v>0.7152721490595142</v>
      </c>
      <c r="X957" s="4">
        <f t="shared" si="89"/>
        <v>0.52586391380450137</v>
      </c>
    </row>
    <row r="958" spans="1:24" ht="14.5" x14ac:dyDescent="0.35">
      <c r="A958" s="52">
        <v>44005</v>
      </c>
      <c r="B958" s="51">
        <v>1933</v>
      </c>
      <c r="C958" s="1">
        <f t="shared" si="90"/>
        <v>2.1438729596507389E-2</v>
      </c>
      <c r="R958" s="28">
        <v>957</v>
      </c>
      <c r="S958" s="29">
        <v>9.9437345688549259E-3</v>
      </c>
      <c r="T958" s="41">
        <f t="shared" si="86"/>
        <v>0</v>
      </c>
      <c r="U958" s="4">
        <f t="shared" si="87"/>
        <v>0.52737422268474776</v>
      </c>
      <c r="V958" s="15">
        <f t="shared" si="91"/>
        <v>0.76357827476038342</v>
      </c>
      <c r="W958" s="33">
        <f t="shared" si="88"/>
        <v>0.71786026444549833</v>
      </c>
      <c r="X958" s="4">
        <f t="shared" si="89"/>
        <v>0.52737422268474776</v>
      </c>
    </row>
    <row r="959" spans="1:24" ht="14.5" x14ac:dyDescent="0.35">
      <c r="A959" s="52">
        <v>44004</v>
      </c>
      <c r="B959" s="51">
        <v>1892</v>
      </c>
      <c r="C959" s="1">
        <f t="shared" si="90"/>
        <v>-1.1560822401075971E-2</v>
      </c>
      <c r="R959" s="28">
        <v>958</v>
      </c>
      <c r="S959" s="29">
        <v>9.950330853168092E-3</v>
      </c>
      <c r="T959" s="41">
        <f t="shared" si="86"/>
        <v>0</v>
      </c>
      <c r="U959" s="4">
        <f t="shared" si="87"/>
        <v>0.52772208278190091</v>
      </c>
      <c r="V959" s="15">
        <f t="shared" si="91"/>
        <v>0.76437699680511184</v>
      </c>
      <c r="W959" s="33">
        <f t="shared" si="88"/>
        <v>0.72045319726431023</v>
      </c>
      <c r="X959" s="4">
        <f t="shared" si="89"/>
        <v>0.52772208278190091</v>
      </c>
    </row>
    <row r="960" spans="1:24" ht="14.5" x14ac:dyDescent="0.35">
      <c r="A960" s="52">
        <v>44001</v>
      </c>
      <c r="B960" s="51">
        <v>1914</v>
      </c>
      <c r="C960" s="1">
        <f t="shared" si="90"/>
        <v>4.7132844520981366E-3</v>
      </c>
      <c r="R960" s="28">
        <v>959</v>
      </c>
      <c r="S960" s="29">
        <v>9.9787000498962695E-3</v>
      </c>
      <c r="T960" s="41">
        <f t="shared" si="86"/>
        <v>0</v>
      </c>
      <c r="U960" s="4">
        <f t="shared" si="87"/>
        <v>0.52921815406408057</v>
      </c>
      <c r="V960" s="15">
        <f t="shared" si="91"/>
        <v>0.76517571884984026</v>
      </c>
      <c r="W960" s="33">
        <f t="shared" si="88"/>
        <v>0.72305098298175763</v>
      </c>
      <c r="X960" s="4">
        <f t="shared" si="89"/>
        <v>0.52921815406408057</v>
      </c>
    </row>
    <row r="961" spans="1:24" ht="14.5" x14ac:dyDescent="0.35">
      <c r="A961" s="52">
        <v>44000</v>
      </c>
      <c r="B961" s="51">
        <v>1905</v>
      </c>
      <c r="C961" s="1">
        <f t="shared" si="90"/>
        <v>-1.2001187609689542E-2</v>
      </c>
      <c r="R961" s="28">
        <v>960</v>
      </c>
      <c r="S961" s="29">
        <v>9.9917567319203985E-3</v>
      </c>
      <c r="T961" s="41">
        <f t="shared" si="86"/>
        <v>0</v>
      </c>
      <c r="U961" s="4">
        <f t="shared" si="87"/>
        <v>0.52990670817451291</v>
      </c>
      <c r="V961" s="15">
        <f t="shared" si="91"/>
        <v>0.76597444089456868</v>
      </c>
      <c r="W961" s="33">
        <f t="shared" si="88"/>
        <v>0.72565365739428589</v>
      </c>
      <c r="X961" s="4">
        <f t="shared" si="89"/>
        <v>0.52990670817451291</v>
      </c>
    </row>
    <row r="962" spans="1:24" ht="14.5" x14ac:dyDescent="0.35">
      <c r="A962" s="52">
        <v>43999</v>
      </c>
      <c r="B962" s="51">
        <v>1928</v>
      </c>
      <c r="C962" s="1">
        <f t="shared" si="90"/>
        <v>-1.390699724897526E-2</v>
      </c>
      <c r="R962" s="28">
        <v>961</v>
      </c>
      <c r="S962" s="29">
        <v>1.0000083334583399E-2</v>
      </c>
      <c r="T962" s="41">
        <f t="shared" si="86"/>
        <v>0</v>
      </c>
      <c r="U962" s="4">
        <f t="shared" si="87"/>
        <v>0.53034581793294544</v>
      </c>
      <c r="V962" s="15">
        <f t="shared" si="91"/>
        <v>0.76677316293929709</v>
      </c>
      <c r="W962" s="33">
        <f t="shared" si="88"/>
        <v>0.7282612566334018</v>
      </c>
      <c r="X962" s="4">
        <f t="shared" si="89"/>
        <v>0.53034581793294544</v>
      </c>
    </row>
    <row r="963" spans="1:24" ht="14.5" x14ac:dyDescent="0.35">
      <c r="A963" s="52">
        <v>43998</v>
      </c>
      <c r="B963" s="51">
        <v>1955</v>
      </c>
      <c r="C963" s="1">
        <f t="shared" si="90"/>
        <v>7.1868892504559582E-3</v>
      </c>
      <c r="R963" s="28">
        <v>962</v>
      </c>
      <c r="S963" s="29">
        <v>1.0055388897834243E-2</v>
      </c>
      <c r="T963" s="41">
        <f t="shared" ref="T963:T1026" si="92">+IF(OR(S963&lt;($Z$3-3*$Z$4^0.5),S963&gt;($Z$3+3*$Z$4^0.5)),1,0)</f>
        <v>0</v>
      </c>
      <c r="U963" s="4">
        <f t="shared" ref="U963:U1026" si="93">+(S963-AVERAGE($S$2:$S$1252))/_xlfn.STDEV.S($S$2:$S$1252)</f>
        <v>0.53326239910079276</v>
      </c>
      <c r="V963" s="15">
        <f t="shared" si="91"/>
        <v>0.76757188498402551</v>
      </c>
      <c r="W963" s="33">
        <f t="shared" ref="W963:W1026" si="94">+_xlfn.NORM.S.INV(V963)</f>
        <v>0.73087381717018618</v>
      </c>
      <c r="X963" s="4">
        <f t="shared" ref="X963:X1026" si="95">+U963</f>
        <v>0.53326239910079276</v>
      </c>
    </row>
    <row r="964" spans="1:24" ht="14.5" x14ac:dyDescent="0.35">
      <c r="A964" s="52">
        <v>43997</v>
      </c>
      <c r="B964" s="51">
        <v>1941</v>
      </c>
      <c r="C964" s="1">
        <f t="shared" ref="C964:C1027" si="96">+LN(B964/B965)</f>
        <v>-1.0761056956298146E-2</v>
      </c>
      <c r="R964" s="28">
        <v>963</v>
      </c>
      <c r="S964" s="29">
        <v>1.0057556044042223E-2</v>
      </c>
      <c r="T964" s="41">
        <f t="shared" si="92"/>
        <v>0</v>
      </c>
      <c r="U964" s="4">
        <f t="shared" si="93"/>
        <v>0.53337668521319526</v>
      </c>
      <c r="V964" s="15">
        <f t="shared" ref="V964:V1027" si="97">+R963/1252</f>
        <v>0.76837060702875404</v>
      </c>
      <c r="W964" s="33">
        <f t="shared" si="94"/>
        <v>0.733491375819878</v>
      </c>
      <c r="X964" s="4">
        <f t="shared" si="95"/>
        <v>0.53337668521319526</v>
      </c>
    </row>
    <row r="965" spans="1:24" ht="14.5" x14ac:dyDescent="0.35">
      <c r="A965" s="52">
        <v>43994</v>
      </c>
      <c r="B965" s="51">
        <v>1962</v>
      </c>
      <c r="C965" s="1">
        <f t="shared" si="96"/>
        <v>6.1349885675159293E-3</v>
      </c>
      <c r="R965" s="28">
        <v>964</v>
      </c>
      <c r="S965" s="29">
        <v>1.0108389320761057E-2</v>
      </c>
      <c r="T965" s="41">
        <f t="shared" si="92"/>
        <v>0</v>
      </c>
      <c r="U965" s="4">
        <f t="shared" si="93"/>
        <v>0.5360574169310095</v>
      </c>
      <c r="V965" s="15">
        <f t="shared" si="97"/>
        <v>0.76916932907348246</v>
      </c>
      <c r="W965" s="33">
        <f t="shared" si="94"/>
        <v>0.73611396974652887</v>
      </c>
      <c r="X965" s="4">
        <f t="shared" si="95"/>
        <v>0.5360574169310095</v>
      </c>
    </row>
    <row r="966" spans="1:24" ht="14.5" x14ac:dyDescent="0.35">
      <c r="A966" s="52">
        <v>43993</v>
      </c>
      <c r="B966" s="51">
        <v>1950</v>
      </c>
      <c r="C966" s="1">
        <f t="shared" si="96"/>
        <v>-1.121888360478829E-2</v>
      </c>
      <c r="R966" s="28">
        <v>965</v>
      </c>
      <c r="S966" s="29">
        <v>1.0312913678239985E-2</v>
      </c>
      <c r="T966" s="41">
        <f t="shared" si="92"/>
        <v>0</v>
      </c>
      <c r="U966" s="4">
        <f t="shared" si="93"/>
        <v>0.54684316531374577</v>
      </c>
      <c r="V966" s="15">
        <f t="shared" si="97"/>
        <v>0.76996805111821087</v>
      </c>
      <c r="W966" s="33">
        <f t="shared" si="94"/>
        <v>0.73874163646774704</v>
      </c>
      <c r="X966" s="4">
        <f t="shared" si="95"/>
        <v>0.54684316531374577</v>
      </c>
    </row>
    <row r="967" spans="1:24" ht="14.5" x14ac:dyDescent="0.35">
      <c r="A967" s="52">
        <v>43992</v>
      </c>
      <c r="B967" s="51">
        <v>1972</v>
      </c>
      <c r="C967" s="1">
        <f t="shared" si="96"/>
        <v>-2.0080996057049133E-2</v>
      </c>
      <c r="R967" s="28">
        <v>966</v>
      </c>
      <c r="S967" s="29">
        <v>1.0341353794732531E-2</v>
      </c>
      <c r="T967" s="41">
        <f t="shared" si="92"/>
        <v>0</v>
      </c>
      <c r="U967" s="4">
        <f t="shared" si="93"/>
        <v>0.54834297660392872</v>
      </c>
      <c r="V967" s="15">
        <f t="shared" si="97"/>
        <v>0.77076677316293929</v>
      </c>
      <c r="W967" s="33">
        <f t="shared" si="94"/>
        <v>0.74137441385951275</v>
      </c>
      <c r="X967" s="4">
        <f t="shared" si="95"/>
        <v>0.54834297660392872</v>
      </c>
    </row>
    <row r="968" spans="1:24" ht="14.5" x14ac:dyDescent="0.35">
      <c r="A968" s="52">
        <v>43991</v>
      </c>
      <c r="B968" s="51">
        <v>2012</v>
      </c>
      <c r="C968" s="1">
        <f t="shared" si="96"/>
        <v>-1.3820555618632199E-2</v>
      </c>
      <c r="R968" s="28">
        <v>967</v>
      </c>
      <c r="S968" s="29">
        <v>1.0348488350310443E-2</v>
      </c>
      <c r="T968" s="41">
        <f t="shared" si="92"/>
        <v>0</v>
      </c>
      <c r="U968" s="4">
        <f t="shared" si="93"/>
        <v>0.54871922284782138</v>
      </c>
      <c r="V968" s="15">
        <f t="shared" si="97"/>
        <v>0.77156549520766771</v>
      </c>
      <c r="W968" s="33">
        <f t="shared" si="94"/>
        <v>0.74401234016107898</v>
      </c>
      <c r="X968" s="4">
        <f t="shared" si="95"/>
        <v>0.54871922284782138</v>
      </c>
    </row>
    <row r="969" spans="1:24" ht="14.5" x14ac:dyDescent="0.35">
      <c r="A969" s="52">
        <v>43990</v>
      </c>
      <c r="B969" s="51">
        <v>2040</v>
      </c>
      <c r="C969" s="1">
        <f t="shared" si="96"/>
        <v>1.980262729617973E-2</v>
      </c>
      <c r="R969" s="28">
        <v>968</v>
      </c>
      <c r="S969" s="29">
        <v>1.0385850032122834E-2</v>
      </c>
      <c r="T969" s="41">
        <f t="shared" si="92"/>
        <v>0</v>
      </c>
      <c r="U969" s="4">
        <f t="shared" si="93"/>
        <v>0.55068951970708824</v>
      </c>
      <c r="V969" s="15">
        <f t="shared" si="97"/>
        <v>0.77236421725239612</v>
      </c>
      <c r="W969" s="33">
        <f t="shared" si="94"/>
        <v>0.74665545397995514</v>
      </c>
      <c r="X969" s="4">
        <f t="shared" si="95"/>
        <v>0.55068951970708824</v>
      </c>
    </row>
    <row r="970" spans="1:24" ht="14.5" x14ac:dyDescent="0.35">
      <c r="A970" s="52">
        <v>43987</v>
      </c>
      <c r="B970" s="51">
        <v>2000</v>
      </c>
      <c r="C970" s="1">
        <f t="shared" si="96"/>
        <v>1.6637641153023224E-2</v>
      </c>
      <c r="R970" s="28">
        <v>969</v>
      </c>
      <c r="S970" s="29">
        <v>1.0393560527263302E-2</v>
      </c>
      <c r="T970" s="41">
        <f t="shared" si="92"/>
        <v>0</v>
      </c>
      <c r="U970" s="4">
        <f t="shared" si="93"/>
        <v>0.5510961385642088</v>
      </c>
      <c r="V970" s="15">
        <f t="shared" si="97"/>
        <v>0.77316293929712465</v>
      </c>
      <c r="W970" s="33">
        <f t="shared" si="94"/>
        <v>0.74930379429697314</v>
      </c>
      <c r="X970" s="4">
        <f t="shared" si="95"/>
        <v>0.5510961385642088</v>
      </c>
    </row>
    <row r="971" spans="1:24" ht="14.5" x14ac:dyDescent="0.35">
      <c r="A971" s="52">
        <v>43986</v>
      </c>
      <c r="B971" s="51">
        <v>1967</v>
      </c>
      <c r="C971" s="1">
        <f t="shared" si="96"/>
        <v>-2.2619712830570793E-2</v>
      </c>
      <c r="R971" s="28">
        <v>970</v>
      </c>
      <c r="S971" s="29">
        <v>1.0463473640827854E-2</v>
      </c>
      <c r="T971" s="41">
        <f t="shared" si="92"/>
        <v>0</v>
      </c>
      <c r="U971" s="4">
        <f t="shared" si="93"/>
        <v>0.55478306006762246</v>
      </c>
      <c r="V971" s="15">
        <f t="shared" si="97"/>
        <v>0.77396166134185307</v>
      </c>
      <c r="W971" s="33">
        <f t="shared" si="94"/>
        <v>0.75195740047144632</v>
      </c>
      <c r="X971" s="4">
        <f t="shared" si="95"/>
        <v>0.55478306006762246</v>
      </c>
    </row>
    <row r="972" spans="1:24" ht="14.5" x14ac:dyDescent="0.35">
      <c r="A972" s="52">
        <v>43985</v>
      </c>
      <c r="B972" s="51">
        <v>2012</v>
      </c>
      <c r="C972" s="1">
        <f t="shared" si="96"/>
        <v>4.8889572688824011E-2</v>
      </c>
      <c r="R972" s="28">
        <v>971</v>
      </c>
      <c r="S972" s="29">
        <v>1.0471299867295437E-2</v>
      </c>
      <c r="T972" s="41">
        <f t="shared" si="92"/>
        <v>0</v>
      </c>
      <c r="U972" s="4">
        <f t="shared" si="93"/>
        <v>0.55519578210477327</v>
      </c>
      <c r="V972" s="15">
        <f t="shared" si="97"/>
        <v>0.77476038338658149</v>
      </c>
      <c r="W972" s="33">
        <f t="shared" si="94"/>
        <v>0.75461631224640913</v>
      </c>
      <c r="X972" s="4">
        <f t="shared" si="95"/>
        <v>0.55519578210477327</v>
      </c>
    </row>
    <row r="973" spans="1:24" ht="14.5" x14ac:dyDescent="0.35">
      <c r="A973" s="52">
        <v>43984</v>
      </c>
      <c r="B973" s="51">
        <v>1916</v>
      </c>
      <c r="C973" s="1">
        <f t="shared" si="96"/>
        <v>-2.7793863201228331E-2</v>
      </c>
      <c r="R973" s="28">
        <v>972</v>
      </c>
      <c r="S973" s="29">
        <v>1.0500621511068889E-2</v>
      </c>
      <c r="T973" s="41">
        <f t="shared" si="92"/>
        <v>0</v>
      </c>
      <c r="U973" s="4">
        <f t="shared" si="93"/>
        <v>0.55674208141018122</v>
      </c>
      <c r="V973" s="15">
        <f t="shared" si="97"/>
        <v>0.7755591054313099</v>
      </c>
      <c r="W973" s="33">
        <f t="shared" si="94"/>
        <v>0.7572805697539543</v>
      </c>
      <c r="X973" s="4">
        <f t="shared" si="95"/>
        <v>0.55674208141018122</v>
      </c>
    </row>
    <row r="974" spans="1:24" ht="14.5" x14ac:dyDescent="0.35">
      <c r="A974" s="52">
        <v>43980</v>
      </c>
      <c r="B974" s="51">
        <v>1970</v>
      </c>
      <c r="C974" s="1">
        <f t="shared" si="96"/>
        <v>-8.5924208197826913E-3</v>
      </c>
      <c r="R974" s="28">
        <v>973</v>
      </c>
      <c r="S974" s="29">
        <v>1.05027221991492E-2</v>
      </c>
      <c r="T974" s="41">
        <f t="shared" si="92"/>
        <v>0</v>
      </c>
      <c r="U974" s="4">
        <f t="shared" si="93"/>
        <v>0.55685286280240343</v>
      </c>
      <c r="V974" s="15">
        <f t="shared" si="97"/>
        <v>0.77635782747603832</v>
      </c>
      <c r="W974" s="33">
        <f t="shared" si="94"/>
        <v>0.75995021352065906</v>
      </c>
      <c r="X974" s="4">
        <f t="shared" si="95"/>
        <v>0.55685286280240343</v>
      </c>
    </row>
    <row r="975" spans="1:24" ht="14.5" x14ac:dyDescent="0.35">
      <c r="A975" s="52">
        <v>43979</v>
      </c>
      <c r="B975" s="51">
        <v>1987</v>
      </c>
      <c r="C975" s="1">
        <f t="shared" si="96"/>
        <v>-3.0150776609779214E-3</v>
      </c>
      <c r="R975" s="28">
        <v>974</v>
      </c>
      <c r="S975" s="29">
        <v>1.0550210895152392E-2</v>
      </c>
      <c r="T975" s="41">
        <f t="shared" si="92"/>
        <v>0</v>
      </c>
      <c r="U975" s="4">
        <f t="shared" si="93"/>
        <v>0.55935721549871964</v>
      </c>
      <c r="V975" s="15">
        <f t="shared" si="97"/>
        <v>0.77715654952076674</v>
      </c>
      <c r="W975" s="33">
        <f t="shared" si="94"/>
        <v>0.76262528447310307</v>
      </c>
      <c r="X975" s="4">
        <f t="shared" si="95"/>
        <v>0.55935721549871964</v>
      </c>
    </row>
    <row r="976" spans="1:24" ht="14.5" x14ac:dyDescent="0.35">
      <c r="A976" s="52">
        <v>43978</v>
      </c>
      <c r="B976" s="51">
        <v>1993</v>
      </c>
      <c r="C976" s="1">
        <f t="shared" si="96"/>
        <v>-1.0481753065712895E-2</v>
      </c>
      <c r="R976" s="28">
        <v>975</v>
      </c>
      <c r="S976" s="29">
        <v>1.0563478509569246E-2</v>
      </c>
      <c r="T976" s="41">
        <f t="shared" si="92"/>
        <v>0</v>
      </c>
      <c r="U976" s="4">
        <f t="shared" si="93"/>
        <v>0.56005689329017327</v>
      </c>
      <c r="V976" s="15">
        <f t="shared" si="97"/>
        <v>0.77795527156549515</v>
      </c>
      <c r="W976" s="33">
        <f t="shared" si="94"/>
        <v>0.765305823943493</v>
      </c>
      <c r="X976" s="4">
        <f t="shared" si="95"/>
        <v>0.56005689329017327</v>
      </c>
    </row>
    <row r="977" spans="1:24" ht="14.5" x14ac:dyDescent="0.35">
      <c r="A977" s="52">
        <v>43977</v>
      </c>
      <c r="B977" s="51">
        <v>2014</v>
      </c>
      <c r="C977" s="1">
        <f t="shared" si="96"/>
        <v>6.9756137364251382E-3</v>
      </c>
      <c r="R977" s="28">
        <v>976</v>
      </c>
      <c r="S977" s="29">
        <v>1.0610179112015469E-2</v>
      </c>
      <c r="T977" s="41">
        <f t="shared" si="92"/>
        <v>0</v>
      </c>
      <c r="U977" s="4">
        <f t="shared" si="93"/>
        <v>0.56251968527014107</v>
      </c>
      <c r="V977" s="15">
        <f t="shared" si="97"/>
        <v>0.77875399361022368</v>
      </c>
      <c r="W977" s="33">
        <f t="shared" si="94"/>
        <v>0.76799187367536814</v>
      </c>
      <c r="X977" s="4">
        <f t="shared" si="95"/>
        <v>0.56251968527014107</v>
      </c>
    </row>
    <row r="978" spans="1:24" ht="14.5" x14ac:dyDescent="0.35">
      <c r="A978" s="52">
        <v>43976</v>
      </c>
      <c r="B978" s="51">
        <v>2000</v>
      </c>
      <c r="C978" s="1">
        <f t="shared" si="96"/>
        <v>0</v>
      </c>
      <c r="R978" s="28">
        <v>977</v>
      </c>
      <c r="S978" s="29">
        <v>1.0646488394487485E-2</v>
      </c>
      <c r="T978" s="41">
        <f t="shared" si="92"/>
        <v>0</v>
      </c>
      <c r="U978" s="4">
        <f t="shared" si="93"/>
        <v>0.56443448304546817</v>
      </c>
      <c r="V978" s="15">
        <f t="shared" si="97"/>
        <v>0.7795527156549521</v>
      </c>
      <c r="W978" s="33">
        <f t="shared" si="94"/>
        <v>0.77068347582942376</v>
      </c>
      <c r="X978" s="4">
        <f t="shared" si="95"/>
        <v>0.56443448304546817</v>
      </c>
    </row>
    <row r="979" spans="1:24" ht="14.5" x14ac:dyDescent="0.35">
      <c r="A979" s="52">
        <v>43973</v>
      </c>
      <c r="B979" s="51">
        <v>2000</v>
      </c>
      <c r="C979" s="1">
        <f t="shared" si="96"/>
        <v>-1.9802627296179754E-2</v>
      </c>
      <c r="R979" s="28">
        <v>978</v>
      </c>
      <c r="S979" s="29">
        <v>1.069528911674795E-2</v>
      </c>
      <c r="T979" s="41">
        <f t="shared" si="92"/>
        <v>0</v>
      </c>
      <c r="U979" s="4">
        <f t="shared" si="93"/>
        <v>0.56700802644971238</v>
      </c>
      <c r="V979" s="15">
        <f t="shared" si="97"/>
        <v>0.78035143769968052</v>
      </c>
      <c r="W979" s="33">
        <f t="shared" si="94"/>
        <v>0.77338067298942748</v>
      </c>
      <c r="X979" s="4">
        <f t="shared" si="95"/>
        <v>0.56700802644971238</v>
      </c>
    </row>
    <row r="980" spans="1:24" ht="14.5" x14ac:dyDescent="0.35">
      <c r="A980" s="52">
        <v>43972</v>
      </c>
      <c r="B980" s="51">
        <v>2040</v>
      </c>
      <c r="C980" s="1">
        <f t="shared" si="96"/>
        <v>-7.8125397367936247E-3</v>
      </c>
      <c r="R980" s="28">
        <v>979</v>
      </c>
      <c r="S980" s="29">
        <v>1.070244329281933E-2</v>
      </c>
      <c r="T980" s="41">
        <f t="shared" si="92"/>
        <v>0</v>
      </c>
      <c r="U980" s="4">
        <f t="shared" si="93"/>
        <v>0.56738530739533111</v>
      </c>
      <c r="V980" s="15">
        <f t="shared" si="97"/>
        <v>0.78115015974440893</v>
      </c>
      <c r="W980" s="33">
        <f t="shared" si="94"/>
        <v>0.77608350816824301</v>
      </c>
      <c r="X980" s="4">
        <f t="shared" si="95"/>
        <v>0.56738530739533111</v>
      </c>
    </row>
    <row r="981" spans="1:24" ht="14.5" x14ac:dyDescent="0.35">
      <c r="A981" s="52">
        <v>43971</v>
      </c>
      <c r="B981" s="51">
        <v>2056</v>
      </c>
      <c r="C981" s="1">
        <f t="shared" si="96"/>
        <v>0</v>
      </c>
      <c r="R981" s="28">
        <v>980</v>
      </c>
      <c r="S981" s="29">
        <v>1.0787591128997385E-2</v>
      </c>
      <c r="T981" s="41">
        <f t="shared" si="92"/>
        <v>0</v>
      </c>
      <c r="U981" s="4">
        <f t="shared" si="93"/>
        <v>0.57187564364511279</v>
      </c>
      <c r="V981" s="15">
        <f t="shared" si="97"/>
        <v>0.78194888178913735</v>
      </c>
      <c r="W981" s="33">
        <f t="shared" si="94"/>
        <v>0.77879202481396148</v>
      </c>
      <c r="X981" s="4">
        <f t="shared" si="95"/>
        <v>0.57187564364511279</v>
      </c>
    </row>
    <row r="982" spans="1:24" ht="14.5" x14ac:dyDescent="0.35">
      <c r="A982" s="52">
        <v>43970</v>
      </c>
      <c r="B982" s="51">
        <v>2056</v>
      </c>
      <c r="C982" s="1">
        <f t="shared" si="96"/>
        <v>-1.160554612030789E-2</v>
      </c>
      <c r="R982" s="28">
        <v>981</v>
      </c>
      <c r="S982" s="29">
        <v>1.0794245130880394E-2</v>
      </c>
      <c r="T982" s="41">
        <f t="shared" si="92"/>
        <v>0</v>
      </c>
      <c r="U982" s="4">
        <f t="shared" si="93"/>
        <v>0.57222654752244573</v>
      </c>
      <c r="V982" s="15">
        <f t="shared" si="97"/>
        <v>0.78274760383386577</v>
      </c>
      <c r="W982" s="33">
        <f t="shared" si="94"/>
        <v>0.78150626681613722</v>
      </c>
      <c r="X982" s="4">
        <f t="shared" si="95"/>
        <v>0.57222654752244573</v>
      </c>
    </row>
    <row r="983" spans="1:24" ht="14.5" x14ac:dyDescent="0.35">
      <c r="A983" s="52">
        <v>43969</v>
      </c>
      <c r="B983" s="51">
        <v>2080</v>
      </c>
      <c r="C983" s="1">
        <f t="shared" si="96"/>
        <v>4.1723843371399769E-2</v>
      </c>
      <c r="R983" s="28">
        <v>982</v>
      </c>
      <c r="S983" s="29">
        <v>1.0801933032813679E-2</v>
      </c>
      <c r="T983" s="41">
        <f t="shared" si="92"/>
        <v>0</v>
      </c>
      <c r="U983" s="4">
        <f t="shared" si="93"/>
        <v>0.57263197490950946</v>
      </c>
      <c r="V983" s="15">
        <f t="shared" si="97"/>
        <v>0.7835463258785943</v>
      </c>
      <c r="W983" s="33">
        <f t="shared" si="94"/>
        <v>0.78422627851214588</v>
      </c>
      <c r="X983" s="4">
        <f t="shared" si="95"/>
        <v>0.57263197490950946</v>
      </c>
    </row>
    <row r="984" spans="1:24" ht="14.5" x14ac:dyDescent="0.35">
      <c r="A984" s="52">
        <v>43966</v>
      </c>
      <c r="B984" s="51">
        <v>1995</v>
      </c>
      <c r="C984" s="1">
        <f t="shared" si="96"/>
        <v>1.5048911794203067E-3</v>
      </c>
      <c r="R984" s="28">
        <v>983</v>
      </c>
      <c r="S984" s="29">
        <v>1.080442683260383E-2</v>
      </c>
      <c r="T984" s="41">
        <f t="shared" si="92"/>
        <v>0</v>
      </c>
      <c r="U984" s="4">
        <f t="shared" si="93"/>
        <v>0.57276348734834581</v>
      </c>
      <c r="V984" s="15">
        <f t="shared" si="97"/>
        <v>0.78434504792332271</v>
      </c>
      <c r="W984" s="33">
        <f t="shared" si="94"/>
        <v>0.78695210469364352</v>
      </c>
      <c r="X984" s="4">
        <f t="shared" si="95"/>
        <v>0.57276348734834581</v>
      </c>
    </row>
    <row r="985" spans="1:24" ht="14.5" x14ac:dyDescent="0.35">
      <c r="A985" s="52">
        <v>43965</v>
      </c>
      <c r="B985" s="51">
        <v>1992</v>
      </c>
      <c r="C985" s="1">
        <f t="shared" si="96"/>
        <v>-4.0080213975388218E-3</v>
      </c>
      <c r="R985" s="28">
        <v>984</v>
      </c>
      <c r="S985" s="29">
        <v>1.084347974170698E-2</v>
      </c>
      <c r="T985" s="41">
        <f t="shared" si="92"/>
        <v>0</v>
      </c>
      <c r="U985" s="4">
        <f t="shared" si="93"/>
        <v>0.57482297237200053</v>
      </c>
      <c r="V985" s="15">
        <f t="shared" si="97"/>
        <v>0.78514376996805113</v>
      </c>
      <c r="W985" s="33">
        <f t="shared" si="94"/>
        <v>0.7896837906131533</v>
      </c>
      <c r="X985" s="4">
        <f t="shared" si="95"/>
        <v>0.57482297237200053</v>
      </c>
    </row>
    <row r="986" spans="1:24" ht="14.5" x14ac:dyDescent="0.35">
      <c r="A986" s="52">
        <v>43964</v>
      </c>
      <c r="B986" s="51">
        <v>2000</v>
      </c>
      <c r="C986" s="1">
        <f t="shared" si="96"/>
        <v>-2.4692612590371522E-2</v>
      </c>
      <c r="R986" s="28">
        <v>985</v>
      </c>
      <c r="S986" s="29">
        <v>1.0846998299460354E-2</v>
      </c>
      <c r="T986" s="41">
        <f t="shared" si="92"/>
        <v>0</v>
      </c>
      <c r="U986" s="4">
        <f t="shared" si="93"/>
        <v>0.57500852620561627</v>
      </c>
      <c r="V986" s="15">
        <f t="shared" si="97"/>
        <v>0.78594249201277955</v>
      </c>
      <c r="W986" s="33">
        <f t="shared" si="94"/>
        <v>0.79242138199076739</v>
      </c>
      <c r="X986" s="4">
        <f t="shared" si="95"/>
        <v>0.57500852620561627</v>
      </c>
    </row>
    <row r="987" spans="1:24" ht="14.5" x14ac:dyDescent="0.35">
      <c r="A987" s="52">
        <v>43963</v>
      </c>
      <c r="B987" s="51">
        <v>2050</v>
      </c>
      <c r="C987" s="1">
        <f t="shared" si="96"/>
        <v>9.7608597305545892E-4</v>
      </c>
      <c r="R987" s="28">
        <v>986</v>
      </c>
      <c r="S987" s="29">
        <v>1.087361202900098E-2</v>
      </c>
      <c r="T987" s="41">
        <f t="shared" si="92"/>
        <v>0</v>
      </c>
      <c r="U987" s="4">
        <f t="shared" si="93"/>
        <v>0.57641202158332916</v>
      </c>
      <c r="V987" s="15">
        <f t="shared" si="97"/>
        <v>0.78674121405750796</v>
      </c>
      <c r="W987" s="33">
        <f t="shared" si="94"/>
        <v>0.79516492502096592</v>
      </c>
      <c r="X987" s="4">
        <f t="shared" si="95"/>
        <v>0.57641202158332916</v>
      </c>
    </row>
    <row r="988" spans="1:24" ht="14.5" x14ac:dyDescent="0.35">
      <c r="A988" s="52">
        <v>43962</v>
      </c>
      <c r="B988" s="51">
        <v>2048</v>
      </c>
      <c r="C988" s="1">
        <f t="shared" si="96"/>
        <v>2.9339874347875704E-3</v>
      </c>
      <c r="R988" s="28">
        <v>987</v>
      </c>
      <c r="S988" s="29">
        <v>1.087421840437109E-2</v>
      </c>
      <c r="T988" s="41">
        <f t="shared" si="92"/>
        <v>0</v>
      </c>
      <c r="U988" s="4">
        <f t="shared" si="93"/>
        <v>0.5764439992521414</v>
      </c>
      <c r="V988" s="15">
        <f t="shared" si="97"/>
        <v>0.78753993610223638</v>
      </c>
      <c r="W988" s="33">
        <f t="shared" si="94"/>
        <v>0.79791446637956975</v>
      </c>
      <c r="X988" s="4">
        <f t="shared" si="95"/>
        <v>0.5764439992521414</v>
      </c>
    </row>
    <row r="989" spans="1:24" ht="14.5" x14ac:dyDescent="0.35">
      <c r="A989" s="52">
        <v>43959</v>
      </c>
      <c r="B989" s="51">
        <v>2042</v>
      </c>
      <c r="C989" s="1">
        <f t="shared" si="96"/>
        <v>-1.9569477869609241E-3</v>
      </c>
      <c r="R989" s="28">
        <v>988</v>
      </c>
      <c r="S989" s="29">
        <v>1.0901575469843402E-2</v>
      </c>
      <c r="T989" s="41">
        <f t="shared" si="92"/>
        <v>0</v>
      </c>
      <c r="U989" s="4">
        <f t="shared" si="93"/>
        <v>0.57788669501860923</v>
      </c>
      <c r="V989" s="15">
        <f t="shared" si="97"/>
        <v>0.78833865814696491</v>
      </c>
      <c r="W989" s="33">
        <f t="shared" si="94"/>
        <v>0.80067005323081231</v>
      </c>
      <c r="X989" s="4">
        <f t="shared" si="95"/>
        <v>0.57788669501860923</v>
      </c>
    </row>
    <row r="990" spans="1:24" ht="14.5" x14ac:dyDescent="0.35">
      <c r="A990" s="52">
        <v>43958</v>
      </c>
      <c r="B990" s="51">
        <v>2046</v>
      </c>
      <c r="C990" s="1">
        <f t="shared" si="96"/>
        <v>2.9368596733097057E-3</v>
      </c>
      <c r="R990" s="28">
        <v>989</v>
      </c>
      <c r="S990" s="29">
        <v>1.0939940038334263E-2</v>
      </c>
      <c r="T990" s="41">
        <f t="shared" si="92"/>
        <v>0</v>
      </c>
      <c r="U990" s="4">
        <f t="shared" si="93"/>
        <v>0.57990987987373011</v>
      </c>
      <c r="V990" s="15">
        <f t="shared" si="97"/>
        <v>0.78913738019169333</v>
      </c>
      <c r="W990" s="33">
        <f t="shared" si="94"/>
        <v>0.80343173323454686</v>
      </c>
      <c r="X990" s="4">
        <f t="shared" si="95"/>
        <v>0.57990987987373011</v>
      </c>
    </row>
    <row r="991" spans="1:24" ht="14.5" x14ac:dyDescent="0.35">
      <c r="A991" s="52">
        <v>43957</v>
      </c>
      <c r="B991" s="51">
        <v>2040</v>
      </c>
      <c r="C991" s="1">
        <f t="shared" si="96"/>
        <v>-4.8899852941917919E-3</v>
      </c>
      <c r="R991" s="28">
        <v>990</v>
      </c>
      <c r="S991" s="29">
        <v>1.094402167931721E-2</v>
      </c>
      <c r="T991" s="41">
        <f t="shared" si="92"/>
        <v>0</v>
      </c>
      <c r="U991" s="4">
        <f t="shared" si="93"/>
        <v>0.58012512833202323</v>
      </c>
      <c r="V991" s="15">
        <f t="shared" si="97"/>
        <v>0.78993610223642174</v>
      </c>
      <c r="W991" s="33">
        <f t="shared" si="94"/>
        <v>0.80619955455358372</v>
      </c>
      <c r="X991" s="4">
        <f t="shared" si="95"/>
        <v>0.58012512833202323</v>
      </c>
    </row>
    <row r="992" spans="1:24" ht="14.5" x14ac:dyDescent="0.35">
      <c r="A992" s="52">
        <v>43956</v>
      </c>
      <c r="B992" s="51">
        <v>2050</v>
      </c>
      <c r="C992" s="1">
        <f t="shared" si="96"/>
        <v>8.8192634340813359E-3</v>
      </c>
      <c r="R992" s="28">
        <v>991</v>
      </c>
      <c r="S992" s="29">
        <v>1.0953012019197145E-2</v>
      </c>
      <c r="T992" s="41">
        <f t="shared" si="92"/>
        <v>0</v>
      </c>
      <c r="U992" s="4">
        <f t="shared" si="93"/>
        <v>0.58059924078012248</v>
      </c>
      <c r="V992" s="15">
        <f t="shared" si="97"/>
        <v>0.79073482428115016</v>
      </c>
      <c r="W992" s="33">
        <f t="shared" si="94"/>
        <v>0.80897356586116487</v>
      </c>
      <c r="X992" s="4">
        <f t="shared" si="95"/>
        <v>0.58059924078012248</v>
      </c>
    </row>
    <row r="993" spans="1:24" ht="14.5" x14ac:dyDescent="0.35">
      <c r="A993" s="52">
        <v>43955</v>
      </c>
      <c r="B993" s="51">
        <v>2032</v>
      </c>
      <c r="C993" s="1">
        <f t="shared" si="96"/>
        <v>-4.9091900262384081E-3</v>
      </c>
      <c r="R993" s="28">
        <v>992</v>
      </c>
      <c r="S993" s="29">
        <v>1.0984478845298302E-2</v>
      </c>
      <c r="T993" s="41">
        <f t="shared" si="92"/>
        <v>0</v>
      </c>
      <c r="U993" s="4">
        <f t="shared" si="93"/>
        <v>0.58225866791591174</v>
      </c>
      <c r="V993" s="15">
        <f t="shared" si="97"/>
        <v>0.79153354632587858</v>
      </c>
      <c r="W993" s="33">
        <f t="shared" si="94"/>
        <v>0.81175381634857624</v>
      </c>
      <c r="X993" s="4">
        <f t="shared" si="95"/>
        <v>0.58225866791591174</v>
      </c>
    </row>
    <row r="994" spans="1:24" ht="14.5" x14ac:dyDescent="0.35">
      <c r="A994" s="52">
        <v>43951</v>
      </c>
      <c r="B994" s="51">
        <v>2042</v>
      </c>
      <c r="C994" s="1">
        <f t="shared" si="96"/>
        <v>-3.9100734078430007E-3</v>
      </c>
      <c r="R994" s="28">
        <v>993</v>
      </c>
      <c r="S994" s="29">
        <v>1.1036286142885859E-2</v>
      </c>
      <c r="T994" s="41">
        <f t="shared" si="92"/>
        <v>0</v>
      </c>
      <c r="U994" s="4">
        <f t="shared" si="93"/>
        <v>0.5849907653690305</v>
      </c>
      <c r="V994" s="15">
        <f t="shared" si="97"/>
        <v>0.792332268370607</v>
      </c>
      <c r="W994" s="33">
        <f t="shared" si="94"/>
        <v>0.81454035573290584</v>
      </c>
      <c r="X994" s="4">
        <f t="shared" si="95"/>
        <v>0.5849907653690305</v>
      </c>
    </row>
    <row r="995" spans="1:24" ht="14.5" x14ac:dyDescent="0.35">
      <c r="A995" s="52">
        <v>43950</v>
      </c>
      <c r="B995" s="51">
        <v>2050</v>
      </c>
      <c r="C995" s="1">
        <f t="shared" si="96"/>
        <v>3.5248126529888055E-2</v>
      </c>
      <c r="R995" s="28">
        <v>994</v>
      </c>
      <c r="S995" s="29">
        <v>1.1265609194219086E-2</v>
      </c>
      <c r="T995" s="41">
        <f t="shared" si="92"/>
        <v>0</v>
      </c>
      <c r="U995" s="4">
        <f t="shared" si="93"/>
        <v>0.5970842918346807</v>
      </c>
      <c r="V995" s="15">
        <f t="shared" si="97"/>
        <v>0.79313099041533541</v>
      </c>
      <c r="W995" s="33">
        <f t="shared" si="94"/>
        <v>0.81733323426494164</v>
      </c>
      <c r="X995" s="4">
        <f t="shared" si="95"/>
        <v>0.5970842918346807</v>
      </c>
    </row>
    <row r="996" spans="1:24" ht="14.5" x14ac:dyDescent="0.35">
      <c r="A996" s="52">
        <v>43949</v>
      </c>
      <c r="B996" s="51">
        <v>1979</v>
      </c>
      <c r="C996" s="1">
        <f t="shared" si="96"/>
        <v>-1.2553516602189743E-2</v>
      </c>
      <c r="R996" s="28">
        <v>995</v>
      </c>
      <c r="S996" s="29">
        <v>1.1322132269779725E-2</v>
      </c>
      <c r="T996" s="41">
        <f t="shared" si="92"/>
        <v>0</v>
      </c>
      <c r="U996" s="4">
        <f t="shared" si="93"/>
        <v>0.60006507944516496</v>
      </c>
      <c r="V996" s="15">
        <f t="shared" si="97"/>
        <v>0.79392971246006394</v>
      </c>
      <c r="W996" s="33">
        <f t="shared" si="94"/>
        <v>0.82013250273722149</v>
      </c>
      <c r="X996" s="4">
        <f t="shared" si="95"/>
        <v>0.60006507944516496</v>
      </c>
    </row>
    <row r="997" spans="1:24" ht="14.5" x14ac:dyDescent="0.35">
      <c r="A997" s="52">
        <v>43948</v>
      </c>
      <c r="B997" s="51">
        <v>2004</v>
      </c>
      <c r="C997" s="1">
        <f t="shared" si="96"/>
        <v>-2.9895388483660483E-3</v>
      </c>
      <c r="R997" s="28">
        <v>996</v>
      </c>
      <c r="S997" s="29">
        <v>1.1339597057581665E-2</v>
      </c>
      <c r="T997" s="41">
        <f t="shared" si="92"/>
        <v>0</v>
      </c>
      <c r="U997" s="4">
        <f t="shared" si="93"/>
        <v>0.60098609838448125</v>
      </c>
      <c r="V997" s="15">
        <f t="shared" si="97"/>
        <v>0.79472843450479236</v>
      </c>
      <c r="W997" s="33">
        <f t="shared" si="94"/>
        <v>0.82293821249223731</v>
      </c>
      <c r="X997" s="4">
        <f t="shared" si="95"/>
        <v>0.60098609838448125</v>
      </c>
    </row>
    <row r="998" spans="1:24" ht="14.5" x14ac:dyDescent="0.35">
      <c r="A998" s="52">
        <v>43945</v>
      </c>
      <c r="B998" s="51">
        <v>2010</v>
      </c>
      <c r="C998" s="1">
        <f t="shared" si="96"/>
        <v>0</v>
      </c>
      <c r="R998" s="28">
        <v>997</v>
      </c>
      <c r="S998" s="29">
        <v>1.1363758650315003E-2</v>
      </c>
      <c r="T998" s="41">
        <f t="shared" si="92"/>
        <v>0</v>
      </c>
      <c r="U998" s="4">
        <f t="shared" si="93"/>
        <v>0.60226027845261709</v>
      </c>
      <c r="V998" s="15">
        <f t="shared" si="97"/>
        <v>0.79552715654952078</v>
      </c>
      <c r="W998" s="33">
        <f t="shared" si="94"/>
        <v>0.82575041543078953</v>
      </c>
      <c r="X998" s="4">
        <f t="shared" si="95"/>
        <v>0.60226027845261709</v>
      </c>
    </row>
    <row r="999" spans="1:24" ht="14.5" x14ac:dyDescent="0.35">
      <c r="A999" s="52">
        <v>43944</v>
      </c>
      <c r="B999" s="51">
        <v>2010</v>
      </c>
      <c r="C999" s="1">
        <f t="shared" si="96"/>
        <v>1.0000083334583399E-2</v>
      </c>
      <c r="R999" s="28">
        <v>998</v>
      </c>
      <c r="S999" s="29">
        <v>1.139397058705351E-2</v>
      </c>
      <c r="T999" s="41">
        <f t="shared" si="92"/>
        <v>0</v>
      </c>
      <c r="U999" s="4">
        <f t="shared" si="93"/>
        <v>0.6038535280383065</v>
      </c>
      <c r="V999" s="15">
        <f t="shared" si="97"/>
        <v>0.79632587859424919</v>
      </c>
      <c r="W999" s="33">
        <f t="shared" si="94"/>
        <v>0.82856916402050429</v>
      </c>
      <c r="X999" s="4">
        <f t="shared" si="95"/>
        <v>0.6038535280383065</v>
      </c>
    </row>
    <row r="1000" spans="1:24" ht="14.5" x14ac:dyDescent="0.35">
      <c r="A1000" s="52">
        <v>43943</v>
      </c>
      <c r="B1000" s="51">
        <v>1990</v>
      </c>
      <c r="C1000" s="1">
        <f t="shared" si="96"/>
        <v>4.4703050422388486E-2</v>
      </c>
      <c r="R1000" s="28">
        <v>999</v>
      </c>
      <c r="S1000" s="29">
        <v>1.1451792378772615E-2</v>
      </c>
      <c r="T1000" s="41">
        <f t="shared" si="92"/>
        <v>0</v>
      </c>
      <c r="U1000" s="4">
        <f t="shared" si="93"/>
        <v>0.60690280443848044</v>
      </c>
      <c r="V1000" s="15">
        <f t="shared" si="97"/>
        <v>0.79712460063897761</v>
      </c>
      <c r="W1000" s="33">
        <f t="shared" si="94"/>
        <v>0.83139451130451492</v>
      </c>
      <c r="X1000" s="4">
        <f t="shared" si="95"/>
        <v>0.60690280443848044</v>
      </c>
    </row>
    <row r="1001" spans="1:24" ht="14.5" x14ac:dyDescent="0.35">
      <c r="A1001" s="52">
        <v>43942</v>
      </c>
      <c r="B1001" s="51">
        <v>1903</v>
      </c>
      <c r="C1001" s="1">
        <f t="shared" si="96"/>
        <v>-5.4703133756971958E-2</v>
      </c>
      <c r="R1001" s="28">
        <v>1000</v>
      </c>
      <c r="S1001" s="29">
        <v>1.1510918466140272E-2</v>
      </c>
      <c r="T1001" s="41">
        <f t="shared" si="92"/>
        <v>0</v>
      </c>
      <c r="U1001" s="4">
        <f t="shared" si="93"/>
        <v>0.61002086386702037</v>
      </c>
      <c r="V1001" s="15">
        <f t="shared" si="97"/>
        <v>0.79792332268370603</v>
      </c>
      <c r="W1001" s="33">
        <f t="shared" si="94"/>
        <v>0.83422651091030342</v>
      </c>
      <c r="X1001" s="4">
        <f t="shared" si="95"/>
        <v>0.61002086386702037</v>
      </c>
    </row>
    <row r="1002" spans="1:24" ht="14.5" x14ac:dyDescent="0.35">
      <c r="A1002" s="52">
        <v>43941</v>
      </c>
      <c r="B1002" s="51">
        <v>2010</v>
      </c>
      <c r="C1002" s="1">
        <f t="shared" si="96"/>
        <v>-3.2308243232657775E-2</v>
      </c>
      <c r="R1002" s="28">
        <v>1001</v>
      </c>
      <c r="S1002" s="29">
        <v>1.1542625529117672E-2</v>
      </c>
      <c r="T1002" s="41">
        <f t="shared" si="92"/>
        <v>0</v>
      </c>
      <c r="U1002" s="4">
        <f t="shared" si="93"/>
        <v>0.61169296007817731</v>
      </c>
      <c r="V1002" s="15">
        <f t="shared" si="97"/>
        <v>0.79872204472843455</v>
      </c>
      <c r="W1002" s="33">
        <f t="shared" si="94"/>
        <v>0.83706521705872317</v>
      </c>
      <c r="X1002" s="4">
        <f t="shared" si="95"/>
        <v>0.61169296007817731</v>
      </c>
    </row>
    <row r="1003" spans="1:24" ht="14.5" x14ac:dyDescent="0.35">
      <c r="A1003" s="52">
        <v>43938</v>
      </c>
      <c r="B1003" s="51">
        <v>2076</v>
      </c>
      <c r="C1003" s="1">
        <f t="shared" si="96"/>
        <v>2.7345453890528837E-2</v>
      </c>
      <c r="R1003" s="28">
        <v>1002</v>
      </c>
      <c r="S1003" s="29">
        <v>1.1632016202499162E-2</v>
      </c>
      <c r="T1003" s="41">
        <f t="shared" si="92"/>
        <v>0</v>
      </c>
      <c r="U1003" s="4">
        <f t="shared" si="93"/>
        <v>0.6164070455921995</v>
      </c>
      <c r="V1003" s="15">
        <f t="shared" si="97"/>
        <v>0.79952076677316297</v>
      </c>
      <c r="W1003" s="33">
        <f t="shared" si="94"/>
        <v>0.83991068457318152</v>
      </c>
      <c r="X1003" s="4">
        <f t="shared" si="95"/>
        <v>0.6164070455921995</v>
      </c>
    </row>
    <row r="1004" spans="1:24" ht="14.5" x14ac:dyDescent="0.35">
      <c r="A1004" s="52">
        <v>43937</v>
      </c>
      <c r="B1004" s="51">
        <v>2020</v>
      </c>
      <c r="C1004" s="1">
        <f t="shared" si="96"/>
        <v>-4.9382816405825663E-3</v>
      </c>
      <c r="R1004" s="28">
        <v>1003</v>
      </c>
      <c r="S1004" s="29">
        <v>1.1661939747842957E-2</v>
      </c>
      <c r="T1004" s="41">
        <f t="shared" si="92"/>
        <v>0</v>
      </c>
      <c r="U1004" s="4">
        <f t="shared" si="93"/>
        <v>0.61798508663716811</v>
      </c>
      <c r="V1004" s="15">
        <f t="shared" si="97"/>
        <v>0.80031948881789139</v>
      </c>
      <c r="W1004" s="33">
        <f t="shared" si="94"/>
        <v>0.84276296888901658</v>
      </c>
      <c r="X1004" s="4">
        <f t="shared" si="95"/>
        <v>0.61798508663716811</v>
      </c>
    </row>
    <row r="1005" spans="1:24" ht="14.5" x14ac:dyDescent="0.35">
      <c r="A1005" s="52">
        <v>43936</v>
      </c>
      <c r="B1005" s="51">
        <v>2030</v>
      </c>
      <c r="C1005" s="1">
        <f t="shared" si="96"/>
        <v>-7.5865750774713483E-2</v>
      </c>
      <c r="R1005" s="28">
        <v>1004</v>
      </c>
      <c r="S1005" s="29">
        <v>1.1747565349950235E-2</v>
      </c>
      <c r="T1005" s="41">
        <f t="shared" si="92"/>
        <v>0</v>
      </c>
      <c r="U1005" s="4">
        <f t="shared" si="93"/>
        <v>0.62250061823855474</v>
      </c>
      <c r="V1005" s="15">
        <f t="shared" si="97"/>
        <v>0.80111821086261981</v>
      </c>
      <c r="W1005" s="33">
        <f t="shared" si="94"/>
        <v>0.84562212606304721</v>
      </c>
      <c r="X1005" s="4">
        <f t="shared" si="95"/>
        <v>0.62250061823855474</v>
      </c>
    </row>
    <row r="1006" spans="1:24" ht="14.5" x14ac:dyDescent="0.35">
      <c r="A1006" s="52">
        <v>43935</v>
      </c>
      <c r="B1006" s="51">
        <v>2190</v>
      </c>
      <c r="C1006" s="1">
        <f t="shared" si="96"/>
        <v>6.8992871486951421E-2</v>
      </c>
      <c r="R1006" s="28">
        <v>1005</v>
      </c>
      <c r="S1006" s="29">
        <v>1.1842701975935158E-2</v>
      </c>
      <c r="T1006" s="41">
        <f t="shared" si="92"/>
        <v>0</v>
      </c>
      <c r="U1006" s="4">
        <f t="shared" si="93"/>
        <v>0.62751772095680469</v>
      </c>
      <c r="V1006" s="15">
        <f t="shared" si="97"/>
        <v>0.80191693290734822</v>
      </c>
      <c r="W1006" s="33">
        <f t="shared" si="94"/>
        <v>0.84848821278331166</v>
      </c>
      <c r="X1006" s="4">
        <f t="shared" si="95"/>
        <v>0.62751772095680469</v>
      </c>
    </row>
    <row r="1007" spans="1:24" ht="14.5" x14ac:dyDescent="0.35">
      <c r="A1007" s="52">
        <v>43930</v>
      </c>
      <c r="B1007" s="51">
        <v>2044</v>
      </c>
      <c r="C1007" s="1">
        <f t="shared" si="96"/>
        <v>5.1705368154584888E-2</v>
      </c>
      <c r="R1007" s="28">
        <v>1006</v>
      </c>
      <c r="S1007" s="29">
        <v>1.1857846450783468E-2</v>
      </c>
      <c r="T1007" s="41">
        <f t="shared" si="92"/>
        <v>0</v>
      </c>
      <c r="U1007" s="4">
        <f t="shared" si="93"/>
        <v>0.62831637641826676</v>
      </c>
      <c r="V1007" s="15">
        <f t="shared" si="97"/>
        <v>0.80271565495207664</v>
      </c>
      <c r="W1007" s="33">
        <f t="shared" si="94"/>
        <v>0.85136128637899944</v>
      </c>
      <c r="X1007" s="4">
        <f t="shared" si="95"/>
        <v>0.62831637641826676</v>
      </c>
    </row>
    <row r="1008" spans="1:24" ht="14.5" x14ac:dyDescent="0.35">
      <c r="A1008" s="52">
        <v>43929</v>
      </c>
      <c r="B1008" s="51">
        <v>1941</v>
      </c>
      <c r="C1008" s="1">
        <f t="shared" si="96"/>
        <v>1.6100062128334699E-2</v>
      </c>
      <c r="R1008" s="28">
        <v>1007</v>
      </c>
      <c r="S1008" s="29">
        <v>1.1912781516241961E-2</v>
      </c>
      <c r="T1008" s="41">
        <f t="shared" si="92"/>
        <v>0</v>
      </c>
      <c r="U1008" s="4">
        <f t="shared" si="93"/>
        <v>0.63121341910173046</v>
      </c>
      <c r="V1008" s="15">
        <f t="shared" si="97"/>
        <v>0.80351437699680506</v>
      </c>
      <c r="W1008" s="33">
        <f t="shared" si="94"/>
        <v>0.85424140483057875</v>
      </c>
      <c r="X1008" s="4">
        <f t="shared" si="95"/>
        <v>0.63121341910173046</v>
      </c>
    </row>
    <row r="1009" spans="1:24" ht="14.5" x14ac:dyDescent="0.35">
      <c r="A1009" s="52">
        <v>43928</v>
      </c>
      <c r="B1009" s="51">
        <v>1910</v>
      </c>
      <c r="C1009" s="1">
        <f t="shared" si="96"/>
        <v>-2.9914556571523126E-2</v>
      </c>
      <c r="R1009" s="28">
        <v>1008</v>
      </c>
      <c r="S1009" s="29">
        <v>1.1984634104622418E-2</v>
      </c>
      <c r="T1009" s="41">
        <f t="shared" si="92"/>
        <v>0</v>
      </c>
      <c r="U1009" s="4">
        <f t="shared" si="93"/>
        <v>0.63500262029259491</v>
      </c>
      <c r="V1009" s="15">
        <f t="shared" si="97"/>
        <v>0.80431309904153359</v>
      </c>
      <c r="W1009" s="33">
        <f t="shared" si="94"/>
        <v>0.85712862678012414</v>
      </c>
      <c r="X1009" s="4">
        <f t="shared" si="95"/>
        <v>0.63500262029259491</v>
      </c>
    </row>
    <row r="1010" spans="1:24" ht="14.5" x14ac:dyDescent="0.35">
      <c r="A1010" s="52">
        <v>43927</v>
      </c>
      <c r="B1010" s="51">
        <v>1968</v>
      </c>
      <c r="C1010" s="1">
        <f t="shared" si="96"/>
        <v>4.3089977730087617E-2</v>
      </c>
      <c r="R1010" s="28">
        <v>1009</v>
      </c>
      <c r="S1010" s="29">
        <v>1.1994146785819242E-2</v>
      </c>
      <c r="T1010" s="41">
        <f t="shared" si="92"/>
        <v>0</v>
      </c>
      <c r="U1010" s="4">
        <f t="shared" si="93"/>
        <v>0.63550427880945248</v>
      </c>
      <c r="V1010" s="15">
        <f t="shared" si="97"/>
        <v>0.805111821086262</v>
      </c>
      <c r="W1010" s="33">
        <f t="shared" si="94"/>
        <v>0.86002301154184813</v>
      </c>
      <c r="X1010" s="4">
        <f t="shared" si="95"/>
        <v>0.63550427880945248</v>
      </c>
    </row>
    <row r="1011" spans="1:24" ht="14.5" x14ac:dyDescent="0.35">
      <c r="A1011" s="52">
        <v>43924</v>
      </c>
      <c r="B1011" s="51">
        <v>1885</v>
      </c>
      <c r="C1011" s="1">
        <f t="shared" si="96"/>
        <v>-5.9219359659971216E-2</v>
      </c>
      <c r="R1011" s="28">
        <v>1010</v>
      </c>
      <c r="S1011" s="29">
        <v>1.2069724087330543E-2</v>
      </c>
      <c r="T1011" s="41">
        <f t="shared" si="92"/>
        <v>0</v>
      </c>
      <c r="U1011" s="4">
        <f t="shared" si="93"/>
        <v>0.63948990559540175</v>
      </c>
      <c r="V1011" s="15">
        <f t="shared" si="97"/>
        <v>0.80591054313099042</v>
      </c>
      <c r="W1011" s="33">
        <f t="shared" si="94"/>
        <v>0.86292461911284923</v>
      </c>
      <c r="X1011" s="4">
        <f t="shared" si="95"/>
        <v>0.63948990559540175</v>
      </c>
    </row>
    <row r="1012" spans="1:24" ht="14.5" x14ac:dyDescent="0.35">
      <c r="A1012" s="52">
        <v>43923</v>
      </c>
      <c r="B1012" s="51">
        <v>2000</v>
      </c>
      <c r="C1012" s="1">
        <f t="shared" si="96"/>
        <v>5.7099592040572897E-2</v>
      </c>
      <c r="R1012" s="28">
        <v>1011</v>
      </c>
      <c r="S1012" s="29">
        <v>1.2092045765028772E-2</v>
      </c>
      <c r="T1012" s="41">
        <f t="shared" si="92"/>
        <v>0</v>
      </c>
      <c r="U1012" s="4">
        <f t="shared" si="93"/>
        <v>0.64066705633725629</v>
      </c>
      <c r="V1012" s="15">
        <f t="shared" si="97"/>
        <v>0.80670926517571884</v>
      </c>
      <c r="W1012" s="33">
        <f t="shared" si="94"/>
        <v>0.86583351018407173</v>
      </c>
      <c r="X1012" s="4">
        <f t="shared" si="95"/>
        <v>0.64066705633725629</v>
      </c>
    </row>
    <row r="1013" spans="1:24" ht="14.5" x14ac:dyDescent="0.35">
      <c r="A1013" s="52">
        <v>43922</v>
      </c>
      <c r="B1013" s="51">
        <v>1889</v>
      </c>
      <c r="C1013" s="1">
        <f t="shared" si="96"/>
        <v>-2.1472414397421671E-2</v>
      </c>
      <c r="R1013" s="28">
        <v>1012</v>
      </c>
      <c r="S1013" s="29">
        <v>1.2105057026275397E-2</v>
      </c>
      <c r="T1013" s="41">
        <f t="shared" si="92"/>
        <v>0</v>
      </c>
      <c r="U1013" s="4">
        <f t="shared" si="93"/>
        <v>0.64135321514825572</v>
      </c>
      <c r="V1013" s="15">
        <f t="shared" si="97"/>
        <v>0.80750798722044725</v>
      </c>
      <c r="W1013" s="33">
        <f t="shared" si="94"/>
        <v>0.86874974615148604</v>
      </c>
      <c r="X1013" s="4">
        <f t="shared" si="95"/>
        <v>0.64135321514825572</v>
      </c>
    </row>
    <row r="1014" spans="1:24" ht="14.5" x14ac:dyDescent="0.35">
      <c r="A1014" s="52">
        <v>43921</v>
      </c>
      <c r="B1014" s="51">
        <v>1930</v>
      </c>
      <c r="C1014" s="1">
        <f t="shared" si="96"/>
        <v>4.2875050511806366E-2</v>
      </c>
      <c r="R1014" s="28">
        <v>1013</v>
      </c>
      <c r="S1014" s="29">
        <v>1.2170535620255114E-2</v>
      </c>
      <c r="T1014" s="41">
        <f t="shared" si="92"/>
        <v>0</v>
      </c>
      <c r="U1014" s="4">
        <f t="shared" si="93"/>
        <v>0.64480627887047437</v>
      </c>
      <c r="V1014" s="15">
        <f t="shared" si="97"/>
        <v>0.80830670926517567</v>
      </c>
      <c r="W1014" s="33">
        <f t="shared" si="94"/>
        <v>0.87167338912749104</v>
      </c>
      <c r="X1014" s="4">
        <f t="shared" si="95"/>
        <v>0.64480627887047437</v>
      </c>
    </row>
    <row r="1015" spans="1:24" ht="14.5" x14ac:dyDescent="0.35">
      <c r="A1015" s="52">
        <v>43920</v>
      </c>
      <c r="B1015" s="51">
        <v>1849</v>
      </c>
      <c r="C1015" s="1">
        <f t="shared" si="96"/>
        <v>-1.9282868494986304E-2</v>
      </c>
      <c r="R1015" s="28">
        <v>1014</v>
      </c>
      <c r="S1015" s="29">
        <v>1.221718393859185E-2</v>
      </c>
      <c r="T1015" s="41">
        <f t="shared" si="92"/>
        <v>0</v>
      </c>
      <c r="U1015" s="4">
        <f t="shared" si="93"/>
        <v>0.64726631360794884</v>
      </c>
      <c r="V1015" s="15">
        <f t="shared" si="97"/>
        <v>0.8091054313099042</v>
      </c>
      <c r="W1015" s="33">
        <f t="shared" si="94"/>
        <v>0.87460450195256512</v>
      </c>
      <c r="X1015" s="4">
        <f t="shared" si="95"/>
        <v>0.64726631360794884</v>
      </c>
    </row>
    <row r="1016" spans="1:24" ht="14.5" x14ac:dyDescent="0.35">
      <c r="A1016" s="52">
        <v>43917</v>
      </c>
      <c r="B1016" s="51">
        <v>1885</v>
      </c>
      <c r="C1016" s="1">
        <f t="shared" si="96"/>
        <v>9.5949563403885194E-3</v>
      </c>
      <c r="R1016" s="28">
        <v>1015</v>
      </c>
      <c r="S1016" s="29">
        <v>1.2220111334775397E-2</v>
      </c>
      <c r="T1016" s="41">
        <f t="shared" si="92"/>
        <v>0</v>
      </c>
      <c r="U1016" s="4">
        <f t="shared" si="93"/>
        <v>0.64742069208414377</v>
      </c>
      <c r="V1016" s="15">
        <f t="shared" si="97"/>
        <v>0.80990415335463262</v>
      </c>
      <c r="W1016" s="33">
        <f t="shared" si="94"/>
        <v>0.87754314820713331</v>
      </c>
      <c r="X1016" s="4">
        <f t="shared" si="95"/>
        <v>0.64742069208414377</v>
      </c>
    </row>
    <row r="1017" spans="1:24" ht="14.5" x14ac:dyDescent="0.35">
      <c r="A1017" s="52">
        <v>43916</v>
      </c>
      <c r="B1017" s="51">
        <v>1867</v>
      </c>
      <c r="C1017" s="1">
        <f t="shared" si="96"/>
        <v>-2.1722708466509234E-2</v>
      </c>
      <c r="R1017" s="28">
        <v>1016</v>
      </c>
      <c r="S1017" s="29">
        <v>1.2243581105711408E-2</v>
      </c>
      <c r="T1017" s="41">
        <f t="shared" si="92"/>
        <v>0</v>
      </c>
      <c r="U1017" s="4">
        <f t="shared" si="93"/>
        <v>0.64865838840079082</v>
      </c>
      <c r="V1017" s="15">
        <f t="shared" si="97"/>
        <v>0.81070287539936103</v>
      </c>
      <c r="W1017" s="33">
        <f t="shared" si="94"/>
        <v>0.88048939222369371</v>
      </c>
      <c r="X1017" s="4">
        <f t="shared" si="95"/>
        <v>0.64865838840079082</v>
      </c>
    </row>
    <row r="1018" spans="1:24" ht="14.5" x14ac:dyDescent="0.35">
      <c r="A1018" s="52">
        <v>43915</v>
      </c>
      <c r="B1018" s="51">
        <v>1908</v>
      </c>
      <c r="C1018" s="1">
        <f t="shared" si="96"/>
        <v>-4.7091607533850569E-2</v>
      </c>
      <c r="R1018" s="28">
        <v>1017</v>
      </c>
      <c r="S1018" s="29">
        <v>1.2243581105711408E-2</v>
      </c>
      <c r="T1018" s="41">
        <f t="shared" si="92"/>
        <v>0</v>
      </c>
      <c r="U1018" s="4">
        <f t="shared" si="93"/>
        <v>0.64865838840079082</v>
      </c>
      <c r="V1018" s="15">
        <f t="shared" si="97"/>
        <v>0.81150159744408945</v>
      </c>
      <c r="W1018" s="33">
        <f t="shared" si="94"/>
        <v>0.88344329909918407</v>
      </c>
      <c r="X1018" s="4">
        <f t="shared" si="95"/>
        <v>0.64865838840079082</v>
      </c>
    </row>
    <row r="1019" spans="1:24" ht="14.5" x14ac:dyDescent="0.35">
      <c r="A1019" s="52">
        <v>43914</v>
      </c>
      <c r="B1019" s="51">
        <v>2000</v>
      </c>
      <c r="C1019" s="1">
        <f t="shared" si="96"/>
        <v>6.6674133267992666E-2</v>
      </c>
      <c r="R1019" s="28">
        <v>1018</v>
      </c>
      <c r="S1019" s="29">
        <v>1.2287830793693279E-2</v>
      </c>
      <c r="T1019" s="41">
        <f t="shared" si="92"/>
        <v>0</v>
      </c>
      <c r="U1019" s="4">
        <f t="shared" si="93"/>
        <v>0.65099192953237073</v>
      </c>
      <c r="V1019" s="15">
        <f t="shared" si="97"/>
        <v>0.81230031948881787</v>
      </c>
      <c r="W1019" s="33">
        <f t="shared" si="94"/>
        <v>0.88640493470760906</v>
      </c>
      <c r="X1019" s="4">
        <f t="shared" si="95"/>
        <v>0.65099192953237073</v>
      </c>
    </row>
    <row r="1020" spans="1:24" ht="14.5" x14ac:dyDescent="0.35">
      <c r="A1020" s="52">
        <v>43913</v>
      </c>
      <c r="B1020" s="51">
        <v>1871</v>
      </c>
      <c r="C1020" s="1">
        <f t="shared" si="96"/>
        <v>1.5621109458837467E-2</v>
      </c>
      <c r="R1020" s="28">
        <v>1019</v>
      </c>
      <c r="S1020" s="29">
        <v>1.2337373759840784E-2</v>
      </c>
      <c r="T1020" s="41">
        <f t="shared" si="92"/>
        <v>0</v>
      </c>
      <c r="U1020" s="4">
        <f t="shared" si="93"/>
        <v>0.65360461573556039</v>
      </c>
      <c r="V1020" s="15">
        <f t="shared" si="97"/>
        <v>0.81309904153354629</v>
      </c>
      <c r="W1020" s="33">
        <f t="shared" si="94"/>
        <v>0.88937436571293493</v>
      </c>
      <c r="X1020" s="4">
        <f t="shared" si="95"/>
        <v>0.65360461573556039</v>
      </c>
    </row>
    <row r="1021" spans="1:24" ht="14.5" x14ac:dyDescent="0.35">
      <c r="A1021" s="52">
        <v>43910</v>
      </c>
      <c r="B1021" s="51">
        <v>1842</v>
      </c>
      <c r="C1021" s="1">
        <f t="shared" si="96"/>
        <v>0.12534412205141435</v>
      </c>
      <c r="R1021" s="28">
        <v>1020</v>
      </c>
      <c r="S1021" s="29">
        <v>1.2340757192412188E-2</v>
      </c>
      <c r="T1021" s="41">
        <f t="shared" si="92"/>
        <v>0</v>
      </c>
      <c r="U1021" s="4">
        <f t="shared" si="93"/>
        <v>0.65378304363938045</v>
      </c>
      <c r="V1021" s="15">
        <f t="shared" si="97"/>
        <v>0.81389776357827481</v>
      </c>
      <c r="W1021" s="33">
        <f t="shared" si="94"/>
        <v>0.89235165958223883</v>
      </c>
      <c r="X1021" s="4">
        <f t="shared" si="95"/>
        <v>0.65378304363938045</v>
      </c>
    </row>
    <row r="1022" spans="1:24" ht="14.5" x14ac:dyDescent="0.35">
      <c r="A1022" s="52">
        <v>43909</v>
      </c>
      <c r="B1022" s="51">
        <v>1625</v>
      </c>
      <c r="C1022" s="1">
        <f t="shared" si="96"/>
        <v>7.8710262439757719E-2</v>
      </c>
      <c r="R1022" s="28">
        <v>1021</v>
      </c>
      <c r="S1022" s="29">
        <v>1.2379800473591744E-2</v>
      </c>
      <c r="T1022" s="41">
        <f t="shared" si="92"/>
        <v>0</v>
      </c>
      <c r="U1022" s="4">
        <f t="shared" si="93"/>
        <v>0.65584202092712229</v>
      </c>
      <c r="V1022" s="15">
        <f t="shared" si="97"/>
        <v>0.81469648562300323</v>
      </c>
      <c r="W1022" s="33">
        <f t="shared" si="94"/>
        <v>0.89533688459914473</v>
      </c>
      <c r="X1022" s="4">
        <f t="shared" si="95"/>
        <v>0.65584202092712229</v>
      </c>
    </row>
    <row r="1023" spans="1:24" ht="14.5" x14ac:dyDescent="0.35">
      <c r="A1023" s="52">
        <v>43908</v>
      </c>
      <c r="B1023" s="51">
        <v>1502</v>
      </c>
      <c r="C1023" s="1">
        <f t="shared" si="96"/>
        <v>-0.11793097559303904</v>
      </c>
      <c r="R1023" s="28">
        <v>1022</v>
      </c>
      <c r="S1023" s="29">
        <v>1.2386315005884699E-2</v>
      </c>
      <c r="T1023" s="41">
        <f t="shared" si="92"/>
        <v>0</v>
      </c>
      <c r="U1023" s="4">
        <f t="shared" si="93"/>
        <v>0.65618556976897735</v>
      </c>
      <c r="V1023" s="15">
        <f t="shared" si="97"/>
        <v>0.81549520766773165</v>
      </c>
      <c r="W1023" s="33">
        <f t="shared" si="94"/>
        <v>0.89833010987754269</v>
      </c>
      <c r="X1023" s="4">
        <f t="shared" si="95"/>
        <v>0.65618556976897735</v>
      </c>
    </row>
    <row r="1024" spans="1:24" ht="14.5" x14ac:dyDescent="0.35">
      <c r="A1024" s="52">
        <v>43907</v>
      </c>
      <c r="B1024" s="51">
        <v>1690</v>
      </c>
      <c r="C1024" s="1">
        <f t="shared" si="96"/>
        <v>-1.7595761890379601E-2</v>
      </c>
      <c r="R1024" s="28">
        <v>1023</v>
      </c>
      <c r="S1024" s="29">
        <v>1.242251999855711E-2</v>
      </c>
      <c r="T1024" s="41">
        <f t="shared" si="92"/>
        <v>0</v>
      </c>
      <c r="U1024" s="4">
        <f t="shared" si="93"/>
        <v>0.65809486774197634</v>
      </c>
      <c r="V1024" s="15">
        <f t="shared" si="97"/>
        <v>0.81629392971246006</v>
      </c>
      <c r="W1024" s="33">
        <f t="shared" si="94"/>
        <v>0.90133140537559198</v>
      </c>
      <c r="X1024" s="4">
        <f t="shared" si="95"/>
        <v>0.65809486774197634</v>
      </c>
    </row>
    <row r="1025" spans="1:24" ht="14.5" x14ac:dyDescent="0.35">
      <c r="A1025" s="52">
        <v>43906</v>
      </c>
      <c r="B1025" s="51">
        <v>1720</v>
      </c>
      <c r="C1025" s="1">
        <f t="shared" si="96"/>
        <v>-7.2861348264871714E-2</v>
      </c>
      <c r="R1025" s="28">
        <v>1024</v>
      </c>
      <c r="S1025" s="29">
        <v>1.257045993521279E-2</v>
      </c>
      <c r="T1025" s="41">
        <f t="shared" si="92"/>
        <v>0</v>
      </c>
      <c r="U1025" s="4">
        <f t="shared" si="93"/>
        <v>0.6658965934248966</v>
      </c>
      <c r="V1025" s="15">
        <f t="shared" si="97"/>
        <v>0.81709265175718848</v>
      </c>
      <c r="W1025" s="33">
        <f t="shared" si="94"/>
        <v>0.90434084191002306</v>
      </c>
      <c r="X1025" s="4">
        <f t="shared" si="95"/>
        <v>0.6658965934248966</v>
      </c>
    </row>
    <row r="1026" spans="1:24" ht="14.5" x14ac:dyDescent="0.35">
      <c r="A1026" s="52">
        <v>43903</v>
      </c>
      <c r="B1026" s="51">
        <v>1850</v>
      </c>
      <c r="C1026" s="1">
        <f t="shared" si="96"/>
        <v>2.9623669210225502E-2</v>
      </c>
      <c r="R1026" s="28">
        <v>1025</v>
      </c>
      <c r="S1026" s="29">
        <v>1.2596387685685566E-2</v>
      </c>
      <c r="T1026" s="41">
        <f t="shared" si="92"/>
        <v>0</v>
      </c>
      <c r="U1026" s="4">
        <f t="shared" si="93"/>
        <v>0.66726391317192746</v>
      </c>
      <c r="V1026" s="15">
        <f t="shared" si="97"/>
        <v>0.8178913738019169</v>
      </c>
      <c r="W1026" s="33">
        <f t="shared" si="94"/>
        <v>0.90735849117074663</v>
      </c>
      <c r="X1026" s="4">
        <f t="shared" si="95"/>
        <v>0.66726391317192746</v>
      </c>
    </row>
    <row r="1027" spans="1:24" ht="14.5" x14ac:dyDescent="0.35">
      <c r="A1027" s="52">
        <v>43902</v>
      </c>
      <c r="B1027" s="51">
        <v>1796</v>
      </c>
      <c r="C1027" s="1">
        <f t="shared" si="96"/>
        <v>-6.4677709668661001E-2</v>
      </c>
      <c r="R1027" s="28">
        <v>1026</v>
      </c>
      <c r="S1027" s="29">
        <v>1.2622888503040938E-2</v>
      </c>
      <c r="T1027" s="41">
        <f t="shared" ref="T1027:T1090" si="98">+IF(OR(S1027&lt;($Z$3-3*$Z$4^0.5),S1027&gt;($Z$3+3*$Z$4^0.5)),1,0)</f>
        <v>0</v>
      </c>
      <c r="U1027" s="4">
        <f t="shared" ref="U1027:U1090" si="99">+(S1027-AVERAGE($S$2:$S$1252))/_xlfn.STDEV.S($S$2:$S$1252)</f>
        <v>0.66866145403921184</v>
      </c>
      <c r="V1027" s="15">
        <f t="shared" si="97"/>
        <v>0.81869009584664532</v>
      </c>
      <c r="W1027" s="33">
        <f t="shared" ref="W1027:W1090" si="100">+_xlfn.NORM.S.INV(V1027)</f>
        <v>0.91038442573578049</v>
      </c>
      <c r="X1027" s="4">
        <f t="shared" ref="X1027:X1090" si="101">+U1027</f>
        <v>0.66866145403921184</v>
      </c>
    </row>
    <row r="1028" spans="1:24" ht="14.5" x14ac:dyDescent="0.35">
      <c r="A1028" s="52">
        <v>43901</v>
      </c>
      <c r="B1028" s="51">
        <v>1916</v>
      </c>
      <c r="C1028" s="1">
        <f t="shared" ref="C1028:C1091" si="102">+LN(B1028/B1029)</f>
        <v>-5.3847441049610832E-2</v>
      </c>
      <c r="R1028" s="28">
        <v>1027</v>
      </c>
      <c r="S1028" s="29">
        <v>1.2640617750833808E-2</v>
      </c>
      <c r="T1028" s="41">
        <f t="shared" si="98"/>
        <v>0</v>
      </c>
      <c r="U1028" s="4">
        <f t="shared" si="99"/>
        <v>0.66959641947837123</v>
      </c>
      <c r="V1028" s="15">
        <f t="shared" ref="V1028:V1091" si="103">+R1027/1252</f>
        <v>0.81948881789137384</v>
      </c>
      <c r="W1028" s="33">
        <f t="shared" si="100"/>
        <v>0.91341871908648453</v>
      </c>
      <c r="X1028" s="4">
        <f t="shared" si="101"/>
        <v>0.66959641947837123</v>
      </c>
    </row>
    <row r="1029" spans="1:24" ht="14.5" x14ac:dyDescent="0.35">
      <c r="A1029" s="52">
        <v>43900</v>
      </c>
      <c r="B1029" s="51">
        <v>2022</v>
      </c>
      <c r="C1029" s="1">
        <f t="shared" si="102"/>
        <v>1.0939940038334263E-2</v>
      </c>
      <c r="R1029" s="28">
        <v>1028</v>
      </c>
      <c r="S1029" s="29">
        <v>1.2663111484629803E-2</v>
      </c>
      <c r="T1029" s="41">
        <f t="shared" si="98"/>
        <v>0</v>
      </c>
      <c r="U1029" s="4">
        <f t="shared" si="99"/>
        <v>0.67078264373010543</v>
      </c>
      <c r="V1029" s="15">
        <f t="shared" si="103"/>
        <v>0.82028753993610226</v>
      </c>
      <c r="W1029" s="33">
        <f t="shared" si="100"/>
        <v>0.91646144562313392</v>
      </c>
      <c r="X1029" s="4">
        <f t="shared" si="101"/>
        <v>0.67078264373010543</v>
      </c>
    </row>
    <row r="1030" spans="1:24" ht="14.5" x14ac:dyDescent="0.35">
      <c r="A1030" s="52">
        <v>43899</v>
      </c>
      <c r="B1030" s="51">
        <v>2000</v>
      </c>
      <c r="C1030" s="1">
        <f t="shared" si="102"/>
        <v>-0.12575120530556039</v>
      </c>
      <c r="R1030" s="28">
        <v>1029</v>
      </c>
      <c r="S1030" s="29">
        <v>1.2691473077140749E-2</v>
      </c>
      <c r="T1030" s="41">
        <f t="shared" si="98"/>
        <v>0</v>
      </c>
      <c r="U1030" s="4">
        <f t="shared" si="99"/>
        <v>0.67227831399807469</v>
      </c>
      <c r="V1030" s="15">
        <f t="shared" si="103"/>
        <v>0.82108626198083068</v>
      </c>
      <c r="W1030" s="33">
        <f t="shared" si="100"/>
        <v>0.9195126806808277</v>
      </c>
      <c r="X1030" s="4">
        <f t="shared" si="101"/>
        <v>0.67227831399807469</v>
      </c>
    </row>
    <row r="1031" spans="1:24" ht="14.5" x14ac:dyDescent="0.35">
      <c r="A1031" s="52">
        <v>43896</v>
      </c>
      <c r="B1031" s="51">
        <v>2268</v>
      </c>
      <c r="C1031" s="1">
        <f t="shared" si="102"/>
        <v>-3.9763233172013121E-2</v>
      </c>
      <c r="R1031" s="28">
        <v>1030</v>
      </c>
      <c r="S1031" s="29">
        <v>1.2704345099765861E-2</v>
      </c>
      <c r="T1031" s="41">
        <f t="shared" si="98"/>
        <v>0</v>
      </c>
      <c r="U1031" s="4">
        <f t="shared" si="99"/>
        <v>0.67295712995389878</v>
      </c>
      <c r="V1031" s="15">
        <f t="shared" si="103"/>
        <v>0.8218849840255591</v>
      </c>
      <c r="W1031" s="33">
        <f t="shared" si="100"/>
        <v>0.92257250054575202</v>
      </c>
      <c r="X1031" s="4">
        <f t="shared" si="101"/>
        <v>0.67295712995389878</v>
      </c>
    </row>
    <row r="1032" spans="1:24" ht="14.5" x14ac:dyDescent="0.35">
      <c r="A1032" s="52">
        <v>43895</v>
      </c>
      <c r="B1032" s="51">
        <v>2360</v>
      </c>
      <c r="C1032" s="1">
        <f t="shared" si="102"/>
        <v>-4.6365920557925655E-2</v>
      </c>
      <c r="R1032" s="28">
        <v>1031</v>
      </c>
      <c r="S1032" s="29">
        <v>1.2779726646399021E-2</v>
      </c>
      <c r="T1032" s="41">
        <f t="shared" si="98"/>
        <v>0</v>
      </c>
      <c r="U1032" s="4">
        <f t="shared" si="99"/>
        <v>0.67693243345666387</v>
      </c>
      <c r="V1032" s="15">
        <f t="shared" si="103"/>
        <v>0.82268370607028751</v>
      </c>
      <c r="W1032" s="33">
        <f t="shared" si="100"/>
        <v>0.92564098247178539</v>
      </c>
      <c r="X1032" s="4">
        <f t="shared" si="101"/>
        <v>0.67693243345666387</v>
      </c>
    </row>
    <row r="1033" spans="1:24" ht="14.5" x14ac:dyDescent="0.35">
      <c r="A1033" s="52">
        <v>43894</v>
      </c>
      <c r="B1033" s="51">
        <v>2472</v>
      </c>
      <c r="C1033" s="1">
        <f t="shared" si="102"/>
        <v>-2.3191763143984506E-2</v>
      </c>
      <c r="R1033" s="28">
        <v>1032</v>
      </c>
      <c r="S1033" s="29">
        <v>1.280245082037618E-2</v>
      </c>
      <c r="T1033" s="41">
        <f t="shared" si="98"/>
        <v>0</v>
      </c>
      <c r="U1033" s="4">
        <f t="shared" si="99"/>
        <v>0.67813081014755949</v>
      </c>
      <c r="V1033" s="15">
        <f t="shared" si="103"/>
        <v>0.82348242811501593</v>
      </c>
      <c r="W1033" s="33">
        <f t="shared" si="100"/>
        <v>0.92871820469748234</v>
      </c>
      <c r="X1033" s="4">
        <f t="shared" si="101"/>
        <v>0.67813081014755949</v>
      </c>
    </row>
    <row r="1034" spans="1:24" ht="14.5" x14ac:dyDescent="0.35">
      <c r="A1034" s="52">
        <v>43893</v>
      </c>
      <c r="B1034" s="51">
        <v>2530</v>
      </c>
      <c r="C1034" s="1">
        <f t="shared" si="102"/>
        <v>3.7041271680349076E-2</v>
      </c>
      <c r="R1034" s="28">
        <v>1033</v>
      </c>
      <c r="S1034" s="29">
        <v>1.2851039219159924E-2</v>
      </c>
      <c r="T1034" s="41">
        <f t="shared" si="98"/>
        <v>0</v>
      </c>
      <c r="U1034" s="4">
        <f t="shared" si="99"/>
        <v>0.68069315651090412</v>
      </c>
      <c r="V1034" s="15">
        <f t="shared" si="103"/>
        <v>0.82428115015974446</v>
      </c>
      <c r="W1034" s="33">
        <f t="shared" si="100"/>
        <v>0.93180424646341875</v>
      </c>
      <c r="X1034" s="4">
        <f t="shared" si="101"/>
        <v>0.68069315651090412</v>
      </c>
    </row>
    <row r="1035" spans="1:24" ht="14.5" x14ac:dyDescent="0.35">
      <c r="A1035" s="52">
        <v>43892</v>
      </c>
      <c r="B1035" s="51">
        <v>2438</v>
      </c>
      <c r="C1035" s="1">
        <f t="shared" si="102"/>
        <v>3.0822931515227983E-2</v>
      </c>
      <c r="R1035" s="28">
        <v>1034</v>
      </c>
      <c r="S1035" s="29">
        <v>1.2903404835907782E-2</v>
      </c>
      <c r="T1035" s="41">
        <f t="shared" si="98"/>
        <v>0</v>
      </c>
      <c r="U1035" s="4">
        <f t="shared" si="99"/>
        <v>0.68345469735186426</v>
      </c>
      <c r="V1035" s="15">
        <f t="shared" si="103"/>
        <v>0.82507987220447288</v>
      </c>
      <c r="W1035" s="33">
        <f t="shared" si="100"/>
        <v>0.93489918802994199</v>
      </c>
      <c r="X1035" s="4">
        <f t="shared" si="101"/>
        <v>0.68345469735186426</v>
      </c>
    </row>
    <row r="1036" spans="1:24" ht="14.5" x14ac:dyDescent="0.35">
      <c r="A1036" s="52">
        <v>43889</v>
      </c>
      <c r="B1036" s="51">
        <v>2364</v>
      </c>
      <c r="C1036" s="1">
        <f t="shared" si="102"/>
        <v>-3.8992911599991346E-2</v>
      </c>
      <c r="R1036" s="28">
        <v>1035</v>
      </c>
      <c r="S1036" s="29">
        <v>1.2952562035727146E-2</v>
      </c>
      <c r="T1036" s="41">
        <f t="shared" si="98"/>
        <v>0</v>
      </c>
      <c r="U1036" s="4">
        <f t="shared" si="99"/>
        <v>0.68604703987276028</v>
      </c>
      <c r="V1036" s="15">
        <f t="shared" si="103"/>
        <v>0.82587859424920129</v>
      </c>
      <c r="W1036" s="33">
        <f t="shared" si="100"/>
        <v>0.93800311069529396</v>
      </c>
      <c r="X1036" s="4">
        <f t="shared" si="101"/>
        <v>0.68604703987276028</v>
      </c>
    </row>
    <row r="1037" spans="1:24" ht="14.5" x14ac:dyDescent="0.35">
      <c r="A1037" s="52">
        <v>43888</v>
      </c>
      <c r="B1037" s="51">
        <v>2458</v>
      </c>
      <c r="C1037" s="1">
        <f t="shared" si="102"/>
        <v>-2.4910890379488883E-2</v>
      </c>
      <c r="R1037" s="28">
        <v>1036</v>
      </c>
      <c r="S1037" s="29">
        <v>1.2965040017288876E-2</v>
      </c>
      <c r="T1037" s="41">
        <f t="shared" si="98"/>
        <v>0</v>
      </c>
      <c r="U1037" s="4">
        <f t="shared" si="99"/>
        <v>0.68670507577180029</v>
      </c>
      <c r="V1037" s="15">
        <f t="shared" si="103"/>
        <v>0.82667731629392971</v>
      </c>
      <c r="W1037" s="33">
        <f t="shared" si="100"/>
        <v>0.94111609681416231</v>
      </c>
      <c r="X1037" s="4">
        <f t="shared" si="101"/>
        <v>0.68670507577180029</v>
      </c>
    </row>
    <row r="1038" spans="1:24" ht="14.5" x14ac:dyDescent="0.35">
      <c r="A1038" s="52">
        <v>43887</v>
      </c>
      <c r="B1038" s="51">
        <v>2520</v>
      </c>
      <c r="C1038" s="1">
        <f t="shared" si="102"/>
        <v>1.2779726646399021E-2</v>
      </c>
      <c r="R1038" s="28">
        <v>1037</v>
      </c>
      <c r="S1038" s="29">
        <v>1.3049830583672956E-2</v>
      </c>
      <c r="T1038" s="41">
        <f t="shared" si="98"/>
        <v>0</v>
      </c>
      <c r="U1038" s="4">
        <f t="shared" si="99"/>
        <v>0.69117657112580777</v>
      </c>
      <c r="V1038" s="15">
        <f t="shared" si="103"/>
        <v>0.82747603833865813</v>
      </c>
      <c r="W1038" s="33">
        <f t="shared" si="100"/>
        <v>0.94423822981663508</v>
      </c>
      <c r="X1038" s="4">
        <f t="shared" si="101"/>
        <v>0.69117657112580777</v>
      </c>
    </row>
    <row r="1039" spans="1:24" ht="14.5" x14ac:dyDescent="0.35">
      <c r="A1039" s="52">
        <v>43886</v>
      </c>
      <c r="B1039" s="51">
        <v>2488</v>
      </c>
      <c r="C1039" s="1">
        <f t="shared" si="102"/>
        <v>-2.4614184293401748E-2</v>
      </c>
      <c r="R1039" s="28">
        <v>1038</v>
      </c>
      <c r="S1039" s="29">
        <v>1.316385836624254E-2</v>
      </c>
      <c r="T1039" s="41">
        <f t="shared" si="98"/>
        <v>0</v>
      </c>
      <c r="U1039" s="4">
        <f t="shared" si="99"/>
        <v>0.69718991343181458</v>
      </c>
      <c r="V1039" s="15">
        <f t="shared" si="103"/>
        <v>0.82827476038338654</v>
      </c>
      <c r="W1039" s="33">
        <f t="shared" si="100"/>
        <v>0.94736959422758116</v>
      </c>
      <c r="X1039" s="4">
        <f t="shared" si="101"/>
        <v>0.69718991343181458</v>
      </c>
    </row>
    <row r="1040" spans="1:24" ht="14.5" x14ac:dyDescent="0.35">
      <c r="A1040" s="52">
        <v>43885</v>
      </c>
      <c r="B1040" s="51">
        <v>2550</v>
      </c>
      <c r="C1040" s="1">
        <f t="shared" si="102"/>
        <v>-5.5675833879725835E-2</v>
      </c>
      <c r="R1040" s="28">
        <v>1039</v>
      </c>
      <c r="S1040" s="29">
        <v>1.3245226750020723E-2</v>
      </c>
      <c r="T1040" s="41">
        <f t="shared" si="98"/>
        <v>0</v>
      </c>
      <c r="U1040" s="4">
        <f t="shared" si="99"/>
        <v>0.7014809373693025</v>
      </c>
      <c r="V1040" s="15">
        <f t="shared" si="103"/>
        <v>0.82907348242811496</v>
      </c>
      <c r="W1040" s="33">
        <f t="shared" si="100"/>
        <v>0.9505102756864916</v>
      </c>
      <c r="X1040" s="4">
        <f t="shared" si="101"/>
        <v>0.7014809373693025</v>
      </c>
    </row>
    <row r="1041" spans="1:24" ht="14.5" x14ac:dyDescent="0.35">
      <c r="A1041" s="52">
        <v>43882</v>
      </c>
      <c r="B1041" s="51">
        <v>2696</v>
      </c>
      <c r="C1041" s="1">
        <f t="shared" si="102"/>
        <v>1.4947961435873148E-2</v>
      </c>
      <c r="R1041" s="28">
        <v>1040</v>
      </c>
      <c r="S1041" s="29">
        <v>1.3254980516193707E-2</v>
      </c>
      <c r="T1041" s="41">
        <f t="shared" si="98"/>
        <v>0</v>
      </c>
      <c r="U1041" s="4">
        <f t="shared" si="99"/>
        <v>0.7019953096867253</v>
      </c>
      <c r="V1041" s="15">
        <f t="shared" si="103"/>
        <v>0.82987220447284349</v>
      </c>
      <c r="W1041" s="33">
        <f t="shared" si="100"/>
        <v>0.95366036096774787</v>
      </c>
      <c r="X1041" s="4">
        <f t="shared" si="101"/>
        <v>0.7019953096867253</v>
      </c>
    </row>
    <row r="1042" spans="1:24" ht="14.5" x14ac:dyDescent="0.35">
      <c r="A1042" s="52">
        <v>43881</v>
      </c>
      <c r="B1042" s="51">
        <v>2656</v>
      </c>
      <c r="C1042" s="1">
        <f t="shared" si="102"/>
        <v>-4.5078964391898173E-3</v>
      </c>
      <c r="R1042" s="28">
        <v>1041</v>
      </c>
      <c r="S1042" s="29">
        <v>1.3363227812167158E-2</v>
      </c>
      <c r="T1042" s="41">
        <f t="shared" si="98"/>
        <v>0</v>
      </c>
      <c r="U1042" s="4">
        <f t="shared" si="99"/>
        <v>0.70770381361199264</v>
      </c>
      <c r="V1042" s="15">
        <f t="shared" si="103"/>
        <v>0.83067092651757191</v>
      </c>
      <c r="W1042" s="33">
        <f t="shared" si="100"/>
        <v>0.95681993800138099</v>
      </c>
      <c r="X1042" s="4">
        <f t="shared" si="101"/>
        <v>0.70770381361199264</v>
      </c>
    </row>
    <row r="1043" spans="1:24" ht="14.5" x14ac:dyDescent="0.35">
      <c r="A1043" s="52">
        <v>43880</v>
      </c>
      <c r="B1043" s="51">
        <v>2668</v>
      </c>
      <c r="C1043" s="1">
        <f t="shared" si="102"/>
        <v>1.0550210895152392E-2</v>
      </c>
      <c r="R1043" s="28">
        <v>1042</v>
      </c>
      <c r="S1043" s="29">
        <v>1.3385194557653518E-2</v>
      </c>
      <c r="T1043" s="41">
        <f t="shared" si="98"/>
        <v>0</v>
      </c>
      <c r="U1043" s="4">
        <f t="shared" si="99"/>
        <v>0.70886224673225262</v>
      </c>
      <c r="V1043" s="15">
        <f t="shared" si="103"/>
        <v>0.83146964856230032</v>
      </c>
      <c r="W1043" s="33">
        <f t="shared" si="100"/>
        <v>0.95998909589427739</v>
      </c>
      <c r="X1043" s="4">
        <f t="shared" si="101"/>
        <v>0.70886224673225262</v>
      </c>
    </row>
    <row r="1044" spans="1:24" ht="14.5" x14ac:dyDescent="0.35">
      <c r="A1044" s="52">
        <v>43879</v>
      </c>
      <c r="B1044" s="51">
        <v>2640</v>
      </c>
      <c r="C1044" s="1">
        <f t="shared" si="102"/>
        <v>1.449853706791132E-2</v>
      </c>
      <c r="R1044" s="28">
        <v>1043</v>
      </c>
      <c r="S1044" s="29">
        <v>1.3423020332140771E-2</v>
      </c>
      <c r="T1044" s="41">
        <f t="shared" si="98"/>
        <v>0</v>
      </c>
      <c r="U1044" s="4">
        <f t="shared" si="99"/>
        <v>0.71085701787360023</v>
      </c>
      <c r="V1044" s="15">
        <f t="shared" si="103"/>
        <v>0.83226837060702874</v>
      </c>
      <c r="W1044" s="33">
        <f t="shared" si="100"/>
        <v>0.96316792495191172</v>
      </c>
      <c r="X1044" s="4">
        <f t="shared" si="101"/>
        <v>0.71085701787360023</v>
      </c>
    </row>
    <row r="1045" spans="1:24" ht="14.5" x14ac:dyDescent="0.35">
      <c r="A1045" s="52">
        <v>43878</v>
      </c>
      <c r="B1045" s="51">
        <v>2602</v>
      </c>
      <c r="C1045" s="1">
        <f t="shared" si="102"/>
        <v>1.7836843575025088E-2</v>
      </c>
      <c r="R1045" s="28">
        <v>1044</v>
      </c>
      <c r="S1045" s="29">
        <v>1.3490929741015288E-2</v>
      </c>
      <c r="T1045" s="41">
        <f t="shared" si="98"/>
        <v>0</v>
      </c>
      <c r="U1045" s="4">
        <f t="shared" si="99"/>
        <v>0.71443827247803704</v>
      </c>
      <c r="V1045" s="15">
        <f t="shared" si="103"/>
        <v>0.83306709265175716</v>
      </c>
      <c r="W1045" s="33">
        <f t="shared" si="100"/>
        <v>0.96635651670056555</v>
      </c>
      <c r="X1045" s="4">
        <f t="shared" si="101"/>
        <v>0.71443827247803704</v>
      </c>
    </row>
    <row r="1046" spans="1:24" ht="14.5" x14ac:dyDescent="0.35">
      <c r="A1046" s="52">
        <v>43875</v>
      </c>
      <c r="B1046" s="51">
        <v>2556</v>
      </c>
      <c r="C1046" s="1">
        <f t="shared" si="102"/>
        <v>-1.5637219761827587E-3</v>
      </c>
      <c r="R1046" s="28">
        <v>1045</v>
      </c>
      <c r="S1046" s="29">
        <v>1.3493458102915032E-2</v>
      </c>
      <c r="T1046" s="41">
        <f t="shared" si="98"/>
        <v>0</v>
      </c>
      <c r="U1046" s="4">
        <f t="shared" si="99"/>
        <v>0.71457160757615101</v>
      </c>
      <c r="V1046" s="15">
        <f t="shared" si="103"/>
        <v>0.83386581469648557</v>
      </c>
      <c r="W1046" s="33">
        <f t="shared" si="100"/>
        <v>0.96955496391005858</v>
      </c>
      <c r="X1046" s="4">
        <f t="shared" si="101"/>
        <v>0.71457160757615101</v>
      </c>
    </row>
    <row r="1047" spans="1:24" ht="14.5" x14ac:dyDescent="0.35">
      <c r="A1047" s="52">
        <v>43874</v>
      </c>
      <c r="B1047" s="51">
        <v>2560</v>
      </c>
      <c r="C1047" s="1">
        <f t="shared" si="102"/>
        <v>0</v>
      </c>
      <c r="R1047" s="28">
        <v>1046</v>
      </c>
      <c r="S1047" s="29">
        <v>1.3587165546308356E-2</v>
      </c>
      <c r="T1047" s="41">
        <f t="shared" si="98"/>
        <v>0</v>
      </c>
      <c r="U1047" s="4">
        <f t="shared" si="99"/>
        <v>0.71951334125759792</v>
      </c>
      <c r="V1047" s="15">
        <f t="shared" si="103"/>
        <v>0.8346645367412141</v>
      </c>
      <c r="W1047" s="33">
        <f t="shared" si="100"/>
        <v>0.97276336061703583</v>
      </c>
      <c r="X1047" s="4">
        <f t="shared" si="101"/>
        <v>0.71951334125759792</v>
      </c>
    </row>
    <row r="1048" spans="1:24" ht="14.5" x14ac:dyDescent="0.35">
      <c r="A1048" s="52">
        <v>43873</v>
      </c>
      <c r="B1048" s="51">
        <v>2560</v>
      </c>
      <c r="C1048" s="1">
        <f t="shared" si="102"/>
        <v>-1.5504186535965199E-2</v>
      </c>
      <c r="R1048" s="28">
        <v>1047</v>
      </c>
      <c r="S1048" s="29">
        <v>1.3605652055778678E-2</v>
      </c>
      <c r="T1048" s="41">
        <f t="shared" si="98"/>
        <v>0</v>
      </c>
      <c r="U1048" s="4">
        <f t="shared" si="99"/>
        <v>0.7204882414703635</v>
      </c>
      <c r="V1048" s="15">
        <f t="shared" si="103"/>
        <v>0.83546325878594252</v>
      </c>
      <c r="W1048" s="33">
        <f t="shared" si="100"/>
        <v>0.97598180214878272</v>
      </c>
      <c r="X1048" s="4">
        <f t="shared" si="101"/>
        <v>0.7204882414703635</v>
      </c>
    </row>
    <row r="1049" spans="1:24" ht="14.5" x14ac:dyDescent="0.35">
      <c r="A1049" s="52">
        <v>43872</v>
      </c>
      <c r="B1049" s="51">
        <v>2600</v>
      </c>
      <c r="C1049" s="1">
        <f t="shared" si="102"/>
        <v>-1.2992158293652887E-2</v>
      </c>
      <c r="R1049" s="28">
        <v>1048</v>
      </c>
      <c r="S1049" s="29">
        <v>1.3626251711765056E-2</v>
      </c>
      <c r="T1049" s="41">
        <f t="shared" si="98"/>
        <v>0</v>
      </c>
      <c r="U1049" s="4">
        <f t="shared" si="99"/>
        <v>0.72157458008048669</v>
      </c>
      <c r="V1049" s="15">
        <f t="shared" si="103"/>
        <v>0.83626198083067094</v>
      </c>
      <c r="W1049" s="33">
        <f t="shared" si="100"/>
        <v>0.97921038514762337</v>
      </c>
      <c r="X1049" s="4">
        <f t="shared" si="101"/>
        <v>0.72157458008048669</v>
      </c>
    </row>
    <row r="1050" spans="1:24" ht="14.5" x14ac:dyDescent="0.35">
      <c r="A1050" s="52">
        <v>43871</v>
      </c>
      <c r="B1050" s="51">
        <v>2634</v>
      </c>
      <c r="C1050" s="1">
        <f t="shared" si="102"/>
        <v>-3.7893186683505909E-3</v>
      </c>
      <c r="R1050" s="28">
        <v>1049</v>
      </c>
      <c r="S1050" s="29">
        <v>1.3730192811902037E-2</v>
      </c>
      <c r="T1050" s="41">
        <f t="shared" si="98"/>
        <v>0</v>
      </c>
      <c r="U1050" s="4">
        <f t="shared" si="99"/>
        <v>0.72705599347555283</v>
      </c>
      <c r="V1050" s="15">
        <f t="shared" si="103"/>
        <v>0.83706070287539935</v>
      </c>
      <c r="W1050" s="33">
        <f t="shared" si="100"/>
        <v>0.98244920759588783</v>
      </c>
      <c r="X1050" s="4">
        <f t="shared" si="101"/>
        <v>0.72705599347555283</v>
      </c>
    </row>
    <row r="1051" spans="1:24" ht="14.5" x14ac:dyDescent="0.35">
      <c r="A1051" s="52">
        <v>43868</v>
      </c>
      <c r="B1051" s="51">
        <v>2644</v>
      </c>
      <c r="C1051" s="1">
        <f t="shared" si="102"/>
        <v>-3.0211503341762112E-3</v>
      </c>
      <c r="R1051" s="28">
        <v>1050</v>
      </c>
      <c r="S1051" s="29">
        <v>1.3751171612824419E-2</v>
      </c>
      <c r="T1051" s="41">
        <f t="shared" si="98"/>
        <v>0</v>
      </c>
      <c r="U1051" s="4">
        <f t="shared" si="99"/>
        <v>0.72816232658379221</v>
      </c>
      <c r="V1051" s="15">
        <f t="shared" si="103"/>
        <v>0.83785942492012777</v>
      </c>
      <c r="W1051" s="33">
        <f t="shared" si="100"/>
        <v>0.98569836884148365</v>
      </c>
      <c r="X1051" s="4">
        <f t="shared" si="101"/>
        <v>0.72816232658379221</v>
      </c>
    </row>
    <row r="1052" spans="1:24" ht="14.5" x14ac:dyDescent="0.35">
      <c r="A1052" s="52">
        <v>43867</v>
      </c>
      <c r="B1052" s="51">
        <v>2652</v>
      </c>
      <c r="C1052" s="1">
        <f t="shared" si="102"/>
        <v>1.2903404835907782E-2</v>
      </c>
      <c r="R1052" s="28">
        <v>1051</v>
      </c>
      <c r="S1052" s="29">
        <v>1.3755375068485419E-2</v>
      </c>
      <c r="T1052" s="41">
        <f t="shared" si="98"/>
        <v>0</v>
      </c>
      <c r="U1052" s="4">
        <f t="shared" si="99"/>
        <v>0.72838399903227891</v>
      </c>
      <c r="V1052" s="15">
        <f t="shared" si="103"/>
        <v>0.83865814696485619</v>
      </c>
      <c r="W1052" s="33">
        <f t="shared" si="100"/>
        <v>0.98895796962408822</v>
      </c>
      <c r="X1052" s="4">
        <f t="shared" si="101"/>
        <v>0.72838399903227891</v>
      </c>
    </row>
    <row r="1053" spans="1:24" ht="14.5" x14ac:dyDescent="0.35">
      <c r="A1053" s="52">
        <v>43866</v>
      </c>
      <c r="B1053" s="51">
        <v>2618</v>
      </c>
      <c r="C1053" s="1">
        <f t="shared" si="102"/>
        <v>0</v>
      </c>
      <c r="R1053" s="28">
        <v>1052</v>
      </c>
      <c r="S1053" s="29">
        <v>1.3939820814109587E-2</v>
      </c>
      <c r="T1053" s="41">
        <f t="shared" si="98"/>
        <v>0</v>
      </c>
      <c r="U1053" s="4">
        <f t="shared" si="99"/>
        <v>0.73811088646559331</v>
      </c>
      <c r="V1053" s="15">
        <f t="shared" si="103"/>
        <v>0.83945686900958472</v>
      </c>
      <c r="W1053" s="33">
        <f t="shared" si="100"/>
        <v>0.99222811210195816</v>
      </c>
      <c r="X1053" s="4">
        <f t="shared" si="101"/>
        <v>0.73811088646559331</v>
      </c>
    </row>
    <row r="1054" spans="1:24" ht="14.5" x14ac:dyDescent="0.35">
      <c r="A1054" s="52">
        <v>43865</v>
      </c>
      <c r="B1054" s="51">
        <v>2618</v>
      </c>
      <c r="C1054" s="1">
        <f t="shared" si="102"/>
        <v>1.850476858057969E-2</v>
      </c>
      <c r="R1054" s="28">
        <v>1053</v>
      </c>
      <c r="S1054" s="29">
        <v>1.3956960684018537E-2</v>
      </c>
      <c r="T1054" s="41">
        <f t="shared" si="98"/>
        <v>0</v>
      </c>
      <c r="U1054" s="4">
        <f t="shared" si="99"/>
        <v>0.73901477061137189</v>
      </c>
      <c r="V1054" s="15">
        <f t="shared" si="103"/>
        <v>0.84025559105431313</v>
      </c>
      <c r="W1054" s="33">
        <f t="shared" si="100"/>
        <v>0.99550889987940594</v>
      </c>
      <c r="X1054" s="4">
        <f t="shared" si="101"/>
        <v>0.73901477061137189</v>
      </c>
    </row>
    <row r="1055" spans="1:24" ht="14.5" x14ac:dyDescent="0.35">
      <c r="A1055" s="52">
        <v>43864</v>
      </c>
      <c r="B1055" s="51">
        <v>2570</v>
      </c>
      <c r="C1055" s="1">
        <f t="shared" si="102"/>
        <v>-3.883500026397633E-3</v>
      </c>
      <c r="R1055" s="28">
        <v>1054</v>
      </c>
      <c r="S1055" s="29">
        <v>1.3976933024649823E-2</v>
      </c>
      <c r="T1055" s="41">
        <f t="shared" si="98"/>
        <v>0</v>
      </c>
      <c r="U1055" s="4">
        <f t="shared" si="99"/>
        <v>0.74006802726656296</v>
      </c>
      <c r="V1055" s="15">
        <f t="shared" si="103"/>
        <v>0.84105431309904155</v>
      </c>
      <c r="W1055" s="33">
        <f t="shared" si="100"/>
        <v>0.99880043803495266</v>
      </c>
      <c r="X1055" s="4">
        <f t="shared" si="101"/>
        <v>0.74006802726656296</v>
      </c>
    </row>
    <row r="1056" spans="1:24" ht="14.5" x14ac:dyDescent="0.35">
      <c r="A1056" s="52">
        <v>43861</v>
      </c>
      <c r="B1056" s="51">
        <v>2580</v>
      </c>
      <c r="C1056" s="1">
        <f t="shared" si="102"/>
        <v>-1.0794245130880512E-2</v>
      </c>
      <c r="R1056" s="28">
        <v>1055</v>
      </c>
      <c r="S1056" s="29">
        <v>1.3997118101098931E-2</v>
      </c>
      <c r="T1056" s="41">
        <f t="shared" si="98"/>
        <v>0</v>
      </c>
      <c r="U1056" s="4">
        <f t="shared" si="99"/>
        <v>0.74113250270777686</v>
      </c>
      <c r="V1056" s="15">
        <f t="shared" si="103"/>
        <v>0.84185303514376997</v>
      </c>
      <c r="W1056" s="33">
        <f t="shared" si="100"/>
        <v>1.00210283315015</v>
      </c>
      <c r="X1056" s="4">
        <f t="shared" si="101"/>
        <v>0.74113250270777686</v>
      </c>
    </row>
    <row r="1057" spans="1:24" ht="14.5" x14ac:dyDescent="0.35">
      <c r="A1057" s="52">
        <v>43860</v>
      </c>
      <c r="B1057" s="51">
        <v>2608</v>
      </c>
      <c r="C1057" s="1">
        <f t="shared" si="102"/>
        <v>-1.5975995933724296E-2</v>
      </c>
      <c r="R1057" s="28">
        <v>1056</v>
      </c>
      <c r="S1057" s="29">
        <v>1.4071813722423939E-2</v>
      </c>
      <c r="T1057" s="41">
        <f t="shared" si="98"/>
        <v>0</v>
      </c>
      <c r="U1057" s="4">
        <f t="shared" si="99"/>
        <v>0.74507163341491867</v>
      </c>
      <c r="V1057" s="15">
        <f t="shared" si="103"/>
        <v>0.84265175718849838</v>
      </c>
      <c r="W1057" s="33">
        <f t="shared" si="100"/>
        <v>1.0054161933391337</v>
      </c>
      <c r="X1057" s="4">
        <f t="shared" si="101"/>
        <v>0.74507163341491867</v>
      </c>
    </row>
    <row r="1058" spans="1:24" ht="14.5" x14ac:dyDescent="0.35">
      <c r="A1058" s="52">
        <v>43859</v>
      </c>
      <c r="B1058" s="51">
        <v>2650</v>
      </c>
      <c r="C1058" s="1">
        <f t="shared" si="102"/>
        <v>-6.7694880552464816E-3</v>
      </c>
      <c r="R1058" s="28">
        <v>1057</v>
      </c>
      <c r="S1058" s="29">
        <v>1.4134510934904716E-2</v>
      </c>
      <c r="T1058" s="41">
        <f t="shared" si="98"/>
        <v>0</v>
      </c>
      <c r="U1058" s="4">
        <f t="shared" si="99"/>
        <v>0.74837801885698652</v>
      </c>
      <c r="V1058" s="15">
        <f t="shared" si="103"/>
        <v>0.8434504792332268</v>
      </c>
      <c r="W1058" s="33">
        <f t="shared" si="100"/>
        <v>1.0087406282789162</v>
      </c>
      <c r="X1058" s="4">
        <f t="shared" si="101"/>
        <v>0.74837801885698652</v>
      </c>
    </row>
    <row r="1059" spans="1:24" ht="14.5" x14ac:dyDescent="0.35">
      <c r="A1059" s="52">
        <v>43858</v>
      </c>
      <c r="B1059" s="51">
        <v>2668</v>
      </c>
      <c r="C1059" s="1">
        <f t="shared" si="102"/>
        <v>2.2514080804574279E-3</v>
      </c>
      <c r="R1059" s="28">
        <v>1058</v>
      </c>
      <c r="S1059" s="29">
        <v>1.4451118538174506E-2</v>
      </c>
      <c r="T1059" s="41">
        <f t="shared" si="98"/>
        <v>0</v>
      </c>
      <c r="U1059" s="4">
        <f t="shared" si="99"/>
        <v>0.76507456291179909</v>
      </c>
      <c r="V1059" s="15">
        <f t="shared" si="103"/>
        <v>0.84424920127795522</v>
      </c>
      <c r="W1059" s="33">
        <f t="shared" si="100"/>
        <v>1.0120762492404056</v>
      </c>
      <c r="X1059" s="4">
        <f t="shared" si="101"/>
        <v>0.76507456291179909</v>
      </c>
    </row>
    <row r="1060" spans="1:24" ht="14.5" x14ac:dyDescent="0.35">
      <c r="A1060" s="52">
        <v>43857</v>
      </c>
      <c r="B1060" s="51">
        <v>2662</v>
      </c>
      <c r="C1060" s="1">
        <f t="shared" si="102"/>
        <v>-1.7870914918689626E-2</v>
      </c>
      <c r="R1060" s="28">
        <v>1059</v>
      </c>
      <c r="S1060" s="29">
        <v>1.449853706791132E-2</v>
      </c>
      <c r="T1060" s="41">
        <f t="shared" si="98"/>
        <v>0</v>
      </c>
      <c r="U1060" s="4">
        <f t="shared" si="99"/>
        <v>0.7675752153364046</v>
      </c>
      <c r="V1060" s="15">
        <f t="shared" si="103"/>
        <v>0.84504792332268375</v>
      </c>
      <c r="W1060" s="33">
        <f t="shared" si="100"/>
        <v>1.0154231691202296</v>
      </c>
      <c r="X1060" s="4">
        <f t="shared" si="101"/>
        <v>0.7675752153364046</v>
      </c>
    </row>
    <row r="1061" spans="1:24" ht="14.5" x14ac:dyDescent="0.35">
      <c r="A1061" s="52">
        <v>43854</v>
      </c>
      <c r="B1061" s="51">
        <v>2710</v>
      </c>
      <c r="C1061" s="1">
        <f t="shared" si="102"/>
        <v>-4.4182693376647771E-3</v>
      </c>
      <c r="R1061" s="28">
        <v>1060</v>
      </c>
      <c r="S1061" s="29">
        <v>1.4545711002378716E-2</v>
      </c>
      <c r="T1061" s="41">
        <f t="shared" si="98"/>
        <v>0</v>
      </c>
      <c r="U1061" s="4">
        <f t="shared" si="99"/>
        <v>0.77006296884244585</v>
      </c>
      <c r="V1061" s="15">
        <f t="shared" si="103"/>
        <v>0.84584664536741216</v>
      </c>
      <c r="W1061" s="33">
        <f t="shared" si="100"/>
        <v>1.0187815024733502</v>
      </c>
      <c r="X1061" s="4">
        <f t="shared" si="101"/>
        <v>0.77006296884244585</v>
      </c>
    </row>
    <row r="1062" spans="1:24" ht="14.5" x14ac:dyDescent="0.35">
      <c r="A1062" s="52">
        <v>43853</v>
      </c>
      <c r="B1062" s="51">
        <v>2722</v>
      </c>
      <c r="C1062" s="1">
        <f t="shared" si="102"/>
        <v>-9.5064701308286183E-3</v>
      </c>
      <c r="R1062" s="28">
        <v>1061</v>
      </c>
      <c r="S1062" s="29">
        <v>1.4598799421152631E-2</v>
      </c>
      <c r="T1062" s="41">
        <f t="shared" si="98"/>
        <v>0</v>
      </c>
      <c r="U1062" s="4">
        <f t="shared" si="99"/>
        <v>0.77286262720094612</v>
      </c>
      <c r="V1062" s="15">
        <f t="shared" si="103"/>
        <v>0.84664536741214058</v>
      </c>
      <c r="W1062" s="33">
        <f t="shared" si="100"/>
        <v>1.0221513655465189</v>
      </c>
      <c r="X1062" s="4">
        <f t="shared" si="101"/>
        <v>0.77286262720094612</v>
      </c>
    </row>
    <row r="1063" spans="1:24" ht="14.5" x14ac:dyDescent="0.35">
      <c r="A1063" s="52">
        <v>43852</v>
      </c>
      <c r="B1063" s="51">
        <v>2748</v>
      </c>
      <c r="C1063" s="1">
        <f t="shared" si="102"/>
        <v>1.762160134981941E-2</v>
      </c>
      <c r="R1063" s="28">
        <v>1062</v>
      </c>
      <c r="S1063" s="29">
        <v>1.4652276786870415E-2</v>
      </c>
      <c r="T1063" s="41">
        <f t="shared" si="98"/>
        <v>0</v>
      </c>
      <c r="U1063" s="4">
        <f t="shared" si="99"/>
        <v>0.7756827969739426</v>
      </c>
      <c r="V1063" s="15">
        <f t="shared" si="103"/>
        <v>0.847444089456869</v>
      </c>
      <c r="W1063" s="33">
        <f t="shared" si="100"/>
        <v>1.025532876312556</v>
      </c>
      <c r="X1063" s="4">
        <f t="shared" si="101"/>
        <v>0.7756827969739426</v>
      </c>
    </row>
    <row r="1064" spans="1:24" ht="14.5" x14ac:dyDescent="0.35">
      <c r="A1064" s="52">
        <v>43851</v>
      </c>
      <c r="B1064" s="51">
        <v>2700</v>
      </c>
      <c r="C1064" s="1">
        <f t="shared" si="102"/>
        <v>-3.7081674904531924E-2</v>
      </c>
      <c r="R1064" s="28">
        <v>1063</v>
      </c>
      <c r="S1064" s="29">
        <v>1.471184103188982E-2</v>
      </c>
      <c r="T1064" s="41">
        <f t="shared" si="98"/>
        <v>0</v>
      </c>
      <c r="U1064" s="4">
        <f t="shared" si="99"/>
        <v>0.77882396298128798</v>
      </c>
      <c r="V1064" s="15">
        <f t="shared" si="103"/>
        <v>0.84824281150159742</v>
      </c>
      <c r="W1064" s="33">
        <f t="shared" si="100"/>
        <v>1.0289261545055295</v>
      </c>
      <c r="X1064" s="4">
        <f t="shared" si="101"/>
        <v>0.77882396298128798</v>
      </c>
    </row>
    <row r="1065" spans="1:24" ht="14.5" x14ac:dyDescent="0.35">
      <c r="A1065" s="52">
        <v>43850</v>
      </c>
      <c r="B1065" s="51">
        <v>2802</v>
      </c>
      <c r="C1065" s="1">
        <f t="shared" si="102"/>
        <v>-1.8388071139829366E-2</v>
      </c>
      <c r="R1065" s="28">
        <v>1064</v>
      </c>
      <c r="S1065" s="29">
        <v>1.4827289762416932E-2</v>
      </c>
      <c r="T1065" s="41">
        <f t="shared" si="98"/>
        <v>0</v>
      </c>
      <c r="U1065" s="4">
        <f t="shared" si="99"/>
        <v>0.78491224006437355</v>
      </c>
      <c r="V1065" s="15">
        <f t="shared" si="103"/>
        <v>0.84904153354632583</v>
      </c>
      <c r="W1065" s="33">
        <f t="shared" si="100"/>
        <v>1.0323313216568455</v>
      </c>
      <c r="X1065" s="4">
        <f t="shared" si="101"/>
        <v>0.78491224006437355</v>
      </c>
    </row>
    <row r="1066" spans="1:24" ht="14.5" x14ac:dyDescent="0.35">
      <c r="A1066" s="52">
        <v>43847</v>
      </c>
      <c r="B1066" s="51">
        <v>2854</v>
      </c>
      <c r="C1066" s="1">
        <f t="shared" si="102"/>
        <v>1.1984634104622418E-2</v>
      </c>
      <c r="R1066" s="28">
        <v>1065</v>
      </c>
      <c r="S1066" s="29">
        <v>1.4888612493750559E-2</v>
      </c>
      <c r="T1066" s="41">
        <f t="shared" si="98"/>
        <v>0</v>
      </c>
      <c r="U1066" s="4">
        <f t="shared" si="99"/>
        <v>0.7881461411921391</v>
      </c>
      <c r="V1066" s="15">
        <f t="shared" si="103"/>
        <v>0.84984025559105436</v>
      </c>
      <c r="W1066" s="33">
        <f t="shared" si="100"/>
        <v>1.0357485011322543</v>
      </c>
      <c r="X1066" s="4">
        <f t="shared" si="101"/>
        <v>0.7881461411921391</v>
      </c>
    </row>
    <row r="1067" spans="1:24" ht="14.5" x14ac:dyDescent="0.35">
      <c r="A1067" s="52">
        <v>43846</v>
      </c>
      <c r="B1067" s="51">
        <v>2820</v>
      </c>
      <c r="C1067" s="1">
        <f t="shared" si="102"/>
        <v>-1.4174346809733935E-3</v>
      </c>
      <c r="R1067" s="28">
        <v>1066</v>
      </c>
      <c r="S1067" s="29">
        <v>1.4915530756447568E-2</v>
      </c>
      <c r="T1067" s="41">
        <f t="shared" si="98"/>
        <v>0</v>
      </c>
      <c r="U1067" s="4">
        <f t="shared" si="99"/>
        <v>0.78956569635871743</v>
      </c>
      <c r="V1067" s="15">
        <f t="shared" si="103"/>
        <v>0.85063897763578278</v>
      </c>
      <c r="W1067" s="33">
        <f t="shared" si="100"/>
        <v>1.0391778181698266</v>
      </c>
      <c r="X1067" s="4">
        <f t="shared" si="101"/>
        <v>0.78956569635871743</v>
      </c>
    </row>
    <row r="1068" spans="1:24" ht="14.5" x14ac:dyDescent="0.35">
      <c r="A1068" s="52">
        <v>43845</v>
      </c>
      <c r="B1068" s="51">
        <v>2824</v>
      </c>
      <c r="C1068" s="1">
        <f t="shared" si="102"/>
        <v>-9.1646746495635204E-3</v>
      </c>
      <c r="R1068" s="28">
        <v>1067</v>
      </c>
      <c r="S1068" s="29">
        <v>1.4947961435873148E-2</v>
      </c>
      <c r="T1068" s="41">
        <f t="shared" si="98"/>
        <v>0</v>
      </c>
      <c r="U1068" s="4">
        <f t="shared" si="99"/>
        <v>0.79127595303658782</v>
      </c>
      <c r="V1068" s="15">
        <f t="shared" si="103"/>
        <v>0.8514376996805112</v>
      </c>
      <c r="W1068" s="33">
        <f t="shared" si="100"/>
        <v>1.0426193999189224</v>
      </c>
      <c r="X1068" s="4">
        <f t="shared" si="101"/>
        <v>0.79127595303658782</v>
      </c>
    </row>
    <row r="1069" spans="1:24" ht="14.5" x14ac:dyDescent="0.35">
      <c r="A1069" s="52">
        <v>43844</v>
      </c>
      <c r="B1069" s="51">
        <v>2850</v>
      </c>
      <c r="C1069" s="1">
        <f t="shared" si="102"/>
        <v>-1.1859225142143479E-2</v>
      </c>
      <c r="R1069" s="28">
        <v>1068</v>
      </c>
      <c r="S1069" s="29">
        <v>1.4958483930335824E-2</v>
      </c>
      <c r="T1069" s="41">
        <f t="shared" si="98"/>
        <v>0</v>
      </c>
      <c r="U1069" s="4">
        <f t="shared" si="99"/>
        <v>0.79183086482818144</v>
      </c>
      <c r="V1069" s="15">
        <f t="shared" si="103"/>
        <v>0.85223642172523961</v>
      </c>
      <c r="W1069" s="33">
        <f t="shared" si="100"/>
        <v>1.046073375480189</v>
      </c>
      <c r="X1069" s="4">
        <f t="shared" si="101"/>
        <v>0.79183086482818144</v>
      </c>
    </row>
    <row r="1070" spans="1:24" ht="14.5" x14ac:dyDescent="0.35">
      <c r="A1070" s="52">
        <v>43843</v>
      </c>
      <c r="B1070" s="51">
        <v>2884</v>
      </c>
      <c r="C1070" s="1">
        <f t="shared" si="102"/>
        <v>6.937218453723083E-4</v>
      </c>
      <c r="R1070" s="28">
        <v>1069</v>
      </c>
      <c r="S1070" s="29">
        <v>1.5058463874201535E-2</v>
      </c>
      <c r="T1070" s="41">
        <f t="shared" si="98"/>
        <v>0</v>
      </c>
      <c r="U1070" s="4">
        <f t="shared" si="99"/>
        <v>0.79710338361835431</v>
      </c>
      <c r="V1070" s="15">
        <f t="shared" si="103"/>
        <v>0.85303514376996803</v>
      </c>
      <c r="W1070" s="33">
        <f t="shared" si="100"/>
        <v>1.0495398759466186</v>
      </c>
      <c r="X1070" s="4">
        <f t="shared" si="101"/>
        <v>0.79710338361835431</v>
      </c>
    </row>
    <row r="1071" spans="1:24" ht="14.5" x14ac:dyDescent="0.35">
      <c r="A1071" s="52">
        <v>43840</v>
      </c>
      <c r="B1071" s="51">
        <v>2882</v>
      </c>
      <c r="C1071" s="1">
        <f t="shared" si="102"/>
        <v>-2.7720045470104892E-3</v>
      </c>
      <c r="R1071" s="28">
        <v>1070</v>
      </c>
      <c r="S1071" s="29">
        <v>1.5087199919261621E-2</v>
      </c>
      <c r="T1071" s="41">
        <f t="shared" si="98"/>
        <v>0</v>
      </c>
      <c r="U1071" s="4">
        <f t="shared" si="99"/>
        <v>0.79861880092783044</v>
      </c>
      <c r="V1071" s="15">
        <f t="shared" si="103"/>
        <v>0.85383386581469645</v>
      </c>
      <c r="W1071" s="33">
        <f t="shared" si="100"/>
        <v>1.0530190344456893</v>
      </c>
      <c r="X1071" s="4">
        <f t="shared" si="101"/>
        <v>0.79861880092783044</v>
      </c>
    </row>
    <row r="1072" spans="1:24" ht="14.5" x14ac:dyDescent="0.35">
      <c r="A1072" s="52">
        <v>43839</v>
      </c>
      <c r="B1072" s="51">
        <v>2890</v>
      </c>
      <c r="C1072" s="1">
        <f t="shared" si="102"/>
        <v>6.9228109376093412E-4</v>
      </c>
      <c r="R1072" s="28">
        <v>1071</v>
      </c>
      <c r="S1072" s="29">
        <v>1.5145765807994841E-2</v>
      </c>
      <c r="T1072" s="41">
        <f t="shared" si="98"/>
        <v>0</v>
      </c>
      <c r="U1072" s="4">
        <f t="shared" si="99"/>
        <v>0.80170731785302318</v>
      </c>
      <c r="V1072" s="15">
        <f t="shared" si="103"/>
        <v>0.85463258785942497</v>
      </c>
      <c r="W1072" s="33">
        <f t="shared" si="100"/>
        <v>1.0565109861826307</v>
      </c>
      <c r="X1072" s="4">
        <f t="shared" si="101"/>
        <v>0.80170731785302318</v>
      </c>
    </row>
    <row r="1073" spans="1:24" ht="14.5" x14ac:dyDescent="0.35">
      <c r="A1073" s="52">
        <v>43838</v>
      </c>
      <c r="B1073" s="51">
        <v>2888</v>
      </c>
      <c r="C1073" s="1">
        <f t="shared" si="102"/>
        <v>5.5555698446019637E-3</v>
      </c>
      <c r="R1073" s="28">
        <v>1072</v>
      </c>
      <c r="S1073" s="29">
        <v>1.5151805020602246E-2</v>
      </c>
      <c r="T1073" s="41">
        <f t="shared" si="98"/>
        <v>0</v>
      </c>
      <c r="U1073" s="4">
        <f t="shared" si="99"/>
        <v>0.80202580034780391</v>
      </c>
      <c r="V1073" s="15">
        <f t="shared" si="103"/>
        <v>0.85543130990415339</v>
      </c>
      <c r="W1073" s="33">
        <f t="shared" si="100"/>
        <v>1.0600158684848688</v>
      </c>
      <c r="X1073" s="4">
        <f t="shared" si="101"/>
        <v>0.80202580034780391</v>
      </c>
    </row>
    <row r="1074" spans="1:24" ht="14.5" x14ac:dyDescent="0.35">
      <c r="A1074" s="52">
        <v>43837</v>
      </c>
      <c r="B1074" s="51">
        <v>2872</v>
      </c>
      <c r="C1074" s="1">
        <f t="shared" si="102"/>
        <v>-3.4758463913525414E-3</v>
      </c>
      <c r="R1074" s="28">
        <v>1073</v>
      </c>
      <c r="S1074" s="29">
        <v>1.559209475983628E-2</v>
      </c>
      <c r="T1074" s="41">
        <f t="shared" si="98"/>
        <v>0</v>
      </c>
      <c r="U1074" s="4">
        <f t="shared" si="99"/>
        <v>0.82524481641716452</v>
      </c>
      <c r="V1074" s="15">
        <f t="shared" si="103"/>
        <v>0.85623003194888181</v>
      </c>
      <c r="W1074" s="33">
        <f t="shared" si="100"/>
        <v>1.0635338208476595</v>
      </c>
      <c r="X1074" s="4">
        <f t="shared" si="101"/>
        <v>0.82524481641716452</v>
      </c>
    </row>
    <row r="1075" spans="1:24" ht="14.5" x14ac:dyDescent="0.35">
      <c r="A1075" s="52">
        <v>43836</v>
      </c>
      <c r="B1075" s="51">
        <v>2882</v>
      </c>
      <c r="C1075" s="1">
        <f t="shared" si="102"/>
        <v>-2.3320672774398081E-2</v>
      </c>
      <c r="R1075" s="28">
        <v>1074</v>
      </c>
      <c r="S1075" s="29">
        <v>1.5603153431619523E-2</v>
      </c>
      <c r="T1075" s="41">
        <f t="shared" si="98"/>
        <v>0</v>
      </c>
      <c r="U1075" s="4">
        <f t="shared" si="99"/>
        <v>0.82582800392975031</v>
      </c>
      <c r="V1075" s="15">
        <f t="shared" si="103"/>
        <v>0.85702875399361023</v>
      </c>
      <c r="W1075" s="33">
        <f t="shared" si="100"/>
        <v>1.0670649849809621</v>
      </c>
      <c r="X1075" s="4">
        <f t="shared" si="101"/>
        <v>0.82582800392975031</v>
      </c>
    </row>
    <row r="1076" spans="1:24" ht="14.5" x14ac:dyDescent="0.35">
      <c r="A1076" s="52">
        <v>43833</v>
      </c>
      <c r="B1076" s="51">
        <v>2950</v>
      </c>
      <c r="C1076" s="1">
        <f t="shared" si="102"/>
        <v>-3.3840979842405684E-3</v>
      </c>
      <c r="R1076" s="28">
        <v>1075</v>
      </c>
      <c r="S1076" s="29">
        <v>1.5621109458837467E-2</v>
      </c>
      <c r="T1076" s="41">
        <f t="shared" si="98"/>
        <v>0</v>
      </c>
      <c r="U1076" s="4">
        <f t="shared" si="99"/>
        <v>0.82677492875529945</v>
      </c>
      <c r="V1076" s="15">
        <f t="shared" si="103"/>
        <v>0.85782747603833864</v>
      </c>
      <c r="W1076" s="33">
        <f t="shared" si="100"/>
        <v>1.0706095048576043</v>
      </c>
      <c r="X1076" s="4">
        <f t="shared" si="101"/>
        <v>0.82677492875529945</v>
      </c>
    </row>
    <row r="1077" spans="1:24" ht="14.5" x14ac:dyDescent="0.35">
      <c r="A1077" s="52">
        <v>43832</v>
      </c>
      <c r="B1077" s="51">
        <v>2960</v>
      </c>
      <c r="C1077" s="1">
        <f t="shared" si="102"/>
        <v>6.7796869853787691E-3</v>
      </c>
      <c r="R1077" s="28">
        <v>1076</v>
      </c>
      <c r="S1077" s="29">
        <v>1.5689526171376804E-2</v>
      </c>
      <c r="T1077" s="41">
        <f t="shared" si="98"/>
        <v>0</v>
      </c>
      <c r="U1077" s="4">
        <f t="shared" si="99"/>
        <v>0.83038293640641425</v>
      </c>
      <c r="V1077" s="15">
        <f t="shared" si="103"/>
        <v>0.85862619808306706</v>
      </c>
      <c r="W1077" s="33">
        <f t="shared" si="100"/>
        <v>1.0741675267627588</v>
      </c>
      <c r="X1077" s="4">
        <f t="shared" si="101"/>
        <v>0.83038293640641425</v>
      </c>
    </row>
    <row r="1078" spans="1:24" ht="14.5" x14ac:dyDescent="0.35">
      <c r="A1078" s="52">
        <v>43829</v>
      </c>
      <c r="B1078" s="51">
        <v>2940</v>
      </c>
      <c r="C1078" s="1">
        <f t="shared" si="102"/>
        <v>0</v>
      </c>
      <c r="R1078" s="28">
        <v>1077</v>
      </c>
      <c r="S1078" s="29">
        <v>1.5736555538985966E-2</v>
      </c>
      <c r="T1078" s="41">
        <f t="shared" si="98"/>
        <v>0</v>
      </c>
      <c r="U1078" s="4">
        <f t="shared" si="99"/>
        <v>0.83286306606864235</v>
      </c>
      <c r="V1078" s="15">
        <f t="shared" si="103"/>
        <v>0.85942492012779548</v>
      </c>
      <c r="W1078" s="33">
        <f t="shared" si="100"/>
        <v>1.0777391993447987</v>
      </c>
      <c r="X1078" s="4">
        <f t="shared" si="101"/>
        <v>0.83286306606864235</v>
      </c>
    </row>
    <row r="1079" spans="1:24" ht="14.5" x14ac:dyDescent="0.35">
      <c r="A1079" s="52">
        <v>43822</v>
      </c>
      <c r="B1079" s="51">
        <v>2940</v>
      </c>
      <c r="C1079" s="1">
        <f t="shared" si="102"/>
        <v>5.4570394630581174E-3</v>
      </c>
      <c r="R1079" s="28">
        <v>1078</v>
      </c>
      <c r="S1079" s="53">
        <v>1.5738823670714455E-2</v>
      </c>
      <c r="T1079" s="41">
        <f t="shared" si="98"/>
        <v>0</v>
      </c>
      <c r="U1079" s="4">
        <f t="shared" si="99"/>
        <v>0.83298267772968815</v>
      </c>
      <c r="V1079" s="15">
        <f t="shared" si="103"/>
        <v>0.86022364217252401</v>
      </c>
      <c r="W1079" s="33">
        <f t="shared" si="100"/>
        <v>1.0813246736675619</v>
      </c>
      <c r="X1079" s="4">
        <f t="shared" si="101"/>
        <v>0.83298267772968815</v>
      </c>
    </row>
    <row r="1080" spans="1:24" ht="14.5" x14ac:dyDescent="0.35">
      <c r="A1080" s="52">
        <v>43819</v>
      </c>
      <c r="B1080" s="51">
        <v>2924</v>
      </c>
      <c r="C1080" s="1">
        <f t="shared" si="102"/>
        <v>3.4258341145190102E-3</v>
      </c>
      <c r="R1080" s="28">
        <v>1079</v>
      </c>
      <c r="S1080" s="29">
        <v>1.5798116876591311E-2</v>
      </c>
      <c r="T1080" s="41">
        <f t="shared" si="98"/>
        <v>0</v>
      </c>
      <c r="U1080" s="4">
        <f t="shared" si="99"/>
        <v>0.83610955028059908</v>
      </c>
      <c r="V1080" s="15">
        <f t="shared" si="103"/>
        <v>0.86102236421725242</v>
      </c>
      <c r="W1080" s="33">
        <f t="shared" si="100"/>
        <v>1.0849241032640771</v>
      </c>
      <c r="X1080" s="4">
        <f t="shared" si="101"/>
        <v>0.83610955028059908</v>
      </c>
    </row>
    <row r="1081" spans="1:24" ht="14.5" x14ac:dyDescent="0.35">
      <c r="A1081" s="52">
        <v>43818</v>
      </c>
      <c r="B1081" s="51">
        <v>2914</v>
      </c>
      <c r="C1081" s="1">
        <f t="shared" si="102"/>
        <v>1.0348488350310443E-2</v>
      </c>
      <c r="R1081" s="28">
        <v>1080</v>
      </c>
      <c r="S1081" s="29">
        <v>1.5836381262901395E-2</v>
      </c>
      <c r="T1081" s="41">
        <f t="shared" si="98"/>
        <v>0</v>
      </c>
      <c r="U1081" s="4">
        <f t="shared" si="99"/>
        <v>0.8381274519518116</v>
      </c>
      <c r="V1081" s="15">
        <f t="shared" si="103"/>
        <v>0.86182108626198084</v>
      </c>
      <c r="W1081" s="33">
        <f t="shared" si="100"/>
        <v>1.0885376441918031</v>
      </c>
      <c r="X1081" s="4">
        <f t="shared" si="101"/>
        <v>0.8381274519518116</v>
      </c>
    </row>
    <row r="1082" spans="1:24" ht="14.5" x14ac:dyDescent="0.35">
      <c r="A1082" s="52">
        <v>43817</v>
      </c>
      <c r="B1082" s="51">
        <v>2884</v>
      </c>
      <c r="C1082" s="1">
        <f t="shared" si="102"/>
        <v>4.1695682367248309E-3</v>
      </c>
      <c r="R1082" s="28">
        <v>1081</v>
      </c>
      <c r="S1082" s="29">
        <v>1.5873349156290163E-2</v>
      </c>
      <c r="T1082" s="41">
        <f t="shared" si="98"/>
        <v>0</v>
      </c>
      <c r="U1082" s="4">
        <f t="shared" si="99"/>
        <v>0.84007698207744541</v>
      </c>
      <c r="V1082" s="15">
        <f t="shared" si="103"/>
        <v>0.86261980830670926</v>
      </c>
      <c r="W1082" s="33">
        <f t="shared" si="100"/>
        <v>1.0921654550894306</v>
      </c>
      <c r="X1082" s="4">
        <f t="shared" si="101"/>
        <v>0.84007698207744541</v>
      </c>
    </row>
    <row r="1083" spans="1:24" ht="14.5" x14ac:dyDescent="0.35">
      <c r="A1083" s="52">
        <v>43816</v>
      </c>
      <c r="B1083" s="51">
        <v>2872</v>
      </c>
      <c r="C1083" s="1">
        <f t="shared" si="102"/>
        <v>-3.4758463913525414E-3</v>
      </c>
      <c r="R1083" s="28">
        <v>1082</v>
      </c>
      <c r="S1083" s="29">
        <v>1.5975995933724393E-2</v>
      </c>
      <c r="T1083" s="41">
        <f t="shared" si="98"/>
        <v>0</v>
      </c>
      <c r="U1083" s="4">
        <f t="shared" si="99"/>
        <v>0.84549013837506826</v>
      </c>
      <c r="V1083" s="15">
        <f t="shared" si="103"/>
        <v>0.86341853035143767</v>
      </c>
      <c r="W1083" s="33">
        <f t="shared" si="100"/>
        <v>1.0958076972353008</v>
      </c>
      <c r="X1083" s="4">
        <f t="shared" si="101"/>
        <v>0.84549013837506826</v>
      </c>
    </row>
    <row r="1084" spans="1:24" ht="14.5" x14ac:dyDescent="0.35">
      <c r="A1084" s="52">
        <v>43815</v>
      </c>
      <c r="B1084" s="51">
        <v>2882</v>
      </c>
      <c r="C1084" s="1">
        <f t="shared" si="102"/>
        <v>-8.2930675707608339E-3</v>
      </c>
      <c r="R1084" s="28">
        <v>1083</v>
      </c>
      <c r="S1084" s="29">
        <v>1.6015415321976274E-2</v>
      </c>
      <c r="T1084" s="41">
        <f t="shared" si="98"/>
        <v>0</v>
      </c>
      <c r="U1084" s="4">
        <f t="shared" si="99"/>
        <v>0.84756894995686238</v>
      </c>
      <c r="V1084" s="15">
        <f t="shared" si="103"/>
        <v>0.86421725239616609</v>
      </c>
      <c r="W1084" s="33">
        <f t="shared" si="100"/>
        <v>1.0994645346074923</v>
      </c>
      <c r="X1084" s="4">
        <f t="shared" si="101"/>
        <v>0.84756894995686238</v>
      </c>
    </row>
    <row r="1085" spans="1:24" ht="14.5" x14ac:dyDescent="0.35">
      <c r="A1085" s="52">
        <v>43812</v>
      </c>
      <c r="B1085" s="51">
        <v>2906</v>
      </c>
      <c r="C1085" s="1">
        <f t="shared" si="102"/>
        <v>2.0668281556628885E-3</v>
      </c>
      <c r="R1085" s="28">
        <v>1084</v>
      </c>
      <c r="S1085" s="29">
        <v>1.6100062128334699E-2</v>
      </c>
      <c r="T1085" s="41">
        <f t="shared" si="98"/>
        <v>0</v>
      </c>
      <c r="U1085" s="4">
        <f t="shared" si="99"/>
        <v>0.85203286401598965</v>
      </c>
      <c r="V1085" s="15">
        <f t="shared" si="103"/>
        <v>0.86501597444089462</v>
      </c>
      <c r="W1085" s="33">
        <f t="shared" si="100"/>
        <v>1.1031361339456489</v>
      </c>
      <c r="X1085" s="4">
        <f t="shared" si="101"/>
        <v>0.85203286401598965</v>
      </c>
    </row>
    <row r="1086" spans="1:24" ht="14.5" x14ac:dyDescent="0.35">
      <c r="A1086" s="52">
        <v>43811</v>
      </c>
      <c r="B1086" s="51">
        <v>2900</v>
      </c>
      <c r="C1086" s="1">
        <f t="shared" si="102"/>
        <v>6.920442844573757E-3</v>
      </c>
      <c r="R1086" s="28">
        <v>1085</v>
      </c>
      <c r="S1086" s="29">
        <v>1.6108868898979972E-2</v>
      </c>
      <c r="T1086" s="41">
        <f t="shared" si="98"/>
        <v>0</v>
      </c>
      <c r="U1086" s="4">
        <f t="shared" si="99"/>
        <v>0.85249729580013145</v>
      </c>
      <c r="V1086" s="15">
        <f t="shared" si="103"/>
        <v>0.86581469648562304</v>
      </c>
      <c r="W1086" s="33">
        <f t="shared" si="100"/>
        <v>1.106822664814584</v>
      </c>
      <c r="X1086" s="4">
        <f t="shared" si="101"/>
        <v>0.85249729580013145</v>
      </c>
    </row>
    <row r="1087" spans="1:24" ht="14.5" x14ac:dyDescent="0.35">
      <c r="A1087" s="52">
        <v>43810</v>
      </c>
      <c r="B1087" s="51">
        <v>2880</v>
      </c>
      <c r="C1087" s="1">
        <f t="shared" si="102"/>
        <v>0</v>
      </c>
      <c r="R1087" s="28">
        <v>1086</v>
      </c>
      <c r="S1087" s="29">
        <v>1.6135039622506814E-2</v>
      </c>
      <c r="T1087" s="41">
        <f t="shared" si="98"/>
        <v>0</v>
      </c>
      <c r="U1087" s="4">
        <f t="shared" si="99"/>
        <v>0.85387742891695961</v>
      </c>
      <c r="V1087" s="15">
        <f t="shared" si="103"/>
        <v>0.86661341853035145</v>
      </c>
      <c r="W1087" s="33">
        <f t="shared" si="100"/>
        <v>1.1105242996697522</v>
      </c>
      <c r="X1087" s="4">
        <f t="shared" si="101"/>
        <v>0.85387742891695961</v>
      </c>
    </row>
    <row r="1088" spans="1:24" ht="14.5" x14ac:dyDescent="0.35">
      <c r="A1088" s="52">
        <v>43809</v>
      </c>
      <c r="B1088" s="51">
        <v>2880</v>
      </c>
      <c r="C1088" s="1">
        <f t="shared" si="102"/>
        <v>-4.158010148663677E-3</v>
      </c>
      <c r="R1088" s="28">
        <v>1087</v>
      </c>
      <c r="S1088" s="29">
        <v>1.6449330740803687E-2</v>
      </c>
      <c r="T1088" s="41">
        <f t="shared" si="98"/>
        <v>0</v>
      </c>
      <c r="U1088" s="4">
        <f t="shared" si="99"/>
        <v>0.87045181136540783</v>
      </c>
      <c r="V1088" s="15">
        <f t="shared" si="103"/>
        <v>0.86741214057507987</v>
      </c>
      <c r="W1088" s="33">
        <f t="shared" si="100"/>
        <v>1.1142412139246307</v>
      </c>
      <c r="X1088" s="4">
        <f t="shared" si="101"/>
        <v>0.87045181136540783</v>
      </c>
    </row>
    <row r="1089" spans="1:24" ht="14.5" x14ac:dyDescent="0.35">
      <c r="A1089" s="52">
        <v>43808</v>
      </c>
      <c r="B1089" s="51">
        <v>2892</v>
      </c>
      <c r="C1089" s="1">
        <f t="shared" si="102"/>
        <v>6.9396531105404002E-3</v>
      </c>
      <c r="R1089" s="28">
        <v>1088</v>
      </c>
      <c r="S1089" s="29">
        <v>1.6483889721689415E-2</v>
      </c>
      <c r="T1089" s="41">
        <f t="shared" si="98"/>
        <v>0</v>
      </c>
      <c r="U1089" s="4">
        <f t="shared" si="99"/>
        <v>0.87227430564820085</v>
      </c>
      <c r="V1089" s="15">
        <f t="shared" si="103"/>
        <v>0.86821086261980829</v>
      </c>
      <c r="W1089" s="33">
        <f t="shared" si="100"/>
        <v>1.1179735860200952</v>
      </c>
      <c r="X1089" s="4">
        <f t="shared" si="101"/>
        <v>0.87227430564820085</v>
      </c>
    </row>
    <row r="1090" spans="1:24" ht="14.5" x14ac:dyDescent="0.35">
      <c r="A1090" s="52">
        <v>43805</v>
      </c>
      <c r="B1090" s="51">
        <v>2872</v>
      </c>
      <c r="C1090" s="1">
        <f t="shared" si="102"/>
        <v>4.187026354216453E-3</v>
      </c>
      <c r="R1090" s="28">
        <v>1089</v>
      </c>
      <c r="S1090" s="29">
        <v>1.6514136764413014E-2</v>
      </c>
      <c r="T1090" s="41">
        <f t="shared" si="98"/>
        <v>0</v>
      </c>
      <c r="U1090" s="4">
        <f t="shared" si="99"/>
        <v>0.87386940657485812</v>
      </c>
      <c r="V1090" s="15">
        <f t="shared" si="103"/>
        <v>0.86900958466453671</v>
      </c>
      <c r="W1090" s="33">
        <f t="shared" si="100"/>
        <v>1.121721597495849</v>
      </c>
      <c r="X1090" s="4">
        <f t="shared" si="101"/>
        <v>0.87386940657485812</v>
      </c>
    </row>
    <row r="1091" spans="1:24" ht="14.5" x14ac:dyDescent="0.35">
      <c r="A1091" s="52">
        <v>43804</v>
      </c>
      <c r="B1091" s="51">
        <v>2860</v>
      </c>
      <c r="C1091" s="1">
        <f t="shared" si="102"/>
        <v>5.6101128907667828E-3</v>
      </c>
      <c r="R1091" s="28">
        <v>1090</v>
      </c>
      <c r="S1091" s="29">
        <v>1.6637641153023224E-2</v>
      </c>
      <c r="T1091" s="41">
        <f t="shared" ref="T1091:T1154" si="104">+IF(OR(S1091&lt;($Z$3-3*$Z$4^0.5),S1091&gt;($Z$3+3*$Z$4^0.5)),1,0)</f>
        <v>0</v>
      </c>
      <c r="U1091" s="4">
        <f t="shared" ref="U1091:U1154" si="105">+(S1091-AVERAGE($S$2:$S$1252))/_xlfn.STDEV.S($S$2:$S$1252)</f>
        <v>0.88038250494677528</v>
      </c>
      <c r="V1091" s="15">
        <f t="shared" si="103"/>
        <v>0.86980830670926512</v>
      </c>
      <c r="W1091" s="33">
        <f t="shared" ref="W1091:W1154" si="106">+_xlfn.NORM.S.INV(V1091)</f>
        <v>1.1254854330639892</v>
      </c>
      <c r="X1091" s="4">
        <f t="shared" ref="X1091:X1154" si="107">+U1091</f>
        <v>0.88038250494677528</v>
      </c>
    </row>
    <row r="1092" spans="1:24" ht="14.5" x14ac:dyDescent="0.35">
      <c r="A1092" s="52">
        <v>43803</v>
      </c>
      <c r="B1092" s="51">
        <v>2844</v>
      </c>
      <c r="C1092" s="1">
        <f t="shared" ref="C1092:C1155" si="108">+LN(B1092/B1093)</f>
        <v>1.559209475983628E-2</v>
      </c>
      <c r="R1092" s="28">
        <v>1091</v>
      </c>
      <c r="S1092" s="29">
        <v>1.6728392770463365E-2</v>
      </c>
      <c r="T1092" s="41">
        <f t="shared" si="104"/>
        <v>0</v>
      </c>
      <c r="U1092" s="4">
        <f t="shared" si="105"/>
        <v>0.88516836088638651</v>
      </c>
      <c r="V1092" s="15">
        <f t="shared" ref="V1092:V1155" si="109">+R1091/1252</f>
        <v>0.87060702875399365</v>
      </c>
      <c r="W1092" s="33">
        <f t="shared" si="106"/>
        <v>1.1292652806847807</v>
      </c>
      <c r="X1092" s="4">
        <f t="shared" si="107"/>
        <v>0.88516836088638651</v>
      </c>
    </row>
    <row r="1093" spans="1:24" ht="14.5" x14ac:dyDescent="0.35">
      <c r="A1093" s="52">
        <v>43802</v>
      </c>
      <c r="B1093" s="51">
        <v>2800</v>
      </c>
      <c r="C1093" s="1">
        <f t="shared" si="108"/>
        <v>-1.9102101873486401E-2</v>
      </c>
      <c r="R1093" s="28">
        <v>1092</v>
      </c>
      <c r="S1093" s="29">
        <v>1.6957122066756293E-2</v>
      </c>
      <c r="T1093" s="41">
        <f t="shared" si="104"/>
        <v>0</v>
      </c>
      <c r="U1093" s="4">
        <f t="shared" si="105"/>
        <v>0.89723057522596728</v>
      </c>
      <c r="V1093" s="15">
        <f t="shared" si="109"/>
        <v>0.87140575079872207</v>
      </c>
      <c r="W1093" s="33">
        <f t="shared" si="106"/>
        <v>1.1330613316447196</v>
      </c>
      <c r="X1093" s="4">
        <f t="shared" si="107"/>
        <v>0.89723057522596728</v>
      </c>
    </row>
    <row r="1094" spans="1:24" ht="14.5" x14ac:dyDescent="0.35">
      <c r="A1094" s="52">
        <v>43801</v>
      </c>
      <c r="B1094" s="51">
        <v>2854</v>
      </c>
      <c r="C1094" s="1">
        <f t="shared" si="108"/>
        <v>-2.7645160666145353E-2</v>
      </c>
      <c r="R1094" s="28">
        <v>1093</v>
      </c>
      <c r="S1094" s="29">
        <v>1.7059437937864273E-2</v>
      </c>
      <c r="T1094" s="41">
        <f t="shared" si="104"/>
        <v>0</v>
      </c>
      <c r="U1094" s="4">
        <f t="shared" si="105"/>
        <v>0.90262628092544539</v>
      </c>
      <c r="V1094" s="15">
        <f t="shared" si="109"/>
        <v>0.87220447284345048</v>
      </c>
      <c r="W1094" s="33">
        <f t="shared" si="106"/>
        <v>1.1368737806369786</v>
      </c>
      <c r="X1094" s="4">
        <f t="shared" si="107"/>
        <v>0.90262628092544539</v>
      </c>
    </row>
    <row r="1095" spans="1:24" ht="14.5" x14ac:dyDescent="0.35">
      <c r="A1095" s="52">
        <v>43798</v>
      </c>
      <c r="B1095" s="51">
        <v>2934</v>
      </c>
      <c r="C1095" s="1">
        <f t="shared" si="108"/>
        <v>4.098366392282185E-3</v>
      </c>
      <c r="R1095" s="28">
        <v>1094</v>
      </c>
      <c r="S1095" s="29">
        <v>1.7063727901402471E-2</v>
      </c>
      <c r="T1095" s="41">
        <f t="shared" si="104"/>
        <v>0</v>
      </c>
      <c r="U1095" s="4">
        <f t="shared" si="105"/>
        <v>0.90285251543298506</v>
      </c>
      <c r="V1095" s="15">
        <f t="shared" si="109"/>
        <v>0.8730031948881789</v>
      </c>
      <c r="W1095" s="33">
        <f t="shared" si="106"/>
        <v>1.1407028258443039</v>
      </c>
      <c r="X1095" s="4">
        <f t="shared" si="107"/>
        <v>0.90285251543298506</v>
      </c>
    </row>
    <row r="1096" spans="1:24" ht="14.5" x14ac:dyDescent="0.35">
      <c r="A1096" s="52">
        <v>43797</v>
      </c>
      <c r="B1096" s="51">
        <v>2922</v>
      </c>
      <c r="C1096" s="1">
        <f t="shared" si="108"/>
        <v>-2.7341097004681724E-3</v>
      </c>
      <c r="R1096" s="28">
        <v>1095</v>
      </c>
      <c r="S1096" s="29">
        <v>1.711610723253058E-2</v>
      </c>
      <c r="T1096" s="41">
        <f t="shared" si="104"/>
        <v>0</v>
      </c>
      <c r="U1096" s="4">
        <f t="shared" si="105"/>
        <v>0.90561477951227454</v>
      </c>
      <c r="V1096" s="15">
        <f t="shared" si="109"/>
        <v>0.87380191693290732</v>
      </c>
      <c r="W1096" s="33">
        <f t="shared" si="106"/>
        <v>1.1445486690244737</v>
      </c>
      <c r="X1096" s="4">
        <f t="shared" si="107"/>
        <v>0.90561477951227454</v>
      </c>
    </row>
    <row r="1097" spans="1:24" ht="14.5" x14ac:dyDescent="0.35">
      <c r="A1097" s="52">
        <v>43796</v>
      </c>
      <c r="B1097" s="51">
        <v>2930</v>
      </c>
      <c r="C1097" s="1">
        <f t="shared" si="108"/>
        <v>1.3661204310434418E-3</v>
      </c>
      <c r="R1097" s="28">
        <v>1096</v>
      </c>
      <c r="S1097" s="29">
        <v>1.726661602093155E-2</v>
      </c>
      <c r="T1097" s="41">
        <f t="shared" si="104"/>
        <v>0</v>
      </c>
      <c r="U1097" s="4">
        <f t="shared" si="105"/>
        <v>0.91355197555627443</v>
      </c>
      <c r="V1097" s="15">
        <f t="shared" si="109"/>
        <v>0.87460063897763574</v>
      </c>
      <c r="W1097" s="33">
        <f t="shared" si="106"/>
        <v>1.1484115155984058</v>
      </c>
      <c r="X1097" s="4">
        <f t="shared" si="107"/>
        <v>0.91355197555627443</v>
      </c>
    </row>
    <row r="1098" spans="1:24" ht="14.5" x14ac:dyDescent="0.35">
      <c r="A1098" s="52">
        <v>43795</v>
      </c>
      <c r="B1098" s="51">
        <v>2926</v>
      </c>
      <c r="C1098" s="1">
        <f t="shared" si="108"/>
        <v>-2.6973988732850219E-2</v>
      </c>
      <c r="R1098" s="28">
        <v>1097</v>
      </c>
      <c r="S1098" s="29">
        <v>1.7497593620962631E-2</v>
      </c>
      <c r="T1098" s="41">
        <f t="shared" si="104"/>
        <v>0</v>
      </c>
      <c r="U1098" s="4">
        <f t="shared" si="105"/>
        <v>0.92573275591266901</v>
      </c>
      <c r="V1098" s="15">
        <f t="shared" si="109"/>
        <v>0.87539936102236426</v>
      </c>
      <c r="W1098" s="33">
        <f t="shared" si="106"/>
        <v>1.1522915747410072</v>
      </c>
      <c r="X1098" s="4">
        <f t="shared" si="107"/>
        <v>0.92573275591266901</v>
      </c>
    </row>
    <row r="1099" spans="1:24" ht="14.5" x14ac:dyDescent="0.35">
      <c r="A1099" s="52">
        <v>43794</v>
      </c>
      <c r="B1099" s="51">
        <v>3006</v>
      </c>
      <c r="C1099" s="1">
        <f t="shared" si="108"/>
        <v>1.070244329281933E-2</v>
      </c>
      <c r="R1099" s="28">
        <v>1098</v>
      </c>
      <c r="S1099" s="29">
        <v>1.7513582492708211E-2</v>
      </c>
      <c r="T1099" s="41">
        <f t="shared" si="104"/>
        <v>0</v>
      </c>
      <c r="U1099" s="4">
        <f t="shared" si="105"/>
        <v>0.92657594129018295</v>
      </c>
      <c r="V1099" s="15">
        <f t="shared" si="109"/>
        <v>0.87619808306709268</v>
      </c>
      <c r="W1099" s="33">
        <f t="shared" si="106"/>
        <v>1.1561890594748843</v>
      </c>
      <c r="X1099" s="4">
        <f t="shared" si="107"/>
        <v>0.92657594129018295</v>
      </c>
    </row>
    <row r="1100" spans="1:24" ht="14.5" x14ac:dyDescent="0.35">
      <c r="A1100" s="52">
        <v>43791</v>
      </c>
      <c r="B1100" s="51">
        <v>2974</v>
      </c>
      <c r="C1100" s="1">
        <f t="shared" si="108"/>
        <v>1.8324231757772959E-2</v>
      </c>
      <c r="R1100" s="28">
        <v>1099</v>
      </c>
      <c r="S1100" s="29">
        <v>1.762160134981941E-2</v>
      </c>
      <c r="T1100" s="41">
        <f t="shared" si="104"/>
        <v>0</v>
      </c>
      <c r="U1100" s="4">
        <f t="shared" si="105"/>
        <v>0.93227239831737196</v>
      </c>
      <c r="V1100" s="15">
        <f t="shared" si="109"/>
        <v>0.8769968051118211</v>
      </c>
      <c r="W1100" s="33">
        <f t="shared" si="106"/>
        <v>1.1601041867670134</v>
      </c>
      <c r="X1100" s="4">
        <f t="shared" si="107"/>
        <v>0.93227239831737196</v>
      </c>
    </row>
    <row r="1101" spans="1:24" ht="14.5" x14ac:dyDescent="0.35">
      <c r="A1101" s="52">
        <v>43790</v>
      </c>
      <c r="B1101" s="51">
        <v>2920</v>
      </c>
      <c r="C1101" s="1">
        <f t="shared" si="108"/>
        <v>-2.9026675050592345E-2</v>
      </c>
      <c r="R1101" s="28">
        <v>1100</v>
      </c>
      <c r="S1101" s="29">
        <v>1.7630231376270501E-2</v>
      </c>
      <c r="T1101" s="41">
        <f t="shared" si="104"/>
        <v>0</v>
      </c>
      <c r="U1101" s="4">
        <f t="shared" si="105"/>
        <v>0.93272750936128468</v>
      </c>
      <c r="V1101" s="15">
        <f t="shared" si="109"/>
        <v>0.87779552715654952</v>
      </c>
      <c r="W1101" s="33">
        <f t="shared" si="106"/>
        <v>1.1640371776284826</v>
      </c>
      <c r="X1101" s="4">
        <f t="shared" si="107"/>
        <v>0.93272750936128468</v>
      </c>
    </row>
    <row r="1102" spans="1:24" ht="14.5" x14ac:dyDescent="0.35">
      <c r="A1102" s="52">
        <v>43789</v>
      </c>
      <c r="B1102" s="51">
        <v>3006</v>
      </c>
      <c r="C1102" s="1">
        <f t="shared" si="108"/>
        <v>1.331558119512613E-3</v>
      </c>
      <c r="R1102" s="28">
        <v>1101</v>
      </c>
      <c r="S1102" s="29">
        <v>1.7836843575025088E-2</v>
      </c>
      <c r="T1102" s="41">
        <f t="shared" si="104"/>
        <v>0</v>
      </c>
      <c r="U1102" s="4">
        <f t="shared" si="105"/>
        <v>0.94362336165017635</v>
      </c>
      <c r="V1102" s="15">
        <f t="shared" si="109"/>
        <v>0.87859424920127793</v>
      </c>
      <c r="W1102" s="33">
        <f t="shared" si="106"/>
        <v>1.1679882572174294</v>
      </c>
      <c r="X1102" s="4">
        <f t="shared" si="107"/>
        <v>0.94362336165017635</v>
      </c>
    </row>
    <row r="1103" spans="1:24" ht="14.5" x14ac:dyDescent="0.35">
      <c r="A1103" s="52">
        <v>43788</v>
      </c>
      <c r="B1103" s="51">
        <v>3002</v>
      </c>
      <c r="C1103" s="1">
        <f t="shared" si="108"/>
        <v>-1.0603147715070324E-2</v>
      </c>
      <c r="R1103" s="28">
        <v>1102</v>
      </c>
      <c r="S1103" s="29">
        <v>1.7870914918689682E-2</v>
      </c>
      <c r="T1103" s="41">
        <f t="shared" si="104"/>
        <v>0</v>
      </c>
      <c r="U1103" s="4">
        <f t="shared" si="105"/>
        <v>0.94542014001123742</v>
      </c>
      <c r="V1103" s="15">
        <f t="shared" si="109"/>
        <v>0.87939297124600635</v>
      </c>
      <c r="W1103" s="33">
        <f t="shared" si="106"/>
        <v>1.1719576549453021</v>
      </c>
      <c r="X1103" s="4">
        <f t="shared" si="107"/>
        <v>0.94542014001123742</v>
      </c>
    </row>
    <row r="1104" spans="1:24" ht="14.5" x14ac:dyDescent="0.35">
      <c r="A1104" s="52">
        <v>43787</v>
      </c>
      <c r="B1104" s="51">
        <v>3034</v>
      </c>
      <c r="C1104" s="1">
        <f t="shared" si="108"/>
        <v>1.3939820814109587E-2</v>
      </c>
      <c r="R1104" s="28">
        <v>1103</v>
      </c>
      <c r="S1104" s="29">
        <v>1.7962216628159416E-2</v>
      </c>
      <c r="T1104" s="41">
        <f t="shared" si="104"/>
        <v>0</v>
      </c>
      <c r="U1104" s="4">
        <f t="shared" si="105"/>
        <v>0.95023500547466133</v>
      </c>
      <c r="V1104" s="15">
        <f t="shared" si="109"/>
        <v>0.88019169329073488</v>
      </c>
      <c r="W1104" s="33">
        <f t="shared" si="106"/>
        <v>1.1759456045865566</v>
      </c>
      <c r="X1104" s="4">
        <f t="shared" si="107"/>
        <v>0.95023500547466133</v>
      </c>
    </row>
    <row r="1105" spans="1:24" ht="14.5" x14ac:dyDescent="0.35">
      <c r="A1105" s="52">
        <v>43784</v>
      </c>
      <c r="B1105" s="51">
        <v>2992</v>
      </c>
      <c r="C1105" s="1">
        <f t="shared" si="108"/>
        <v>-2.6702285558789208E-3</v>
      </c>
      <c r="R1105" s="28">
        <v>1104</v>
      </c>
      <c r="S1105" s="29">
        <v>1.8018505502678212E-2</v>
      </c>
      <c r="T1105" s="41">
        <f t="shared" si="104"/>
        <v>0</v>
      </c>
      <c r="U1105" s="4">
        <f t="shared" si="105"/>
        <v>0.95320344231412035</v>
      </c>
      <c r="V1105" s="15">
        <f t="shared" si="109"/>
        <v>0.88099041533546329</v>
      </c>
      <c r="W1105" s="33">
        <f t="shared" si="106"/>
        <v>1.1799523443919495</v>
      </c>
      <c r="X1105" s="4">
        <f t="shared" si="107"/>
        <v>0.95320344231412035</v>
      </c>
    </row>
    <row r="1106" spans="1:24" ht="14.5" x14ac:dyDescent="0.35">
      <c r="A1106" s="52">
        <v>43783</v>
      </c>
      <c r="B1106" s="51">
        <v>3000</v>
      </c>
      <c r="C1106" s="1">
        <f t="shared" si="108"/>
        <v>-5.3191614775999329E-3</v>
      </c>
      <c r="R1106" s="28">
        <v>1105</v>
      </c>
      <c r="S1106" s="29">
        <v>1.8127384592556701E-2</v>
      </c>
      <c r="T1106" s="41">
        <f t="shared" si="104"/>
        <v>0</v>
      </c>
      <c r="U1106" s="4">
        <f t="shared" si="105"/>
        <v>0.95894526437407579</v>
      </c>
      <c r="V1106" s="15">
        <f t="shared" si="109"/>
        <v>0.88178913738019171</v>
      </c>
      <c r="W1106" s="33">
        <f t="shared" si="106"/>
        <v>1.1839781172055506</v>
      </c>
      <c r="X1106" s="4">
        <f t="shared" si="107"/>
        <v>0.95894526437407579</v>
      </c>
    </row>
    <row r="1107" spans="1:24" ht="14.5" x14ac:dyDescent="0.35">
      <c r="A1107" s="52">
        <v>43782</v>
      </c>
      <c r="B1107" s="51">
        <v>3016</v>
      </c>
      <c r="C1107" s="1">
        <f t="shared" si="108"/>
        <v>-2.0348585270977899E-2</v>
      </c>
      <c r="R1107" s="28">
        <v>1106</v>
      </c>
      <c r="S1107" s="29">
        <v>1.8152313607188851E-2</v>
      </c>
      <c r="T1107" s="41">
        <f t="shared" si="104"/>
        <v>0</v>
      </c>
      <c r="U1107" s="4">
        <f t="shared" si="105"/>
        <v>0.96025991502286034</v>
      </c>
      <c r="V1107" s="15">
        <f t="shared" si="109"/>
        <v>0.88258785942492013</v>
      </c>
      <c r="W1107" s="33">
        <f t="shared" si="106"/>
        <v>1.1880231705856303</v>
      </c>
      <c r="X1107" s="4">
        <f t="shared" si="107"/>
        <v>0.96025991502286034</v>
      </c>
    </row>
    <row r="1108" spans="1:24" ht="14.5" x14ac:dyDescent="0.35">
      <c r="A1108" s="52">
        <v>43781</v>
      </c>
      <c r="B1108" s="51">
        <v>3078</v>
      </c>
      <c r="C1108" s="1">
        <f t="shared" si="108"/>
        <v>1.9023204029909289E-2</v>
      </c>
      <c r="R1108" s="28">
        <v>1107</v>
      </c>
      <c r="S1108" s="29">
        <v>1.8163970627671121E-2</v>
      </c>
      <c r="T1108" s="41">
        <f t="shared" si="104"/>
        <v>0</v>
      </c>
      <c r="U1108" s="4">
        <f t="shared" si="105"/>
        <v>0.96087465691162111</v>
      </c>
      <c r="V1108" s="15">
        <f t="shared" si="109"/>
        <v>0.88338658146964855</v>
      </c>
      <c r="W1108" s="33">
        <f t="shared" si="106"/>
        <v>1.1920877569295791</v>
      </c>
      <c r="X1108" s="4">
        <f t="shared" si="107"/>
        <v>0.96087465691162111</v>
      </c>
    </row>
    <row r="1109" spans="1:24" ht="14.5" x14ac:dyDescent="0.35">
      <c r="A1109" s="52">
        <v>43780</v>
      </c>
      <c r="B1109" s="51">
        <v>3020</v>
      </c>
      <c r="C1109" s="1">
        <f t="shared" si="108"/>
        <v>-7.9156086126610861E-3</v>
      </c>
      <c r="R1109" s="28">
        <v>1108</v>
      </c>
      <c r="S1109" s="29">
        <v>1.8245237166726391E-2</v>
      </c>
      <c r="T1109" s="41">
        <f t="shared" si="104"/>
        <v>0</v>
      </c>
      <c r="U1109" s="4">
        <f t="shared" si="105"/>
        <v>0.96516030998976976</v>
      </c>
      <c r="V1109" s="15">
        <f t="shared" si="109"/>
        <v>0.88418530351437696</v>
      </c>
      <c r="W1109" s="33">
        <f t="shared" si="106"/>
        <v>1.1961721336030178</v>
      </c>
      <c r="X1109" s="4">
        <f t="shared" si="107"/>
        <v>0.96516030998976976</v>
      </c>
    </row>
    <row r="1110" spans="1:24" ht="14.5" x14ac:dyDescent="0.35">
      <c r="A1110" s="52">
        <v>43777</v>
      </c>
      <c r="B1110" s="51">
        <v>3044</v>
      </c>
      <c r="C1110" s="1">
        <f t="shared" si="108"/>
        <v>3.949972219314069E-3</v>
      </c>
      <c r="R1110" s="28">
        <v>1109</v>
      </c>
      <c r="S1110" s="29">
        <v>1.8313134419691412E-2</v>
      </c>
      <c r="T1110" s="41">
        <f t="shared" si="104"/>
        <v>0</v>
      </c>
      <c r="U1110" s="4">
        <f t="shared" si="105"/>
        <v>0.96874092354302421</v>
      </c>
      <c r="V1110" s="15">
        <f t="shared" si="109"/>
        <v>0.88498402555910538</v>
      </c>
      <c r="W1110" s="33">
        <f t="shared" si="106"/>
        <v>1.200276563073275</v>
      </c>
      <c r="X1110" s="4">
        <f t="shared" si="107"/>
        <v>0.96874092354302421</v>
      </c>
    </row>
    <row r="1111" spans="1:24" ht="14.5" x14ac:dyDescent="0.35">
      <c r="A1111" s="52">
        <v>43776</v>
      </c>
      <c r="B1111" s="51">
        <v>3032</v>
      </c>
      <c r="C1111" s="1">
        <f t="shared" si="108"/>
        <v>9.9437345688549259E-3</v>
      </c>
      <c r="R1111" s="28">
        <v>1110</v>
      </c>
      <c r="S1111" s="29">
        <v>1.8324231757772959E-2</v>
      </c>
      <c r="T1111" s="41">
        <f t="shared" si="104"/>
        <v>0</v>
      </c>
      <c r="U1111" s="4">
        <f t="shared" si="105"/>
        <v>0.96932615015241752</v>
      </c>
      <c r="V1111" s="15">
        <f t="shared" si="109"/>
        <v>0.88578274760383391</v>
      </c>
      <c r="W1111" s="33">
        <f t="shared" si="106"/>
        <v>1.2044013130474023</v>
      </c>
      <c r="X1111" s="4">
        <f t="shared" si="107"/>
        <v>0.96932615015241752</v>
      </c>
    </row>
    <row r="1112" spans="1:24" ht="14.5" x14ac:dyDescent="0.35">
      <c r="A1112" s="52">
        <v>43775</v>
      </c>
      <c r="B1112" s="51">
        <v>3002</v>
      </c>
      <c r="C1112" s="1">
        <f t="shared" si="108"/>
        <v>-1.3236460625830931E-2</v>
      </c>
      <c r="R1112" s="28">
        <v>1111</v>
      </c>
      <c r="S1112" s="29">
        <v>1.8456899777316474E-2</v>
      </c>
      <c r="T1112" s="41">
        <f t="shared" si="104"/>
        <v>0</v>
      </c>
      <c r="U1112" s="4">
        <f t="shared" si="105"/>
        <v>0.9763224996086417</v>
      </c>
      <c r="V1112" s="15">
        <f t="shared" si="109"/>
        <v>0.88658146964856233</v>
      </c>
      <c r="W1112" s="33">
        <f t="shared" si="106"/>
        <v>1.2085466566149283</v>
      </c>
      <c r="X1112" s="4">
        <f t="shared" si="107"/>
        <v>0.9763224996086417</v>
      </c>
    </row>
    <row r="1113" spans="1:24" ht="14.5" x14ac:dyDescent="0.35">
      <c r="A1113" s="52">
        <v>43774</v>
      </c>
      <c r="B1113" s="51">
        <v>3042</v>
      </c>
      <c r="C1113" s="1">
        <f t="shared" si="108"/>
        <v>1.257045993521279E-2</v>
      </c>
      <c r="R1113" s="28">
        <v>1112</v>
      </c>
      <c r="S1113" s="29">
        <v>1.850476858057969E-2</v>
      </c>
      <c r="T1113" s="41">
        <f t="shared" si="104"/>
        <v>0</v>
      </c>
      <c r="U1113" s="4">
        <f t="shared" si="105"/>
        <v>0.97884689755196708</v>
      </c>
      <c r="V1113" s="15">
        <f t="shared" si="109"/>
        <v>0.88738019169329074</v>
      </c>
      <c r="W1113" s="33">
        <f t="shared" si="106"/>
        <v>1.2127128723955336</v>
      </c>
      <c r="X1113" s="4">
        <f t="shared" si="107"/>
        <v>0.97884689755196708</v>
      </c>
    </row>
    <row r="1114" spans="1:24" ht="14.5" x14ac:dyDescent="0.35">
      <c r="A1114" s="52">
        <v>43773</v>
      </c>
      <c r="B1114" s="51">
        <v>3004</v>
      </c>
      <c r="C1114" s="1">
        <f t="shared" si="108"/>
        <v>3.1104603567448881E-2</v>
      </c>
      <c r="R1114" s="28">
        <v>1113</v>
      </c>
      <c r="S1114" s="29">
        <v>1.8705082941251863E-2</v>
      </c>
      <c r="T1114" s="41">
        <f t="shared" si="104"/>
        <v>0</v>
      </c>
      <c r="U1114" s="4">
        <f t="shared" si="105"/>
        <v>0.9894106285338935</v>
      </c>
      <c r="V1114" s="15">
        <f t="shared" si="109"/>
        <v>0.88817891373801916</v>
      </c>
      <c r="W1114" s="33">
        <f t="shared" si="106"/>
        <v>1.2169002446918644</v>
      </c>
      <c r="X1114" s="4">
        <f t="shared" si="107"/>
        <v>0.9894106285338935</v>
      </c>
    </row>
    <row r="1115" spans="1:24" ht="14.5" x14ac:dyDescent="0.35">
      <c r="A1115" s="52">
        <v>43769</v>
      </c>
      <c r="B1115" s="51">
        <v>2912</v>
      </c>
      <c r="C1115" s="1">
        <f t="shared" si="108"/>
        <v>-2.1739986636405875E-2</v>
      </c>
      <c r="R1115" s="28">
        <v>1114</v>
      </c>
      <c r="S1115" s="29">
        <v>1.8801202107532597E-2</v>
      </c>
      <c r="T1115" s="41">
        <f t="shared" si="104"/>
        <v>0</v>
      </c>
      <c r="U1115" s="4">
        <f t="shared" si="105"/>
        <v>0.99447954626594992</v>
      </c>
      <c r="V1115" s="15">
        <f t="shared" si="109"/>
        <v>0.88897763578274758</v>
      </c>
      <c r="W1115" s="33">
        <f t="shared" si="106"/>
        <v>1.2211090636476916</v>
      </c>
      <c r="X1115" s="4">
        <f t="shared" si="107"/>
        <v>0.99447954626594992</v>
      </c>
    </row>
    <row r="1116" spans="1:24" ht="14.5" x14ac:dyDescent="0.35">
      <c r="A1116" s="52">
        <v>43768</v>
      </c>
      <c r="B1116" s="51">
        <v>2976</v>
      </c>
      <c r="C1116" s="1">
        <f t="shared" si="108"/>
        <v>1.2851039219159924E-2</v>
      </c>
      <c r="R1116" s="28">
        <v>1115</v>
      </c>
      <c r="S1116" s="29">
        <v>1.8868484304382736E-2</v>
      </c>
      <c r="T1116" s="41">
        <f t="shared" si="104"/>
        <v>0</v>
      </c>
      <c r="U1116" s="4">
        <f t="shared" si="105"/>
        <v>0.99802772436467879</v>
      </c>
      <c r="V1116" s="15">
        <f t="shared" si="109"/>
        <v>0.88977635782747599</v>
      </c>
      <c r="W1116" s="33">
        <f t="shared" si="106"/>
        <v>1.2253396254116564</v>
      </c>
      <c r="X1116" s="4">
        <f t="shared" si="107"/>
        <v>0.99802772436467879</v>
      </c>
    </row>
    <row r="1117" spans="1:24" ht="14.5" x14ac:dyDescent="0.35">
      <c r="A1117" s="52">
        <v>43767</v>
      </c>
      <c r="B1117" s="51">
        <v>2938</v>
      </c>
      <c r="C1117" s="1">
        <f t="shared" si="108"/>
        <v>2.8307033274347509E-2</v>
      </c>
      <c r="R1117" s="28">
        <v>1116</v>
      </c>
      <c r="S1117" s="29">
        <v>1.9023204029909289E-2</v>
      </c>
      <c r="T1117" s="41">
        <f t="shared" si="104"/>
        <v>0</v>
      </c>
      <c r="U1117" s="4">
        <f t="shared" si="105"/>
        <v>1.006186987397921</v>
      </c>
      <c r="V1117" s="15">
        <f t="shared" si="109"/>
        <v>0.89057507987220452</v>
      </c>
      <c r="W1117" s="33">
        <f t="shared" si="106"/>
        <v>1.2295922323068302</v>
      </c>
      <c r="X1117" s="4">
        <f t="shared" si="107"/>
        <v>1.006186987397921</v>
      </c>
    </row>
    <row r="1118" spans="1:24" ht="14.5" x14ac:dyDescent="0.35">
      <c r="A1118" s="52">
        <v>43766</v>
      </c>
      <c r="B1118" s="51">
        <v>2856</v>
      </c>
      <c r="C1118" s="1">
        <f t="shared" si="108"/>
        <v>-2.7972046210612538E-3</v>
      </c>
      <c r="R1118" s="28">
        <v>1117</v>
      </c>
      <c r="S1118" s="29">
        <v>1.9067311226202945E-2</v>
      </c>
      <c r="T1118" s="41">
        <f t="shared" si="104"/>
        <v>0</v>
      </c>
      <c r="U1118" s="4">
        <f t="shared" si="105"/>
        <v>1.0085130141213656</v>
      </c>
      <c r="V1118" s="15">
        <f t="shared" si="109"/>
        <v>0.89137380191693294</v>
      </c>
      <c r="W1118" s="33">
        <f t="shared" si="106"/>
        <v>1.2338671930063319</v>
      </c>
      <c r="X1118" s="4">
        <f t="shared" si="107"/>
        <v>1.0085130141213656</v>
      </c>
    </row>
    <row r="1119" spans="1:24" ht="14.5" x14ac:dyDescent="0.35">
      <c r="A1119" s="52">
        <v>43763</v>
      </c>
      <c r="B1119" s="51">
        <v>2864</v>
      </c>
      <c r="C1119" s="1">
        <f t="shared" si="108"/>
        <v>-2.0049064230108538E-2</v>
      </c>
      <c r="R1119" s="28">
        <v>1118</v>
      </c>
      <c r="S1119" s="29">
        <v>1.9121041446778377E-2</v>
      </c>
      <c r="T1119" s="41">
        <f t="shared" si="104"/>
        <v>0</v>
      </c>
      <c r="U1119" s="4">
        <f t="shared" si="105"/>
        <v>1.0113465183886274</v>
      </c>
      <c r="V1119" s="15">
        <f t="shared" si="109"/>
        <v>0.89217252396166136</v>
      </c>
      <c r="W1119" s="33">
        <f t="shared" si="106"/>
        <v>1.238164822715299</v>
      </c>
      <c r="X1119" s="4">
        <f t="shared" si="107"/>
        <v>1.0113465183886274</v>
      </c>
    </row>
    <row r="1120" spans="1:24" ht="14.5" x14ac:dyDescent="0.35">
      <c r="A1120" s="52">
        <v>43762</v>
      </c>
      <c r="B1120" s="51">
        <v>2922</v>
      </c>
      <c r="C1120" s="1">
        <f t="shared" si="108"/>
        <v>2.7416055554947178E-3</v>
      </c>
      <c r="R1120" s="28">
        <v>1119</v>
      </c>
      <c r="S1120" s="29">
        <v>1.9165542142436268E-2</v>
      </c>
      <c r="T1120" s="41">
        <f t="shared" si="104"/>
        <v>0</v>
      </c>
      <c r="U1120" s="4">
        <f t="shared" si="105"/>
        <v>1.0136932966019374</v>
      </c>
      <c r="V1120" s="15">
        <f t="shared" si="109"/>
        <v>0.89297124600638977</v>
      </c>
      <c r="W1120" s="33">
        <f t="shared" si="106"/>
        <v>1.2424854433594503</v>
      </c>
      <c r="X1120" s="4">
        <f t="shared" si="107"/>
        <v>1.0136932966019374</v>
      </c>
    </row>
    <row r="1121" spans="1:24" ht="14.5" x14ac:dyDescent="0.35">
      <c r="A1121" s="52">
        <v>43760</v>
      </c>
      <c r="B1121" s="51">
        <v>2914</v>
      </c>
      <c r="C1121" s="1">
        <f t="shared" si="108"/>
        <v>1.8705082941251863E-2</v>
      </c>
      <c r="R1121" s="28">
        <v>1120</v>
      </c>
      <c r="S1121" s="29">
        <v>1.9176043014336959E-2</v>
      </c>
      <c r="T1121" s="41">
        <f t="shared" si="104"/>
        <v>0</v>
      </c>
      <c r="U1121" s="4">
        <f t="shared" si="105"/>
        <v>1.0142470681111908</v>
      </c>
      <c r="V1121" s="15">
        <f t="shared" si="109"/>
        <v>0.89376996805111819</v>
      </c>
      <c r="W1121" s="33">
        <f t="shared" si="106"/>
        <v>1.2468293837805569</v>
      </c>
      <c r="X1121" s="4">
        <f t="shared" si="107"/>
        <v>1.0142470681111908</v>
      </c>
    </row>
    <row r="1122" spans="1:24" ht="14.5" x14ac:dyDescent="0.35">
      <c r="A1122" s="52">
        <v>43759</v>
      </c>
      <c r="B1122" s="51">
        <v>2860</v>
      </c>
      <c r="C1122" s="1">
        <f t="shared" si="108"/>
        <v>4.9071251641006957E-3</v>
      </c>
      <c r="R1122" s="28">
        <v>1121</v>
      </c>
      <c r="S1122" s="29">
        <v>1.9231361927887592E-2</v>
      </c>
      <c r="T1122" s="41">
        <f t="shared" si="104"/>
        <v>0</v>
      </c>
      <c r="U1122" s="4">
        <f t="shared" si="105"/>
        <v>1.0171643533173058</v>
      </c>
      <c r="V1122" s="15">
        <f t="shared" si="109"/>
        <v>0.89456869009584661</v>
      </c>
      <c r="W1122" s="33">
        <f t="shared" si="106"/>
        <v>1.2511969799391163</v>
      </c>
      <c r="X1122" s="4">
        <f t="shared" si="107"/>
        <v>1.0171643533173058</v>
      </c>
    </row>
    <row r="1123" spans="1:24" ht="14.5" x14ac:dyDescent="0.35">
      <c r="A1123" s="52">
        <v>43756</v>
      </c>
      <c r="B1123" s="51">
        <v>2846</v>
      </c>
      <c r="C1123" s="1">
        <f t="shared" si="108"/>
        <v>-1.4044946128985581E-3</v>
      </c>
      <c r="R1123" s="28">
        <v>1122</v>
      </c>
      <c r="S1123" s="29">
        <v>1.9262232795052708E-2</v>
      </c>
      <c r="T1123" s="41">
        <f t="shared" si="104"/>
        <v>0</v>
      </c>
      <c r="U1123" s="4">
        <f t="shared" si="105"/>
        <v>1.0187923521028985</v>
      </c>
      <c r="V1123" s="15">
        <f t="shared" si="109"/>
        <v>0.89536741214057503</v>
      </c>
      <c r="W1123" s="33">
        <f t="shared" si="106"/>
        <v>1.2555885751245641</v>
      </c>
      <c r="X1123" s="4">
        <f t="shared" si="107"/>
        <v>1.0187923521028985</v>
      </c>
    </row>
    <row r="1124" spans="1:24" ht="14.5" x14ac:dyDescent="0.35">
      <c r="A1124" s="52">
        <v>43755</v>
      </c>
      <c r="B1124" s="51">
        <v>2850</v>
      </c>
      <c r="C1124" s="1">
        <f t="shared" si="108"/>
        <v>1.4134510934904716E-2</v>
      </c>
      <c r="R1124" s="28">
        <v>1123</v>
      </c>
      <c r="S1124" s="29">
        <v>1.9271647958711828E-2</v>
      </c>
      <c r="T1124" s="41">
        <f t="shared" si="104"/>
        <v>0</v>
      </c>
      <c r="U1124" s="4">
        <f t="shared" si="105"/>
        <v>1.0192888679578378</v>
      </c>
      <c r="V1124" s="15">
        <f t="shared" si="109"/>
        <v>0.89616613418530355</v>
      </c>
      <c r="W1124" s="33">
        <f t="shared" si="106"/>
        <v>1.2600045201733541</v>
      </c>
      <c r="X1124" s="4">
        <f t="shared" si="107"/>
        <v>1.0192888679578378</v>
      </c>
    </row>
    <row r="1125" spans="1:24" ht="14.5" x14ac:dyDescent="0.35">
      <c r="A1125" s="52">
        <v>43754</v>
      </c>
      <c r="B1125" s="51">
        <v>2810</v>
      </c>
      <c r="C1125" s="1">
        <f t="shared" si="108"/>
        <v>-1.2730016322006285E-2</v>
      </c>
      <c r="R1125" s="28">
        <v>1124</v>
      </c>
      <c r="S1125" s="29">
        <v>1.937627896313868E-2</v>
      </c>
      <c r="T1125" s="41">
        <f t="shared" si="104"/>
        <v>0</v>
      </c>
      <c r="U1125" s="4">
        <f t="shared" si="105"/>
        <v>1.0248066639831708</v>
      </c>
      <c r="V1125" s="15">
        <f t="shared" si="109"/>
        <v>0.89696485623003197</v>
      </c>
      <c r="W1125" s="33">
        <f t="shared" si="106"/>
        <v>1.2644451736952516</v>
      </c>
      <c r="X1125" s="4">
        <f t="shared" si="107"/>
        <v>1.0248066639831708</v>
      </c>
    </row>
    <row r="1126" spans="1:24" ht="14.5" x14ac:dyDescent="0.35">
      <c r="A1126" s="52">
        <v>43753</v>
      </c>
      <c r="B1126" s="51">
        <v>2846</v>
      </c>
      <c r="C1126" s="1">
        <f t="shared" si="108"/>
        <v>-1.5342002456680177E-2</v>
      </c>
      <c r="R1126" s="28">
        <v>1125</v>
      </c>
      <c r="S1126" s="29">
        <v>1.9581045199106563E-2</v>
      </c>
      <c r="T1126" s="41">
        <f t="shared" si="104"/>
        <v>0</v>
      </c>
      <c r="U1126" s="4">
        <f t="shared" si="105"/>
        <v>1.0356051680129763</v>
      </c>
      <c r="V1126" s="15">
        <f t="shared" si="109"/>
        <v>0.89776357827476039</v>
      </c>
      <c r="W1126" s="33">
        <f t="shared" si="106"/>
        <v>1.2689109023082601</v>
      </c>
      <c r="X1126" s="4">
        <f t="shared" si="107"/>
        <v>1.0356051680129763</v>
      </c>
    </row>
    <row r="1127" spans="1:24" ht="14.5" x14ac:dyDescent="0.35">
      <c r="A1127" s="52">
        <v>43752</v>
      </c>
      <c r="B1127" s="51">
        <v>2890</v>
      </c>
      <c r="C1127" s="1">
        <f t="shared" si="108"/>
        <v>5.5517144675077115E-3</v>
      </c>
      <c r="R1127" s="28">
        <v>1126</v>
      </c>
      <c r="S1127" s="29">
        <v>1.9786300898843895E-2</v>
      </c>
      <c r="T1127" s="41">
        <f t="shared" si="104"/>
        <v>0</v>
      </c>
      <c r="U1127" s="4">
        <f t="shared" si="105"/>
        <v>1.0464294842889359</v>
      </c>
      <c r="V1127" s="15">
        <f t="shared" si="109"/>
        <v>0.8985623003194888</v>
      </c>
      <c r="W1127" s="33">
        <f t="shared" si="106"/>
        <v>1.2734020808825297</v>
      </c>
      <c r="X1127" s="4">
        <f t="shared" si="107"/>
        <v>1.0464294842889359</v>
      </c>
    </row>
    <row r="1128" spans="1:24" ht="14.5" x14ac:dyDescent="0.35">
      <c r="A1128" s="52">
        <v>43749</v>
      </c>
      <c r="B1128" s="51">
        <v>2874</v>
      </c>
      <c r="C1128" s="1">
        <f t="shared" si="108"/>
        <v>1.6135039622506814E-2</v>
      </c>
      <c r="R1128" s="28">
        <v>1127</v>
      </c>
      <c r="S1128" s="29">
        <v>1.980262729617973E-2</v>
      </c>
      <c r="T1128" s="41">
        <f t="shared" si="104"/>
        <v>0</v>
      </c>
      <c r="U1128" s="4">
        <f t="shared" si="105"/>
        <v>1.0472904693365435</v>
      </c>
      <c r="V1128" s="15">
        <f t="shared" si="109"/>
        <v>0.89936102236421722</v>
      </c>
      <c r="W1128" s="33">
        <f t="shared" si="106"/>
        <v>1.2779190927936899</v>
      </c>
      <c r="X1128" s="4">
        <f t="shared" si="107"/>
        <v>1.0472904693365435</v>
      </c>
    </row>
    <row r="1129" spans="1:24" ht="14.5" x14ac:dyDescent="0.35">
      <c r="A1129" s="52">
        <v>43748</v>
      </c>
      <c r="B1129" s="51">
        <v>2828</v>
      </c>
      <c r="C1129" s="1">
        <f t="shared" si="108"/>
        <v>-1.413427797146964E-3</v>
      </c>
      <c r="R1129" s="28">
        <v>1128</v>
      </c>
      <c r="S1129" s="29">
        <v>1.9835361056145896E-2</v>
      </c>
      <c r="T1129" s="41">
        <f t="shared" si="104"/>
        <v>0</v>
      </c>
      <c r="U1129" s="4">
        <f t="shared" si="105"/>
        <v>1.0490167091984746</v>
      </c>
      <c r="V1129" s="15">
        <f t="shared" si="109"/>
        <v>0.90015974440894564</v>
      </c>
      <c r="W1129" s="33">
        <f t="shared" si="106"/>
        <v>1.2824623301860556</v>
      </c>
      <c r="X1129" s="4">
        <f t="shared" si="107"/>
        <v>1.0490167091984746</v>
      </c>
    </row>
    <row r="1130" spans="1:24" ht="14.5" x14ac:dyDescent="0.35">
      <c r="A1130" s="52">
        <v>43747</v>
      </c>
      <c r="B1130" s="51">
        <v>2832</v>
      </c>
      <c r="C1130" s="1">
        <f t="shared" si="108"/>
        <v>4.246290881451004E-3</v>
      </c>
      <c r="R1130" s="28">
        <v>1129</v>
      </c>
      <c r="S1130" s="29">
        <v>1.9865571842055504E-2</v>
      </c>
      <c r="T1130" s="41">
        <f t="shared" si="104"/>
        <v>0</v>
      </c>
      <c r="U1130" s="4">
        <f t="shared" si="105"/>
        <v>1.0506098980943217</v>
      </c>
      <c r="V1130" s="15">
        <f t="shared" si="109"/>
        <v>0.90095846645367417</v>
      </c>
      <c r="W1130" s="33">
        <f t="shared" si="106"/>
        <v>1.2870321942461509</v>
      </c>
      <c r="X1130" s="4">
        <f t="shared" si="107"/>
        <v>1.0506098980943217</v>
      </c>
    </row>
    <row r="1131" spans="1:24" ht="14.5" x14ac:dyDescent="0.35">
      <c r="A1131" s="52">
        <v>43746</v>
      </c>
      <c r="B1131" s="51">
        <v>2820</v>
      </c>
      <c r="C1131" s="1">
        <f t="shared" si="108"/>
        <v>-5.6577237198588374E-3</v>
      </c>
      <c r="R1131" s="28">
        <v>1130</v>
      </c>
      <c r="S1131" s="29">
        <v>1.9934214900817329E-2</v>
      </c>
      <c r="T1131" s="41">
        <f t="shared" si="104"/>
        <v>0</v>
      </c>
      <c r="U1131" s="4">
        <f t="shared" si="105"/>
        <v>1.0542298422865568</v>
      </c>
      <c r="V1131" s="15">
        <f t="shared" si="109"/>
        <v>0.90175718849840258</v>
      </c>
      <c r="W1131" s="33">
        <f t="shared" si="106"/>
        <v>1.2916290954870733</v>
      </c>
      <c r="X1131" s="4">
        <f t="shared" si="107"/>
        <v>1.0542298422865568</v>
      </c>
    </row>
    <row r="1132" spans="1:24" ht="14.5" x14ac:dyDescent="0.35">
      <c r="A1132" s="52">
        <v>43745</v>
      </c>
      <c r="B1132" s="51">
        <v>2836</v>
      </c>
      <c r="C1132" s="1">
        <f t="shared" si="108"/>
        <v>3.5323244075452938E-3</v>
      </c>
      <c r="R1132" s="28">
        <v>1131</v>
      </c>
      <c r="S1132" s="29">
        <v>1.9939310896638644E-2</v>
      </c>
      <c r="T1132" s="41">
        <f t="shared" si="104"/>
        <v>0</v>
      </c>
      <c r="U1132" s="4">
        <f t="shared" si="105"/>
        <v>1.0544985835228853</v>
      </c>
      <c r="V1132" s="15">
        <f t="shared" si="109"/>
        <v>0.902555910543131</v>
      </c>
      <c r="W1132" s="33">
        <f t="shared" si="106"/>
        <v>1.2962534540441892</v>
      </c>
      <c r="X1132" s="4">
        <f t="shared" si="107"/>
        <v>1.0544985835228853</v>
      </c>
    </row>
    <row r="1133" spans="1:24" ht="14.5" x14ac:dyDescent="0.35">
      <c r="A1133" s="52">
        <v>43742</v>
      </c>
      <c r="B1133" s="51">
        <v>2826</v>
      </c>
      <c r="C1133" s="1">
        <f t="shared" si="108"/>
        <v>7.815315089992031E-3</v>
      </c>
      <c r="R1133" s="28">
        <v>1132</v>
      </c>
      <c r="S1133" s="29">
        <v>1.9978466930886295E-2</v>
      </c>
      <c r="T1133" s="41">
        <f t="shared" si="104"/>
        <v>0</v>
      </c>
      <c r="U1133" s="4">
        <f t="shared" si="105"/>
        <v>1.0565635069298907</v>
      </c>
      <c r="V1133" s="15">
        <f t="shared" si="109"/>
        <v>0.90335463258785942</v>
      </c>
      <c r="W1133" s="33">
        <f t="shared" si="106"/>
        <v>1.3009056999827218</v>
      </c>
      <c r="X1133" s="4">
        <f t="shared" si="107"/>
        <v>1.0565635069298907</v>
      </c>
    </row>
    <row r="1134" spans="1:24" ht="14.5" x14ac:dyDescent="0.35">
      <c r="A1134" s="52">
        <v>43741</v>
      </c>
      <c r="B1134" s="51">
        <v>2804</v>
      </c>
      <c r="C1134" s="1">
        <f t="shared" si="108"/>
        <v>1.4275519911853237E-3</v>
      </c>
      <c r="R1134" s="28">
        <v>1133</v>
      </c>
      <c r="S1134" s="29">
        <v>2.0159070001789271E-2</v>
      </c>
      <c r="T1134" s="41">
        <f t="shared" si="104"/>
        <v>0</v>
      </c>
      <c r="U1134" s="4">
        <f t="shared" si="105"/>
        <v>1.0660877479734527</v>
      </c>
      <c r="V1134" s="15">
        <f t="shared" si="109"/>
        <v>0.90415335463258784</v>
      </c>
      <c r="W1134" s="33">
        <f t="shared" si="106"/>
        <v>1.3055862736178254</v>
      </c>
      <c r="X1134" s="4">
        <f t="shared" si="107"/>
        <v>1.0660877479734527</v>
      </c>
    </row>
    <row r="1135" spans="1:24" ht="14.5" x14ac:dyDescent="0.35">
      <c r="A1135" s="52">
        <v>43740</v>
      </c>
      <c r="B1135" s="51">
        <v>2800</v>
      </c>
      <c r="C1135" s="1">
        <f t="shared" si="108"/>
        <v>-2.4692612590371522E-2</v>
      </c>
      <c r="R1135" s="28">
        <v>1134</v>
      </c>
      <c r="S1135" s="29">
        <v>2.0221277247232858E-2</v>
      </c>
      <c r="T1135" s="41">
        <f t="shared" si="104"/>
        <v>0</v>
      </c>
      <c r="U1135" s="4">
        <f t="shared" si="105"/>
        <v>1.0693682946291576</v>
      </c>
      <c r="V1135" s="15">
        <f t="shared" si="109"/>
        <v>0.90495207667731625</v>
      </c>
      <c r="W1135" s="33">
        <f t="shared" si="106"/>
        <v>1.3102956258477441</v>
      </c>
      <c r="X1135" s="4">
        <f t="shared" si="107"/>
        <v>1.0693682946291576</v>
      </c>
    </row>
    <row r="1136" spans="1:24" ht="14.5" x14ac:dyDescent="0.35">
      <c r="A1136" s="52">
        <v>43739</v>
      </c>
      <c r="B1136" s="51">
        <v>2870</v>
      </c>
      <c r="C1136" s="1">
        <f t="shared" si="108"/>
        <v>-6.9444723528110461E-3</v>
      </c>
      <c r="R1136" s="28">
        <v>1135</v>
      </c>
      <c r="S1136" s="29">
        <v>2.0322460625847766E-2</v>
      </c>
      <c r="T1136" s="41">
        <f t="shared" si="104"/>
        <v>0</v>
      </c>
      <c r="U1136" s="4">
        <f t="shared" si="105"/>
        <v>1.0747042774710447</v>
      </c>
      <c r="V1136" s="15">
        <f t="shared" si="109"/>
        <v>0.90575079872204478</v>
      </c>
      <c r="W1136" s="33">
        <f t="shared" si="106"/>
        <v>1.3150342185007078</v>
      </c>
      <c r="X1136" s="4">
        <f t="shared" si="107"/>
        <v>1.0747042774710447</v>
      </c>
    </row>
    <row r="1137" spans="1:24" ht="14.5" x14ac:dyDescent="0.35">
      <c r="A1137" s="52">
        <v>43738</v>
      </c>
      <c r="B1137" s="51">
        <v>2890</v>
      </c>
      <c r="C1137" s="1">
        <f t="shared" si="108"/>
        <v>-1.7153079226249469E-2</v>
      </c>
      <c r="R1137" s="28">
        <v>1136</v>
      </c>
      <c r="S1137" s="29">
        <v>2.0498521548340969E-2</v>
      </c>
      <c r="T1137" s="41">
        <f t="shared" si="104"/>
        <v>0</v>
      </c>
      <c r="U1137" s="4">
        <f t="shared" si="105"/>
        <v>1.0839889848450295</v>
      </c>
      <c r="V1137" s="15">
        <f t="shared" si="109"/>
        <v>0.9065495207667732</v>
      </c>
      <c r="W1137" s="33">
        <f t="shared" si="106"/>
        <v>1.3198025246962657</v>
      </c>
      <c r="X1137" s="4">
        <f t="shared" si="107"/>
        <v>1.0839889848450295</v>
      </c>
    </row>
    <row r="1138" spans="1:24" ht="14.5" x14ac:dyDescent="0.35">
      <c r="A1138" s="52">
        <v>43735</v>
      </c>
      <c r="B1138" s="51">
        <v>2940</v>
      </c>
      <c r="C1138" s="1">
        <f t="shared" si="108"/>
        <v>6.1412680220824288E-3</v>
      </c>
      <c r="R1138" s="28">
        <v>1137</v>
      </c>
      <c r="S1138" s="29">
        <v>2.0509644090954363E-2</v>
      </c>
      <c r="T1138" s="41">
        <f t="shared" si="104"/>
        <v>0</v>
      </c>
      <c r="U1138" s="4">
        <f t="shared" si="105"/>
        <v>1.0845755406346824</v>
      </c>
      <c r="V1138" s="15">
        <f t="shared" si="109"/>
        <v>0.90734824281150162</v>
      </c>
      <c r="W1138" s="33">
        <f t="shared" si="106"/>
        <v>1.324601029221772</v>
      </c>
      <c r="X1138" s="4">
        <f t="shared" si="107"/>
        <v>1.0845755406346824</v>
      </c>
    </row>
    <row r="1139" spans="1:24" ht="14.5" x14ac:dyDescent="0.35">
      <c r="A1139" s="52">
        <v>43734</v>
      </c>
      <c r="B1139" s="51">
        <v>2922</v>
      </c>
      <c r="C1139" s="1">
        <f t="shared" si="108"/>
        <v>-1.0214593409718295E-2</v>
      </c>
      <c r="R1139" s="28">
        <v>1138</v>
      </c>
      <c r="S1139" s="29">
        <v>2.0583917143487191E-2</v>
      </c>
      <c r="T1139" s="41">
        <f t="shared" si="104"/>
        <v>0</v>
      </c>
      <c r="U1139" s="4">
        <f t="shared" si="105"/>
        <v>1.0884923868534482</v>
      </c>
      <c r="V1139" s="15">
        <f t="shared" si="109"/>
        <v>0.90814696485623003</v>
      </c>
      <c r="W1139" s="33">
        <f t="shared" si="106"/>
        <v>1.3294302289248148</v>
      </c>
      <c r="X1139" s="4">
        <f t="shared" si="107"/>
        <v>1.0884923868534482</v>
      </c>
    </row>
    <row r="1140" spans="1:24" ht="14.5" x14ac:dyDescent="0.35">
      <c r="A1140" s="52">
        <v>43733</v>
      </c>
      <c r="B1140" s="51">
        <v>2952</v>
      </c>
      <c r="C1140" s="1">
        <f t="shared" si="108"/>
        <v>-8.0972102326193618E-3</v>
      </c>
      <c r="R1140" s="28">
        <v>1139</v>
      </c>
      <c r="S1140" s="29">
        <v>2.0707630327489544E-2</v>
      </c>
      <c r="T1140" s="41">
        <f t="shared" si="104"/>
        <v>0</v>
      </c>
      <c r="U1140" s="4">
        <f t="shared" si="105"/>
        <v>1.0950164962100271</v>
      </c>
      <c r="V1140" s="15">
        <f t="shared" si="109"/>
        <v>0.90894568690095845</v>
      </c>
      <c r="W1140" s="33">
        <f t="shared" si="106"/>
        <v>1.3342906331223829</v>
      </c>
      <c r="X1140" s="4">
        <f t="shared" si="107"/>
        <v>1.0950164962100271</v>
      </c>
    </row>
    <row r="1141" spans="1:24" ht="14.5" x14ac:dyDescent="0.35">
      <c r="A1141" s="52">
        <v>43732</v>
      </c>
      <c r="B1141" s="51">
        <v>2976</v>
      </c>
      <c r="C1141" s="1">
        <f t="shared" si="108"/>
        <v>-6.7181729097181805E-4</v>
      </c>
      <c r="R1141" s="28">
        <v>1140</v>
      </c>
      <c r="S1141" s="29">
        <v>2.0712131679020165E-2</v>
      </c>
      <c r="T1141" s="41">
        <f t="shared" si="104"/>
        <v>0</v>
      </c>
      <c r="U1141" s="4">
        <f t="shared" si="105"/>
        <v>1.0952538784249866</v>
      </c>
      <c r="V1141" s="15">
        <f t="shared" si="109"/>
        <v>0.90974440894568687</v>
      </c>
      <c r="W1141" s="33">
        <f t="shared" si="106"/>
        <v>1.3391827640276721</v>
      </c>
      <c r="X1141" s="4">
        <f t="shared" si="107"/>
        <v>1.0952538784249866</v>
      </c>
    </row>
    <row r="1142" spans="1:24" ht="14.5" x14ac:dyDescent="0.35">
      <c r="A1142" s="52">
        <v>43731</v>
      </c>
      <c r="B1142" s="51">
        <v>2978</v>
      </c>
      <c r="C1142" s="1">
        <f t="shared" si="108"/>
        <v>-9.3583570689655289E-3</v>
      </c>
      <c r="R1142" s="28">
        <v>1141</v>
      </c>
      <c r="S1142" s="29">
        <v>2.0721835528724128E-2</v>
      </c>
      <c r="T1142" s="41">
        <f t="shared" si="104"/>
        <v>0</v>
      </c>
      <c r="U1142" s="4">
        <f t="shared" si="105"/>
        <v>1.0957656183592466</v>
      </c>
      <c r="V1142" s="15">
        <f t="shared" si="109"/>
        <v>0.91054313099041528</v>
      </c>
      <c r="W1142" s="33">
        <f t="shared" si="106"/>
        <v>1.3441071571954235</v>
      </c>
      <c r="X1142" s="4">
        <f t="shared" si="107"/>
        <v>1.0957656183592466</v>
      </c>
    </row>
    <row r="1143" spans="1:24" ht="14.5" x14ac:dyDescent="0.35">
      <c r="A1143" s="52">
        <v>43728</v>
      </c>
      <c r="B1143" s="51">
        <v>3006</v>
      </c>
      <c r="C1143" s="1">
        <f t="shared" si="108"/>
        <v>1.9980026626730579E-3</v>
      </c>
      <c r="R1143" s="28">
        <v>1142</v>
      </c>
      <c r="S1143" s="29">
        <v>2.0796733747429758E-2</v>
      </c>
      <c r="T1143" s="41">
        <f t="shared" si="104"/>
        <v>0</v>
      </c>
      <c r="U1143" s="4">
        <f t="shared" si="105"/>
        <v>1.0997154331941732</v>
      </c>
      <c r="V1143" s="15">
        <f t="shared" si="109"/>
        <v>0.91134185303514381</v>
      </c>
      <c r="W1143" s="33">
        <f t="shared" si="106"/>
        <v>1.3490643619867897</v>
      </c>
      <c r="X1143" s="4">
        <f t="shared" si="107"/>
        <v>1.0997154331941732</v>
      </c>
    </row>
    <row r="1144" spans="1:24" ht="14.5" x14ac:dyDescent="0.35">
      <c r="A1144" s="52">
        <v>43727</v>
      </c>
      <c r="B1144" s="51">
        <v>3000</v>
      </c>
      <c r="C1144" s="1">
        <f t="shared" si="108"/>
        <v>0</v>
      </c>
      <c r="R1144" s="28">
        <v>1143</v>
      </c>
      <c r="S1144" s="29">
        <v>2.0896282726412412E-2</v>
      </c>
      <c r="T1144" s="41">
        <f t="shared" si="104"/>
        <v>0</v>
      </c>
      <c r="U1144" s="4">
        <f t="shared" si="105"/>
        <v>1.1049652247216972</v>
      </c>
      <c r="V1144" s="15">
        <f t="shared" si="109"/>
        <v>0.91214057507987223</v>
      </c>
      <c r="W1144" s="33">
        <f t="shared" si="106"/>
        <v>1.3540549420547721</v>
      </c>
      <c r="X1144" s="4">
        <f t="shared" si="107"/>
        <v>1.1049652247216972</v>
      </c>
    </row>
    <row r="1145" spans="1:24" ht="14.5" x14ac:dyDescent="0.35">
      <c r="A1145" s="52">
        <v>43726</v>
      </c>
      <c r="B1145" s="51">
        <v>3000</v>
      </c>
      <c r="C1145" s="1">
        <f t="shared" si="108"/>
        <v>1.8163970627671121E-2</v>
      </c>
      <c r="R1145" s="28">
        <v>1144</v>
      </c>
      <c r="S1145" s="53">
        <v>2.0927520105955819E-2</v>
      </c>
      <c r="T1145" s="41">
        <f t="shared" si="104"/>
        <v>0</v>
      </c>
      <c r="U1145" s="4">
        <f t="shared" si="105"/>
        <v>1.1066125518178156</v>
      </c>
      <c r="V1145" s="15">
        <f t="shared" si="109"/>
        <v>0.91293929712460065</v>
      </c>
      <c r="W1145" s="33">
        <f t="shared" si="106"/>
        <v>1.3590794758513209</v>
      </c>
      <c r="X1145" s="4">
        <f t="shared" si="107"/>
        <v>1.1066125518178156</v>
      </c>
    </row>
    <row r="1146" spans="1:24" ht="14.5" x14ac:dyDescent="0.35">
      <c r="A1146" s="52">
        <v>43725</v>
      </c>
      <c r="B1146" s="51">
        <v>2946</v>
      </c>
      <c r="C1146" s="1">
        <f t="shared" si="108"/>
        <v>-1.0131798930406952E-2</v>
      </c>
      <c r="R1146" s="28">
        <v>1145</v>
      </c>
      <c r="S1146" s="29">
        <v>2.1019367224075342E-2</v>
      </c>
      <c r="T1146" s="41">
        <f t="shared" si="104"/>
        <v>0</v>
      </c>
      <c r="U1146" s="4">
        <f t="shared" si="105"/>
        <v>1.111456179823437</v>
      </c>
      <c r="V1146" s="15">
        <f t="shared" si="109"/>
        <v>0.91373801916932906</v>
      </c>
      <c r="W1146" s="33">
        <f t="shared" si="106"/>
        <v>1.3641385571573073</v>
      </c>
      <c r="X1146" s="4">
        <f t="shared" si="107"/>
        <v>1.111456179823437</v>
      </c>
    </row>
    <row r="1147" spans="1:24" ht="14.5" x14ac:dyDescent="0.35">
      <c r="A1147" s="52">
        <v>43724</v>
      </c>
      <c r="B1147" s="51">
        <v>2976</v>
      </c>
      <c r="C1147" s="1">
        <f t="shared" si="108"/>
        <v>2.655927307235488E-2</v>
      </c>
      <c r="R1147" s="28">
        <v>1146</v>
      </c>
      <c r="S1147" s="29">
        <v>2.1037590292658347E-2</v>
      </c>
      <c r="T1147" s="41">
        <f t="shared" si="104"/>
        <v>0</v>
      </c>
      <c r="U1147" s="4">
        <f t="shared" si="105"/>
        <v>1.1124171872795678</v>
      </c>
      <c r="V1147" s="15">
        <f t="shared" si="109"/>
        <v>0.91453674121405748</v>
      </c>
      <c r="W1147" s="33">
        <f t="shared" si="106"/>
        <v>1.3692327956365586</v>
      </c>
      <c r="X1147" s="4">
        <f t="shared" si="107"/>
        <v>1.1124171872795678</v>
      </c>
    </row>
    <row r="1148" spans="1:24" ht="14.5" x14ac:dyDescent="0.35">
      <c r="A1148" s="52">
        <v>43721</v>
      </c>
      <c r="B1148" s="51">
        <v>2898</v>
      </c>
      <c r="C1148" s="1">
        <f t="shared" si="108"/>
        <v>2.7643417741498857E-3</v>
      </c>
      <c r="R1148" s="28">
        <v>1147</v>
      </c>
      <c r="S1148" s="29">
        <v>2.1190686979639054E-2</v>
      </c>
      <c r="T1148" s="41">
        <f t="shared" si="104"/>
        <v>0</v>
      </c>
      <c r="U1148" s="4">
        <f t="shared" si="105"/>
        <v>1.1204908581340263</v>
      </c>
      <c r="V1148" s="15">
        <f t="shared" si="109"/>
        <v>0.9153354632587859</v>
      </c>
      <c r="W1148" s="33">
        <f t="shared" si="106"/>
        <v>1.3743628174153739</v>
      </c>
      <c r="X1148" s="4">
        <f t="shared" si="107"/>
        <v>1.1204908581340263</v>
      </c>
    </row>
    <row r="1149" spans="1:24" ht="14.5" x14ac:dyDescent="0.35">
      <c r="A1149" s="52">
        <v>43720</v>
      </c>
      <c r="B1149" s="51">
        <v>2890</v>
      </c>
      <c r="C1149" s="1">
        <f t="shared" si="108"/>
        <v>-6.8965790590603286E-3</v>
      </c>
      <c r="R1149" s="28">
        <v>1148</v>
      </c>
      <c r="S1149" s="29">
        <v>2.1232220105774118E-2</v>
      </c>
      <c r="T1149" s="41">
        <f t="shared" si="104"/>
        <v>0</v>
      </c>
      <c r="U1149" s="4">
        <f t="shared" si="105"/>
        <v>1.1226811392993754</v>
      </c>
      <c r="V1149" s="15">
        <f t="shared" si="109"/>
        <v>0.91613418530351443</v>
      </c>
      <c r="W1149" s="33">
        <f t="shared" si="106"/>
        <v>1.3795292656888585</v>
      </c>
      <c r="X1149" s="4">
        <f t="shared" si="107"/>
        <v>1.1226811392993754</v>
      </c>
    </row>
    <row r="1150" spans="1:24" ht="14.5" x14ac:dyDescent="0.35">
      <c r="A1150" s="52">
        <v>43719</v>
      </c>
      <c r="B1150" s="51">
        <v>2910</v>
      </c>
      <c r="C1150" s="1">
        <f t="shared" si="108"/>
        <v>-6.1665149156640148E-3</v>
      </c>
      <c r="R1150" s="28">
        <v>1149</v>
      </c>
      <c r="S1150" s="29">
        <v>2.1438729596507389E-2</v>
      </c>
      <c r="T1150" s="41">
        <f t="shared" si="104"/>
        <v>0</v>
      </c>
      <c r="U1150" s="4">
        <f t="shared" si="105"/>
        <v>1.1335715752022266</v>
      </c>
      <c r="V1150" s="15">
        <f t="shared" si="109"/>
        <v>0.91693290734824284</v>
      </c>
      <c r="W1150" s="33">
        <f t="shared" si="106"/>
        <v>1.3847328013556541</v>
      </c>
      <c r="X1150" s="4">
        <f t="shared" si="107"/>
        <v>1.1335715752022266</v>
      </c>
    </row>
    <row r="1151" spans="1:24" ht="14.5" x14ac:dyDescent="0.35">
      <c r="A1151" s="52">
        <v>43718</v>
      </c>
      <c r="B1151" s="51">
        <v>2928</v>
      </c>
      <c r="C1151" s="1">
        <f t="shared" si="108"/>
        <v>-1.2220111334775333E-2</v>
      </c>
      <c r="R1151" s="28">
        <v>1150</v>
      </c>
      <c r="S1151" s="29">
        <v>2.156417791584064E-2</v>
      </c>
      <c r="T1151" s="41">
        <f t="shared" si="104"/>
        <v>0</v>
      </c>
      <c r="U1151" s="4">
        <f t="shared" si="105"/>
        <v>1.1401871882472645</v>
      </c>
      <c r="V1151" s="15">
        <f t="shared" si="109"/>
        <v>0.91773162939297126</v>
      </c>
      <c r="W1151" s="33">
        <f t="shared" si="106"/>
        <v>1.3899741036826332</v>
      </c>
      <c r="X1151" s="4">
        <f t="shared" si="107"/>
        <v>1.1401871882472645</v>
      </c>
    </row>
    <row r="1152" spans="1:24" ht="14.5" x14ac:dyDescent="0.35">
      <c r="A1152" s="52">
        <v>43717</v>
      </c>
      <c r="B1152" s="51">
        <v>2964</v>
      </c>
      <c r="C1152" s="1">
        <f t="shared" si="108"/>
        <v>1.3587165546308356E-2</v>
      </c>
      <c r="R1152" s="28">
        <v>1151</v>
      </c>
      <c r="S1152" s="29">
        <v>2.1572485254127763E-2</v>
      </c>
      <c r="T1152" s="41">
        <f t="shared" si="104"/>
        <v>0</v>
      </c>
      <c r="U1152" s="4">
        <f t="shared" si="105"/>
        <v>1.1406252820841045</v>
      </c>
      <c r="V1152" s="15">
        <f t="shared" si="109"/>
        <v>0.91853035143769968</v>
      </c>
      <c r="W1152" s="33">
        <f t="shared" si="106"/>
        <v>1.3952538710013354</v>
      </c>
      <c r="X1152" s="4">
        <f t="shared" si="107"/>
        <v>1.1406252820841045</v>
      </c>
    </row>
    <row r="1153" spans="1:24" ht="14.5" x14ac:dyDescent="0.35">
      <c r="A1153" s="52">
        <v>43714</v>
      </c>
      <c r="B1153" s="51">
        <v>2924</v>
      </c>
      <c r="C1153" s="1">
        <f t="shared" si="108"/>
        <v>1.0312913678239985E-2</v>
      </c>
      <c r="R1153" s="28">
        <v>1152</v>
      </c>
      <c r="S1153" s="29">
        <v>2.1611158254577524E-2</v>
      </c>
      <c r="T1153" s="41">
        <f t="shared" si="104"/>
        <v>0</v>
      </c>
      <c r="U1153" s="4">
        <f t="shared" si="105"/>
        <v>1.1426647323344228</v>
      </c>
      <c r="V1153" s="15">
        <f t="shared" si="109"/>
        <v>0.91932907348242809</v>
      </c>
      <c r="W1153" s="33">
        <f t="shared" si="106"/>
        <v>1.4005728214379083</v>
      </c>
      <c r="X1153" s="4">
        <f t="shared" si="107"/>
        <v>1.1426647323344228</v>
      </c>
    </row>
    <row r="1154" spans="1:24" ht="14.5" x14ac:dyDescent="0.35">
      <c r="A1154" s="52">
        <v>43713</v>
      </c>
      <c r="B1154" s="51">
        <v>2894</v>
      </c>
      <c r="C1154" s="1">
        <f t="shared" si="108"/>
        <v>4.8493340614376504E-3</v>
      </c>
      <c r="R1154" s="28">
        <v>1153</v>
      </c>
      <c r="S1154" s="29">
        <v>2.1758180528716777E-2</v>
      </c>
      <c r="T1154" s="41">
        <f t="shared" si="104"/>
        <v>0</v>
      </c>
      <c r="U1154" s="4">
        <f t="shared" si="105"/>
        <v>1.1504180643828417</v>
      </c>
      <c r="V1154" s="15">
        <f t="shared" si="109"/>
        <v>0.92012779552715651</v>
      </c>
      <c r="W1154" s="33">
        <f t="shared" si="106"/>
        <v>1.4059316936786133</v>
      </c>
      <c r="X1154" s="4">
        <f t="shared" si="107"/>
        <v>1.1504180643828417</v>
      </c>
    </row>
    <row r="1155" spans="1:24" ht="14.5" x14ac:dyDescent="0.35">
      <c r="A1155" s="52">
        <v>43712</v>
      </c>
      <c r="B1155" s="51">
        <v>2880</v>
      </c>
      <c r="C1155" s="1">
        <f t="shared" si="108"/>
        <v>2.0855064910213611E-3</v>
      </c>
      <c r="R1155" s="28">
        <v>1154</v>
      </c>
      <c r="S1155" s="29">
        <v>2.1773799549560754E-2</v>
      </c>
      <c r="T1155" s="41">
        <f t="shared" ref="T1155:T1218" si="110">+IF(OR(S1155&lt;($Z$3-3*$Z$4^0.5),S1155&gt;($Z$3+3*$Z$4^0.5)),1,0)</f>
        <v>0</v>
      </c>
      <c r="U1155" s="4">
        <f t="shared" ref="U1155:U1218" si="111">+(S1155-AVERAGE($S$2:$S$1252))/_xlfn.STDEV.S($S$2:$S$1252)</f>
        <v>1.1512417453902504</v>
      </c>
      <c r="V1155" s="15">
        <f t="shared" si="109"/>
        <v>0.92092651757188504</v>
      </c>
      <c r="W1155" s="33">
        <f t="shared" ref="W1155:W1218" si="112">+_xlfn.NORM.S.INV(V1155)</f>
        <v>1.4113312477729172</v>
      </c>
      <c r="X1155" s="4">
        <f t="shared" ref="X1155:X1218" si="113">+U1155</f>
        <v>1.1512417453902504</v>
      </c>
    </row>
    <row r="1156" spans="1:24" ht="14.5" x14ac:dyDescent="0.35">
      <c r="A1156" s="52">
        <v>43711</v>
      </c>
      <c r="B1156" s="51">
        <v>2874</v>
      </c>
      <c r="C1156" s="1">
        <f t="shared" ref="C1156:C1219" si="114">+LN(B1156/B1157)</f>
        <v>-1.0384309305716493E-2</v>
      </c>
      <c r="R1156" s="28">
        <v>1155</v>
      </c>
      <c r="S1156" s="29">
        <v>2.1958796312644965E-2</v>
      </c>
      <c r="T1156" s="41">
        <f t="shared" si="110"/>
        <v>0</v>
      </c>
      <c r="U1156" s="4">
        <f t="shared" si="111"/>
        <v>1.1609976911506596</v>
      </c>
      <c r="V1156" s="15">
        <f t="shared" ref="V1156:V1219" si="115">+R1155/1252</f>
        <v>0.92172523961661346</v>
      </c>
      <c r="W1156" s="33">
        <f t="shared" si="112"/>
        <v>1.4167722659764788</v>
      </c>
      <c r="X1156" s="4">
        <f t="shared" si="113"/>
        <v>1.1609976911506596</v>
      </c>
    </row>
    <row r="1157" spans="1:24" ht="14.5" x14ac:dyDescent="0.35">
      <c r="A1157" s="52">
        <v>43710</v>
      </c>
      <c r="B1157" s="51">
        <v>2904</v>
      </c>
      <c r="C1157" s="1">
        <f t="shared" si="114"/>
        <v>-1.5037877364540559E-2</v>
      </c>
      <c r="R1157" s="28">
        <v>1156</v>
      </c>
      <c r="S1157" s="29">
        <v>2.2059718064732257E-2</v>
      </c>
      <c r="T1157" s="41">
        <f t="shared" si="110"/>
        <v>0</v>
      </c>
      <c r="U1157" s="4">
        <f t="shared" si="111"/>
        <v>1.1663198769175582</v>
      </c>
      <c r="V1157" s="15">
        <f t="shared" si="115"/>
        <v>0.92252396166134187</v>
      </c>
      <c r="W1157" s="33">
        <f t="shared" si="112"/>
        <v>1.422255553636407</v>
      </c>
      <c r="X1157" s="4">
        <f t="shared" si="113"/>
        <v>1.1663198769175582</v>
      </c>
    </row>
    <row r="1158" spans="1:24" ht="14.5" x14ac:dyDescent="0.35">
      <c r="A1158" s="52">
        <v>43707</v>
      </c>
      <c r="B1158" s="51">
        <v>2948</v>
      </c>
      <c r="C1158" s="1">
        <f t="shared" si="114"/>
        <v>2.2642476749759752E-2</v>
      </c>
      <c r="R1158" s="28">
        <v>1157</v>
      </c>
      <c r="S1158" s="29">
        <v>2.2117805253618974E-2</v>
      </c>
      <c r="T1158" s="41">
        <f t="shared" si="110"/>
        <v>0</v>
      </c>
      <c r="U1158" s="4">
        <f t="shared" si="111"/>
        <v>1.1693831492403042</v>
      </c>
      <c r="V1158" s="15">
        <f t="shared" si="115"/>
        <v>0.92332268370607029</v>
      </c>
      <c r="W1158" s="33">
        <f t="shared" si="112"/>
        <v>1.427781940121386</v>
      </c>
      <c r="X1158" s="4">
        <f t="shared" si="113"/>
        <v>1.1693831492403042</v>
      </c>
    </row>
    <row r="1159" spans="1:24" ht="14.5" x14ac:dyDescent="0.35">
      <c r="A1159" s="52">
        <v>43706</v>
      </c>
      <c r="B1159" s="51">
        <v>2882</v>
      </c>
      <c r="C1159" s="1">
        <f t="shared" si="114"/>
        <v>4.8695748399565156E-3</v>
      </c>
      <c r="R1159" s="28">
        <v>1158</v>
      </c>
      <c r="S1159" s="29">
        <v>2.2264370497399506E-2</v>
      </c>
      <c r="T1159" s="41">
        <f t="shared" si="110"/>
        <v>0</v>
      </c>
      <c r="U1159" s="4">
        <f t="shared" si="111"/>
        <v>1.1771123794432843</v>
      </c>
      <c r="V1159" s="15">
        <f t="shared" si="115"/>
        <v>0.92412140575079871</v>
      </c>
      <c r="W1159" s="33">
        <f t="shared" si="112"/>
        <v>1.4333522797994338</v>
      </c>
      <c r="X1159" s="4">
        <f t="shared" si="113"/>
        <v>1.1771123794432843</v>
      </c>
    </row>
    <row r="1160" spans="1:24" ht="14.5" x14ac:dyDescent="0.35">
      <c r="A1160" s="52">
        <v>43705</v>
      </c>
      <c r="B1160" s="51">
        <v>2868</v>
      </c>
      <c r="C1160" s="1">
        <f t="shared" si="114"/>
        <v>-2.7855171214263121E-3</v>
      </c>
      <c r="R1160" s="28">
        <v>1159</v>
      </c>
      <c r="S1160" s="29">
        <v>2.2642476749759752E-2</v>
      </c>
      <c r="T1160" s="41">
        <f t="shared" si="110"/>
        <v>0</v>
      </c>
      <c r="U1160" s="4">
        <f t="shared" si="111"/>
        <v>1.1970521017832858</v>
      </c>
      <c r="V1160" s="15">
        <f t="shared" si="115"/>
        <v>0.92492012779552712</v>
      </c>
      <c r="W1160" s="33">
        <f t="shared" si="112"/>
        <v>1.4389674530662808</v>
      </c>
      <c r="X1160" s="4">
        <f t="shared" si="113"/>
        <v>1.1970521017832858</v>
      </c>
    </row>
    <row r="1161" spans="1:24" ht="14.5" x14ac:dyDescent="0.35">
      <c r="A1161" s="52">
        <v>43704</v>
      </c>
      <c r="B1161" s="51">
        <v>2876</v>
      </c>
      <c r="C1161" s="1">
        <f t="shared" si="114"/>
        <v>-3.4710204928788554E-3</v>
      </c>
      <c r="R1161" s="28">
        <v>1160</v>
      </c>
      <c r="S1161" s="29">
        <v>2.2728251077556091E-2</v>
      </c>
      <c r="T1161" s="41">
        <f t="shared" si="110"/>
        <v>0</v>
      </c>
      <c r="U1161" s="4">
        <f t="shared" si="111"/>
        <v>1.2015754765476092</v>
      </c>
      <c r="V1161" s="15">
        <f t="shared" si="115"/>
        <v>0.92571884984025554</v>
      </c>
      <c r="W1161" s="33">
        <f t="shared" si="112"/>
        <v>1.4446283674275</v>
      </c>
      <c r="X1161" s="4">
        <f t="shared" si="113"/>
        <v>1.2015754765476092</v>
      </c>
    </row>
    <row r="1162" spans="1:24" ht="14.5" x14ac:dyDescent="0.35">
      <c r="A1162" s="52">
        <v>43703</v>
      </c>
      <c r="B1162" s="51">
        <v>2886</v>
      </c>
      <c r="C1162" s="1">
        <f t="shared" si="114"/>
        <v>1.3956960684018537E-2</v>
      </c>
      <c r="R1162" s="28">
        <v>1161</v>
      </c>
      <c r="S1162" s="29">
        <v>2.3077947282544673E-2</v>
      </c>
      <c r="T1162" s="41">
        <f t="shared" si="110"/>
        <v>0</v>
      </c>
      <c r="U1162" s="4">
        <f t="shared" si="111"/>
        <v>1.22001697331551</v>
      </c>
      <c r="V1162" s="15">
        <f t="shared" si="115"/>
        <v>0.92651757188498407</v>
      </c>
      <c r="W1162" s="33">
        <f t="shared" si="112"/>
        <v>1.4503359586379194</v>
      </c>
      <c r="X1162" s="4">
        <f t="shared" si="113"/>
        <v>1.22001697331551</v>
      </c>
    </row>
    <row r="1163" spans="1:24" ht="14.5" x14ac:dyDescent="0.35">
      <c r="A1163" s="52">
        <v>43700</v>
      </c>
      <c r="B1163" s="51">
        <v>2846</v>
      </c>
      <c r="C1163" s="1">
        <f t="shared" si="114"/>
        <v>7.0298772666621111E-4</v>
      </c>
      <c r="R1163" s="28">
        <v>1162</v>
      </c>
      <c r="S1163" s="29">
        <v>2.3107575010149491E-2</v>
      </c>
      <c r="T1163" s="41">
        <f t="shared" si="110"/>
        <v>0</v>
      </c>
      <c r="U1163" s="4">
        <f t="shared" si="111"/>
        <v>1.2215794141858143</v>
      </c>
      <c r="V1163" s="15">
        <f t="shared" si="115"/>
        <v>0.92731629392971249</v>
      </c>
      <c r="W1163" s="33">
        <f t="shared" si="112"/>
        <v>1.4560911919018951</v>
      </c>
      <c r="X1163" s="4">
        <f t="shared" si="113"/>
        <v>1.2215794141858143</v>
      </c>
    </row>
    <row r="1164" spans="1:24" ht="14.5" x14ac:dyDescent="0.35">
      <c r="A1164" s="52">
        <v>43699</v>
      </c>
      <c r="B1164" s="51">
        <v>2844</v>
      </c>
      <c r="C1164" s="1">
        <f t="shared" si="114"/>
        <v>-1.4659948410684629E-2</v>
      </c>
      <c r="R1164" s="28">
        <v>1163</v>
      </c>
      <c r="S1164" s="29">
        <v>2.317265163790163E-2</v>
      </c>
      <c r="T1164" s="41">
        <f t="shared" si="110"/>
        <v>0</v>
      </c>
      <c r="U1164" s="4">
        <f t="shared" si="111"/>
        <v>1.2250112799116553</v>
      </c>
      <c r="V1164" s="15">
        <f t="shared" si="115"/>
        <v>0.9281150159744409</v>
      </c>
      <c r="W1164" s="33">
        <f t="shared" si="112"/>
        <v>1.4618950631384826</v>
      </c>
      <c r="X1164" s="4">
        <f t="shared" si="113"/>
        <v>1.2250112799116553</v>
      </c>
    </row>
    <row r="1165" spans="1:24" ht="14.5" x14ac:dyDescent="0.35">
      <c r="A1165" s="52">
        <v>43698</v>
      </c>
      <c r="B1165" s="51">
        <v>2886</v>
      </c>
      <c r="C1165" s="1">
        <f t="shared" si="114"/>
        <v>-2.734278336406127E-2</v>
      </c>
      <c r="R1165" s="28">
        <v>1164</v>
      </c>
      <c r="S1165" s="29">
        <v>2.3428403463255629E-2</v>
      </c>
      <c r="T1165" s="41">
        <f t="shared" si="110"/>
        <v>0</v>
      </c>
      <c r="U1165" s="4">
        <f t="shared" si="111"/>
        <v>1.2384985479842512</v>
      </c>
      <c r="V1165" s="15">
        <f t="shared" si="115"/>
        <v>0.92891373801916932</v>
      </c>
      <c r="W1165" s="33">
        <f t="shared" si="112"/>
        <v>1.4677486003157527</v>
      </c>
      <c r="X1165" s="4">
        <f t="shared" si="113"/>
        <v>1.2384985479842512</v>
      </c>
    </row>
    <row r="1166" spans="1:24" ht="14.5" x14ac:dyDescent="0.35">
      <c r="A1166" s="52">
        <v>43693</v>
      </c>
      <c r="B1166" s="51">
        <v>2966</v>
      </c>
      <c r="C1166" s="1">
        <f t="shared" si="114"/>
        <v>2.0249753797713828E-3</v>
      </c>
      <c r="R1166" s="28">
        <v>1165</v>
      </c>
      <c r="S1166" s="29">
        <v>2.3716526617316065E-2</v>
      </c>
      <c r="T1166" s="41">
        <f t="shared" si="110"/>
        <v>0</v>
      </c>
      <c r="U1166" s="4">
        <f t="shared" si="111"/>
        <v>1.2536929428291606</v>
      </c>
      <c r="V1166" s="15">
        <f t="shared" si="115"/>
        <v>0.92971246006389774</v>
      </c>
      <c r="W1166" s="33">
        <f t="shared" si="112"/>
        <v>1.4736528648588596</v>
      </c>
      <c r="X1166" s="4">
        <f t="shared" si="113"/>
        <v>1.2536929428291606</v>
      </c>
    </row>
    <row r="1167" spans="1:24" ht="14.5" x14ac:dyDescent="0.35">
      <c r="A1167" s="52">
        <v>43692</v>
      </c>
      <c r="B1167" s="51">
        <v>2960</v>
      </c>
      <c r="C1167" s="1">
        <f t="shared" si="114"/>
        <v>-3.3726844786392302E-3</v>
      </c>
      <c r="R1167" s="28">
        <v>1166</v>
      </c>
      <c r="S1167" s="29">
        <v>2.386230358738551E-2</v>
      </c>
      <c r="T1167" s="41">
        <f t="shared" si="110"/>
        <v>0</v>
      </c>
      <c r="U1167" s="4">
        <f t="shared" si="111"/>
        <v>1.261380602815227</v>
      </c>
      <c r="V1167" s="15">
        <f t="shared" si="115"/>
        <v>0.93051118210862616</v>
      </c>
      <c r="W1167" s="33">
        <f t="shared" si="112"/>
        <v>1.4796089531368348</v>
      </c>
      <c r="X1167" s="4">
        <f t="shared" si="113"/>
        <v>1.261380602815227</v>
      </c>
    </row>
    <row r="1168" spans="1:24" ht="14.5" x14ac:dyDescent="0.35">
      <c r="A1168" s="52">
        <v>43691</v>
      </c>
      <c r="B1168" s="51">
        <v>2970</v>
      </c>
      <c r="C1168" s="1">
        <f t="shared" si="114"/>
        <v>-1.0050335853501451E-2</v>
      </c>
      <c r="R1168" s="28">
        <v>1167</v>
      </c>
      <c r="S1168" s="29">
        <v>2.4014876203873919E-2</v>
      </c>
      <c r="T1168" s="41">
        <f t="shared" si="110"/>
        <v>0</v>
      </c>
      <c r="U1168" s="4">
        <f t="shared" si="111"/>
        <v>1.2694266364115396</v>
      </c>
      <c r="V1168" s="15">
        <f t="shared" si="115"/>
        <v>0.93130990415335468</v>
      </c>
      <c r="W1168" s="33">
        <f t="shared" si="112"/>
        <v>1.4856179980334678</v>
      </c>
      <c r="X1168" s="4">
        <f t="shared" si="113"/>
        <v>1.2694266364115396</v>
      </c>
    </row>
    <row r="1169" spans="1:24" ht="14.5" x14ac:dyDescent="0.35">
      <c r="A1169" s="52">
        <v>43690</v>
      </c>
      <c r="B1169" s="51">
        <v>3000</v>
      </c>
      <c r="C1169" s="1">
        <f t="shared" si="114"/>
        <v>-8.6293266980545253E-3</v>
      </c>
      <c r="R1169" s="28">
        <v>1168</v>
      </c>
      <c r="S1169" s="29">
        <v>2.4292692569044483E-2</v>
      </c>
      <c r="T1169" s="41">
        <f t="shared" si="110"/>
        <v>0</v>
      </c>
      <c r="U1169" s="4">
        <f t="shared" si="111"/>
        <v>1.2840774948631783</v>
      </c>
      <c r="V1169" s="15">
        <f t="shared" si="115"/>
        <v>0.9321086261980831</v>
      </c>
      <c r="W1169" s="33">
        <f t="shared" si="112"/>
        <v>1.4916811706080748</v>
      </c>
      <c r="X1169" s="4">
        <f t="shared" si="113"/>
        <v>1.2840774948631783</v>
      </c>
    </row>
    <row r="1170" spans="1:24" ht="14.5" x14ac:dyDescent="0.35">
      <c r="A1170" s="52">
        <v>43689</v>
      </c>
      <c r="B1170" s="51">
        <v>3026</v>
      </c>
      <c r="C1170" s="1">
        <f t="shared" si="114"/>
        <v>1.3976933024649823E-2</v>
      </c>
      <c r="R1170" s="28">
        <v>1169</v>
      </c>
      <c r="S1170" s="29">
        <v>2.4631787189665421E-2</v>
      </c>
      <c r="T1170" s="41">
        <f t="shared" si="110"/>
        <v>0</v>
      </c>
      <c r="U1170" s="4">
        <f t="shared" si="111"/>
        <v>1.3019599089728702</v>
      </c>
      <c r="V1170" s="15">
        <f t="shared" si="115"/>
        <v>0.93290734824281152</v>
      </c>
      <c r="W1170" s="33">
        <f t="shared" si="112"/>
        <v>1.4977996818524231</v>
      </c>
      <c r="X1170" s="4">
        <f t="shared" si="113"/>
        <v>1.3019599089728702</v>
      </c>
    </row>
    <row r="1171" spans="1:24" ht="14.5" x14ac:dyDescent="0.35">
      <c r="A1171" s="52">
        <v>43686</v>
      </c>
      <c r="B1171" s="51">
        <v>2984</v>
      </c>
      <c r="C1171" s="1">
        <f t="shared" si="114"/>
        <v>6.7046599896778368E-4</v>
      </c>
      <c r="R1171" s="28">
        <v>1170</v>
      </c>
      <c r="S1171" s="29">
        <v>2.4732014469846349E-2</v>
      </c>
      <c r="T1171" s="41">
        <f t="shared" si="110"/>
        <v>0</v>
      </c>
      <c r="U1171" s="4">
        <f t="shared" si="111"/>
        <v>1.3072454712327535</v>
      </c>
      <c r="V1171" s="15">
        <f t="shared" si="115"/>
        <v>0.93370607028753994</v>
      </c>
      <c r="W1171" s="33">
        <f t="shared" si="112"/>
        <v>1.5039747845506042</v>
      </c>
      <c r="X1171" s="4">
        <f t="shared" si="113"/>
        <v>1.3072454712327535</v>
      </c>
    </row>
    <row r="1172" spans="1:24" ht="14.5" x14ac:dyDescent="0.35">
      <c r="A1172" s="52">
        <v>43685</v>
      </c>
      <c r="B1172" s="51">
        <v>2982</v>
      </c>
      <c r="C1172" s="1">
        <f t="shared" si="114"/>
        <v>2.0140993717011856E-3</v>
      </c>
      <c r="R1172" s="28">
        <v>1171</v>
      </c>
      <c r="S1172" s="29">
        <v>2.4920532819278467E-2</v>
      </c>
      <c r="T1172" s="41">
        <f t="shared" si="110"/>
        <v>0</v>
      </c>
      <c r="U1172" s="4">
        <f t="shared" si="111"/>
        <v>1.3171871305420271</v>
      </c>
      <c r="V1172" s="15">
        <f t="shared" si="115"/>
        <v>0.93450479233226835</v>
      </c>
      <c r="W1172" s="33">
        <f t="shared" si="112"/>
        <v>1.510207775249208</v>
      </c>
      <c r="X1172" s="4">
        <f t="shared" si="113"/>
        <v>1.3171871305420271</v>
      </c>
    </row>
    <row r="1173" spans="1:24" ht="14.5" x14ac:dyDescent="0.35">
      <c r="A1173" s="52">
        <v>43684</v>
      </c>
      <c r="B1173" s="51">
        <v>2976</v>
      </c>
      <c r="C1173" s="1">
        <f t="shared" si="114"/>
        <v>0</v>
      </c>
      <c r="R1173" s="28">
        <v>1172</v>
      </c>
      <c r="S1173" s="29">
        <v>2.5079684397023391E-2</v>
      </c>
      <c r="T1173" s="41">
        <f t="shared" si="110"/>
        <v>0</v>
      </c>
      <c r="U1173" s="4">
        <f t="shared" si="111"/>
        <v>1.3255801106908542</v>
      </c>
      <c r="V1173" s="15">
        <f t="shared" si="115"/>
        <v>0.93530351437699677</v>
      </c>
      <c r="W1173" s="33">
        <f t="shared" si="112"/>
        <v>1.5164999963457824</v>
      </c>
      <c r="X1173" s="4">
        <f t="shared" si="113"/>
        <v>1.3255801106908542</v>
      </c>
    </row>
    <row r="1174" spans="1:24" ht="14.5" x14ac:dyDescent="0.35">
      <c r="A1174" s="52">
        <v>43683</v>
      </c>
      <c r="B1174" s="51">
        <v>2976</v>
      </c>
      <c r="C1174" s="1">
        <f t="shared" si="114"/>
        <v>1.2170535620255114E-2</v>
      </c>
      <c r="R1174" s="28">
        <v>1173</v>
      </c>
      <c r="S1174" s="29">
        <v>2.5277807184268607E-2</v>
      </c>
      <c r="T1174" s="41">
        <f t="shared" si="110"/>
        <v>0</v>
      </c>
      <c r="U1174" s="4">
        <f t="shared" si="111"/>
        <v>1.336028267372307</v>
      </c>
      <c r="V1174" s="15">
        <f t="shared" si="115"/>
        <v>0.93610223642172519</v>
      </c>
      <c r="W1174" s="33">
        <f t="shared" si="112"/>
        <v>1.5228528383042352</v>
      </c>
      <c r="X1174" s="4">
        <f t="shared" si="113"/>
        <v>1.336028267372307</v>
      </c>
    </row>
    <row r="1175" spans="1:24" ht="14.5" x14ac:dyDescent="0.35">
      <c r="A1175" s="52">
        <v>43682</v>
      </c>
      <c r="B1175" s="51">
        <v>2940</v>
      </c>
      <c r="C1175" s="1">
        <f t="shared" si="114"/>
        <v>-1.0152371464017962E-2</v>
      </c>
      <c r="R1175" s="28">
        <v>1174</v>
      </c>
      <c r="S1175" s="29">
        <v>2.5409715525368221E-2</v>
      </c>
      <c r="T1175" s="41">
        <f t="shared" si="110"/>
        <v>0</v>
      </c>
      <c r="U1175" s="4">
        <f t="shared" si="111"/>
        <v>1.3429845546048982</v>
      </c>
      <c r="V1175" s="15">
        <f t="shared" si="115"/>
        <v>0.93690095846645371</v>
      </c>
      <c r="W1175" s="33">
        <f t="shared" si="112"/>
        <v>1.5292677420066052</v>
      </c>
      <c r="X1175" s="4">
        <f t="shared" si="113"/>
        <v>1.3429845546048982</v>
      </c>
    </row>
    <row r="1176" spans="1:24" ht="14.5" x14ac:dyDescent="0.35">
      <c r="A1176" s="52">
        <v>43679</v>
      </c>
      <c r="B1176" s="51">
        <v>2970</v>
      </c>
      <c r="C1176" s="1">
        <f t="shared" si="114"/>
        <v>-1.1382781087280068E-2</v>
      </c>
      <c r="R1176" s="28">
        <v>1175</v>
      </c>
      <c r="S1176" s="29">
        <v>2.548763052014855E-2</v>
      </c>
      <c r="T1176" s="41">
        <f t="shared" si="110"/>
        <v>0</v>
      </c>
      <c r="U1176" s="4">
        <f t="shared" si="111"/>
        <v>1.3470934614329244</v>
      </c>
      <c r="V1176" s="15">
        <f t="shared" si="115"/>
        <v>0.93769968051118213</v>
      </c>
      <c r="W1176" s="33">
        <f t="shared" si="112"/>
        <v>1.5357462012514234</v>
      </c>
      <c r="X1176" s="4">
        <f t="shared" si="113"/>
        <v>1.3470934614329244</v>
      </c>
    </row>
    <row r="1177" spans="1:24" ht="14.5" x14ac:dyDescent="0.35">
      <c r="A1177" s="52">
        <v>43678</v>
      </c>
      <c r="B1177" s="51">
        <v>3004</v>
      </c>
      <c r="C1177" s="1">
        <f t="shared" si="114"/>
        <v>1.3324452337786948E-3</v>
      </c>
      <c r="R1177" s="28">
        <v>1176</v>
      </c>
      <c r="S1177" s="29">
        <v>2.5642430613337652E-2</v>
      </c>
      <c r="T1177" s="41">
        <f t="shared" si="110"/>
        <v>0</v>
      </c>
      <c r="U1177" s="4">
        <f t="shared" si="111"/>
        <v>1.3552569627163049</v>
      </c>
      <c r="V1177" s="15">
        <f t="shared" si="115"/>
        <v>0.93849840255591055</v>
      </c>
      <c r="W1177" s="33">
        <f t="shared" si="112"/>
        <v>1.5422897654098506</v>
      </c>
      <c r="X1177" s="4">
        <f t="shared" si="113"/>
        <v>1.3552569627163049</v>
      </c>
    </row>
    <row r="1178" spans="1:24" ht="14.5" x14ac:dyDescent="0.35">
      <c r="A1178" s="52">
        <v>43677</v>
      </c>
      <c r="B1178" s="51">
        <v>3000</v>
      </c>
      <c r="C1178" s="1">
        <f t="shared" si="114"/>
        <v>-1.3324452337786009E-3</v>
      </c>
      <c r="R1178" s="28">
        <v>1177</v>
      </c>
      <c r="S1178" s="29">
        <v>2.5875376997898495E-2</v>
      </c>
      <c r="T1178" s="41">
        <f t="shared" si="110"/>
        <v>0</v>
      </c>
      <c r="U1178" s="4">
        <f t="shared" si="111"/>
        <v>1.3675415684303223</v>
      </c>
      <c r="V1178" s="15">
        <f t="shared" si="115"/>
        <v>0.93929712460063897</v>
      </c>
      <c r="W1178" s="33">
        <f t="shared" si="112"/>
        <v>1.548900042251715</v>
      </c>
      <c r="X1178" s="4">
        <f t="shared" si="113"/>
        <v>1.3675415684303223</v>
      </c>
    </row>
    <row r="1179" spans="1:24" ht="14.5" x14ac:dyDescent="0.35">
      <c r="A1179" s="52">
        <v>43676</v>
      </c>
      <c r="B1179" s="51">
        <v>3004</v>
      </c>
      <c r="C1179" s="1">
        <f t="shared" si="114"/>
        <v>-6.6357244153982678E-3</v>
      </c>
      <c r="R1179" s="28">
        <v>1178</v>
      </c>
      <c r="S1179" s="29">
        <v>2.5975486403260736E-2</v>
      </c>
      <c r="T1179" s="41">
        <f t="shared" si="110"/>
        <v>0</v>
      </c>
      <c r="U1179" s="4">
        <f t="shared" si="111"/>
        <v>1.3728209144715082</v>
      </c>
      <c r="V1179" s="15">
        <f t="shared" si="115"/>
        <v>0.94009584664536738</v>
      </c>
      <c r="W1179" s="33">
        <f t="shared" si="112"/>
        <v>1.5555787009547488</v>
      </c>
      <c r="X1179" s="4">
        <f t="shared" si="113"/>
        <v>1.3728209144715082</v>
      </c>
    </row>
    <row r="1180" spans="1:24" ht="14.5" x14ac:dyDescent="0.35">
      <c r="A1180" s="52">
        <v>43675</v>
      </c>
      <c r="B1180" s="51">
        <v>3024</v>
      </c>
      <c r="C1180" s="1">
        <f t="shared" si="114"/>
        <v>6.6159446673871847E-4</v>
      </c>
      <c r="R1180" s="28">
        <v>1179</v>
      </c>
      <c r="S1180" s="29">
        <v>2.633656241368305E-2</v>
      </c>
      <c r="T1180" s="41">
        <f t="shared" si="110"/>
        <v>0</v>
      </c>
      <c r="U1180" s="4">
        <f t="shared" si="111"/>
        <v>1.3918625339806106</v>
      </c>
      <c r="V1180" s="15">
        <f t="shared" si="115"/>
        <v>0.9408945686900958</v>
      </c>
      <c r="W1180" s="33">
        <f t="shared" si="112"/>
        <v>1.5623274753115111</v>
      </c>
      <c r="X1180" s="4">
        <f t="shared" si="113"/>
        <v>1.3918625339806106</v>
      </c>
    </row>
    <row r="1181" spans="1:24" ht="14.5" x14ac:dyDescent="0.35">
      <c r="A1181" s="52">
        <v>43672</v>
      </c>
      <c r="B1181" s="51">
        <v>3022</v>
      </c>
      <c r="C1181" s="1">
        <f t="shared" si="114"/>
        <v>-2.1604768311981874E-2</v>
      </c>
      <c r="R1181" s="28">
        <v>1180</v>
      </c>
      <c r="S1181" s="29">
        <v>2.650085349294496E-2</v>
      </c>
      <c r="T1181" s="41">
        <f t="shared" si="110"/>
        <v>0</v>
      </c>
      <c r="U1181" s="4">
        <f t="shared" si="111"/>
        <v>1.4005265496718942</v>
      </c>
      <c r="V1181" s="15">
        <f t="shared" si="115"/>
        <v>0.94169329073482433</v>
      </c>
      <c r="W1181" s="33">
        <f t="shared" si="112"/>
        <v>1.5691481671498613</v>
      </c>
      <c r="X1181" s="4">
        <f t="shared" si="113"/>
        <v>1.4005265496718942</v>
      </c>
    </row>
    <row r="1182" spans="1:24" ht="14.5" x14ac:dyDescent="0.35">
      <c r="A1182" s="52">
        <v>43671</v>
      </c>
      <c r="B1182" s="51">
        <v>3088</v>
      </c>
      <c r="C1182" s="1">
        <f t="shared" si="114"/>
        <v>-3.8784793285708565E-3</v>
      </c>
      <c r="R1182" s="28">
        <v>1181</v>
      </c>
      <c r="S1182" s="29">
        <v>2.655927307235488E-2</v>
      </c>
      <c r="T1182" s="41">
        <f t="shared" si="110"/>
        <v>0</v>
      </c>
      <c r="U1182" s="4">
        <f t="shared" si="111"/>
        <v>1.4036073508630462</v>
      </c>
      <c r="V1182" s="15">
        <f t="shared" si="115"/>
        <v>0.94249201277955275</v>
      </c>
      <c r="W1182" s="33">
        <f t="shared" si="112"/>
        <v>1.5760426499843492</v>
      </c>
      <c r="X1182" s="4">
        <f t="shared" si="113"/>
        <v>1.4036073508630462</v>
      </c>
    </row>
    <row r="1183" spans="1:24" ht="14.5" x14ac:dyDescent="0.35">
      <c r="A1183" s="52">
        <v>43670</v>
      </c>
      <c r="B1183" s="51">
        <v>3100</v>
      </c>
      <c r="C1183" s="1">
        <f t="shared" si="114"/>
        <v>5.8233745931765999E-3</v>
      </c>
      <c r="R1183" s="28">
        <v>1182</v>
      </c>
      <c r="S1183" s="29">
        <v>2.6907452919924402E-2</v>
      </c>
      <c r="T1183" s="41">
        <f t="shared" si="110"/>
        <v>0</v>
      </c>
      <c r="U1183" s="4">
        <f t="shared" si="111"/>
        <v>1.4219688813629587</v>
      </c>
      <c r="V1183" s="15">
        <f t="shared" si="115"/>
        <v>0.94329073482428116</v>
      </c>
      <c r="W1183" s="33">
        <f t="shared" si="112"/>
        <v>1.5830128729175841</v>
      </c>
      <c r="X1183" s="4">
        <f t="shared" si="113"/>
        <v>1.4219688813629587</v>
      </c>
    </row>
    <row r="1184" spans="1:24" ht="14.5" x14ac:dyDescent="0.35">
      <c r="A1184" s="52">
        <v>43669</v>
      </c>
      <c r="B1184" s="51">
        <v>3082</v>
      </c>
      <c r="C1184" s="1">
        <f t="shared" si="114"/>
        <v>-6.46832785642303E-3</v>
      </c>
      <c r="R1184" s="28">
        <v>1183</v>
      </c>
      <c r="S1184" s="29">
        <v>2.6976587698202076E-2</v>
      </c>
      <c r="T1184" s="41">
        <f t="shared" si="110"/>
        <v>0</v>
      </c>
      <c r="U1184" s="4">
        <f t="shared" si="111"/>
        <v>1.4256147567598589</v>
      </c>
      <c r="V1184" s="15">
        <f t="shared" si="115"/>
        <v>0.94408945686900958</v>
      </c>
      <c r="W1184" s="33">
        <f t="shared" si="112"/>
        <v>1.5900608648124666</v>
      </c>
      <c r="X1184" s="4">
        <f t="shared" si="113"/>
        <v>1.4256147567598589</v>
      </c>
    </row>
    <row r="1185" spans="1:24" ht="14.5" x14ac:dyDescent="0.35">
      <c r="A1185" s="52">
        <v>43668</v>
      </c>
      <c r="B1185" s="51">
        <v>3102</v>
      </c>
      <c r="C1185" s="1">
        <f t="shared" si="114"/>
        <v>5.171310813378004E-3</v>
      </c>
      <c r="R1185" s="28">
        <v>1184</v>
      </c>
      <c r="S1185" s="29">
        <v>2.6999086151434419E-2</v>
      </c>
      <c r="T1185" s="41">
        <f t="shared" si="110"/>
        <v>0</v>
      </c>
      <c r="U1185" s="4">
        <f t="shared" si="111"/>
        <v>1.4268012298946777</v>
      </c>
      <c r="V1185" s="15">
        <f t="shared" si="115"/>
        <v>0.944888178913738</v>
      </c>
      <c r="W1185" s="33">
        <f t="shared" si="112"/>
        <v>1.5971887387582999</v>
      </c>
      <c r="X1185" s="4">
        <f t="shared" si="113"/>
        <v>1.4268012298946777</v>
      </c>
    </row>
    <row r="1186" spans="1:24" ht="14.5" x14ac:dyDescent="0.35">
      <c r="A1186" s="52">
        <v>43665</v>
      </c>
      <c r="B1186" s="51">
        <v>3086</v>
      </c>
      <c r="C1186" s="1">
        <f t="shared" si="114"/>
        <v>1.8313134419691412E-2</v>
      </c>
      <c r="R1186" s="28">
        <v>1185</v>
      </c>
      <c r="S1186" s="29">
        <v>2.7097959767250993E-2</v>
      </c>
      <c r="T1186" s="41">
        <f t="shared" si="110"/>
        <v>0</v>
      </c>
      <c r="U1186" s="4">
        <f t="shared" si="111"/>
        <v>1.4320154056292171</v>
      </c>
      <c r="V1186" s="15">
        <f t="shared" si="115"/>
        <v>0.94568690095846641</v>
      </c>
      <c r="W1186" s="33">
        <f t="shared" si="112"/>
        <v>1.6043986968560597</v>
      </c>
      <c r="X1186" s="4">
        <f t="shared" si="113"/>
        <v>1.4320154056292171</v>
      </c>
    </row>
    <row r="1187" spans="1:24" ht="14.5" x14ac:dyDescent="0.35">
      <c r="A1187" s="52">
        <v>43664</v>
      </c>
      <c r="B1187" s="51">
        <v>3030</v>
      </c>
      <c r="C1187" s="1">
        <f t="shared" si="114"/>
        <v>7.2872134336842802E-3</v>
      </c>
      <c r="R1187" s="28">
        <v>1186</v>
      </c>
      <c r="S1187" s="29">
        <v>2.7101929777791179E-2</v>
      </c>
      <c r="T1187" s="41">
        <f t="shared" si="110"/>
        <v>0</v>
      </c>
      <c r="U1187" s="4">
        <f t="shared" si="111"/>
        <v>1.4322247671707522</v>
      </c>
      <c r="V1187" s="15">
        <f t="shared" si="115"/>
        <v>0.94648562300319494</v>
      </c>
      <c r="W1187" s="33">
        <f t="shared" si="112"/>
        <v>1.6116930353507257</v>
      </c>
      <c r="X1187" s="4">
        <f t="shared" si="113"/>
        <v>1.4322247671707522</v>
      </c>
    </row>
    <row r="1188" spans="1:24" ht="14.5" x14ac:dyDescent="0.35">
      <c r="A1188" s="52">
        <v>43663</v>
      </c>
      <c r="B1188" s="51">
        <v>3008</v>
      </c>
      <c r="C1188" s="1">
        <f t="shared" si="114"/>
        <v>-3.9814252991849219E-3</v>
      </c>
      <c r="R1188" s="28">
        <v>1187</v>
      </c>
      <c r="S1188" s="29">
        <v>2.7345453890528837E-2</v>
      </c>
      <c r="T1188" s="41">
        <f t="shared" si="110"/>
        <v>0</v>
      </c>
      <c r="U1188" s="4">
        <f t="shared" si="111"/>
        <v>1.4450671974685132</v>
      </c>
      <c r="V1188" s="15">
        <f t="shared" si="115"/>
        <v>0.94728434504792336</v>
      </c>
      <c r="W1188" s="33">
        <f t="shared" si="112"/>
        <v>1.6190741501414485</v>
      </c>
      <c r="X1188" s="4">
        <f t="shared" si="113"/>
        <v>1.4450671974685132</v>
      </c>
    </row>
    <row r="1189" spans="1:24" ht="14.5" x14ac:dyDescent="0.35">
      <c r="A1189" s="52">
        <v>43662</v>
      </c>
      <c r="B1189" s="51">
        <v>3020</v>
      </c>
      <c r="C1189" s="1">
        <f t="shared" si="114"/>
        <v>1.1322132269779725E-2</v>
      </c>
      <c r="R1189" s="28">
        <v>1188</v>
      </c>
      <c r="S1189" s="29">
        <v>2.7689065345715646E-2</v>
      </c>
      <c r="T1189" s="41">
        <f t="shared" si="110"/>
        <v>0</v>
      </c>
      <c r="U1189" s="4">
        <f t="shared" si="111"/>
        <v>1.4631878103028679</v>
      </c>
      <c r="V1189" s="15">
        <f t="shared" si="115"/>
        <v>0.94808306709265178</v>
      </c>
      <c r="W1189" s="33">
        <f t="shared" si="112"/>
        <v>1.6265445427035894</v>
      </c>
      <c r="X1189" s="4">
        <f t="shared" si="113"/>
        <v>1.4631878103028679</v>
      </c>
    </row>
    <row r="1190" spans="1:24" ht="14.5" x14ac:dyDescent="0.35">
      <c r="A1190" s="52">
        <v>43661</v>
      </c>
      <c r="B1190" s="51">
        <v>2986</v>
      </c>
      <c r="C1190" s="1">
        <f t="shared" si="114"/>
        <v>8.7454307810297151E-3</v>
      </c>
      <c r="R1190" s="28">
        <v>1189</v>
      </c>
      <c r="S1190" s="29">
        <v>2.8307033274347509E-2</v>
      </c>
      <c r="T1190" s="41">
        <f t="shared" si="110"/>
        <v>0</v>
      </c>
      <c r="U1190" s="4">
        <f t="shared" si="111"/>
        <v>1.4957768215530842</v>
      </c>
      <c r="V1190" s="15">
        <f t="shared" si="115"/>
        <v>0.94888178913738019</v>
      </c>
      <c r="W1190" s="33">
        <f t="shared" si="112"/>
        <v>1.6341068264602854</v>
      </c>
      <c r="X1190" s="4">
        <f t="shared" si="113"/>
        <v>1.4957768215530842</v>
      </c>
    </row>
    <row r="1191" spans="1:24" ht="14.5" x14ac:dyDescent="0.35">
      <c r="A1191" s="52">
        <v>43658</v>
      </c>
      <c r="B1191" s="51">
        <v>2960</v>
      </c>
      <c r="C1191" s="1">
        <f t="shared" si="114"/>
        <v>0</v>
      </c>
      <c r="R1191" s="28">
        <v>1190</v>
      </c>
      <c r="S1191" s="29">
        <v>2.8419355039785019E-2</v>
      </c>
      <c r="T1191" s="41">
        <f t="shared" si="110"/>
        <v>0</v>
      </c>
      <c r="U1191" s="4">
        <f t="shared" si="111"/>
        <v>1.5017001957411122</v>
      </c>
      <c r="V1191" s="15">
        <f t="shared" si="115"/>
        <v>0.94968051118210861</v>
      </c>
      <c r="W1191" s="33">
        <f t="shared" si="112"/>
        <v>1.641763733645309</v>
      </c>
      <c r="X1191" s="4">
        <f t="shared" si="113"/>
        <v>1.5017001957411122</v>
      </c>
    </row>
    <row r="1192" spans="1:24" ht="14.5" x14ac:dyDescent="0.35">
      <c r="A1192" s="52">
        <v>43657</v>
      </c>
      <c r="B1192" s="51">
        <v>2960</v>
      </c>
      <c r="C1192" s="1">
        <f t="shared" si="114"/>
        <v>-6.7544750963807797E-4</v>
      </c>
      <c r="R1192" s="28">
        <v>1191</v>
      </c>
      <c r="S1192" s="29">
        <v>2.8496344829618107E-2</v>
      </c>
      <c r="T1192" s="41">
        <f t="shared" si="110"/>
        <v>0</v>
      </c>
      <c r="U1192" s="4">
        <f t="shared" si="111"/>
        <v>1.5057603111787807</v>
      </c>
      <c r="V1192" s="15">
        <f t="shared" si="115"/>
        <v>0.95047923322683703</v>
      </c>
      <c r="W1192" s="33">
        <f t="shared" si="112"/>
        <v>1.6495181227035913</v>
      </c>
      <c r="X1192" s="4">
        <f t="shared" si="113"/>
        <v>1.5057603111787807</v>
      </c>
    </row>
    <row r="1193" spans="1:24" ht="14.5" x14ac:dyDescent="0.35">
      <c r="A1193" s="52">
        <v>43656</v>
      </c>
      <c r="B1193" s="51">
        <v>2962</v>
      </c>
      <c r="C1193" s="1">
        <f t="shared" si="114"/>
        <v>-6.7499158823336523E-4</v>
      </c>
      <c r="R1193" s="28">
        <v>1192</v>
      </c>
      <c r="S1193" s="29">
        <v>2.8789867178667126E-2</v>
      </c>
      <c r="T1193" s="41">
        <f t="shared" si="110"/>
        <v>0</v>
      </c>
      <c r="U1193" s="4">
        <f t="shared" si="111"/>
        <v>1.5212394366999482</v>
      </c>
      <c r="V1193" s="15">
        <f t="shared" si="115"/>
        <v>0.95127795527156545</v>
      </c>
      <c r="W1193" s="33">
        <f t="shared" si="112"/>
        <v>1.6573729862809787</v>
      </c>
      <c r="X1193" s="4">
        <f t="shared" si="113"/>
        <v>1.5212394366999482</v>
      </c>
    </row>
    <row r="1194" spans="1:24" ht="14.5" x14ac:dyDescent="0.35">
      <c r="A1194" s="52">
        <v>43655</v>
      </c>
      <c r="B1194" s="51">
        <v>2964</v>
      </c>
      <c r="C1194" s="1">
        <f t="shared" si="114"/>
        <v>-2.72895470391296E-2</v>
      </c>
      <c r="R1194" s="28">
        <v>1193</v>
      </c>
      <c r="S1194" s="29">
        <v>2.8794901947944641E-2</v>
      </c>
      <c r="T1194" s="41">
        <f t="shared" si="110"/>
        <v>0</v>
      </c>
      <c r="U1194" s="4">
        <f t="shared" si="111"/>
        <v>1.521504949107672</v>
      </c>
      <c r="V1194" s="15">
        <f t="shared" si="115"/>
        <v>0.95207667731629397</v>
      </c>
      <c r="W1194" s="33">
        <f t="shared" si="112"/>
        <v>1.6653314598606916</v>
      </c>
      <c r="X1194" s="4">
        <f t="shared" si="113"/>
        <v>1.521504949107672</v>
      </c>
    </row>
    <row r="1195" spans="1:24" ht="14.5" x14ac:dyDescent="0.35">
      <c r="A1195" s="52">
        <v>43654</v>
      </c>
      <c r="B1195" s="51">
        <v>3046</v>
      </c>
      <c r="C1195" s="1">
        <f t="shared" si="114"/>
        <v>-4.5856614913193199E-3</v>
      </c>
      <c r="R1195" s="28">
        <v>1194</v>
      </c>
      <c r="S1195" s="29">
        <v>2.8799017690867224E-2</v>
      </c>
      <c r="T1195" s="41">
        <f t="shared" si="110"/>
        <v>0</v>
      </c>
      <c r="U1195" s="4">
        <f t="shared" si="111"/>
        <v>1.5217219959578281</v>
      </c>
      <c r="V1195" s="15">
        <f t="shared" si="115"/>
        <v>0.95287539936102239</v>
      </c>
      <c r="W1195" s="33">
        <f t="shared" si="112"/>
        <v>1.6733968311105887</v>
      </c>
      <c r="X1195" s="4">
        <f t="shared" si="113"/>
        <v>1.5217219959578281</v>
      </c>
    </row>
    <row r="1196" spans="1:24" ht="14.5" x14ac:dyDescent="0.35">
      <c r="A1196" s="52">
        <v>43651</v>
      </c>
      <c r="B1196" s="51">
        <v>3060</v>
      </c>
      <c r="C1196" s="1">
        <f t="shared" si="114"/>
        <v>-1.3063359140554128E-3</v>
      </c>
      <c r="R1196" s="28">
        <v>1195</v>
      </c>
      <c r="S1196" s="29">
        <v>2.9300476947782383E-2</v>
      </c>
      <c r="T1196" s="41">
        <f t="shared" si="110"/>
        <v>0</v>
      </c>
      <c r="U1196" s="4">
        <f t="shared" si="111"/>
        <v>1.5481668333158336</v>
      </c>
      <c r="V1196" s="15">
        <f t="shared" si="115"/>
        <v>0.95367412140575081</v>
      </c>
      <c r="W1196" s="33">
        <f t="shared" si="112"/>
        <v>1.6815725500129504</v>
      </c>
      <c r="X1196" s="4">
        <f t="shared" si="113"/>
        <v>1.5481668333158336</v>
      </c>
    </row>
    <row r="1197" spans="1:24" ht="14.5" x14ac:dyDescent="0.35">
      <c r="A1197" s="52">
        <v>43650</v>
      </c>
      <c r="B1197" s="51">
        <v>3064</v>
      </c>
      <c r="C1197" s="1">
        <f t="shared" si="114"/>
        <v>-1.9563097207609425E-3</v>
      </c>
      <c r="R1197" s="28">
        <v>1196</v>
      </c>
      <c r="S1197" s="29">
        <v>2.9427000734422937E-2</v>
      </c>
      <c r="T1197" s="41">
        <f t="shared" si="110"/>
        <v>0</v>
      </c>
      <c r="U1197" s="4">
        <f t="shared" si="111"/>
        <v>1.5548391619516864</v>
      </c>
      <c r="V1197" s="15">
        <f t="shared" si="115"/>
        <v>0.95447284345047922</v>
      </c>
      <c r="W1197" s="33">
        <f t="shared" si="112"/>
        <v>1.6898622398570504</v>
      </c>
      <c r="X1197" s="4">
        <f t="shared" si="113"/>
        <v>1.5548391619516864</v>
      </c>
    </row>
    <row r="1198" spans="1:24" ht="14.5" x14ac:dyDescent="0.35">
      <c r="A1198" s="52">
        <v>43649</v>
      </c>
      <c r="B1198" s="51">
        <v>3070</v>
      </c>
      <c r="C1198" s="1">
        <f t="shared" si="114"/>
        <v>-1.1014040721866493E-2</v>
      </c>
      <c r="R1198" s="28">
        <v>1197</v>
      </c>
      <c r="S1198" s="29">
        <v>2.9522439266321834E-2</v>
      </c>
      <c r="T1198" s="41">
        <f t="shared" si="110"/>
        <v>0</v>
      </c>
      <c r="U1198" s="4">
        <f t="shared" si="111"/>
        <v>1.5598721859091644</v>
      </c>
      <c r="V1198" s="15">
        <f t="shared" si="115"/>
        <v>0.95527156549520764</v>
      </c>
      <c r="W1198" s="33">
        <f t="shared" si="112"/>
        <v>1.6982697091846284</v>
      </c>
      <c r="X1198" s="4">
        <f t="shared" si="113"/>
        <v>1.5598721859091644</v>
      </c>
    </row>
    <row r="1199" spans="1:24" ht="14.5" x14ac:dyDescent="0.35">
      <c r="A1199" s="52">
        <v>43648</v>
      </c>
      <c r="B1199" s="51">
        <v>3104</v>
      </c>
      <c r="C1199" s="1">
        <f t="shared" si="114"/>
        <v>-4.5001683146124538E-3</v>
      </c>
      <c r="R1199" s="28">
        <v>1198</v>
      </c>
      <c r="S1199" s="29">
        <v>2.9623669210225502E-2</v>
      </c>
      <c r="T1199" s="41">
        <f t="shared" si="110"/>
        <v>0</v>
      </c>
      <c r="U1199" s="4">
        <f t="shared" si="111"/>
        <v>1.5652106244071609</v>
      </c>
      <c r="V1199" s="15">
        <f t="shared" si="115"/>
        <v>0.95607028753993606</v>
      </c>
      <c r="W1199" s="33">
        <f t="shared" si="112"/>
        <v>1.7067989647895703</v>
      </c>
      <c r="X1199" s="4">
        <f t="shared" si="113"/>
        <v>1.5652106244071609</v>
      </c>
    </row>
    <row r="1200" spans="1:24" ht="14.5" x14ac:dyDescent="0.35">
      <c r="A1200" s="52">
        <v>43647</v>
      </c>
      <c r="B1200" s="51">
        <v>3118</v>
      </c>
      <c r="C1200" s="1">
        <f t="shared" si="114"/>
        <v>-1.0845401360047963E-2</v>
      </c>
      <c r="R1200" s="28">
        <v>1199</v>
      </c>
      <c r="S1200" s="29">
        <v>2.9754261081792716E-2</v>
      </c>
      <c r="T1200" s="41">
        <f t="shared" si="110"/>
        <v>0</v>
      </c>
      <c r="U1200" s="4">
        <f t="shared" si="111"/>
        <v>1.5720974866123125</v>
      </c>
      <c r="V1200" s="15">
        <f t="shared" si="115"/>
        <v>0.95686900958466459</v>
      </c>
      <c r="W1200" s="33">
        <f t="shared" si="112"/>
        <v>1.715454225885938</v>
      </c>
      <c r="X1200" s="4">
        <f t="shared" si="113"/>
        <v>1.5720974866123125</v>
      </c>
    </row>
    <row r="1201" spans="1:24" ht="14.5" x14ac:dyDescent="0.35">
      <c r="A1201" s="52">
        <v>43644</v>
      </c>
      <c r="B1201" s="51">
        <v>3152</v>
      </c>
      <c r="C1201" s="1">
        <f t="shared" si="114"/>
        <v>0</v>
      </c>
      <c r="R1201" s="28">
        <v>1200</v>
      </c>
      <c r="S1201" s="29">
        <v>3.0375091797550543E-2</v>
      </c>
      <c r="T1201" s="41">
        <f t="shared" si="110"/>
        <v>0</v>
      </c>
      <c r="U1201" s="4">
        <f t="shared" si="111"/>
        <v>1.6048374691306682</v>
      </c>
      <c r="V1201" s="15">
        <f t="shared" si="115"/>
        <v>0.957667731629393</v>
      </c>
      <c r="W1201" s="33">
        <f t="shared" si="112"/>
        <v>1.7242399395731984</v>
      </c>
      <c r="X1201" s="4">
        <f t="shared" si="113"/>
        <v>1.6048374691306682</v>
      </c>
    </row>
    <row r="1202" spans="1:24" ht="14.5" x14ac:dyDescent="0.35">
      <c r="A1202" s="52">
        <v>43643</v>
      </c>
      <c r="B1202" s="51">
        <v>3152</v>
      </c>
      <c r="C1202" s="1">
        <f t="shared" si="114"/>
        <v>2.3107575010149491E-2</v>
      </c>
      <c r="R1202" s="28">
        <v>1201</v>
      </c>
      <c r="S1202" s="29">
        <v>3.04943933540671E-2</v>
      </c>
      <c r="T1202" s="41">
        <f t="shared" si="110"/>
        <v>0</v>
      </c>
      <c r="U1202" s="4">
        <f t="shared" si="111"/>
        <v>1.6111289279383996</v>
      </c>
      <c r="V1202" s="15">
        <f t="shared" si="115"/>
        <v>0.95846645367412142</v>
      </c>
      <c r="W1202" s="33">
        <f t="shared" si="112"/>
        <v>1.7331607977444856</v>
      </c>
      <c r="X1202" s="4">
        <f t="shared" si="113"/>
        <v>1.6111289279383996</v>
      </c>
    </row>
    <row r="1203" spans="1:24" ht="14.5" x14ac:dyDescent="0.35">
      <c r="A1203" s="52">
        <v>43642</v>
      </c>
      <c r="B1203" s="51">
        <v>3080</v>
      </c>
      <c r="C1203" s="1">
        <f t="shared" si="114"/>
        <v>2.6007817000574403E-3</v>
      </c>
      <c r="R1203" s="28">
        <v>1202</v>
      </c>
      <c r="S1203" s="29">
        <v>3.0822931515227983E-2</v>
      </c>
      <c r="T1203" s="41">
        <f t="shared" si="110"/>
        <v>0</v>
      </c>
      <c r="U1203" s="4">
        <f t="shared" si="111"/>
        <v>1.6284546390863894</v>
      </c>
      <c r="V1203" s="15">
        <f t="shared" si="115"/>
        <v>0.95926517571884984</v>
      </c>
      <c r="W1203" s="33">
        <f t="shared" si="112"/>
        <v>1.7422217556032296</v>
      </c>
      <c r="X1203" s="4">
        <f t="shared" si="113"/>
        <v>1.6284546390863894</v>
      </c>
    </row>
    <row r="1204" spans="1:24" ht="14.5" x14ac:dyDescent="0.35">
      <c r="A1204" s="52">
        <v>43641</v>
      </c>
      <c r="B1204" s="51">
        <v>3072</v>
      </c>
      <c r="C1204" s="1">
        <f t="shared" si="114"/>
        <v>-1.0362787035546547E-2</v>
      </c>
      <c r="R1204" s="28">
        <v>1203</v>
      </c>
      <c r="S1204" s="29">
        <v>3.0944803849421491E-2</v>
      </c>
      <c r="T1204" s="41">
        <f t="shared" si="110"/>
        <v>0</v>
      </c>
      <c r="U1204" s="4">
        <f t="shared" si="111"/>
        <v>1.6348816698206792</v>
      </c>
      <c r="V1204" s="15">
        <f t="shared" si="115"/>
        <v>0.96006389776357826</v>
      </c>
      <c r="W1204" s="33">
        <f t="shared" si="112"/>
        <v>1.7514280519761141</v>
      </c>
      <c r="X1204" s="4">
        <f t="shared" si="113"/>
        <v>1.6348816698206792</v>
      </c>
    </row>
    <row r="1205" spans="1:24" ht="14.5" x14ac:dyDescent="0.35">
      <c r="A1205" s="52">
        <v>43640</v>
      </c>
      <c r="B1205" s="51">
        <v>3104</v>
      </c>
      <c r="C1205" s="1">
        <f t="shared" si="114"/>
        <v>-6.4412240552302088E-4</v>
      </c>
      <c r="R1205" s="28">
        <v>1204</v>
      </c>
      <c r="S1205" s="29">
        <v>3.1104603567448881E-2</v>
      </c>
      <c r="T1205" s="41">
        <f t="shared" si="110"/>
        <v>0</v>
      </c>
      <c r="U1205" s="4">
        <f t="shared" si="111"/>
        <v>1.6433088301429075</v>
      </c>
      <c r="V1205" s="15">
        <f t="shared" si="115"/>
        <v>0.96086261980830667</v>
      </c>
      <c r="W1205" s="33">
        <f t="shared" si="112"/>
        <v>1.7607852316365484</v>
      </c>
      <c r="X1205" s="4">
        <f t="shared" si="113"/>
        <v>1.6433088301429075</v>
      </c>
    </row>
    <row r="1206" spans="1:24" ht="14.5" x14ac:dyDescent="0.35">
      <c r="A1206" s="52">
        <v>43637</v>
      </c>
      <c r="B1206" s="51">
        <v>3106</v>
      </c>
      <c r="C1206" s="1">
        <f t="shared" si="114"/>
        <v>-1.4066728111046362E-2</v>
      </c>
      <c r="R1206" s="28">
        <v>1205</v>
      </c>
      <c r="S1206" s="29">
        <v>3.1611827634347514E-2</v>
      </c>
      <c r="T1206" s="41">
        <f t="shared" si="110"/>
        <v>0</v>
      </c>
      <c r="U1206" s="4">
        <f t="shared" si="111"/>
        <v>1.6700576791634965</v>
      </c>
      <c r="V1206" s="15">
        <f t="shared" si="115"/>
        <v>0.96166134185303509</v>
      </c>
      <c r="W1206" s="33">
        <f t="shared" si="112"/>
        <v>1.7702991698832944</v>
      </c>
      <c r="X1206" s="4">
        <f t="shared" si="113"/>
        <v>1.6700576791634965</v>
      </c>
    </row>
    <row r="1207" spans="1:24" ht="14.5" x14ac:dyDescent="0.35">
      <c r="A1207" s="52">
        <v>43636</v>
      </c>
      <c r="B1207" s="51">
        <v>3150</v>
      </c>
      <c r="C1207" s="1">
        <f t="shared" si="114"/>
        <v>-5.0665086212787272E-3</v>
      </c>
      <c r="R1207" s="28">
        <v>1206</v>
      </c>
      <c r="S1207" s="29">
        <v>3.2306180294476815E-2</v>
      </c>
      <c r="T1207" s="41">
        <f t="shared" si="110"/>
        <v>0</v>
      </c>
      <c r="U1207" s="4">
        <f t="shared" si="111"/>
        <v>1.7066748976373884</v>
      </c>
      <c r="V1207" s="15">
        <f t="shared" si="115"/>
        <v>0.96246006389776362</v>
      </c>
      <c r="W1207" s="33">
        <f t="shared" si="112"/>
        <v>1.7799760996544882</v>
      </c>
      <c r="X1207" s="4">
        <f t="shared" si="113"/>
        <v>1.7066748976373884</v>
      </c>
    </row>
    <row r="1208" spans="1:24" ht="14.5" x14ac:dyDescent="0.35">
      <c r="A1208" s="52">
        <v>43635</v>
      </c>
      <c r="B1208" s="51">
        <v>3166</v>
      </c>
      <c r="C1208" s="1">
        <f t="shared" si="114"/>
        <v>6.3371568227343711E-3</v>
      </c>
      <c r="R1208" s="28">
        <v>1207</v>
      </c>
      <c r="S1208" s="29">
        <v>3.2394546371379507E-2</v>
      </c>
      <c r="T1208" s="41">
        <f t="shared" si="110"/>
        <v>0</v>
      </c>
      <c r="U1208" s="4">
        <f t="shared" si="111"/>
        <v>1.7113349502726358</v>
      </c>
      <c r="V1208" s="15">
        <f t="shared" si="115"/>
        <v>0.96325878594249204</v>
      </c>
      <c r="W1208" s="33">
        <f t="shared" si="112"/>
        <v>1.7898226414988638</v>
      </c>
      <c r="X1208" s="4">
        <f t="shared" si="113"/>
        <v>1.7113349502726358</v>
      </c>
    </row>
    <row r="1209" spans="1:24" ht="14.5" x14ac:dyDescent="0.35">
      <c r="A1209" s="52">
        <v>43634</v>
      </c>
      <c r="B1209" s="51">
        <v>3146</v>
      </c>
      <c r="C1209" s="1">
        <f t="shared" si="114"/>
        <v>-1.2706482014556528E-3</v>
      </c>
      <c r="R1209" s="28">
        <v>1208</v>
      </c>
      <c r="S1209" s="29">
        <v>3.3349979681554121E-2</v>
      </c>
      <c r="T1209" s="41">
        <f t="shared" si="110"/>
        <v>0</v>
      </c>
      <c r="U1209" s="4">
        <f t="shared" si="111"/>
        <v>1.7617204564639459</v>
      </c>
      <c r="V1209" s="15">
        <f t="shared" si="115"/>
        <v>0.96405750798722045</v>
      </c>
      <c r="W1209" s="33">
        <f t="shared" si="112"/>
        <v>1.7998458367748733</v>
      </c>
      <c r="X1209" s="4">
        <f t="shared" si="113"/>
        <v>1.7617204564639459</v>
      </c>
    </row>
    <row r="1210" spans="1:24" ht="14.5" x14ac:dyDescent="0.35">
      <c r="A1210" s="52">
        <v>43633</v>
      </c>
      <c r="B1210" s="51">
        <v>3150</v>
      </c>
      <c r="C1210" s="1">
        <f t="shared" si="114"/>
        <v>-3.7387532071620329E-2</v>
      </c>
      <c r="R1210" s="28">
        <v>1209</v>
      </c>
      <c r="S1210" s="29">
        <v>3.3467690471084929E-2</v>
      </c>
      <c r="T1210" s="41">
        <f t="shared" si="110"/>
        <v>0</v>
      </c>
      <c r="U1210" s="4">
        <f t="shared" si="111"/>
        <v>1.7679280249582918</v>
      </c>
      <c r="V1210" s="15">
        <f t="shared" si="115"/>
        <v>0.96485623003194887</v>
      </c>
      <c r="W1210" s="33">
        <f t="shared" si="112"/>
        <v>1.8100531845058554</v>
      </c>
      <c r="X1210" s="4">
        <f t="shared" si="113"/>
        <v>1.7679280249582918</v>
      </c>
    </row>
    <row r="1211" spans="1:24" ht="14.5" x14ac:dyDescent="0.35">
      <c r="A1211" s="52">
        <v>43630</v>
      </c>
      <c r="B1211" s="51">
        <v>3270</v>
      </c>
      <c r="C1211" s="1">
        <f t="shared" si="114"/>
        <v>-6.1143383133855928E-4</v>
      </c>
      <c r="R1211" s="28">
        <v>1210</v>
      </c>
      <c r="S1211" s="29">
        <v>3.3815563456014448E-2</v>
      </c>
      <c r="T1211" s="41">
        <f t="shared" si="110"/>
        <v>0</v>
      </c>
      <c r="U1211" s="4">
        <f t="shared" si="111"/>
        <v>1.7862733728222389</v>
      </c>
      <c r="V1211" s="15">
        <f t="shared" si="115"/>
        <v>0.96565495207667729</v>
      </c>
      <c r="W1211" s="33">
        <f t="shared" si="112"/>
        <v>1.8204526823874192</v>
      </c>
      <c r="X1211" s="4">
        <f t="shared" si="113"/>
        <v>1.7862733728222389</v>
      </c>
    </row>
    <row r="1212" spans="1:24" ht="14.5" x14ac:dyDescent="0.35">
      <c r="A1212" s="52">
        <v>43629</v>
      </c>
      <c r="B1212" s="51">
        <v>3272</v>
      </c>
      <c r="C1212" s="1">
        <f t="shared" si="114"/>
        <v>-2.4420036555517443E-3</v>
      </c>
      <c r="R1212" s="28">
        <v>1211</v>
      </c>
      <c r="S1212" s="29">
        <v>3.4362150190943297E-2</v>
      </c>
      <c r="T1212" s="41">
        <f t="shared" si="110"/>
        <v>0</v>
      </c>
      <c r="U1212" s="4">
        <f t="shared" si="111"/>
        <v>1.8150980422403611</v>
      </c>
      <c r="V1212" s="15">
        <f t="shared" si="115"/>
        <v>0.9664536741214057</v>
      </c>
      <c r="W1212" s="33">
        <f t="shared" si="112"/>
        <v>1.8310528725237951</v>
      </c>
      <c r="X1212" s="4">
        <f t="shared" si="113"/>
        <v>1.8150980422403611</v>
      </c>
    </row>
    <row r="1213" spans="1:24" ht="14.5" x14ac:dyDescent="0.35">
      <c r="A1213" s="52">
        <v>43628</v>
      </c>
      <c r="B1213" s="51">
        <v>3280</v>
      </c>
      <c r="C1213" s="1">
        <f t="shared" si="114"/>
        <v>-7.8955770027800392E-3</v>
      </c>
      <c r="R1213" s="28">
        <v>1212</v>
      </c>
      <c r="S1213" s="29">
        <v>3.5191458336313326E-2</v>
      </c>
      <c r="T1213" s="41">
        <f t="shared" si="110"/>
        <v>0</v>
      </c>
      <c r="U1213" s="4">
        <f t="shared" si="111"/>
        <v>1.8588322414231475</v>
      </c>
      <c r="V1213" s="15">
        <f t="shared" si="115"/>
        <v>0.96725239616613423</v>
      </c>
      <c r="W1213" s="33">
        <f t="shared" si="112"/>
        <v>1.8418628925658986</v>
      </c>
      <c r="X1213" s="4">
        <f t="shared" si="113"/>
        <v>1.8588322414231475</v>
      </c>
    </row>
    <row r="1214" spans="1:24" ht="14.5" x14ac:dyDescent="0.35">
      <c r="A1214" s="52">
        <v>43627</v>
      </c>
      <c r="B1214" s="51">
        <v>3306</v>
      </c>
      <c r="C1214" s="1">
        <f t="shared" si="114"/>
        <v>6.0679797837560473E-3</v>
      </c>
      <c r="R1214" s="28">
        <v>1213</v>
      </c>
      <c r="S1214" s="29">
        <v>3.5248126529888055E-2</v>
      </c>
      <c r="T1214" s="41">
        <f t="shared" si="110"/>
        <v>0</v>
      </c>
      <c r="U1214" s="4">
        <f t="shared" si="111"/>
        <v>1.8618206819430705</v>
      </c>
      <c r="V1214" s="15">
        <f t="shared" si="115"/>
        <v>0.96805111821086265</v>
      </c>
      <c r="W1214" s="33">
        <f t="shared" si="112"/>
        <v>1.8528925330385331</v>
      </c>
      <c r="X1214" s="4">
        <f t="shared" si="113"/>
        <v>1.8618206819430705</v>
      </c>
    </row>
    <row r="1215" spans="1:24" ht="14.5" x14ac:dyDescent="0.35">
      <c r="A1215" s="52">
        <v>43623</v>
      </c>
      <c r="B1215" s="51">
        <v>3286</v>
      </c>
      <c r="C1215" s="1">
        <f t="shared" si="114"/>
        <v>6.1050250668028827E-3</v>
      </c>
      <c r="R1215" s="28">
        <v>1214</v>
      </c>
      <c r="S1215" s="29">
        <v>3.5969475740370502E-2</v>
      </c>
      <c r="T1215" s="41">
        <f t="shared" si="110"/>
        <v>0</v>
      </c>
      <c r="U1215" s="4">
        <f t="shared" si="111"/>
        <v>1.8998615841429503</v>
      </c>
      <c r="V1215" s="15">
        <f t="shared" si="115"/>
        <v>0.96884984025559107</v>
      </c>
      <c r="W1215" s="33">
        <f t="shared" si="112"/>
        <v>1.864152301781886</v>
      </c>
      <c r="X1215" s="4">
        <f t="shared" si="113"/>
        <v>1.8998615841429503</v>
      </c>
    </row>
    <row r="1216" spans="1:24" ht="14.5" x14ac:dyDescent="0.35">
      <c r="A1216" s="52">
        <v>43622</v>
      </c>
      <c r="B1216" s="51">
        <v>3266</v>
      </c>
      <c r="C1216" s="1">
        <f t="shared" si="114"/>
        <v>-9.1436174989519194E-3</v>
      </c>
      <c r="R1216" s="28">
        <v>1215</v>
      </c>
      <c r="S1216" s="29">
        <v>3.6504997374854353E-2</v>
      </c>
      <c r="T1216" s="41">
        <f t="shared" si="110"/>
        <v>0</v>
      </c>
      <c r="U1216" s="4">
        <f t="shared" si="111"/>
        <v>1.9281027270280935</v>
      </c>
      <c r="V1216" s="15">
        <f t="shared" si="115"/>
        <v>0.96964856230031948</v>
      </c>
      <c r="W1216" s="33">
        <f t="shared" si="112"/>
        <v>1.8756534965983558</v>
      </c>
      <c r="X1216" s="4">
        <f t="shared" si="113"/>
        <v>1.9281027270280935</v>
      </c>
    </row>
    <row r="1217" spans="1:24" ht="14.5" x14ac:dyDescent="0.35">
      <c r="A1217" s="52">
        <v>43621</v>
      </c>
      <c r="B1217" s="51">
        <v>3296</v>
      </c>
      <c r="C1217" s="1">
        <f t="shared" si="114"/>
        <v>-1.266221319241812E-2</v>
      </c>
      <c r="R1217" s="28">
        <v>1216</v>
      </c>
      <c r="S1217" s="29">
        <v>3.6675478558406568E-2</v>
      </c>
      <c r="T1217" s="41">
        <f t="shared" si="110"/>
        <v>0</v>
      </c>
      <c r="U1217" s="4">
        <f t="shared" si="111"/>
        <v>1.9370931826024362</v>
      </c>
      <c r="V1217" s="15">
        <f t="shared" si="115"/>
        <v>0.9704472843450479</v>
      </c>
      <c r="W1217" s="33">
        <f t="shared" si="112"/>
        <v>1.8874082873967684</v>
      </c>
      <c r="X1217" s="4">
        <f t="shared" si="113"/>
        <v>1.9370931826024362</v>
      </c>
    </row>
    <row r="1218" spans="1:24" ht="14.5" x14ac:dyDescent="0.35">
      <c r="A1218" s="52">
        <v>43620</v>
      </c>
      <c r="B1218" s="51">
        <v>3338</v>
      </c>
      <c r="C1218" s="1">
        <f t="shared" si="114"/>
        <v>1.084347974170698E-2</v>
      </c>
      <c r="R1218" s="28">
        <v>1217</v>
      </c>
      <c r="S1218" s="29">
        <v>3.7041271680349076E-2</v>
      </c>
      <c r="T1218" s="41">
        <f t="shared" si="110"/>
        <v>0</v>
      </c>
      <c r="U1218" s="4">
        <f t="shared" si="111"/>
        <v>1.9563835625945305</v>
      </c>
      <c r="V1218" s="15">
        <f t="shared" si="115"/>
        <v>0.97124600638977632</v>
      </c>
      <c r="W1218" s="33">
        <f t="shared" si="112"/>
        <v>1.8994298093704893</v>
      </c>
      <c r="X1218" s="4">
        <f t="shared" si="113"/>
        <v>1.9563835625945305</v>
      </c>
    </row>
    <row r="1219" spans="1:24" ht="14.5" x14ac:dyDescent="0.35">
      <c r="A1219" s="52">
        <v>43619</v>
      </c>
      <c r="B1219" s="51">
        <v>3302</v>
      </c>
      <c r="C1219" s="1">
        <f t="shared" si="114"/>
        <v>7.9051795071132473E-3</v>
      </c>
      <c r="R1219" s="28">
        <v>1218</v>
      </c>
      <c r="S1219" s="29">
        <v>3.7236476157658321E-2</v>
      </c>
      <c r="T1219" s="41">
        <f t="shared" ref="T1219:T1252" si="116">+IF(OR(S1219&lt;($Z$3-3*$Z$4^0.5),S1219&gt;($Z$3+3*$Z$4^0.5)),1,0)</f>
        <v>0</v>
      </c>
      <c r="U1219" s="4">
        <f t="shared" ref="U1219:U1244" si="117">+(S1219-AVERAGE($S$2:$S$1252))/_xlfn.STDEV.S($S$2:$S$1252)</f>
        <v>1.9666778199700023</v>
      </c>
      <c r="V1219" s="15">
        <f t="shared" si="115"/>
        <v>0.97204472843450485</v>
      </c>
      <c r="W1219" s="33">
        <f t="shared" ref="W1219:W1252" si="118">+_xlfn.NORM.S.INV(V1219)</f>
        <v>1.9117322690449214</v>
      </c>
      <c r="X1219" s="4">
        <f t="shared" ref="X1219:X1244" si="119">+U1219</f>
        <v>1.9666778199700023</v>
      </c>
    </row>
    <row r="1220" spans="1:24" ht="14.5" x14ac:dyDescent="0.35">
      <c r="A1220" s="52">
        <v>43616</v>
      </c>
      <c r="B1220" s="51">
        <v>3276</v>
      </c>
      <c r="C1220" s="1">
        <f t="shared" ref="C1220:C1254" si="120">+LN(B1220/B1221)</f>
        <v>-1.2202564052293744E-3</v>
      </c>
      <c r="R1220" s="28">
        <v>1219</v>
      </c>
      <c r="S1220" s="29">
        <v>3.8048067637529964E-2</v>
      </c>
      <c r="T1220" s="41">
        <f t="shared" si="116"/>
        <v>0</v>
      </c>
      <c r="U1220" s="4">
        <f t="shared" si="117"/>
        <v>2.00947771725055</v>
      </c>
      <c r="V1220" s="15">
        <f t="shared" ref="V1220:V1244" si="121">+R1219/1252</f>
        <v>0.97284345047923326</v>
      </c>
      <c r="W1220" s="33">
        <f t="shared" si="118"/>
        <v>1.9243310653973653</v>
      </c>
      <c r="X1220" s="4">
        <f t="shared" si="119"/>
        <v>2.00947771725055</v>
      </c>
    </row>
    <row r="1221" spans="1:24" ht="14.5" x14ac:dyDescent="0.35">
      <c r="A1221" s="52">
        <v>43615</v>
      </c>
      <c r="B1221" s="51">
        <v>3280</v>
      </c>
      <c r="C1221" s="1">
        <f t="shared" si="120"/>
        <v>1.1036286142885859E-2</v>
      </c>
      <c r="R1221" s="28">
        <v>1220</v>
      </c>
      <c r="S1221" s="29">
        <v>3.8694128353218379E-2</v>
      </c>
      <c r="T1221" s="41">
        <f t="shared" si="116"/>
        <v>0</v>
      </c>
      <c r="U1221" s="4">
        <f t="shared" si="117"/>
        <v>2.0435482231075541</v>
      </c>
      <c r="V1221" s="15">
        <f t="shared" si="121"/>
        <v>0.97364217252396168</v>
      </c>
      <c r="W1221" s="33">
        <f t="shared" si="118"/>
        <v>1.9372429287065138</v>
      </c>
      <c r="X1221" s="4">
        <f t="shared" si="119"/>
        <v>2.0435482231075541</v>
      </c>
    </row>
    <row r="1222" spans="1:24" ht="14.5" x14ac:dyDescent="0.35">
      <c r="A1222" s="52">
        <v>43614</v>
      </c>
      <c r="B1222" s="51">
        <v>3244</v>
      </c>
      <c r="C1222" s="1">
        <f t="shared" si="120"/>
        <v>-1.8478600884796138E-3</v>
      </c>
      <c r="R1222" s="28">
        <v>1221</v>
      </c>
      <c r="S1222" s="29">
        <v>3.9542637679393658E-2</v>
      </c>
      <c r="T1222" s="41">
        <f t="shared" si="116"/>
        <v>0</v>
      </c>
      <c r="U1222" s="4">
        <f t="shared" si="117"/>
        <v>2.0882950112424323</v>
      </c>
      <c r="V1222" s="15">
        <f t="shared" si="121"/>
        <v>0.9744408945686901</v>
      </c>
      <c r="W1222" s="33">
        <f t="shared" si="118"/>
        <v>1.950486080353641</v>
      </c>
      <c r="X1222" s="4">
        <f t="shared" si="119"/>
        <v>2.0882950112424323</v>
      </c>
    </row>
    <row r="1223" spans="1:24" ht="14.5" x14ac:dyDescent="0.35">
      <c r="A1223" s="52">
        <v>43613</v>
      </c>
      <c r="B1223" s="51">
        <v>3250</v>
      </c>
      <c r="C1223" s="1">
        <f t="shared" si="120"/>
        <v>2.1773799549560754E-2</v>
      </c>
      <c r="R1223" s="28">
        <v>1222</v>
      </c>
      <c r="S1223" s="29">
        <v>4.1069386596724149E-2</v>
      </c>
      <c r="T1223" s="41">
        <f t="shared" si="116"/>
        <v>0</v>
      </c>
      <c r="U1223" s="4">
        <f t="shared" si="117"/>
        <v>2.1688092828378749</v>
      </c>
      <c r="V1223" s="15">
        <f t="shared" si="121"/>
        <v>0.97523961661341851</v>
      </c>
      <c r="W1223" s="33">
        <f t="shared" si="118"/>
        <v>1.9640804175042577</v>
      </c>
      <c r="X1223" s="4">
        <f t="shared" si="119"/>
        <v>2.1688092828378749</v>
      </c>
    </row>
    <row r="1224" spans="1:24" ht="14.5" x14ac:dyDescent="0.35">
      <c r="A1224" s="52">
        <v>43612</v>
      </c>
      <c r="B1224" s="51">
        <v>3180</v>
      </c>
      <c r="C1224" s="1">
        <f t="shared" si="120"/>
        <v>-9.3897403498390316E-3</v>
      </c>
      <c r="R1224" s="28">
        <v>1223</v>
      </c>
      <c r="S1224" s="29">
        <v>4.1234280652667071E-2</v>
      </c>
      <c r="T1224" s="41">
        <f t="shared" si="116"/>
        <v>0</v>
      </c>
      <c r="U1224" s="4">
        <f t="shared" si="117"/>
        <v>2.1775050969655023</v>
      </c>
      <c r="V1224" s="15">
        <f t="shared" si="121"/>
        <v>0.97603833865814693</v>
      </c>
      <c r="W1224" s="33">
        <f t="shared" si="118"/>
        <v>1.9780477274889443</v>
      </c>
      <c r="X1224" s="4">
        <f t="shared" si="119"/>
        <v>2.1775050969655023</v>
      </c>
    </row>
    <row r="1225" spans="1:24" ht="14.5" x14ac:dyDescent="0.35">
      <c r="A1225" s="52">
        <v>43609</v>
      </c>
      <c r="B1225" s="51">
        <v>3210</v>
      </c>
      <c r="C1225" s="1">
        <f t="shared" si="120"/>
        <v>8.7610072263292985E-3</v>
      </c>
      <c r="R1225" s="28">
        <v>1224</v>
      </c>
      <c r="S1225" s="29">
        <v>4.1273359908193585E-2</v>
      </c>
      <c r="T1225" s="41">
        <f t="shared" si="116"/>
        <v>0</v>
      </c>
      <c r="U1225" s="4">
        <f t="shared" si="117"/>
        <v>2.1795659713879392</v>
      </c>
      <c r="V1225" s="15">
        <f t="shared" si="121"/>
        <v>0.97683706070287535</v>
      </c>
      <c r="W1225" s="33">
        <f t="shared" si="118"/>
        <v>1.9924119378306826</v>
      </c>
      <c r="X1225" s="4">
        <f t="shared" si="119"/>
        <v>2.1795659713879392</v>
      </c>
    </row>
    <row r="1226" spans="1:24" ht="14.5" x14ac:dyDescent="0.35">
      <c r="A1226" s="52">
        <v>43608</v>
      </c>
      <c r="B1226" s="51">
        <v>3182</v>
      </c>
      <c r="C1226" s="1">
        <f t="shared" si="120"/>
        <v>-8.1377600886729032E-3</v>
      </c>
      <c r="R1226" s="28">
        <v>1225</v>
      </c>
      <c r="S1226" s="29">
        <v>4.1723843371399769E-2</v>
      </c>
      <c r="T1226" s="41">
        <f t="shared" si="116"/>
        <v>0</v>
      </c>
      <c r="U1226" s="4">
        <f t="shared" si="117"/>
        <v>2.2033225612856784</v>
      </c>
      <c r="V1226" s="15">
        <f t="shared" si="121"/>
        <v>0.97763578274760388</v>
      </c>
      <c r="W1226" s="33">
        <f t="shared" si="118"/>
        <v>2.0071994093079604</v>
      </c>
      <c r="X1226" s="4">
        <f t="shared" si="119"/>
        <v>2.2033225612856784</v>
      </c>
    </row>
    <row r="1227" spans="1:24" ht="14.5" x14ac:dyDescent="0.35">
      <c r="A1227" s="52">
        <v>43607</v>
      </c>
      <c r="B1227" s="51">
        <v>3208</v>
      </c>
      <c r="C1227" s="1">
        <f t="shared" si="120"/>
        <v>1.8245237166726391E-2</v>
      </c>
      <c r="R1227" s="28">
        <v>1226</v>
      </c>
      <c r="S1227" s="29">
        <v>4.2875050511806366E-2</v>
      </c>
      <c r="T1227" s="41">
        <f t="shared" si="116"/>
        <v>0</v>
      </c>
      <c r="U1227" s="4">
        <f t="shared" si="117"/>
        <v>2.264032350114201</v>
      </c>
      <c r="V1227" s="15">
        <f t="shared" si="121"/>
        <v>0.97843450479233229</v>
      </c>
      <c r="W1227" s="33">
        <f t="shared" si="118"/>
        <v>2.0224392812996603</v>
      </c>
      <c r="X1227" s="4">
        <f t="shared" si="119"/>
        <v>2.264032350114201</v>
      </c>
    </row>
    <row r="1228" spans="1:24" ht="14.5" x14ac:dyDescent="0.35">
      <c r="A1228" s="52">
        <v>43606</v>
      </c>
      <c r="B1228" s="51">
        <v>3150</v>
      </c>
      <c r="C1228" s="1">
        <f t="shared" si="120"/>
        <v>4.4543503493803746E-3</v>
      </c>
      <c r="R1228" s="28">
        <v>1227</v>
      </c>
      <c r="S1228" s="29">
        <v>4.3089977730087617E-2</v>
      </c>
      <c r="T1228" s="41">
        <f t="shared" si="116"/>
        <v>0</v>
      </c>
      <c r="U1228" s="4">
        <f t="shared" si="117"/>
        <v>2.2753667013159733</v>
      </c>
      <c r="V1228" s="15">
        <f t="shared" si="121"/>
        <v>0.97923322683706071</v>
      </c>
      <c r="W1228" s="33">
        <f t="shared" si="118"/>
        <v>2.0381638810689928</v>
      </c>
      <c r="X1228" s="4">
        <f t="shared" si="119"/>
        <v>2.2753667013159733</v>
      </c>
    </row>
    <row r="1229" spans="1:24" ht="14.5" x14ac:dyDescent="0.35">
      <c r="A1229" s="52">
        <v>43605</v>
      </c>
      <c r="B1229" s="51">
        <v>3136</v>
      </c>
      <c r="C1229" s="1">
        <f t="shared" si="120"/>
        <v>-3.8192280669953841E-3</v>
      </c>
      <c r="R1229" s="28">
        <v>1228</v>
      </c>
      <c r="S1229" s="29">
        <v>4.385188252884941E-2</v>
      </c>
      <c r="T1229" s="41">
        <f t="shared" si="116"/>
        <v>0</v>
      </c>
      <c r="U1229" s="4">
        <f t="shared" si="117"/>
        <v>2.3155463334748996</v>
      </c>
      <c r="V1229" s="15">
        <f t="shared" si="121"/>
        <v>0.98003194888178913</v>
      </c>
      <c r="W1229" s="33">
        <f t="shared" si="118"/>
        <v>2.0544092118030792</v>
      </c>
      <c r="X1229" s="4">
        <f t="shared" si="119"/>
        <v>2.3155463334748996</v>
      </c>
    </row>
    <row r="1230" spans="1:24" ht="14.5" x14ac:dyDescent="0.35">
      <c r="A1230" s="52">
        <v>43602</v>
      </c>
      <c r="B1230" s="51">
        <v>3148</v>
      </c>
      <c r="C1230" s="1">
        <f t="shared" si="120"/>
        <v>-2.2614029001160142E-2</v>
      </c>
      <c r="R1230" s="28">
        <v>1229</v>
      </c>
      <c r="S1230" s="29">
        <v>4.3976188570483507E-2</v>
      </c>
      <c r="T1230" s="41">
        <f t="shared" si="116"/>
        <v>0</v>
      </c>
      <c r="U1230" s="4">
        <f t="shared" si="117"/>
        <v>2.3221017076320214</v>
      </c>
      <c r="V1230" s="15">
        <f t="shared" si="121"/>
        <v>0.98083067092651754</v>
      </c>
      <c r="W1230" s="33">
        <f t="shared" si="118"/>
        <v>2.0712155384048114</v>
      </c>
      <c r="X1230" s="4">
        <f t="shared" si="119"/>
        <v>2.3221017076320214</v>
      </c>
    </row>
    <row r="1231" spans="1:24" ht="14.5" x14ac:dyDescent="0.35">
      <c r="A1231" s="52">
        <v>43601</v>
      </c>
      <c r="B1231" s="51">
        <v>3220</v>
      </c>
      <c r="C1231" s="1">
        <f t="shared" si="120"/>
        <v>7.4813316522887663E-3</v>
      </c>
      <c r="R1231" s="28">
        <v>1230</v>
      </c>
      <c r="S1231" s="29">
        <v>4.4703050422388486E-2</v>
      </c>
      <c r="T1231" s="41">
        <f t="shared" si="116"/>
        <v>0</v>
      </c>
      <c r="U1231" s="4">
        <f t="shared" si="117"/>
        <v>2.3604333231926011</v>
      </c>
      <c r="V1231" s="15">
        <f t="shared" si="121"/>
        <v>0.98162939297124596</v>
      </c>
      <c r="W1231" s="33">
        <f t="shared" si="118"/>
        <v>2.0886280956212318</v>
      </c>
      <c r="X1231" s="4">
        <f t="shared" si="119"/>
        <v>2.3604333231926011</v>
      </c>
    </row>
    <row r="1232" spans="1:24" ht="14.5" x14ac:dyDescent="0.35">
      <c r="A1232" s="52">
        <v>43600</v>
      </c>
      <c r="B1232" s="51">
        <v>3196</v>
      </c>
      <c r="C1232" s="1">
        <f t="shared" si="120"/>
        <v>4.3900979884331824E-3</v>
      </c>
      <c r="R1232" s="28">
        <v>1231</v>
      </c>
      <c r="S1232" s="29">
        <v>4.6520015634892907E-2</v>
      </c>
      <c r="T1232" s="41">
        <f t="shared" si="116"/>
        <v>0</v>
      </c>
      <c r="U1232" s="4">
        <f t="shared" si="117"/>
        <v>2.4562523730301091</v>
      </c>
      <c r="V1232" s="15">
        <f t="shared" si="121"/>
        <v>0.98242811501597449</v>
      </c>
      <c r="W1232" s="33">
        <f t="shared" si="118"/>
        <v>2.1066979506460042</v>
      </c>
      <c r="X1232" s="4">
        <f t="shared" si="119"/>
        <v>2.4562523730301091</v>
      </c>
    </row>
    <row r="1233" spans="1:24" ht="14.5" x14ac:dyDescent="0.35">
      <c r="A1233" s="52">
        <v>43599</v>
      </c>
      <c r="B1233" s="51">
        <v>3182</v>
      </c>
      <c r="C1233" s="1">
        <f t="shared" si="120"/>
        <v>1.711610723253058E-2</v>
      </c>
      <c r="R1233" s="28">
        <v>1232</v>
      </c>
      <c r="S1233" s="29">
        <v>4.663224278275778E-2</v>
      </c>
      <c r="T1233" s="41">
        <f t="shared" si="116"/>
        <v>0</v>
      </c>
      <c r="U1233" s="4">
        <f t="shared" si="117"/>
        <v>2.462170757488094</v>
      </c>
      <c r="V1233" s="15">
        <f t="shared" si="121"/>
        <v>0.98322683706070291</v>
      </c>
      <c r="W1233" s="33">
        <f t="shared" si="118"/>
        <v>2.1254830626678314</v>
      </c>
      <c r="X1233" s="4">
        <f t="shared" si="119"/>
        <v>2.462170757488094</v>
      </c>
    </row>
    <row r="1234" spans="1:24" ht="14.5" x14ac:dyDescent="0.35">
      <c r="A1234" s="52">
        <v>43598</v>
      </c>
      <c r="B1234" s="51">
        <v>3128</v>
      </c>
      <c r="C1234" s="1">
        <f t="shared" si="120"/>
        <v>4.4857492712579534E-3</v>
      </c>
      <c r="R1234" s="28">
        <v>1233</v>
      </c>
      <c r="S1234" s="29">
        <v>4.750233398500326E-2</v>
      </c>
      <c r="T1234" s="41">
        <f t="shared" si="116"/>
        <v>0</v>
      </c>
      <c r="U1234" s="4">
        <f t="shared" si="117"/>
        <v>2.5080556823602782</v>
      </c>
      <c r="V1234" s="15">
        <f t="shared" si="121"/>
        <v>0.98402555910543132</v>
      </c>
      <c r="W1234" s="33">
        <f t="shared" si="118"/>
        <v>2.1450495961618947</v>
      </c>
      <c r="X1234" s="4">
        <f t="shared" si="119"/>
        <v>2.5080556823602782</v>
      </c>
    </row>
    <row r="1235" spans="1:24" ht="14.5" x14ac:dyDescent="0.35">
      <c r="A1235" s="52">
        <v>43595</v>
      </c>
      <c r="B1235" s="51">
        <v>3114</v>
      </c>
      <c r="C1235" s="1">
        <f t="shared" si="120"/>
        <v>1.8801202107532597E-2</v>
      </c>
      <c r="R1235" s="28">
        <v>1234</v>
      </c>
      <c r="S1235" s="29">
        <v>4.8889572688824011E-2</v>
      </c>
      <c r="T1235" s="41">
        <f t="shared" si="116"/>
        <v>0</v>
      </c>
      <c r="U1235" s="4">
        <f t="shared" si="117"/>
        <v>2.5812127761687522</v>
      </c>
      <c r="V1235" s="15">
        <f t="shared" si="121"/>
        <v>0.98482428115015974</v>
      </c>
      <c r="W1235" s="33">
        <f t="shared" si="118"/>
        <v>2.1654735648631602</v>
      </c>
      <c r="X1235" s="4">
        <f t="shared" si="119"/>
        <v>2.5812127761687522</v>
      </c>
    </row>
    <row r="1236" spans="1:24" ht="14.5" x14ac:dyDescent="0.35">
      <c r="A1236" s="52">
        <v>43594</v>
      </c>
      <c r="B1236" s="51">
        <v>3056</v>
      </c>
      <c r="C1236" s="1">
        <f t="shared" si="120"/>
        <v>-1.2357880846600276E-2</v>
      </c>
      <c r="R1236" s="28">
        <v>1235</v>
      </c>
      <c r="S1236" s="29">
        <v>4.9710319824300783E-2</v>
      </c>
      <c r="T1236" s="41">
        <f t="shared" si="116"/>
        <v>0</v>
      </c>
      <c r="U1236" s="4">
        <f t="shared" si="117"/>
        <v>2.6244955039485776</v>
      </c>
      <c r="V1236" s="15">
        <f t="shared" si="121"/>
        <v>0.98562300319488816</v>
      </c>
      <c r="W1236" s="33">
        <f t="shared" si="118"/>
        <v>2.1868429121239132</v>
      </c>
      <c r="X1236" s="4">
        <f t="shared" si="119"/>
        <v>2.6244955039485776</v>
      </c>
    </row>
    <row r="1237" spans="1:24" ht="14.5" x14ac:dyDescent="0.35">
      <c r="A1237" s="52">
        <v>43593</v>
      </c>
      <c r="B1237" s="51">
        <v>3094</v>
      </c>
      <c r="C1237" s="1">
        <f t="shared" si="120"/>
        <v>-6.4620357660626776E-4</v>
      </c>
      <c r="R1237" s="28">
        <v>1236</v>
      </c>
      <c r="S1237" s="29">
        <v>5.0010420574661416E-2</v>
      </c>
      <c r="T1237" s="41">
        <f t="shared" si="116"/>
        <v>0</v>
      </c>
      <c r="U1237" s="4">
        <f t="shared" si="117"/>
        <v>2.6403215464931367</v>
      </c>
      <c r="V1237" s="15">
        <f t="shared" si="121"/>
        <v>0.98642172523961658</v>
      </c>
      <c r="W1237" s="33">
        <f t="shared" si="118"/>
        <v>2.209260175139105</v>
      </c>
      <c r="X1237" s="4">
        <f t="shared" si="119"/>
        <v>2.6403215464931367</v>
      </c>
    </row>
    <row r="1238" spans="1:24" ht="14.5" x14ac:dyDescent="0.35">
      <c r="A1238" s="52">
        <v>43592</v>
      </c>
      <c r="B1238" s="51">
        <v>3096</v>
      </c>
      <c r="C1238" s="1">
        <f t="shared" si="120"/>
        <v>-1.7291497110060994E-2</v>
      </c>
      <c r="R1238" s="28">
        <v>1237</v>
      </c>
      <c r="S1238" s="29">
        <v>5.1256256664625438E-2</v>
      </c>
      <c r="T1238" s="41">
        <f t="shared" si="116"/>
        <v>0</v>
      </c>
      <c r="U1238" s="4">
        <f t="shared" si="117"/>
        <v>2.7060216653353066</v>
      </c>
      <c r="V1238" s="15">
        <f t="shared" si="121"/>
        <v>0.98722044728434499</v>
      </c>
      <c r="W1238" s="33">
        <f t="shared" si="118"/>
        <v>2.2328459423636922</v>
      </c>
      <c r="X1238" s="4">
        <f t="shared" si="119"/>
        <v>2.7060216653353066</v>
      </c>
    </row>
    <row r="1239" spans="1:24" ht="14.5" x14ac:dyDescent="0.35">
      <c r="A1239" s="52">
        <v>43591</v>
      </c>
      <c r="B1239" s="51">
        <v>3150</v>
      </c>
      <c r="C1239" s="1">
        <f t="shared" si="120"/>
        <v>-1.449757506648653E-2</v>
      </c>
      <c r="R1239" s="28">
        <v>1238</v>
      </c>
      <c r="S1239" s="29">
        <v>5.1496525767174846E-2</v>
      </c>
      <c r="T1239" s="41">
        <f t="shared" si="116"/>
        <v>0</v>
      </c>
      <c r="U1239" s="4">
        <f t="shared" si="117"/>
        <v>2.718692440181822</v>
      </c>
      <c r="V1239" s="15">
        <f t="shared" si="121"/>
        <v>0.98801916932907352</v>
      </c>
      <c r="W1239" s="33">
        <f t="shared" si="118"/>
        <v>2.2577434068988107</v>
      </c>
      <c r="X1239" s="4">
        <f t="shared" si="119"/>
        <v>2.718692440181822</v>
      </c>
    </row>
    <row r="1240" spans="1:24" ht="14.5" x14ac:dyDescent="0.35">
      <c r="A1240" s="52">
        <v>43588</v>
      </c>
      <c r="B1240" s="51">
        <v>3196</v>
      </c>
      <c r="C1240" s="1">
        <f t="shared" si="120"/>
        <v>-3.0809584143197077E-2</v>
      </c>
      <c r="R1240" s="28">
        <v>1239</v>
      </c>
      <c r="S1240" s="29">
        <v>5.1525178446560668E-2</v>
      </c>
      <c r="T1240" s="41">
        <f t="shared" si="116"/>
        <v>0</v>
      </c>
      <c r="U1240" s="4">
        <f t="shared" si="117"/>
        <v>2.7202034611387198</v>
      </c>
      <c r="V1240" s="15">
        <f t="shared" si="121"/>
        <v>0.98881789137380194</v>
      </c>
      <c r="W1240" s="33">
        <f t="shared" si="118"/>
        <v>2.2841244631564788</v>
      </c>
      <c r="X1240" s="4">
        <f t="shared" si="119"/>
        <v>2.7202034611387198</v>
      </c>
    </row>
    <row r="1241" spans="1:24" ht="14.5" x14ac:dyDescent="0.35">
      <c r="A1241" s="52">
        <v>43587</v>
      </c>
      <c r="B1241" s="51">
        <v>3296</v>
      </c>
      <c r="C1241" s="1">
        <f t="shared" si="120"/>
        <v>-6.049625225823225E-3</v>
      </c>
      <c r="R1241" s="28">
        <v>1240</v>
      </c>
      <c r="S1241" s="29">
        <v>5.1705368154584888E-2</v>
      </c>
      <c r="T1241" s="41">
        <f t="shared" si="116"/>
        <v>0</v>
      </c>
      <c r="U1241" s="4">
        <f t="shared" si="117"/>
        <v>2.7297059031747897</v>
      </c>
      <c r="V1241" s="15">
        <f t="shared" si="121"/>
        <v>0.98961661341853036</v>
      </c>
      <c r="W1241" s="33">
        <f t="shared" si="118"/>
        <v>2.3121980235236075</v>
      </c>
      <c r="X1241" s="4">
        <f t="shared" si="119"/>
        <v>2.7297059031747897</v>
      </c>
    </row>
    <row r="1242" spans="1:24" ht="14.5" x14ac:dyDescent="0.35">
      <c r="A1242" s="52">
        <v>43585</v>
      </c>
      <c r="B1242" s="51">
        <v>3316</v>
      </c>
      <c r="C1242" s="1">
        <f t="shared" si="120"/>
        <v>-9.0063652915837195E-3</v>
      </c>
      <c r="R1242" s="28">
        <v>1241</v>
      </c>
      <c r="S1242" s="29">
        <v>5.4903621452859555E-2</v>
      </c>
      <c r="T1242" s="41">
        <f t="shared" si="116"/>
        <v>0</v>
      </c>
      <c r="U1242" s="4">
        <f t="shared" si="117"/>
        <v>2.8983682364276939</v>
      </c>
      <c r="V1242" s="15">
        <f t="shared" si="121"/>
        <v>0.99041533546325877</v>
      </c>
      <c r="W1242" s="33">
        <f t="shared" si="118"/>
        <v>2.342221606715253</v>
      </c>
      <c r="X1242" s="4">
        <f t="shared" si="119"/>
        <v>2.8983682364276939</v>
      </c>
    </row>
    <row r="1243" spans="1:24" ht="14.5" x14ac:dyDescent="0.35">
      <c r="A1243" s="52">
        <v>43584</v>
      </c>
      <c r="B1243" s="51">
        <v>3346</v>
      </c>
      <c r="C1243" s="1">
        <f t="shared" si="120"/>
        <v>-1.011010693029519E-2</v>
      </c>
      <c r="R1243" s="28">
        <v>1242</v>
      </c>
      <c r="S1243" s="29">
        <v>5.5059777183027389E-2</v>
      </c>
      <c r="T1243" s="41">
        <f t="shared" si="116"/>
        <v>0</v>
      </c>
      <c r="U1243" s="4">
        <f t="shared" si="117"/>
        <v>2.9066032282637457</v>
      </c>
      <c r="V1243" s="15">
        <f t="shared" si="121"/>
        <v>0.99121405750798719</v>
      </c>
      <c r="W1243" s="33">
        <f t="shared" si="118"/>
        <v>2.3745178832011793</v>
      </c>
      <c r="X1243" s="4">
        <f t="shared" si="119"/>
        <v>2.9066032282637457</v>
      </c>
    </row>
    <row r="1244" spans="1:24" ht="14.5" x14ac:dyDescent="0.35">
      <c r="A1244" s="52">
        <v>43581</v>
      </c>
      <c r="B1244" s="51">
        <v>3380</v>
      </c>
      <c r="C1244" s="1">
        <f t="shared" si="120"/>
        <v>-6.4877844787426244E-3</v>
      </c>
      <c r="R1244" s="28">
        <v>1243</v>
      </c>
      <c r="S1244" s="29">
        <v>5.7099592040572897E-2</v>
      </c>
      <c r="T1244" s="41">
        <f t="shared" si="116"/>
        <v>1</v>
      </c>
      <c r="U1244" s="4">
        <f t="shared" si="117"/>
        <v>3.0141744245361495</v>
      </c>
      <c r="V1244" s="15">
        <f t="shared" si="121"/>
        <v>0.99201277955271561</v>
      </c>
      <c r="W1244" s="33">
        <f t="shared" si="118"/>
        <v>2.4094989759606036</v>
      </c>
      <c r="X1244" s="4">
        <f t="shared" si="119"/>
        <v>3.0141744245361495</v>
      </c>
    </row>
    <row r="1245" spans="1:24" ht="14.5" x14ac:dyDescent="0.35">
      <c r="A1245" s="52">
        <v>43580</v>
      </c>
      <c r="B1245" s="51">
        <v>3402</v>
      </c>
      <c r="C1245" s="1">
        <f t="shared" si="120"/>
        <v>-1.4010737069598333E-2</v>
      </c>
      <c r="R1245" s="28">
        <v>1244</v>
      </c>
      <c r="S1245" s="29">
        <v>6.2102466339690014E-2</v>
      </c>
      <c r="T1245" s="41">
        <f t="shared" si="116"/>
        <v>1</v>
      </c>
      <c r="U1245" s="4">
        <f>+(S1245-AVERAGE($S$2:$S$1252))/_xlfn.STDEV.S($S$2:$S$1252)</f>
        <v>3.2780048261854735</v>
      </c>
      <c r="V1245" s="15">
        <f>+R1244/1252</f>
        <v>0.99281150159744413</v>
      </c>
      <c r="W1245" s="33">
        <f t="shared" si="118"/>
        <v>2.4477033585225945</v>
      </c>
      <c r="X1245" s="4">
        <f>+U1245</f>
        <v>3.2780048261854735</v>
      </c>
    </row>
    <row r="1246" spans="1:24" ht="14.5" x14ac:dyDescent="0.35">
      <c r="A1246" s="52">
        <v>43579</v>
      </c>
      <c r="B1246" s="51">
        <v>3450</v>
      </c>
      <c r="C1246" s="1">
        <f t="shared" si="120"/>
        <v>2.0498521548340969E-2</v>
      </c>
      <c r="R1246" s="28">
        <v>1245</v>
      </c>
      <c r="S1246" s="29">
        <v>6.3536875493261979E-2</v>
      </c>
      <c r="T1246" s="41">
        <f t="shared" si="116"/>
        <v>1</v>
      </c>
      <c r="U1246" s="4">
        <f t="shared" ref="U1246:U1252" si="122">+(S1246-AVERAGE($S$2:$S$1252))/_xlfn.STDEV.S($S$2:$S$1252)</f>
        <v>3.3536494897308167</v>
      </c>
      <c r="V1246" s="15">
        <f t="shared" ref="V1246:V1252" si="123">+R1245/1252</f>
        <v>0.99361022364217255</v>
      </c>
      <c r="W1246" s="33">
        <f t="shared" si="118"/>
        <v>2.4898541484898691</v>
      </c>
      <c r="X1246" s="4">
        <f t="shared" ref="X1246:X1252" si="124">+U1246</f>
        <v>3.3536494897308167</v>
      </c>
    </row>
    <row r="1247" spans="1:24" ht="14.5" x14ac:dyDescent="0.35">
      <c r="A1247" s="52">
        <v>43578</v>
      </c>
      <c r="B1247" s="51">
        <v>3380</v>
      </c>
      <c r="C1247" s="1">
        <f t="shared" si="120"/>
        <v>2.0927520105955819E-2</v>
      </c>
      <c r="R1247" s="28">
        <v>1246</v>
      </c>
      <c r="S1247" s="29">
        <v>6.5179752323377305E-2</v>
      </c>
      <c r="T1247" s="41">
        <f t="shared" si="116"/>
        <v>1</v>
      </c>
      <c r="U1247" s="4">
        <f t="shared" si="122"/>
        <v>3.4402878556050474</v>
      </c>
      <c r="V1247" s="15">
        <f t="shared" si="123"/>
        <v>0.99440894568690097</v>
      </c>
      <c r="W1247" s="33">
        <f t="shared" si="118"/>
        <v>2.536955753128654</v>
      </c>
      <c r="X1247" s="4">
        <f t="shared" si="124"/>
        <v>3.4402878556050474</v>
      </c>
    </row>
    <row r="1248" spans="1:24" ht="14.5" x14ac:dyDescent="0.35">
      <c r="A1248" s="52">
        <v>43573</v>
      </c>
      <c r="B1248" s="51">
        <v>3310</v>
      </c>
      <c r="C1248" s="1">
        <f t="shared" si="120"/>
        <v>7.2771697738952222E-3</v>
      </c>
      <c r="R1248" s="28">
        <v>1247</v>
      </c>
      <c r="S1248" s="29">
        <v>6.6674133267992666E-2</v>
      </c>
      <c r="T1248" s="41">
        <f t="shared" si="116"/>
        <v>1</v>
      </c>
      <c r="U1248" s="4">
        <f t="shared" si="122"/>
        <v>3.5190951774089441</v>
      </c>
      <c r="V1248" s="15">
        <f t="shared" si="123"/>
        <v>0.99520766773162939</v>
      </c>
      <c r="W1248" s="33">
        <f t="shared" si="118"/>
        <v>2.5904640018645773</v>
      </c>
      <c r="X1248" s="4">
        <f t="shared" si="124"/>
        <v>3.5190951774089441</v>
      </c>
    </row>
    <row r="1249" spans="1:24" ht="14.5" x14ac:dyDescent="0.35">
      <c r="A1249" s="52">
        <v>43572</v>
      </c>
      <c r="B1249" s="51">
        <v>3286</v>
      </c>
      <c r="C1249" s="1">
        <f t="shared" si="120"/>
        <v>0</v>
      </c>
      <c r="R1249" s="28">
        <v>1248</v>
      </c>
      <c r="S1249" s="29">
        <v>6.8992871486951421E-2</v>
      </c>
      <c r="T1249" s="41">
        <f t="shared" si="116"/>
        <v>1</v>
      </c>
      <c r="U1249" s="4">
        <f t="shared" si="122"/>
        <v>3.6413756104263171</v>
      </c>
      <c r="V1249" s="15">
        <f t="shared" si="123"/>
        <v>0.9960063897763578</v>
      </c>
      <c r="W1249" s="33">
        <f t="shared" si="118"/>
        <v>2.6526095495605531</v>
      </c>
      <c r="X1249" s="4">
        <f t="shared" si="124"/>
        <v>3.6413756104263171</v>
      </c>
    </row>
    <row r="1250" spans="1:24" ht="14.5" x14ac:dyDescent="0.35">
      <c r="A1250" s="52">
        <v>43571</v>
      </c>
      <c r="B1250" s="51">
        <v>3286</v>
      </c>
      <c r="C1250" s="1">
        <f t="shared" si="120"/>
        <v>-3.6452045223308092E-3</v>
      </c>
      <c r="R1250" s="28">
        <v>1249</v>
      </c>
      <c r="S1250" s="29">
        <v>7.1779682394130739E-2</v>
      </c>
      <c r="T1250" s="41">
        <f t="shared" si="116"/>
        <v>1</v>
      </c>
      <c r="U1250" s="4">
        <f t="shared" si="122"/>
        <v>3.7883402145722957</v>
      </c>
      <c r="V1250" s="15">
        <f t="shared" si="123"/>
        <v>0.99680511182108622</v>
      </c>
      <c r="W1250" s="33">
        <f t="shared" si="118"/>
        <v>2.7270788722062234</v>
      </c>
      <c r="X1250" s="4">
        <f t="shared" si="124"/>
        <v>3.7883402145722957</v>
      </c>
    </row>
    <row r="1251" spans="1:24" ht="14.5" x14ac:dyDescent="0.35">
      <c r="A1251" s="52">
        <v>43570</v>
      </c>
      <c r="B1251" s="51">
        <v>3298</v>
      </c>
      <c r="C1251" s="1">
        <f t="shared" si="120"/>
        <v>-9.6560798549453503E-3</v>
      </c>
      <c r="R1251" s="28">
        <v>1250</v>
      </c>
      <c r="S1251" s="29">
        <v>7.8710262439757719E-2</v>
      </c>
      <c r="T1251" s="41">
        <f t="shared" si="116"/>
        <v>1</v>
      </c>
      <c r="U1251" s="4">
        <f t="shared" si="122"/>
        <v>4.1538296527984855</v>
      </c>
      <c r="V1251" s="15">
        <f t="shared" si="123"/>
        <v>0.99760383386581475</v>
      </c>
      <c r="W1251" s="33">
        <f t="shared" si="118"/>
        <v>2.8206710107576534</v>
      </c>
      <c r="X1251" s="4">
        <f t="shared" si="124"/>
        <v>4.1538296527984855</v>
      </c>
    </row>
    <row r="1252" spans="1:24" ht="15" thickBot="1" x14ac:dyDescent="0.4">
      <c r="A1252" s="52">
        <v>43567</v>
      </c>
      <c r="B1252" s="51">
        <v>3330</v>
      </c>
      <c r="C1252" s="1">
        <f t="shared" si="120"/>
        <v>1.5738823670714455E-2</v>
      </c>
      <c r="R1252" s="28">
        <v>1251</v>
      </c>
      <c r="S1252" s="29">
        <v>0.12534412205141435</v>
      </c>
      <c r="T1252" s="41">
        <f t="shared" si="116"/>
        <v>1</v>
      </c>
      <c r="U1252" s="4">
        <f t="shared" si="122"/>
        <v>6.6131018983499708</v>
      </c>
      <c r="V1252" s="15">
        <f t="shared" si="123"/>
        <v>0.99840255591054317</v>
      </c>
      <c r="W1252" s="33">
        <f t="shared" si="118"/>
        <v>2.9483367635585283</v>
      </c>
      <c r="X1252" s="4">
        <f t="shared" si="124"/>
        <v>6.6131018983499708</v>
      </c>
    </row>
    <row r="1253" spans="1:24" ht="14.5" x14ac:dyDescent="0.35">
      <c r="A1253" s="52">
        <v>43566</v>
      </c>
      <c r="B1253" s="51">
        <v>3278</v>
      </c>
      <c r="C1253" s="1">
        <f t="shared" si="120"/>
        <v>-6.0994207441442225E-4</v>
      </c>
      <c r="S1253" s="42" t="s">
        <v>48</v>
      </c>
      <c r="T1253" s="43">
        <f>+SUM(T2:T1252)</f>
        <v>20</v>
      </c>
    </row>
    <row r="1254" spans="1:24" ht="14.5" x14ac:dyDescent="0.35">
      <c r="A1254" s="52">
        <v>43565</v>
      </c>
      <c r="B1254" s="51">
        <v>3280</v>
      </c>
      <c r="C1254" s="1">
        <f t="shared" si="120"/>
        <v>6.0994207441441065E-4</v>
      </c>
      <c r="S1254" s="44" t="s">
        <v>49</v>
      </c>
      <c r="T1254" s="45">
        <f>+T1253/R1251</f>
        <v>1.6E-2</v>
      </c>
    </row>
    <row r="1255" spans="1:24" ht="15" thickBot="1" x14ac:dyDescent="0.4">
      <c r="A1255" s="52">
        <v>43564</v>
      </c>
      <c r="B1255" s="51">
        <v>3278</v>
      </c>
      <c r="S1255" s="47" t="s">
        <v>50</v>
      </c>
      <c r="T1255" s="46">
        <f>2*_xlfn.NORM.S.DIST(-3,TRUE)</f>
        <v>2.6997960632601866E-3</v>
      </c>
    </row>
    <row r="1256" spans="1:24" ht="14.5" x14ac:dyDescent="0.35">
      <c r="A1256" s="50"/>
      <c r="B1256" s="49"/>
    </row>
    <row r="1257" spans="1:24" ht="14.5" x14ac:dyDescent="0.35">
      <c r="A1257" s="50"/>
      <c r="B1257" s="49"/>
    </row>
    <row r="1258" spans="1:24" ht="14.5" x14ac:dyDescent="0.35">
      <c r="A1258" s="50"/>
      <c r="B1258" s="49"/>
    </row>
    <row r="1259" spans="1:24" ht="14.5" x14ac:dyDescent="0.35">
      <c r="A1259" s="50"/>
      <c r="B1259" s="49"/>
    </row>
    <row r="1260" spans="1:24" ht="14.5" x14ac:dyDescent="0.35">
      <c r="A1260" s="50"/>
      <c r="B1260" s="48"/>
    </row>
    <row r="1261" spans="1:24" ht="14.5" x14ac:dyDescent="0.35">
      <c r="A1261" s="50"/>
      <c r="B1261" s="49"/>
    </row>
    <row r="1262" spans="1:24" ht="14.5" x14ac:dyDescent="0.35">
      <c r="A1262" s="50"/>
      <c r="B1262" s="48"/>
    </row>
    <row r="1263" spans="1:24" ht="14.5" x14ac:dyDescent="0.35">
      <c r="A1263" s="50"/>
      <c r="B1263" s="48"/>
    </row>
    <row r="1264" spans="1:24" ht="14.5" x14ac:dyDescent="0.35">
      <c r="A1264" s="50"/>
      <c r="B1264" s="48"/>
    </row>
    <row r="1265" spans="1:2" ht="14.5" x14ac:dyDescent="0.35">
      <c r="A1265" s="50"/>
      <c r="B1265" s="49"/>
    </row>
    <row r="1266" spans="1:2" ht="14.5" x14ac:dyDescent="0.35">
      <c r="A1266" s="50"/>
      <c r="B1266" s="49"/>
    </row>
    <row r="1267" spans="1:2" ht="14.5" x14ac:dyDescent="0.35">
      <c r="A1267" s="50"/>
      <c r="B1267" s="48"/>
    </row>
  </sheetData>
  <sortState xmlns:xlrd2="http://schemas.microsoft.com/office/spreadsheetml/2017/richdata2" ref="S2:S1252">
    <sortCondition ref="S2:S1252"/>
  </sortState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E1003"/>
  <sheetViews>
    <sheetView tabSelected="1" topLeftCell="M1" workbookViewId="0">
      <selection activeCell="T4" sqref="T4"/>
    </sheetView>
  </sheetViews>
  <sheetFormatPr defaultRowHeight="12.5" x14ac:dyDescent="0.25"/>
  <cols>
    <col min="5" max="5" width="13.1796875" bestFit="1" customWidth="1"/>
    <col min="11" max="11" width="13.81640625" bestFit="1" customWidth="1"/>
    <col min="22" max="22" width="11.81640625" customWidth="1"/>
    <col min="24" max="24" width="13.453125" customWidth="1"/>
  </cols>
  <sheetData>
    <row r="1" spans="1:28" x14ac:dyDescent="0.25">
      <c r="E1" s="11" t="s">
        <v>51</v>
      </c>
      <c r="F1" s="11" t="s">
        <v>52</v>
      </c>
      <c r="R1" s="4"/>
      <c r="S1" s="22"/>
    </row>
    <row r="2" spans="1:28" ht="13" x14ac:dyDescent="0.3">
      <c r="A2" s="10" t="s">
        <v>10</v>
      </c>
      <c r="B2" s="17">
        <v>1000</v>
      </c>
      <c r="D2" t="s">
        <v>3</v>
      </c>
      <c r="E2" s="15">
        <f>+(B3-0.5*B4^2)</f>
        <v>0.15500000000000003</v>
      </c>
      <c r="F2" s="29">
        <f>+E2*B5</f>
        <v>6.1507936507936511E-4</v>
      </c>
      <c r="H2" s="16"/>
      <c r="R2" s="4"/>
      <c r="S2" s="20"/>
    </row>
    <row r="3" spans="1:28" ht="13.5" thickBot="1" x14ac:dyDescent="0.35">
      <c r="A3" t="s">
        <v>2</v>
      </c>
      <c r="B3" s="18">
        <v>0.2</v>
      </c>
      <c r="D3" t="s">
        <v>5</v>
      </c>
      <c r="E3" s="15">
        <f>+B4</f>
        <v>0.3</v>
      </c>
      <c r="F3" s="29">
        <f>+E3*B5^0.5</f>
        <v>1.8898223650461361E-2</v>
      </c>
      <c r="R3" s="21" t="s">
        <v>11</v>
      </c>
      <c r="S3" s="21" t="s">
        <v>12</v>
      </c>
      <c r="T3" s="62" t="s">
        <v>63</v>
      </c>
    </row>
    <row r="4" spans="1:28" ht="13.5" thickTop="1" x14ac:dyDescent="0.3">
      <c r="A4" t="s">
        <v>4</v>
      </c>
      <c r="B4" s="18">
        <v>0.3</v>
      </c>
      <c r="L4" s="1"/>
      <c r="R4">
        <v>1978.5213071853818</v>
      </c>
      <c r="S4" s="14">
        <f t="shared" ref="S4:S67" si="0">+LN(R4/$B$2)</f>
        <v>0.68234975114869967</v>
      </c>
      <c r="T4" s="9">
        <v>-0.92474010126334472</v>
      </c>
    </row>
    <row r="5" spans="1:28" ht="13.5" thickBot="1" x14ac:dyDescent="0.35">
      <c r="A5" s="10" t="s">
        <v>9</v>
      </c>
      <c r="B5" s="17">
        <f>1/252</f>
        <v>3.968253968253968E-3</v>
      </c>
      <c r="R5">
        <v>2163.3409550271208</v>
      </c>
      <c r="S5" s="14">
        <f t="shared" si="0"/>
        <v>0.77165376516670003</v>
      </c>
      <c r="T5" s="9">
        <v>-0.73578332417869219</v>
      </c>
      <c r="V5" s="21" t="s">
        <v>36</v>
      </c>
      <c r="W5" s="21" t="s">
        <v>37</v>
      </c>
      <c r="X5" s="21" t="s">
        <v>38</v>
      </c>
      <c r="Z5" s="21" t="s">
        <v>35</v>
      </c>
      <c r="AA5" s="21" t="s">
        <v>37</v>
      </c>
      <c r="AB5" s="21" t="s">
        <v>38</v>
      </c>
    </row>
    <row r="6" spans="1:28" ht="13" thickTop="1" x14ac:dyDescent="0.25">
      <c r="K6" s="10"/>
      <c r="L6" s="1"/>
      <c r="R6">
        <v>603.81973526330944</v>
      </c>
      <c r="S6" s="14">
        <f t="shared" si="0"/>
        <v>-0.50447957714366165</v>
      </c>
      <c r="T6" s="9">
        <v>-0.64257496794059032</v>
      </c>
      <c r="V6" s="10" t="s">
        <v>13</v>
      </c>
      <c r="W6" s="27">
        <f>+MIN(R4:R1003)</f>
        <v>396.63449048333882</v>
      </c>
      <c r="X6">
        <f t="array" ref="X6:X17">+FREQUENCY(R4:R1003,W6:W16)</f>
        <v>1</v>
      </c>
      <c r="Z6" s="10" t="s">
        <v>13</v>
      </c>
      <c r="AA6" s="9">
        <f>+MIN(S4:S1003)</f>
        <v>-0.92474010126334472</v>
      </c>
      <c r="AB6">
        <f t="array" ref="AB6:AB17">+FREQUENCY(S4:S1003,AA6:AA16)</f>
        <v>1</v>
      </c>
    </row>
    <row r="7" spans="1:28" x14ac:dyDescent="0.25">
      <c r="A7" s="10" t="s">
        <v>55</v>
      </c>
      <c r="R7">
        <v>1159.8126028041149</v>
      </c>
      <c r="S7" s="14">
        <f t="shared" si="0"/>
        <v>0.14825844276098096</v>
      </c>
      <c r="T7" s="9">
        <v>-0.54853908221146097</v>
      </c>
      <c r="W7" s="27">
        <f>+(W$16-W$6)/10+W6</f>
        <v>680.35666500144896</v>
      </c>
      <c r="X7">
        <v>29</v>
      </c>
      <c r="AA7" s="19">
        <f t="shared" ref="AA7:AA15" si="1">+(AA$16-AA$6)/10+AA6</f>
        <v>-0.71489856052340817</v>
      </c>
      <c r="AB7">
        <v>1</v>
      </c>
    </row>
    <row r="8" spans="1:28" x14ac:dyDescent="0.25">
      <c r="R8">
        <v>1317.5821220379714</v>
      </c>
      <c r="S8" s="14">
        <f t="shared" si="0"/>
        <v>0.27579833120846503</v>
      </c>
      <c r="T8" s="9">
        <v>-0.53696991690382778</v>
      </c>
      <c r="W8" s="27">
        <f t="shared" ref="W8:W15" si="2">+(W$16-W$6)/10+W7</f>
        <v>964.0788395195591</v>
      </c>
      <c r="X8">
        <v>211</v>
      </c>
      <c r="AA8" s="19">
        <f t="shared" si="1"/>
        <v>-0.50505701978347162</v>
      </c>
      <c r="AB8">
        <v>11</v>
      </c>
    </row>
    <row r="9" spans="1:28" ht="13" thickBot="1" x14ac:dyDescent="0.3">
      <c r="A9" s="21" t="s">
        <v>8</v>
      </c>
      <c r="B9" s="38" t="s">
        <v>6</v>
      </c>
      <c r="C9" s="38" t="s">
        <v>7</v>
      </c>
      <c r="D9" s="21" t="s">
        <v>35</v>
      </c>
      <c r="E9" s="21" t="s">
        <v>36</v>
      </c>
      <c r="K9" s="4"/>
      <c r="R9">
        <v>1041.6699098115782</v>
      </c>
      <c r="S9" s="14">
        <f t="shared" si="0"/>
        <v>4.0825107934523576E-2</v>
      </c>
      <c r="T9" s="9">
        <v>-0.53666764957839075</v>
      </c>
      <c r="W9" s="27">
        <f t="shared" si="2"/>
        <v>1247.8010140376691</v>
      </c>
      <c r="X9">
        <v>348</v>
      </c>
      <c r="AA9" s="19">
        <f t="shared" si="1"/>
        <v>-0.29521547904353512</v>
      </c>
      <c r="AB9">
        <v>44</v>
      </c>
    </row>
    <row r="10" spans="1:28" ht="13" thickTop="1" x14ac:dyDescent="0.25">
      <c r="A10" s="28">
        <v>0</v>
      </c>
      <c r="B10" s="28"/>
      <c r="C10" s="28"/>
      <c r="D10" s="28"/>
      <c r="E10" s="11">
        <f>+B2</f>
        <v>1000</v>
      </c>
      <c r="R10">
        <v>1176.2204736248525</v>
      </c>
      <c r="S10" s="14">
        <f t="shared" si="0"/>
        <v>0.16230630947686481</v>
      </c>
      <c r="T10" s="9">
        <v>-0.52982139018912733</v>
      </c>
      <c r="W10" s="27">
        <f t="shared" si="2"/>
        <v>1531.5231885557791</v>
      </c>
      <c r="X10">
        <v>229</v>
      </c>
      <c r="AA10" s="19">
        <f t="shared" si="1"/>
        <v>-8.5373938303598629E-2</v>
      </c>
      <c r="AB10">
        <v>145</v>
      </c>
    </row>
    <row r="11" spans="1:28" x14ac:dyDescent="0.25">
      <c r="A11" s="28">
        <v>1</v>
      </c>
      <c r="B11" s="39">
        <f ca="1">RAND()</f>
        <v>0.55940989486145487</v>
      </c>
      <c r="C11" s="39">
        <f ca="1">NORMSINV(B11)</f>
        <v>0.14947325678931769</v>
      </c>
      <c r="D11" s="29">
        <f t="shared" ref="D11:D74" ca="1" si="3">+$E$2*$B$5+C11*$E$3*$B$5^0.5</f>
        <v>3.4398584016467329E-3</v>
      </c>
      <c r="E11" s="39">
        <f ca="1">+EXP(D11)*E10</f>
        <v>1003.4457815041558</v>
      </c>
      <c r="R11">
        <v>1086.4847338822444</v>
      </c>
      <c r="S11" s="14">
        <f t="shared" si="0"/>
        <v>8.2947469885993372E-2</v>
      </c>
      <c r="T11" s="9">
        <v>-0.52947465331905308</v>
      </c>
      <c r="W11" s="27">
        <f t="shared" si="2"/>
        <v>1815.2453630738892</v>
      </c>
      <c r="X11">
        <v>118</v>
      </c>
      <c r="AA11" s="19">
        <f t="shared" si="1"/>
        <v>0.12446760243633787</v>
      </c>
      <c r="AB11">
        <v>264</v>
      </c>
    </row>
    <row r="12" spans="1:28" x14ac:dyDescent="0.25">
      <c r="A12" s="28">
        <v>2</v>
      </c>
      <c r="B12" s="39">
        <f t="shared" ref="B12:B75" ca="1" si="4">RAND()</f>
        <v>0.36507129080254508</v>
      </c>
      <c r="C12" s="39">
        <f t="shared" ref="C12:C62" ca="1" si="5">NORMSINV(B12)</f>
        <v>-0.34493587223779398</v>
      </c>
      <c r="D12" s="29">
        <f t="shared" ca="1" si="3"/>
        <v>-5.9035958935374317E-3</v>
      </c>
      <c r="E12" s="39">
        <f t="shared" ref="E12:E62" ca="1" si="6">+EXP(D12)*E11</f>
        <v>997.53929501837615</v>
      </c>
      <c r="R12">
        <v>1569.045829626054</v>
      </c>
      <c r="S12" s="14">
        <f t="shared" si="0"/>
        <v>0.45046768277367316</v>
      </c>
      <c r="T12" s="9">
        <v>-0.52890607201523976</v>
      </c>
      <c r="W12" s="27">
        <f t="shared" si="2"/>
        <v>2098.9675375919992</v>
      </c>
      <c r="X12">
        <v>40</v>
      </c>
      <c r="AA12" s="19">
        <f t="shared" si="1"/>
        <v>0.33430914317627436</v>
      </c>
      <c r="AB12">
        <v>266</v>
      </c>
    </row>
    <row r="13" spans="1:28" x14ac:dyDescent="0.25">
      <c r="A13" s="28">
        <v>3</v>
      </c>
      <c r="B13" s="39">
        <f t="shared" ca="1" si="4"/>
        <v>0.51793149902614954</v>
      </c>
      <c r="C13" s="39">
        <f t="shared" ca="1" si="5"/>
        <v>4.4962747685677339E-2</v>
      </c>
      <c r="D13" s="29">
        <f t="shared" ca="1" si="3"/>
        <v>1.4647954267825595E-3</v>
      </c>
      <c r="E13" s="39">
        <f t="shared" ca="1" si="6"/>
        <v>999.00155671141977</v>
      </c>
      <c r="G13" s="1"/>
      <c r="R13">
        <v>1113.027313308296</v>
      </c>
      <c r="S13" s="14">
        <f t="shared" si="0"/>
        <v>0.10708361225132657</v>
      </c>
      <c r="T13" s="9">
        <v>-0.51775680711664773</v>
      </c>
      <c r="W13" s="27">
        <f t="shared" si="2"/>
        <v>2382.6897121101092</v>
      </c>
      <c r="X13">
        <v>16</v>
      </c>
      <c r="AA13" s="19">
        <f t="shared" si="1"/>
        <v>0.54415068391621091</v>
      </c>
      <c r="AB13">
        <v>173</v>
      </c>
    </row>
    <row r="14" spans="1:28" x14ac:dyDescent="0.25">
      <c r="A14" s="28">
        <v>4</v>
      </c>
      <c r="B14" s="39">
        <f t="shared" ca="1" si="4"/>
        <v>1.4853747077633761E-2</v>
      </c>
      <c r="C14" s="39">
        <f t="shared" ca="1" si="5"/>
        <v>-2.1739685903961199</v>
      </c>
      <c r="D14" s="29">
        <f t="shared" ca="1" si="3"/>
        <v>-4.0469065265304735E-2</v>
      </c>
      <c r="E14" s="39">
        <f t="shared" ca="1" si="6"/>
        <v>959.38002797874356</v>
      </c>
      <c r="R14">
        <v>1833.5799807611145</v>
      </c>
      <c r="S14" s="14">
        <f t="shared" si="0"/>
        <v>0.60627032948190718</v>
      </c>
      <c r="T14" s="9">
        <v>-0.51768269877314455</v>
      </c>
      <c r="W14" s="27">
        <f t="shared" si="2"/>
        <v>2666.4118866282192</v>
      </c>
      <c r="X14">
        <v>6</v>
      </c>
      <c r="AA14" s="19">
        <f t="shared" si="1"/>
        <v>0.75399222465614746</v>
      </c>
      <c r="AB14">
        <v>73</v>
      </c>
    </row>
    <row r="15" spans="1:28" x14ac:dyDescent="0.25">
      <c r="A15" s="28">
        <v>5</v>
      </c>
      <c r="B15" s="39">
        <f t="shared" ca="1" si="4"/>
        <v>0.49646566127518987</v>
      </c>
      <c r="C15" s="39">
        <f t="shared" ca="1" si="5"/>
        <v>-8.8593892721412718E-3</v>
      </c>
      <c r="D15" s="29">
        <f t="shared" ca="1" si="3"/>
        <v>4.4765264520794126E-4</v>
      </c>
      <c r="E15" s="39">
        <f t="shared" ca="1" si="6"/>
        <v>959.80959312684183</v>
      </c>
      <c r="R15">
        <v>1283.6827464128896</v>
      </c>
      <c r="S15" s="14">
        <f t="shared" si="0"/>
        <v>0.24973309250497355</v>
      </c>
      <c r="T15" s="9">
        <v>-0.51064362311452449</v>
      </c>
      <c r="W15" s="27">
        <f t="shared" si="2"/>
        <v>2950.1340611463293</v>
      </c>
      <c r="X15">
        <v>0</v>
      </c>
      <c r="AA15" s="19">
        <f t="shared" si="1"/>
        <v>0.96383376539608401</v>
      </c>
      <c r="AB15">
        <v>19</v>
      </c>
    </row>
    <row r="16" spans="1:28" x14ac:dyDescent="0.25">
      <c r="A16" s="28">
        <v>6</v>
      </c>
      <c r="B16" s="39">
        <f t="shared" ca="1" si="4"/>
        <v>0.62214320782699584</v>
      </c>
      <c r="C16" s="39">
        <f t="shared" ca="1" si="5"/>
        <v>0.3111144921486777</v>
      </c>
      <c r="D16" s="29">
        <f t="shared" ca="1" si="3"/>
        <v>6.4945906186047826E-3</v>
      </c>
      <c r="E16" s="39">
        <f t="shared" ca="1" si="6"/>
        <v>966.06344964280197</v>
      </c>
      <c r="R16">
        <v>1312.9193893201882</v>
      </c>
      <c r="S16" s="14">
        <f t="shared" si="0"/>
        <v>0.27225319916343899</v>
      </c>
      <c r="T16" s="9">
        <v>-0.50881854233270685</v>
      </c>
      <c r="V16" s="10" t="s">
        <v>14</v>
      </c>
      <c r="W16" s="27">
        <f>+MAX(R4:R1003)</f>
        <v>3233.8562356644402</v>
      </c>
      <c r="X16">
        <v>2</v>
      </c>
      <c r="Z16" s="10" t="s">
        <v>14</v>
      </c>
      <c r="AA16" s="9">
        <f>+MAX(S4:S1003)</f>
        <v>1.1736753061360201</v>
      </c>
      <c r="AB16">
        <v>3</v>
      </c>
    </row>
    <row r="17" spans="1:28" x14ac:dyDescent="0.25">
      <c r="A17" s="28">
        <v>7</v>
      </c>
      <c r="B17" s="39">
        <f t="shared" ca="1" si="4"/>
        <v>5.5463395612830313E-2</v>
      </c>
      <c r="C17" s="39">
        <f t="shared" ca="1" si="5"/>
        <v>-1.5940412719172647</v>
      </c>
      <c r="D17" s="29">
        <f t="shared" ca="1" si="3"/>
        <v>-2.9509469099679001E-2</v>
      </c>
      <c r="E17" s="39">
        <f t="shared" ca="1" si="6"/>
        <v>937.97195122681194</v>
      </c>
      <c r="R17">
        <v>702.99366201315479</v>
      </c>
      <c r="S17" s="14">
        <f t="shared" si="0"/>
        <v>-0.35240740284062694</v>
      </c>
      <c r="T17" s="9">
        <v>-0.50447957714366165</v>
      </c>
      <c r="X17">
        <v>0</v>
      </c>
      <c r="AB17">
        <v>0</v>
      </c>
    </row>
    <row r="18" spans="1:28" x14ac:dyDescent="0.25">
      <c r="A18" s="28">
        <v>8</v>
      </c>
      <c r="B18" s="39">
        <f t="shared" ca="1" si="4"/>
        <v>0.60804181190336692</v>
      </c>
      <c r="C18" s="39">
        <f t="shared" ca="1" si="5"/>
        <v>0.27421893685727661</v>
      </c>
      <c r="D18" s="29">
        <f t="shared" ca="1" si="3"/>
        <v>5.7973301629999207E-3</v>
      </c>
      <c r="E18" s="39">
        <f t="shared" ca="1" si="6"/>
        <v>943.42547698241526</v>
      </c>
      <c r="R18">
        <v>1666.1251683281541</v>
      </c>
      <c r="S18" s="14">
        <f t="shared" si="0"/>
        <v>0.51050067197176718</v>
      </c>
      <c r="T18" s="9">
        <v>-0.50386057661746886</v>
      </c>
    </row>
    <row r="19" spans="1:28" x14ac:dyDescent="0.25">
      <c r="A19" s="28">
        <v>9</v>
      </c>
      <c r="B19" s="39">
        <f t="shared" ca="1" si="4"/>
        <v>0.58978335910570656</v>
      </c>
      <c r="C19" s="39">
        <f t="shared" ca="1" si="5"/>
        <v>0.22698773182977799</v>
      </c>
      <c r="D19" s="29">
        <f t="shared" ca="1" si="3"/>
        <v>4.9047442871094577E-3</v>
      </c>
      <c r="E19" s="39">
        <f t="shared" ca="1" si="6"/>
        <v>948.06410404164569</v>
      </c>
      <c r="R19">
        <v>1070.4886783807485</v>
      </c>
      <c r="S19" s="14">
        <f t="shared" si="0"/>
        <v>6.8115252981163596E-2</v>
      </c>
      <c r="T19" s="9">
        <v>-0.49645698805778171</v>
      </c>
    </row>
    <row r="20" spans="1:28" x14ac:dyDescent="0.25">
      <c r="A20" s="28">
        <v>10</v>
      </c>
      <c r="B20" s="39">
        <f t="shared" ca="1" si="4"/>
        <v>0.61351351075686766</v>
      </c>
      <c r="C20" s="39">
        <f t="shared" ca="1" si="5"/>
        <v>0.28848830883881377</v>
      </c>
      <c r="D20" s="29">
        <f t="shared" ca="1" si="3"/>
        <v>6.0669959460586372E-3</v>
      </c>
      <c r="E20" s="39">
        <f t="shared" ca="1" si="6"/>
        <v>953.83348883772771</v>
      </c>
      <c r="R20">
        <v>761.97727353309563</v>
      </c>
      <c r="S20" s="14">
        <f t="shared" si="0"/>
        <v>-0.2718385484999748</v>
      </c>
      <c r="T20" s="9">
        <v>-0.47888910730693207</v>
      </c>
    </row>
    <row r="21" spans="1:28" x14ac:dyDescent="0.25">
      <c r="A21" s="28">
        <v>11</v>
      </c>
      <c r="B21" s="39">
        <f t="shared" ca="1" si="4"/>
        <v>0.54956676298239515</v>
      </c>
      <c r="C21" s="39">
        <f t="shared" ca="1" si="5"/>
        <v>0.12456684970385808</v>
      </c>
      <c r="D21" s="29">
        <f t="shared" ca="1" si="3"/>
        <v>2.9691715502162819E-3</v>
      </c>
      <c r="E21" s="39">
        <f t="shared" ca="1" si="6"/>
        <v>956.66979274913615</v>
      </c>
      <c r="R21">
        <v>1733.0775037969404</v>
      </c>
      <c r="S21" s="14">
        <f t="shared" si="0"/>
        <v>0.54989873206290751</v>
      </c>
      <c r="T21" s="9">
        <v>-0.47265810629124611</v>
      </c>
    </row>
    <row r="22" spans="1:28" x14ac:dyDescent="0.25">
      <c r="A22" s="28">
        <v>12</v>
      </c>
      <c r="B22" s="39">
        <f t="shared" ca="1" si="4"/>
        <v>8.5884273238887587E-3</v>
      </c>
      <c r="C22" s="39">
        <f t="shared" ca="1" si="5"/>
        <v>-2.3829001069286346</v>
      </c>
      <c r="D22" s="29">
        <f t="shared" ca="1" si="3"/>
        <v>-4.4417499792366262E-2</v>
      </c>
      <c r="E22" s="39">
        <f t="shared" ca="1" si="6"/>
        <v>915.10680749864264</v>
      </c>
      <c r="R22">
        <v>1338.8608460287701</v>
      </c>
      <c r="S22" s="14">
        <f t="shared" si="0"/>
        <v>0.29181913750632016</v>
      </c>
      <c r="T22" s="9">
        <v>-0.45326738028709956</v>
      </c>
    </row>
    <row r="23" spans="1:28" x14ac:dyDescent="0.25">
      <c r="A23" s="28">
        <v>13</v>
      </c>
      <c r="B23" s="39">
        <f t="shared" ca="1" si="4"/>
        <v>0.78336889784502495</v>
      </c>
      <c r="C23" s="39">
        <f t="shared" ca="1" si="5"/>
        <v>0.7836215546216081</v>
      </c>
      <c r="D23" s="29">
        <f t="shared" ca="1" si="3"/>
        <v>1.5424134761640739E-2</v>
      </c>
      <c r="E23" s="39">
        <f t="shared" ca="1" si="6"/>
        <v>929.33095379623376</v>
      </c>
      <c r="R23">
        <v>1253.5061195378858</v>
      </c>
      <c r="S23" s="14">
        <f t="shared" si="0"/>
        <v>0.22594452056511266</v>
      </c>
      <c r="T23" s="9">
        <v>-0.45227320048434705</v>
      </c>
    </row>
    <row r="24" spans="1:28" x14ac:dyDescent="0.25">
      <c r="A24" s="28">
        <v>14</v>
      </c>
      <c r="B24" s="39">
        <f t="shared" ca="1" si="4"/>
        <v>0.75211564167302081</v>
      </c>
      <c r="C24" s="39">
        <f t="shared" ca="1" si="5"/>
        <v>0.68116243166715851</v>
      </c>
      <c r="D24" s="29">
        <f t="shared" ca="1" si="3"/>
        <v>1.3487839341017431E-2</v>
      </c>
      <c r="E24" s="39">
        <f t="shared" ca="1" si="6"/>
        <v>941.95053452018249</v>
      </c>
      <c r="R24">
        <v>1865.134367015052</v>
      </c>
      <c r="S24" s="14">
        <f t="shared" si="0"/>
        <v>0.62333309715740748</v>
      </c>
      <c r="T24" s="9">
        <v>-0.44856599744654652</v>
      </c>
    </row>
    <row r="25" spans="1:28" x14ac:dyDescent="0.25">
      <c r="A25" s="28">
        <v>15</v>
      </c>
      <c r="B25" s="39">
        <f t="shared" ca="1" si="4"/>
        <v>0.3000591285906592</v>
      </c>
      <c r="C25" s="39">
        <f t="shared" ca="1" si="5"/>
        <v>-0.52423046033374177</v>
      </c>
      <c r="D25" s="29">
        <f t="shared" ca="1" si="3"/>
        <v>-9.291945118692E-3</v>
      </c>
      <c r="E25" s="39">
        <f t="shared" ca="1" si="6"/>
        <v>933.23852031088063</v>
      </c>
      <c r="R25">
        <v>2352.6184056991769</v>
      </c>
      <c r="S25" s="14">
        <f t="shared" si="0"/>
        <v>0.85552892307016593</v>
      </c>
      <c r="T25" s="9">
        <v>-0.44693729622712869</v>
      </c>
    </row>
    <row r="26" spans="1:28" x14ac:dyDescent="0.25">
      <c r="A26" s="28">
        <v>16</v>
      </c>
      <c r="B26" s="39">
        <f t="shared" ca="1" si="4"/>
        <v>0.78788027619353884</v>
      </c>
      <c r="C26" s="39">
        <f t="shared" ca="1" si="5"/>
        <v>0.79908789596356489</v>
      </c>
      <c r="D26" s="29">
        <f t="shared" ca="1" si="3"/>
        <v>1.5716421139375415E-2</v>
      </c>
      <c r="E26" s="39">
        <f t="shared" ca="1" si="6"/>
        <v>948.02155381963064</v>
      </c>
      <c r="R26">
        <v>1695.0560396542096</v>
      </c>
      <c r="S26" s="14">
        <f t="shared" si="0"/>
        <v>0.52771580202878277</v>
      </c>
      <c r="T26" s="9">
        <v>-0.42116490527360168</v>
      </c>
    </row>
    <row r="27" spans="1:28" x14ac:dyDescent="0.25">
      <c r="A27" s="28">
        <v>17</v>
      </c>
      <c r="B27" s="39">
        <f t="shared" ca="1" si="4"/>
        <v>0.25323797280609628</v>
      </c>
      <c r="C27" s="39">
        <f t="shared" ca="1" si="5"/>
        <v>-0.66433496731455211</v>
      </c>
      <c r="D27" s="29">
        <f t="shared" ca="1" si="3"/>
        <v>-1.193967142605298E-2</v>
      </c>
      <c r="E27" s="39">
        <f t="shared" ca="1" si="6"/>
        <v>936.76979279363741</v>
      </c>
      <c r="R27">
        <v>1696.4844999539143</v>
      </c>
      <c r="S27" s="14">
        <f t="shared" si="0"/>
        <v>0.52855816871583239</v>
      </c>
      <c r="T27" s="9">
        <v>-0.40951009441341135</v>
      </c>
    </row>
    <row r="28" spans="1:28" x14ac:dyDescent="0.25">
      <c r="A28" s="28">
        <v>18</v>
      </c>
      <c r="B28" s="39">
        <f t="shared" ca="1" si="4"/>
        <v>0.48759739662642976</v>
      </c>
      <c r="C28" s="39">
        <f t="shared" ca="1" si="5"/>
        <v>-3.109372590695714E-2</v>
      </c>
      <c r="D28" s="29">
        <f t="shared" ca="1" si="3"/>
        <v>2.746317876354458E-5</v>
      </c>
      <c r="E28" s="39">
        <f t="shared" ca="1" si="6"/>
        <v>936.79551982318856</v>
      </c>
      <c r="R28">
        <v>1337.9588868795302</v>
      </c>
      <c r="S28" s="14">
        <f t="shared" si="0"/>
        <v>0.29114523393912328</v>
      </c>
      <c r="T28" s="9">
        <v>-0.40519267619336519</v>
      </c>
    </row>
    <row r="29" spans="1:28" x14ac:dyDescent="0.25">
      <c r="A29" s="28">
        <v>19</v>
      </c>
      <c r="B29" s="39">
        <f t="shared" ca="1" si="4"/>
        <v>0.20923758559809436</v>
      </c>
      <c r="C29" s="39">
        <f t="shared" ca="1" si="5"/>
        <v>-0.80906949926286231</v>
      </c>
      <c r="D29" s="29">
        <f t="shared" ca="1" si="3"/>
        <v>-1.4674896980756991E-2</v>
      </c>
      <c r="E29" s="39">
        <f t="shared" ca="1" si="6"/>
        <v>923.14852113650375</v>
      </c>
      <c r="R29">
        <v>1458.1164248585428</v>
      </c>
      <c r="S29" s="14">
        <f t="shared" si="0"/>
        <v>0.37714548283913146</v>
      </c>
      <c r="T29" s="9">
        <v>-0.40232653809693797</v>
      </c>
    </row>
    <row r="30" spans="1:28" x14ac:dyDescent="0.25">
      <c r="A30" s="28">
        <v>20</v>
      </c>
      <c r="B30" s="39">
        <f t="shared" ca="1" si="4"/>
        <v>0.70840322887436291</v>
      </c>
      <c r="C30" s="39">
        <f t="shared" ca="1" si="5"/>
        <v>0.54872593916701362</v>
      </c>
      <c r="D30" s="29">
        <f t="shared" ca="1" si="3"/>
        <v>1.0985024886267045E-2</v>
      </c>
      <c r="E30" s="39">
        <f t="shared" ca="1" si="6"/>
        <v>933.34523364836821</v>
      </c>
      <c r="R30">
        <v>804.14704624594242</v>
      </c>
      <c r="S30" s="14">
        <f t="shared" si="0"/>
        <v>-0.2179731331853943</v>
      </c>
      <c r="T30" s="9">
        <v>-0.39836793905400714</v>
      </c>
    </row>
    <row r="31" spans="1:28" x14ac:dyDescent="0.25">
      <c r="A31" s="28">
        <v>21</v>
      </c>
      <c r="B31" s="39">
        <f t="shared" ca="1" si="4"/>
        <v>0.36486537328026203</v>
      </c>
      <c r="C31" s="39">
        <f t="shared" ca="1" si="5"/>
        <v>-0.34548372093969215</v>
      </c>
      <c r="D31" s="29">
        <f t="shared" ca="1" si="3"/>
        <v>-5.9139492608325187E-3</v>
      </c>
      <c r="E31" s="39">
        <f t="shared" ca="1" si="6"/>
        <v>927.84176694536131</v>
      </c>
      <c r="R31">
        <v>1319.619681872849</v>
      </c>
      <c r="S31" s="14">
        <f t="shared" si="0"/>
        <v>0.2773435752905013</v>
      </c>
      <c r="T31" s="9">
        <v>-0.39427689748762135</v>
      </c>
    </row>
    <row r="32" spans="1:28" x14ac:dyDescent="0.25">
      <c r="A32" s="28">
        <v>22</v>
      </c>
      <c r="B32" s="39">
        <f t="shared" ca="1" si="4"/>
        <v>0.36955834935242526</v>
      </c>
      <c r="C32" s="39">
        <f t="shared" ca="1" si="5"/>
        <v>-0.33302329537234232</v>
      </c>
      <c r="D32" s="29">
        <f t="shared" ca="1" si="3"/>
        <v>-5.678469351680814E-3</v>
      </c>
      <c r="E32" s="39">
        <f t="shared" ca="1" si="6"/>
        <v>922.58797676917118</v>
      </c>
      <c r="R32">
        <v>1157.0171628790879</v>
      </c>
      <c r="S32" s="14">
        <f t="shared" si="0"/>
        <v>0.14584528205059966</v>
      </c>
      <c r="T32" s="9">
        <v>-0.39092375476299263</v>
      </c>
    </row>
    <row r="33" spans="1:31" x14ac:dyDescent="0.25">
      <c r="A33" s="28">
        <v>23</v>
      </c>
      <c r="B33" s="39">
        <f t="shared" ca="1" si="4"/>
        <v>0.50879618355252176</v>
      </c>
      <c r="C33" s="39">
        <f t="shared" ca="1" si="5"/>
        <v>2.2050549198976744E-2</v>
      </c>
      <c r="D33" s="29">
        <f t="shared" ca="1" si="3"/>
        <v>1.0317955754571293E-3</v>
      </c>
      <c r="E33" s="39">
        <f t="shared" ca="1" si="6"/>
        <v>923.54039022507141</v>
      </c>
      <c r="R33">
        <v>755.5410602522785</v>
      </c>
      <c r="S33" s="14">
        <f t="shared" si="0"/>
        <v>-0.2803211502984117</v>
      </c>
      <c r="T33" s="9">
        <v>-0.38578947409804054</v>
      </c>
    </row>
    <row r="34" spans="1:31" x14ac:dyDescent="0.25">
      <c r="A34" s="28">
        <v>24</v>
      </c>
      <c r="B34" s="39">
        <f t="shared" ca="1" si="4"/>
        <v>0.89032104809444501</v>
      </c>
      <c r="C34" s="39">
        <f t="shared" ca="1" si="5"/>
        <v>1.2282372907400962</v>
      </c>
      <c r="D34" s="29">
        <f t="shared" ca="1" si="3"/>
        <v>2.3826582381322438E-2</v>
      </c>
      <c r="E34" s="39">
        <f t="shared" ca="1" si="6"/>
        <v>945.80944564387778</v>
      </c>
      <c r="R34">
        <v>1519.1403535183563</v>
      </c>
      <c r="S34" s="14">
        <f t="shared" si="0"/>
        <v>0.41814461797474134</v>
      </c>
      <c r="T34" s="9">
        <v>-0.38468278861786243</v>
      </c>
    </row>
    <row r="35" spans="1:31" x14ac:dyDescent="0.25">
      <c r="A35" s="28">
        <v>25</v>
      </c>
      <c r="B35" s="39">
        <f t="shared" ca="1" si="4"/>
        <v>0.1237906102136016</v>
      </c>
      <c r="C35" s="39">
        <f t="shared" ca="1" si="5"/>
        <v>-1.1562443584430782</v>
      </c>
      <c r="D35" s="29">
        <f t="shared" ca="1" si="3"/>
        <v>-2.1235885115362139E-2</v>
      </c>
      <c r="E35" s="39">
        <f t="shared" ca="1" si="6"/>
        <v>925.9361057358974</v>
      </c>
      <c r="R35">
        <v>1302.972901813622</v>
      </c>
      <c r="S35" s="14">
        <f t="shared" si="0"/>
        <v>0.26464850116023747</v>
      </c>
      <c r="T35" s="9">
        <v>-0.38226817316850215</v>
      </c>
    </row>
    <row r="36" spans="1:31" x14ac:dyDescent="0.25">
      <c r="A36" s="28">
        <v>26</v>
      </c>
      <c r="B36" s="39">
        <f t="shared" ca="1" si="4"/>
        <v>0.90131798552615583</v>
      </c>
      <c r="C36" s="39">
        <f t="shared" ca="1" si="5"/>
        <v>1.2890979707651098</v>
      </c>
      <c r="D36" s="29">
        <f t="shared" ca="1" si="3"/>
        <v>2.4976741123954312E-2</v>
      </c>
      <c r="E36" s="39">
        <f t="shared" ca="1" si="6"/>
        <v>949.35420868186804</v>
      </c>
      <c r="R36">
        <v>1488.9075008128953</v>
      </c>
      <c r="S36" s="14">
        <f t="shared" si="0"/>
        <v>0.39804263008848961</v>
      </c>
      <c r="T36" s="9">
        <v>-0.37432796097910526</v>
      </c>
    </row>
    <row r="37" spans="1:31" x14ac:dyDescent="0.25">
      <c r="A37" s="28">
        <v>27</v>
      </c>
      <c r="B37" s="39">
        <f t="shared" ca="1" si="4"/>
        <v>0.78198999366206845</v>
      </c>
      <c r="C37" s="39">
        <f t="shared" ca="1" si="5"/>
        <v>0.77893159231335152</v>
      </c>
      <c r="D37" s="29">
        <f t="shared" ca="1" si="3"/>
        <v>1.5335502805027072E-2</v>
      </c>
      <c r="E37" s="39">
        <f t="shared" ca="1" si="6"/>
        <v>964.02523910241666</v>
      </c>
      <c r="R37">
        <v>1323.689501486823</v>
      </c>
      <c r="S37" s="14">
        <f t="shared" si="0"/>
        <v>0.28042291451842211</v>
      </c>
      <c r="T37" s="9">
        <v>-0.36567645781893687</v>
      </c>
    </row>
    <row r="38" spans="1:31" x14ac:dyDescent="0.25">
      <c r="A38" s="28">
        <v>28</v>
      </c>
      <c r="B38" s="39">
        <f t="shared" ca="1" si="4"/>
        <v>8.6289734215936664E-2</v>
      </c>
      <c r="C38" s="39">
        <f t="shared" ca="1" si="5"/>
        <v>-1.3639621820423762</v>
      </c>
      <c r="D38" s="29">
        <f t="shared" ca="1" si="3"/>
        <v>-2.5161383001928758E-2</v>
      </c>
      <c r="E38" s="39">
        <f t="shared" ca="1" si="6"/>
        <v>940.07164731510443</v>
      </c>
      <c r="R38">
        <v>1560.7895779384298</v>
      </c>
      <c r="S38" s="14">
        <f t="shared" si="0"/>
        <v>0.44519183292007142</v>
      </c>
      <c r="T38" s="9">
        <v>-0.36352372330865385</v>
      </c>
    </row>
    <row r="39" spans="1:31" ht="25" x14ac:dyDescent="0.25">
      <c r="A39" s="28">
        <v>29</v>
      </c>
      <c r="B39" s="39">
        <f t="shared" ca="1" si="4"/>
        <v>5.9294029505342905E-2</v>
      </c>
      <c r="C39" s="39">
        <f t="shared" ca="1" si="5"/>
        <v>-1.5607275035933825</v>
      </c>
      <c r="D39" s="29">
        <f t="shared" ca="1" si="3"/>
        <v>-2.8879898055254618E-2</v>
      </c>
      <c r="E39" s="39">
        <f t="shared" ca="1" si="6"/>
        <v>913.31075979179229</v>
      </c>
      <c r="R39">
        <v>1026.3173098052359</v>
      </c>
      <c r="S39" s="14">
        <f t="shared" si="0"/>
        <v>2.5976967750854788E-2</v>
      </c>
      <c r="T39" s="9">
        <v>-0.36247280120677189</v>
      </c>
      <c r="V39" s="10" t="s">
        <v>41</v>
      </c>
      <c r="X39" s="10" t="s">
        <v>42</v>
      </c>
      <c r="AC39" s="23"/>
      <c r="AD39" s="54" t="s">
        <v>61</v>
      </c>
      <c r="AE39" s="54" t="s">
        <v>62</v>
      </c>
    </row>
    <row r="40" spans="1:31" x14ac:dyDescent="0.25">
      <c r="A40" s="28">
        <v>30</v>
      </c>
      <c r="B40" s="39">
        <f t="shared" ca="1" si="4"/>
        <v>0.78795503939219269</v>
      </c>
      <c r="C40" s="39">
        <f t="shared" ca="1" si="5"/>
        <v>0.79934581303166308</v>
      </c>
      <c r="D40" s="29">
        <f t="shared" ca="1" si="3"/>
        <v>1.5721295313811605E-2</v>
      </c>
      <c r="E40" s="39">
        <f t="shared" ca="1" si="6"/>
        <v>927.78264830591786</v>
      </c>
      <c r="R40">
        <v>1106.9438285797153</v>
      </c>
      <c r="S40" s="14">
        <f t="shared" si="0"/>
        <v>0.1016029104153357</v>
      </c>
      <c r="T40" s="9">
        <v>-0.36139180827826856</v>
      </c>
      <c r="U40" s="23"/>
      <c r="V40" s="24" t="s">
        <v>36</v>
      </c>
      <c r="W40" s="24" t="s">
        <v>28</v>
      </c>
      <c r="X40" s="24" t="s">
        <v>36</v>
      </c>
      <c r="Y40" s="24" t="s">
        <v>28</v>
      </c>
      <c r="AC40" s="23" t="s">
        <v>59</v>
      </c>
      <c r="AD40" s="55">
        <f>-_xlfn.PERCENTILE.INC(S4:S1003,1-99%)</f>
        <v>0.51768343985657961</v>
      </c>
      <c r="AE40" s="58">
        <f>-(E2+NORMSINV(1-99%)*E3)</f>
        <v>0.54290436221225213</v>
      </c>
    </row>
    <row r="41" spans="1:31" x14ac:dyDescent="0.25">
      <c r="A41" s="28">
        <v>31</v>
      </c>
      <c r="B41" s="39">
        <f t="shared" ca="1" si="4"/>
        <v>0.79068825248692209</v>
      </c>
      <c r="C41" s="39">
        <f t="shared" ca="1" si="5"/>
        <v>0.80881164831323249</v>
      </c>
      <c r="D41" s="29">
        <f t="shared" ca="1" si="3"/>
        <v>1.5900182786001131E-2</v>
      </c>
      <c r="E41" s="39">
        <f t="shared" ca="1" si="6"/>
        <v>942.65246512663543</v>
      </c>
      <c r="R41">
        <v>768.7528358901468</v>
      </c>
      <c r="S41" s="14">
        <f t="shared" si="0"/>
        <v>-0.26298577090542108</v>
      </c>
      <c r="T41" s="9">
        <v>-0.35240740284062694</v>
      </c>
      <c r="U41" s="24" t="s">
        <v>39</v>
      </c>
      <c r="V41" s="26">
        <f>+AVERAGE(R4:R1003)</f>
        <v>1221.4984002234758</v>
      </c>
      <c r="W41" s="25">
        <f>+AVERAGE(S4:S1003)</f>
        <v>0.15729911817193815</v>
      </c>
      <c r="X41" s="26">
        <f>+B2*EXP(B3)</f>
        <v>1221.4027581601699</v>
      </c>
      <c r="Y41" s="25">
        <f>+B3-0.5*B4^2</f>
        <v>0.15500000000000003</v>
      </c>
      <c r="AC41" s="23" t="s">
        <v>60</v>
      </c>
      <c r="AD41" s="56">
        <f>+AVERAGE(T4:T13)</f>
        <v>-0.6031233964716376</v>
      </c>
      <c r="AE41" s="57">
        <f>-(E2-E3*_xlfn.NORM.S.DIST(NORMSINV(1-99%),FALSE)/(1-99%))</f>
        <v>0.64456426610374162</v>
      </c>
    </row>
    <row r="42" spans="1:31" x14ac:dyDescent="0.25">
      <c r="A42" s="28">
        <v>32</v>
      </c>
      <c r="B42" s="39">
        <f t="shared" ca="1" si="4"/>
        <v>0.33316495589205897</v>
      </c>
      <c r="C42" s="39">
        <f t="shared" ca="1" si="5"/>
        <v>-0.43119043006121927</v>
      </c>
      <c r="D42" s="29">
        <f t="shared" ca="1" si="3"/>
        <v>-7.5336538181561743E-3</v>
      </c>
      <c r="E42" s="39">
        <f t="shared" ca="1" si="6"/>
        <v>935.57753129668208</v>
      </c>
      <c r="R42">
        <v>1288.3551469336342</v>
      </c>
      <c r="S42" s="14">
        <f t="shared" si="0"/>
        <v>0.25336632487111993</v>
      </c>
      <c r="T42" s="9">
        <v>-0.34779588278389506</v>
      </c>
      <c r="U42" s="24" t="s">
        <v>40</v>
      </c>
      <c r="V42" s="26">
        <f>+STDEVA(R4:R1003)</f>
        <v>366.95118144791559</v>
      </c>
      <c r="W42" s="25">
        <f>+STDEVA(S4:S1003)</f>
        <v>0.29207751063841447</v>
      </c>
      <c r="X42" s="26">
        <f>+B2*EXP(B3)*(EXP(B4^2)-1)^0.5</f>
        <v>374.82198750087855</v>
      </c>
      <c r="Y42" s="25">
        <f>+B4</f>
        <v>0.3</v>
      </c>
    </row>
    <row r="43" spans="1:31" x14ac:dyDescent="0.25">
      <c r="A43" s="28">
        <v>33</v>
      </c>
      <c r="B43" s="39">
        <f t="shared" ca="1" si="4"/>
        <v>0.94353487914443834</v>
      </c>
      <c r="C43" s="39">
        <f t="shared" ca="1" si="5"/>
        <v>1.5851588747948218</v>
      </c>
      <c r="D43" s="29">
        <f t="shared" ca="1" si="3"/>
        <v>3.0571766302465584E-2</v>
      </c>
      <c r="E43" s="39">
        <f t="shared" ca="1" si="6"/>
        <v>964.62148940658869</v>
      </c>
      <c r="R43">
        <v>1249.1831550087309</v>
      </c>
      <c r="S43" s="14">
        <f t="shared" si="0"/>
        <v>0.222489861712694</v>
      </c>
      <c r="T43" s="9">
        <v>-0.34335146082200041</v>
      </c>
    </row>
    <row r="44" spans="1:31" x14ac:dyDescent="0.25">
      <c r="A44" s="28">
        <v>34</v>
      </c>
      <c r="B44" s="39">
        <f t="shared" ca="1" si="4"/>
        <v>0.37033048497040777</v>
      </c>
      <c r="C44" s="39">
        <f t="shared" ca="1" si="5"/>
        <v>-0.33097817661636042</v>
      </c>
      <c r="D44" s="29">
        <f t="shared" ca="1" si="3"/>
        <v>-5.6398202400385145E-3</v>
      </c>
      <c r="E44" s="39">
        <f t="shared" ca="1" si="6"/>
        <v>959.19650994076517</v>
      </c>
      <c r="R44">
        <v>1342.877634014493</v>
      </c>
      <c r="S44" s="14">
        <f t="shared" si="0"/>
        <v>0.29481479947671668</v>
      </c>
      <c r="T44" s="9">
        <v>-0.34200531181123173</v>
      </c>
    </row>
    <row r="45" spans="1:31" x14ac:dyDescent="0.25">
      <c r="A45" s="28">
        <v>35</v>
      </c>
      <c r="B45" s="39">
        <f t="shared" ca="1" si="4"/>
        <v>0.31525710254615857</v>
      </c>
      <c r="C45" s="39">
        <f t="shared" ca="1" si="5"/>
        <v>-0.48100322717873517</v>
      </c>
      <c r="D45" s="29">
        <f t="shared" ca="1" si="3"/>
        <v>-8.4750271987380464E-3</v>
      </c>
      <c r="E45" s="39">
        <f t="shared" ca="1" si="6"/>
        <v>951.10164398646918</v>
      </c>
      <c r="R45">
        <v>1022.9143219000007</v>
      </c>
      <c r="S45" s="14">
        <f t="shared" si="0"/>
        <v>2.2655731653704981E-2</v>
      </c>
      <c r="T45" s="9">
        <v>-0.34130629986500799</v>
      </c>
      <c r="X45" s="59"/>
      <c r="Y45" s="60"/>
    </row>
    <row r="46" spans="1:31" x14ac:dyDescent="0.25">
      <c r="A46" s="28">
        <v>36</v>
      </c>
      <c r="B46" s="39">
        <f t="shared" ca="1" si="4"/>
        <v>0.82377671214249892</v>
      </c>
      <c r="C46" s="39">
        <f t="shared" ca="1" si="5"/>
        <v>0.92985420668339325</v>
      </c>
      <c r="D46" s="29">
        <f t="shared" ca="1" si="3"/>
        <v>1.8187672125304453E-2</v>
      </c>
      <c r="E46" s="39">
        <f t="shared" ca="1" si="6"/>
        <v>968.55823501729242</v>
      </c>
      <c r="R46">
        <v>1370.7985860215776</v>
      </c>
      <c r="S46" s="14">
        <f t="shared" si="0"/>
        <v>0.31539347951908153</v>
      </c>
      <c r="T46" s="9">
        <v>-0.3397526933908942</v>
      </c>
      <c r="X46" s="59"/>
      <c r="Y46" s="61"/>
    </row>
    <row r="47" spans="1:31" x14ac:dyDescent="0.25">
      <c r="A47" s="28">
        <v>37</v>
      </c>
      <c r="B47" s="39">
        <f t="shared" ca="1" si="4"/>
        <v>0.19162179554226877</v>
      </c>
      <c r="C47" s="39">
        <f t="shared" ca="1" si="5"/>
        <v>-0.87193545351275692</v>
      </c>
      <c r="D47" s="29">
        <f t="shared" ca="1" si="3"/>
        <v>-1.5862951844171174E-2</v>
      </c>
      <c r="E47" s="39">
        <f t="shared" ca="1" si="6"/>
        <v>953.31526129125984</v>
      </c>
      <c r="R47">
        <v>1142.5107234405145</v>
      </c>
      <c r="S47" s="14">
        <f t="shared" si="0"/>
        <v>0.13322822968573259</v>
      </c>
      <c r="T47" s="9">
        <v>-0.33870438770306238</v>
      </c>
      <c r="X47" s="59"/>
      <c r="Y47" s="60"/>
    </row>
    <row r="48" spans="1:31" x14ac:dyDescent="0.25">
      <c r="A48" s="28">
        <v>38</v>
      </c>
      <c r="B48" s="39">
        <f t="shared" ca="1" si="4"/>
        <v>0.89117140906824865</v>
      </c>
      <c r="C48" s="39">
        <f t="shared" ca="1" si="5"/>
        <v>1.2327818039585301</v>
      </c>
      <c r="D48" s="29">
        <f t="shared" ca="1" si="3"/>
        <v>2.3912465608506881E-2</v>
      </c>
      <c r="E48" s="39">
        <f t="shared" ca="1" si="6"/>
        <v>976.3861209322713</v>
      </c>
      <c r="R48">
        <v>1410.3422216522597</v>
      </c>
      <c r="S48" s="14">
        <f t="shared" si="0"/>
        <v>0.34383238533234833</v>
      </c>
      <c r="T48" s="9">
        <v>-0.33837304329676832</v>
      </c>
      <c r="X48" s="3"/>
      <c r="Y48" s="3"/>
    </row>
    <row r="49" spans="1:20" x14ac:dyDescent="0.25">
      <c r="A49" s="28">
        <v>39</v>
      </c>
      <c r="B49" s="39">
        <f t="shared" ca="1" si="4"/>
        <v>0.29594154855407329</v>
      </c>
      <c r="C49" s="39">
        <f t="shared" ca="1" si="5"/>
        <v>-0.53610917838154537</v>
      </c>
      <c r="D49" s="29">
        <f t="shared" ca="1" si="3"/>
        <v>-9.5164317890401653E-3</v>
      </c>
      <c r="E49" s="39">
        <f t="shared" ca="1" si="6"/>
        <v>967.13848107028866</v>
      </c>
      <c r="R49">
        <v>1194.4894261474553</v>
      </c>
      <c r="S49" s="14">
        <f t="shared" si="0"/>
        <v>0.17771883562856139</v>
      </c>
      <c r="T49" s="9">
        <v>-0.33608311602782215</v>
      </c>
    </row>
    <row r="50" spans="1:20" x14ac:dyDescent="0.25">
      <c r="A50" s="28">
        <v>40</v>
      </c>
      <c r="B50" s="39">
        <f t="shared" ca="1" si="4"/>
        <v>0.4889084859110846</v>
      </c>
      <c r="C50" s="39">
        <f t="shared" ca="1" si="5"/>
        <v>-2.7805885508324312E-2</v>
      </c>
      <c r="D50" s="29">
        <f t="shared" ca="1" si="3"/>
        <v>8.9597521943929771E-5</v>
      </c>
      <c r="E50" s="39">
        <f t="shared" ca="1" si="6"/>
        <v>967.22513816364153</v>
      </c>
      <c r="R50">
        <v>1378.1049851758792</v>
      </c>
      <c r="S50" s="14">
        <f t="shared" si="0"/>
        <v>0.32070935631922359</v>
      </c>
      <c r="T50" s="9">
        <v>-0.33600015366375402</v>
      </c>
    </row>
    <row r="51" spans="1:20" x14ac:dyDescent="0.25">
      <c r="A51" s="28">
        <v>41</v>
      </c>
      <c r="B51" s="39">
        <f t="shared" ca="1" si="4"/>
        <v>2.21253287803439E-2</v>
      </c>
      <c r="C51" s="39">
        <f t="shared" ca="1" si="5"/>
        <v>-2.0117086565663844</v>
      </c>
      <c r="D51" s="29">
        <f t="shared" ca="1" si="3"/>
        <v>-3.7402640746281336E-2</v>
      </c>
      <c r="E51" s="39">
        <f t="shared" ca="1" si="6"/>
        <v>931.71656057183918</v>
      </c>
      <c r="R51">
        <v>817.03798782807633</v>
      </c>
      <c r="S51" s="14">
        <f t="shared" si="0"/>
        <v>-0.20206968847348197</v>
      </c>
      <c r="T51" s="9">
        <v>-0.33179210318938684</v>
      </c>
    </row>
    <row r="52" spans="1:20" x14ac:dyDescent="0.25">
      <c r="A52" s="28">
        <v>42</v>
      </c>
      <c r="B52" s="39">
        <f t="shared" ca="1" si="4"/>
        <v>0.90957303063257688</v>
      </c>
      <c r="C52" s="39">
        <f t="shared" ca="1" si="5"/>
        <v>1.3381303807321894</v>
      </c>
      <c r="D52" s="29">
        <f t="shared" ca="1" si="3"/>
        <v>2.5903366573633291E-2</v>
      </c>
      <c r="E52" s="39">
        <f t="shared" ca="1" si="6"/>
        <v>956.16645638036368</v>
      </c>
      <c r="R52">
        <v>1191.3620130575664</v>
      </c>
      <c r="S52" s="14">
        <f t="shared" si="0"/>
        <v>0.17509720141469962</v>
      </c>
      <c r="T52" s="9">
        <v>-0.33167178291919736</v>
      </c>
    </row>
    <row r="53" spans="1:20" x14ac:dyDescent="0.25">
      <c r="A53" s="28">
        <v>43</v>
      </c>
      <c r="B53" s="39">
        <f t="shared" ca="1" si="4"/>
        <v>0.75757315610699305</v>
      </c>
      <c r="C53" s="39">
        <f t="shared" ca="1" si="5"/>
        <v>0.69851738769346494</v>
      </c>
      <c r="D53" s="29">
        <f t="shared" ca="1" si="3"/>
        <v>1.3815817181446493E-2</v>
      </c>
      <c r="E53" s="39">
        <f t="shared" ca="1" si="6"/>
        <v>969.46835404526189</v>
      </c>
      <c r="R53">
        <v>1390.5653922034016</v>
      </c>
      <c r="S53" s="14">
        <f t="shared" si="0"/>
        <v>0.32971042142027007</v>
      </c>
      <c r="T53" s="9">
        <v>-0.3225877059525834</v>
      </c>
    </row>
    <row r="54" spans="1:20" x14ac:dyDescent="0.25">
      <c r="A54" s="28">
        <v>44</v>
      </c>
      <c r="B54" s="39">
        <f t="shared" ca="1" si="4"/>
        <v>0.97565871523120351</v>
      </c>
      <c r="C54" s="39">
        <f t="shared" ca="1" si="5"/>
        <v>1.9713612543853172</v>
      </c>
      <c r="D54" s="29">
        <f t="shared" ca="1" si="3"/>
        <v>3.7870305246307148E-2</v>
      </c>
      <c r="E54" s="39">
        <f t="shared" ca="1" si="6"/>
        <v>1006.8864622737532</v>
      </c>
      <c r="R54">
        <v>1499.1976760908906</v>
      </c>
      <c r="S54" s="14">
        <f t="shared" si="0"/>
        <v>0.40493008240135991</v>
      </c>
      <c r="T54" s="9">
        <v>-0.32050309476739958</v>
      </c>
    </row>
    <row r="55" spans="1:20" x14ac:dyDescent="0.25">
      <c r="A55" s="28">
        <v>45</v>
      </c>
      <c r="B55" s="39">
        <f t="shared" ca="1" si="4"/>
        <v>0.52538957332375957</v>
      </c>
      <c r="C55" s="39">
        <f t="shared" ca="1" si="5"/>
        <v>6.3685245411201047E-2</v>
      </c>
      <c r="D55" s="29">
        <f t="shared" ca="1" si="3"/>
        <v>1.8186173760947606E-3</v>
      </c>
      <c r="E55" s="39">
        <f t="shared" ca="1" si="6"/>
        <v>1008.7192695722514</v>
      </c>
      <c r="R55">
        <v>748.15330963787505</v>
      </c>
      <c r="S55" s="14">
        <f t="shared" si="0"/>
        <v>-0.29014736260004598</v>
      </c>
      <c r="T55" s="9">
        <v>-0.3203828510448774</v>
      </c>
    </row>
    <row r="56" spans="1:20" x14ac:dyDescent="0.25">
      <c r="A56" s="28">
        <v>46</v>
      </c>
      <c r="B56" s="39">
        <f t="shared" ca="1" si="4"/>
        <v>0.23319957176213979</v>
      </c>
      <c r="C56" s="39">
        <f t="shared" ca="1" si="5"/>
        <v>-0.72835035740428777</v>
      </c>
      <c r="D56" s="29">
        <f t="shared" ca="1" si="3"/>
        <v>-1.3149448585040331E-2</v>
      </c>
      <c r="E56" s="39">
        <f t="shared" ca="1" si="6"/>
        <v>995.54199422342799</v>
      </c>
      <c r="R56">
        <v>1095.1681147507336</v>
      </c>
      <c r="S56" s="14">
        <f t="shared" si="0"/>
        <v>9.0907880936748536E-2</v>
      </c>
      <c r="T56" s="9">
        <v>-0.31125432139019521</v>
      </c>
    </row>
    <row r="57" spans="1:20" x14ac:dyDescent="0.25">
      <c r="A57" s="28">
        <v>47</v>
      </c>
      <c r="B57" s="39">
        <f t="shared" ca="1" si="4"/>
        <v>0.45093206305191769</v>
      </c>
      <c r="C57" s="39">
        <f t="shared" ca="1" si="5"/>
        <v>-0.12330683814283892</v>
      </c>
      <c r="D57" s="29">
        <f t="shared" ca="1" si="3"/>
        <v>-1.7152008397752448E-3</v>
      </c>
      <c r="E57" s="39">
        <f t="shared" ca="1" si="6"/>
        <v>993.83590332144263</v>
      </c>
      <c r="R57">
        <v>796.91199909963143</v>
      </c>
      <c r="S57" s="14">
        <f t="shared" si="0"/>
        <v>-0.22701102147052174</v>
      </c>
      <c r="T57" s="9">
        <v>-0.31108403471893981</v>
      </c>
    </row>
    <row r="58" spans="1:20" x14ac:dyDescent="0.25">
      <c r="A58" s="28">
        <v>48</v>
      </c>
      <c r="B58" s="39">
        <f t="shared" ca="1" si="4"/>
        <v>0.79450664601391585</v>
      </c>
      <c r="C58" s="39">
        <f t="shared" ca="1" si="5"/>
        <v>0.82215847632544281</v>
      </c>
      <c r="D58" s="29">
        <f t="shared" ca="1" si="3"/>
        <v>1.6152414126800126E-2</v>
      </c>
      <c r="E58" s="39">
        <f t="shared" ca="1" si="6"/>
        <v>1010.0190993996735</v>
      </c>
      <c r="R58">
        <v>1649.0438385558223</v>
      </c>
      <c r="S58" s="14">
        <f t="shared" si="0"/>
        <v>0.50019562815788032</v>
      </c>
      <c r="T58" s="9">
        <v>-0.31019248556121581</v>
      </c>
    </row>
    <row r="59" spans="1:20" x14ac:dyDescent="0.25">
      <c r="A59" s="28">
        <v>49</v>
      </c>
      <c r="B59" s="39">
        <f t="shared" ca="1" si="4"/>
        <v>0.10076222560652648</v>
      </c>
      <c r="C59" s="39">
        <f t="shared" ca="1" si="5"/>
        <v>-1.2772203874671528</v>
      </c>
      <c r="D59" s="29">
        <f t="shared" ca="1" si="3"/>
        <v>-2.3522117168203811E-2</v>
      </c>
      <c r="E59" s="39">
        <f t="shared" ca="1" si="6"/>
        <v>986.53855053170957</v>
      </c>
      <c r="R59">
        <v>674.16735514622883</v>
      </c>
      <c r="S59" s="14">
        <f t="shared" si="0"/>
        <v>-0.39427689748762135</v>
      </c>
      <c r="T59" s="9">
        <v>-0.29861668667517427</v>
      </c>
    </row>
    <row r="60" spans="1:20" x14ac:dyDescent="0.25">
      <c r="A60" s="28">
        <v>50</v>
      </c>
      <c r="B60" s="39">
        <f t="shared" ca="1" si="4"/>
        <v>0.92623224175553731</v>
      </c>
      <c r="C60" s="39">
        <f t="shared" ca="1" si="5"/>
        <v>1.4482915979156732</v>
      </c>
      <c r="D60" s="29">
        <f t="shared" ca="1" si="3"/>
        <v>2.7985217893573815E-2</v>
      </c>
      <c r="E60" s="39">
        <f t="shared" ca="1" si="6"/>
        <v>1014.5369907775629</v>
      </c>
      <c r="R60">
        <v>1092.6754532402088</v>
      </c>
      <c r="S60" s="14">
        <f t="shared" si="0"/>
        <v>8.8629233024682091E-2</v>
      </c>
      <c r="T60" s="9">
        <v>-0.29708633581095745</v>
      </c>
    </row>
    <row r="61" spans="1:20" x14ac:dyDescent="0.25">
      <c r="A61" s="28">
        <v>51</v>
      </c>
      <c r="B61" s="39">
        <f t="shared" ca="1" si="4"/>
        <v>0.197707618829845</v>
      </c>
      <c r="C61" s="39">
        <f t="shared" ca="1" si="5"/>
        <v>-0.84983785952576318</v>
      </c>
      <c r="D61" s="29">
        <f t="shared" ca="1" si="3"/>
        <v>-1.5445346570867871E-2</v>
      </c>
      <c r="E61" s="39">
        <f t="shared" ca="1" si="6"/>
        <v>998.98750804180679</v>
      </c>
      <c r="R61">
        <v>636.18034120380116</v>
      </c>
      <c r="S61" s="14">
        <f t="shared" si="0"/>
        <v>-0.45227320048434705</v>
      </c>
      <c r="T61" s="9">
        <v>-0.29433601997958331</v>
      </c>
    </row>
    <row r="62" spans="1:20" x14ac:dyDescent="0.25">
      <c r="A62" s="28">
        <v>52</v>
      </c>
      <c r="B62" s="39">
        <f t="shared" ca="1" si="4"/>
        <v>0.33244299165931879</v>
      </c>
      <c r="C62" s="39">
        <f t="shared" ca="1" si="5"/>
        <v>-0.43317727997925465</v>
      </c>
      <c r="D62" s="29">
        <f t="shared" ca="1" si="3"/>
        <v>-7.5712017522671076E-3</v>
      </c>
      <c r="E62" s="39">
        <f t="shared" ca="1" si="6"/>
        <v>991.45253247451319</v>
      </c>
      <c r="R62">
        <v>1280.8741035544083</v>
      </c>
      <c r="S62" s="14">
        <f t="shared" si="0"/>
        <v>0.24754273826780801</v>
      </c>
      <c r="T62" s="9">
        <v>-0.29313319779668945</v>
      </c>
    </row>
    <row r="63" spans="1:20" x14ac:dyDescent="0.25">
      <c r="A63" s="28">
        <v>53</v>
      </c>
      <c r="B63" s="39">
        <f t="shared" ca="1" si="4"/>
        <v>0.15775368035448911</v>
      </c>
      <c r="C63" s="39">
        <f t="shared" ref="C63:C126" ca="1" si="7">NORMSINV(B63)</f>
        <v>-1.0037329287519485</v>
      </c>
      <c r="D63" s="29">
        <f t="shared" ca="1" si="3"/>
        <v>-1.8353690007807559E-2</v>
      </c>
      <c r="E63" s="39">
        <f t="shared" ref="E63:E126" ca="1" si="8">+EXP(D63)*E62</f>
        <v>973.42169241036947</v>
      </c>
      <c r="R63">
        <v>862.01358405270435</v>
      </c>
      <c r="S63" s="14">
        <f t="shared" si="0"/>
        <v>-0.14848424968077395</v>
      </c>
      <c r="T63" s="9">
        <v>-0.29212558256974508</v>
      </c>
    </row>
    <row r="64" spans="1:20" x14ac:dyDescent="0.25">
      <c r="A64" s="28">
        <v>54</v>
      </c>
      <c r="B64" s="39">
        <f t="shared" ca="1" si="4"/>
        <v>0.71417409133010401</v>
      </c>
      <c r="C64" s="39">
        <f t="shared" ca="1" si="7"/>
        <v>0.56562045837915975</v>
      </c>
      <c r="D64" s="29">
        <f t="shared" ca="1" si="3"/>
        <v>1.1304301288805199E-2</v>
      </c>
      <c r="E64" s="39">
        <f t="shared" ca="1" si="8"/>
        <v>984.48797495456881</v>
      </c>
      <c r="R64">
        <v>1157.0542573305459</v>
      </c>
      <c r="S64" s="14">
        <f t="shared" si="0"/>
        <v>0.14587734195258631</v>
      </c>
      <c r="T64" s="9">
        <v>-0.29072892486896634</v>
      </c>
    </row>
    <row r="65" spans="1:20" x14ac:dyDescent="0.25">
      <c r="A65" s="28">
        <v>55</v>
      </c>
      <c r="B65" s="39">
        <f t="shared" ca="1" si="4"/>
        <v>0.70935383652420658</v>
      </c>
      <c r="C65" s="39">
        <f t="shared" ca="1" si="7"/>
        <v>0.55149801512477703</v>
      </c>
      <c r="D65" s="29">
        <f t="shared" ca="1" si="3"/>
        <v>1.1037412197692924E-2</v>
      </c>
      <c r="E65" s="39">
        <f t="shared" ca="1" si="8"/>
        <v>995.41436313802706</v>
      </c>
      <c r="R65">
        <v>1033.9554942923271</v>
      </c>
      <c r="S65" s="14">
        <f t="shared" si="0"/>
        <v>3.3391732889415521E-2</v>
      </c>
      <c r="T65" s="9">
        <v>-0.29014736260004598</v>
      </c>
    </row>
    <row r="66" spans="1:20" x14ac:dyDescent="0.25">
      <c r="A66" s="28">
        <v>56</v>
      </c>
      <c r="B66" s="39">
        <f t="shared" ca="1" si="4"/>
        <v>0.3744917407722077</v>
      </c>
      <c r="C66" s="39">
        <f t="shared" ca="1" si="7"/>
        <v>-0.31998001355885503</v>
      </c>
      <c r="D66" s="29">
        <f t="shared" ca="1" si="3"/>
        <v>-5.4319744948335353E-3</v>
      </c>
      <c r="E66" s="39">
        <f t="shared" ca="1" si="8"/>
        <v>990.02195667204296</v>
      </c>
      <c r="R66">
        <v>1043.554156626348</v>
      </c>
      <c r="S66" s="14">
        <f t="shared" si="0"/>
        <v>4.2632345207431484E-2</v>
      </c>
      <c r="T66" s="9">
        <v>-0.28867706896822748</v>
      </c>
    </row>
    <row r="67" spans="1:20" x14ac:dyDescent="0.25">
      <c r="A67" s="28">
        <v>57</v>
      </c>
      <c r="B67" s="39">
        <f t="shared" ca="1" si="4"/>
        <v>0.30947868794766176</v>
      </c>
      <c r="C67" s="39">
        <f t="shared" ca="1" si="7"/>
        <v>-0.49732855850067204</v>
      </c>
      <c r="D67" s="29">
        <f t="shared" ca="1" si="3"/>
        <v>-8.7835469612278921E-3</v>
      </c>
      <c r="E67" s="39">
        <f t="shared" ca="1" si="8"/>
        <v>981.36413119433462</v>
      </c>
      <c r="R67">
        <v>917.47785758865086</v>
      </c>
      <c r="S67" s="14">
        <f t="shared" si="0"/>
        <v>-8.6126832762991531E-2</v>
      </c>
      <c r="T67" s="9">
        <v>-0.28254993506341525</v>
      </c>
    </row>
    <row r="68" spans="1:20" x14ac:dyDescent="0.25">
      <c r="A68" s="28">
        <v>58</v>
      </c>
      <c r="B68" s="39">
        <f t="shared" ca="1" si="4"/>
        <v>0.20362019467161085</v>
      </c>
      <c r="C68" s="39">
        <f t="shared" ca="1" si="7"/>
        <v>-0.82875971261656634</v>
      </c>
      <c r="D68" s="29">
        <f t="shared" ca="1" si="3"/>
        <v>-1.504700703644059E-2</v>
      </c>
      <c r="E68" s="39">
        <f t="shared" ca="1" si="8"/>
        <v>966.70807958773526</v>
      </c>
      <c r="R68">
        <v>1197.0637727280998</v>
      </c>
      <c r="S68" s="14">
        <f t="shared" ref="S68:S131" si="9">+LN(R68/$B$2)</f>
        <v>0.17987170228957544</v>
      </c>
      <c r="T68" s="9">
        <v>-0.2803211502984117</v>
      </c>
    </row>
    <row r="69" spans="1:20" x14ac:dyDescent="0.25">
      <c r="A69" s="28">
        <v>59</v>
      </c>
      <c r="B69" s="39">
        <f t="shared" ca="1" si="4"/>
        <v>0.803567700458239</v>
      </c>
      <c r="C69" s="39">
        <f t="shared" ca="1" si="7"/>
        <v>0.8544339366378696</v>
      </c>
      <c r="D69" s="29">
        <f t="shared" ca="1" si="3"/>
        <v>1.6762362994205953E-2</v>
      </c>
      <c r="E69" s="39">
        <f t="shared" ca="1" si="8"/>
        <v>983.04896463492855</v>
      </c>
      <c r="R69">
        <v>1110.5994993491663</v>
      </c>
      <c r="S69" s="14">
        <f t="shared" si="9"/>
        <v>0.10489995903215305</v>
      </c>
      <c r="T69" s="9">
        <v>-0.27923694997021042</v>
      </c>
    </row>
    <row r="70" spans="1:20" x14ac:dyDescent="0.25">
      <c r="A70" s="28">
        <v>60</v>
      </c>
      <c r="B70" s="39">
        <f t="shared" ca="1" si="4"/>
        <v>9.8285703770916388E-2</v>
      </c>
      <c r="C70" s="39">
        <f t="shared" ca="1" si="7"/>
        <v>-1.2913815428749691</v>
      </c>
      <c r="D70" s="29">
        <f t="shared" ca="1" si="3"/>
        <v>-2.3789737850249661E-2</v>
      </c>
      <c r="E70" s="39">
        <f t="shared" ca="1" si="8"/>
        <v>959.93847367445676</v>
      </c>
      <c r="R70">
        <v>1143.946908450481</v>
      </c>
      <c r="S70" s="14">
        <f t="shared" si="9"/>
        <v>0.13448448318355724</v>
      </c>
      <c r="T70" s="9">
        <v>-0.2718385484999748</v>
      </c>
    </row>
    <row r="71" spans="1:20" x14ac:dyDescent="0.25">
      <c r="A71" s="28">
        <v>61</v>
      </c>
      <c r="B71" s="39">
        <f t="shared" ca="1" si="4"/>
        <v>0.63264542925594758</v>
      </c>
      <c r="C71" s="39">
        <f t="shared" ca="1" si="7"/>
        <v>0.3388680404378876</v>
      </c>
      <c r="D71" s="29">
        <f t="shared" ca="1" si="3"/>
        <v>7.0190833812681496E-3</v>
      </c>
      <c r="E71" s="39">
        <f t="shared" ca="1" si="8"/>
        <v>966.70006418530795</v>
      </c>
      <c r="R71">
        <v>1129.9455388518736</v>
      </c>
      <c r="S71" s="14">
        <f t="shared" si="9"/>
        <v>0.12216943585649223</v>
      </c>
      <c r="T71" s="9">
        <v>-0.27029919641584899</v>
      </c>
    </row>
    <row r="72" spans="1:20" x14ac:dyDescent="0.25">
      <c r="A72" s="28">
        <v>62</v>
      </c>
      <c r="B72" s="39">
        <f t="shared" ca="1" si="4"/>
        <v>5.927682959504299E-3</v>
      </c>
      <c r="C72" s="39">
        <f t="shared" ca="1" si="7"/>
        <v>-2.5164204517972677</v>
      </c>
      <c r="D72" s="29">
        <f t="shared" ca="1" si="3"/>
        <v>-4.6940797131580426E-2</v>
      </c>
      <c r="E72" s="39">
        <f t="shared" ca="1" si="8"/>
        <v>922.370953878808</v>
      </c>
      <c r="R72">
        <v>1310.4367396094933</v>
      </c>
      <c r="S72" s="14">
        <f t="shared" si="9"/>
        <v>0.27036047066617175</v>
      </c>
      <c r="T72" s="9">
        <v>-0.27007812229411626</v>
      </c>
    </row>
    <row r="73" spans="1:20" x14ac:dyDescent="0.25">
      <c r="A73" s="28">
        <v>63</v>
      </c>
      <c r="B73" s="39">
        <f t="shared" ca="1" si="4"/>
        <v>0.3140739932429838</v>
      </c>
      <c r="C73" s="39">
        <f t="shared" ca="1" si="7"/>
        <v>-0.48433521694390674</v>
      </c>
      <c r="D73" s="29">
        <f t="shared" ca="1" si="3"/>
        <v>-8.5379958865213074E-3</v>
      </c>
      <c r="E73" s="39">
        <f t="shared" ca="1" si="8"/>
        <v>914.52927820248362</v>
      </c>
      <c r="R73">
        <v>1281.8890289191297</v>
      </c>
      <c r="S73" s="14">
        <f t="shared" si="9"/>
        <v>0.24833479384635193</v>
      </c>
      <c r="T73" s="9">
        <v>-0.26596304505621393</v>
      </c>
    </row>
    <row r="74" spans="1:20" x14ac:dyDescent="0.25">
      <c r="A74" s="28">
        <v>64</v>
      </c>
      <c r="B74" s="39">
        <f t="shared" ca="1" si="4"/>
        <v>0.60946066917398589</v>
      </c>
      <c r="C74" s="39">
        <f t="shared" ca="1" si="7"/>
        <v>0.27791362874083225</v>
      </c>
      <c r="D74" s="29">
        <f t="shared" ca="1" si="3"/>
        <v>5.8671532765349E-3</v>
      </c>
      <c r="E74" s="39">
        <f t="shared" ca="1" si="8"/>
        <v>919.91073312666015</v>
      </c>
      <c r="R74">
        <v>965.43161942922211</v>
      </c>
      <c r="S74" s="14">
        <f t="shared" si="9"/>
        <v>-3.5180003620440013E-2</v>
      </c>
      <c r="T74" s="9">
        <v>-0.26298577090542108</v>
      </c>
    </row>
    <row r="75" spans="1:20" x14ac:dyDescent="0.25">
      <c r="A75" s="28">
        <v>65</v>
      </c>
      <c r="B75" s="39">
        <f t="shared" ca="1" si="4"/>
        <v>0.97157367846620779</v>
      </c>
      <c r="C75" s="39">
        <f t="shared" ca="1" si="7"/>
        <v>1.9044420044199579</v>
      </c>
      <c r="D75" s="29">
        <f t="shared" ref="D75:D138" ca="1" si="10">+$E$2*$B$5+C75*$E$3*$B$5^0.5</f>
        <v>3.660565029394066E-2</v>
      </c>
      <c r="E75" s="39">
        <f t="shared" ca="1" si="8"/>
        <v>954.2085814809725</v>
      </c>
      <c r="R75">
        <v>1682.6462050639668</v>
      </c>
      <c r="S75" s="14">
        <f t="shared" si="9"/>
        <v>0.52036767627339164</v>
      </c>
      <c r="T75" s="9">
        <v>-0.26246772604152185</v>
      </c>
    </row>
    <row r="76" spans="1:20" x14ac:dyDescent="0.25">
      <c r="A76" s="28">
        <v>66</v>
      </c>
      <c r="B76" s="39">
        <f t="shared" ref="B76:B139" ca="1" si="11">RAND()</f>
        <v>2.2461662466619181E-2</v>
      </c>
      <c r="C76" s="39">
        <f t="shared" ca="1" si="7"/>
        <v>-2.0053716989551011</v>
      </c>
      <c r="D76" s="29">
        <f t="shared" ca="1" si="10"/>
        <v>-3.7282883504079808E-2</v>
      </c>
      <c r="E76" s="39">
        <f t="shared" ca="1" si="8"/>
        <v>919.28794993635586</v>
      </c>
      <c r="R76">
        <v>1111.6400864636516</v>
      </c>
      <c r="S76" s="14">
        <f t="shared" si="9"/>
        <v>0.10583648018602348</v>
      </c>
      <c r="T76" s="9">
        <v>-0.26156987283528293</v>
      </c>
    </row>
    <row r="77" spans="1:20" x14ac:dyDescent="0.25">
      <c r="A77" s="28">
        <v>67</v>
      </c>
      <c r="B77" s="39">
        <f t="shared" ca="1" si="11"/>
        <v>0.22963519582979008</v>
      </c>
      <c r="C77" s="39">
        <f t="shared" ca="1" si="7"/>
        <v>-0.7400487874917957</v>
      </c>
      <c r="D77" s="29">
        <f t="shared" ca="1" si="10"/>
        <v>-1.3370528133193343E-2</v>
      </c>
      <c r="E77" s="39">
        <f t="shared" ca="1" si="8"/>
        <v>907.07839056020191</v>
      </c>
      <c r="R77">
        <v>1285.2665607471311</v>
      </c>
      <c r="S77" s="14">
        <f t="shared" si="9"/>
        <v>0.25096613710456617</v>
      </c>
      <c r="T77" s="9">
        <v>-0.25910649837748467</v>
      </c>
    </row>
    <row r="78" spans="1:20" x14ac:dyDescent="0.25">
      <c r="A78" s="28">
        <v>68</v>
      </c>
      <c r="B78" s="39">
        <f t="shared" ca="1" si="11"/>
        <v>0.24350367530863715</v>
      </c>
      <c r="C78" s="39">
        <f t="shared" ca="1" si="7"/>
        <v>-0.69507651669085591</v>
      </c>
      <c r="D78" s="29">
        <f t="shared" ca="1" si="10"/>
        <v>-1.2520632101528069E-2</v>
      </c>
      <c r="E78" s="39">
        <f t="shared" ca="1" si="8"/>
        <v>895.79199956282787</v>
      </c>
      <c r="R78">
        <v>1806.6591848006269</v>
      </c>
      <c r="S78" s="14">
        <f t="shared" si="9"/>
        <v>0.59147938552060453</v>
      </c>
      <c r="T78" s="9">
        <v>-0.25848432593549442</v>
      </c>
    </row>
    <row r="79" spans="1:20" x14ac:dyDescent="0.25">
      <c r="A79" s="28">
        <v>69</v>
      </c>
      <c r="B79" s="39">
        <f t="shared" ca="1" si="11"/>
        <v>0.71403043201636662</v>
      </c>
      <c r="C79" s="39">
        <f t="shared" ca="1" si="7"/>
        <v>0.5651979425380308</v>
      </c>
      <c r="D79" s="29">
        <f t="shared" ca="1" si="10"/>
        <v>1.129631648994368E-2</v>
      </c>
      <c r="E79" s="39">
        <f t="shared" ca="1" si="8"/>
        <v>905.96851988034496</v>
      </c>
      <c r="R79">
        <v>1537.5382900443522</v>
      </c>
      <c r="S79" s="14">
        <f t="shared" si="9"/>
        <v>0.4301826244823217</v>
      </c>
      <c r="T79" s="9">
        <v>-0.25739774444083857</v>
      </c>
    </row>
    <row r="80" spans="1:20" x14ac:dyDescent="0.25">
      <c r="A80" s="28">
        <v>70</v>
      </c>
      <c r="B80" s="39">
        <f t="shared" ca="1" si="11"/>
        <v>0.17914666301063353</v>
      </c>
      <c r="C80" s="39">
        <f t="shared" ca="1" si="7"/>
        <v>-0.91862198983008847</v>
      </c>
      <c r="D80" s="29">
        <f t="shared" ca="1" si="10"/>
        <v>-1.6745244448961492E-2</v>
      </c>
      <c r="E80" s="39">
        <f t="shared" ca="1" si="8"/>
        <v>890.92416776748246</v>
      </c>
      <c r="R80">
        <v>1720.0244470100454</v>
      </c>
      <c r="S80" s="14">
        <f t="shared" si="9"/>
        <v>0.54233850410228601</v>
      </c>
      <c r="T80" s="9">
        <v>-0.2557804212325227</v>
      </c>
    </row>
    <row r="81" spans="1:20" x14ac:dyDescent="0.25">
      <c r="A81" s="28">
        <v>71</v>
      </c>
      <c r="B81" s="39">
        <f t="shared" ca="1" si="11"/>
        <v>0.56845349118251887</v>
      </c>
      <c r="C81" s="39">
        <f t="shared" ca="1" si="7"/>
        <v>0.17243823186717311</v>
      </c>
      <c r="D81" s="29">
        <f t="shared" ca="1" si="10"/>
        <v>3.873855636795316E-3</v>
      </c>
      <c r="E81" s="39">
        <f t="shared" ca="1" si="8"/>
        <v>894.38217295874415</v>
      </c>
      <c r="R81">
        <v>938.69576426946821</v>
      </c>
      <c r="S81" s="14">
        <f t="shared" si="9"/>
        <v>-6.3263851986147701E-2</v>
      </c>
      <c r="T81" s="9">
        <v>-0.25563588160920725</v>
      </c>
    </row>
    <row r="82" spans="1:20" x14ac:dyDescent="0.25">
      <c r="A82" s="28">
        <v>72</v>
      </c>
      <c r="B82" s="39">
        <f t="shared" ca="1" si="11"/>
        <v>0.41562694433992164</v>
      </c>
      <c r="C82" s="39">
        <f t="shared" ca="1" si="7"/>
        <v>-0.21309368691150304</v>
      </c>
      <c r="D82" s="29">
        <f t="shared" ca="1" si="10"/>
        <v>-3.4120127886756099E-3</v>
      </c>
      <c r="E82" s="39">
        <f t="shared" ca="1" si="8"/>
        <v>891.33572975374739</v>
      </c>
      <c r="R82">
        <v>1301.48030799816</v>
      </c>
      <c r="S82" s="14">
        <f t="shared" si="9"/>
        <v>0.26350231510226113</v>
      </c>
      <c r="T82" s="9">
        <v>-0.25541530257223483</v>
      </c>
    </row>
    <row r="83" spans="1:20" x14ac:dyDescent="0.25">
      <c r="A83" s="28">
        <v>73</v>
      </c>
      <c r="B83" s="39">
        <f t="shared" ca="1" si="11"/>
        <v>0.77348754926903551</v>
      </c>
      <c r="C83" s="39">
        <f t="shared" ca="1" si="7"/>
        <v>0.75038161344360155</v>
      </c>
      <c r="D83" s="29">
        <f t="shared" ca="1" si="10"/>
        <v>1.4795958919130592E-2</v>
      </c>
      <c r="E83" s="39">
        <f t="shared" ca="1" si="8"/>
        <v>904.62194536006916</v>
      </c>
      <c r="R83">
        <v>1302.06869905397</v>
      </c>
      <c r="S83" s="14">
        <f t="shared" si="9"/>
        <v>0.26395430664475444</v>
      </c>
      <c r="T83" s="9">
        <v>-0.25529843042883166</v>
      </c>
    </row>
    <row r="84" spans="1:20" x14ac:dyDescent="0.25">
      <c r="A84" s="28">
        <v>74</v>
      </c>
      <c r="B84" s="39">
        <f t="shared" ca="1" si="11"/>
        <v>0.50715061600323685</v>
      </c>
      <c r="C84" s="39">
        <f t="shared" ca="1" si="7"/>
        <v>1.7924896092344038E-2</v>
      </c>
      <c r="D84" s="29">
        <f t="shared" ca="1" si="10"/>
        <v>9.5382806034376372E-4</v>
      </c>
      <c r="E84" s="39">
        <f t="shared" ca="1" si="8"/>
        <v>905.48521079350428</v>
      </c>
      <c r="R84">
        <v>1780.5373098982514</v>
      </c>
      <c r="S84" s="14">
        <f t="shared" si="9"/>
        <v>0.5769151782469828</v>
      </c>
      <c r="T84" s="9">
        <v>-0.253615368980255</v>
      </c>
    </row>
    <row r="85" spans="1:20" x14ac:dyDescent="0.25">
      <c r="A85" s="28">
        <v>75</v>
      </c>
      <c r="B85" s="39">
        <f t="shared" ca="1" si="11"/>
        <v>1.9727496247959886E-3</v>
      </c>
      <c r="C85" s="39">
        <f t="shared" ca="1" si="7"/>
        <v>-2.8824865936445963</v>
      </c>
      <c r="D85" s="29">
        <f t="shared" ca="1" si="10"/>
        <v>-5.3858796951072749E-2</v>
      </c>
      <c r="E85" s="39">
        <f t="shared" ca="1" si="8"/>
        <v>858.00690530614713</v>
      </c>
      <c r="R85">
        <v>1014.3812123282927</v>
      </c>
      <c r="S85" s="14">
        <f t="shared" si="9"/>
        <v>1.427878355956615E-2</v>
      </c>
      <c r="T85" s="9">
        <v>-0.25339638096083944</v>
      </c>
    </row>
    <row r="86" spans="1:20" x14ac:dyDescent="0.25">
      <c r="A86" s="28">
        <v>76</v>
      </c>
      <c r="B86" s="39">
        <f t="shared" ca="1" si="11"/>
        <v>6.5994108061005807E-2</v>
      </c>
      <c r="C86" s="39">
        <f t="shared" ca="1" si="7"/>
        <v>-1.5063076464790519</v>
      </c>
      <c r="D86" s="29">
        <f t="shared" ca="1" si="10"/>
        <v>-2.7851459424481848E-2</v>
      </c>
      <c r="E86" s="39">
        <f t="shared" ca="1" si="8"/>
        <v>834.43987232849634</v>
      </c>
      <c r="R86">
        <v>1125.6893026908801</v>
      </c>
      <c r="S86" s="14">
        <f t="shared" si="9"/>
        <v>0.11839556152710889</v>
      </c>
      <c r="T86" s="9">
        <v>-0.25323961369044823</v>
      </c>
    </row>
    <row r="87" spans="1:20" x14ac:dyDescent="0.25">
      <c r="A87" s="28">
        <v>77</v>
      </c>
      <c r="B87" s="39">
        <f t="shared" ca="1" si="11"/>
        <v>0.67029795743318932</v>
      </c>
      <c r="C87" s="39">
        <f t="shared" ca="1" si="7"/>
        <v>0.44073606352308459</v>
      </c>
      <c r="D87" s="29">
        <f t="shared" ca="1" si="10"/>
        <v>8.9442080643625643E-3</v>
      </c>
      <c r="E87" s="39">
        <f t="shared" ca="1" si="8"/>
        <v>841.9367530157283</v>
      </c>
      <c r="R87">
        <v>1857.6926812939919</v>
      </c>
      <c r="S87" s="14">
        <f t="shared" si="9"/>
        <v>0.61933522374766214</v>
      </c>
      <c r="T87" s="9">
        <v>-0.2497770397789274</v>
      </c>
    </row>
    <row r="88" spans="1:20" x14ac:dyDescent="0.25">
      <c r="A88" s="28">
        <v>78</v>
      </c>
      <c r="B88" s="39">
        <f t="shared" ca="1" si="11"/>
        <v>0.75972469699201928</v>
      </c>
      <c r="C88" s="39">
        <f t="shared" ca="1" si="7"/>
        <v>0.70541725980840631</v>
      </c>
      <c r="D88" s="29">
        <f t="shared" ca="1" si="10"/>
        <v>1.3946212507834238E-2</v>
      </c>
      <c r="E88" s="39">
        <f t="shared" ca="1" si="8"/>
        <v>853.76084086736103</v>
      </c>
      <c r="R88">
        <v>1031.0952210917837</v>
      </c>
      <c r="S88" s="14">
        <f t="shared" si="9"/>
        <v>3.0621558764056488E-2</v>
      </c>
      <c r="T88" s="9">
        <v>-0.24951540585685791</v>
      </c>
    </row>
    <row r="89" spans="1:20" x14ac:dyDescent="0.25">
      <c r="A89" s="28">
        <v>79</v>
      </c>
      <c r="B89" s="39">
        <f t="shared" ca="1" si="11"/>
        <v>4.6304501030323353E-2</v>
      </c>
      <c r="C89" s="39">
        <f t="shared" ca="1" si="7"/>
        <v>-1.6817929202213802</v>
      </c>
      <c r="D89" s="29">
        <f t="shared" ca="1" si="10"/>
        <v>-3.1167819375026797E-2</v>
      </c>
      <c r="E89" s="39">
        <f t="shared" ca="1" si="8"/>
        <v>827.561387980728</v>
      </c>
      <c r="R89">
        <v>1037.748869382475</v>
      </c>
      <c r="S89" s="14">
        <f t="shared" si="9"/>
        <v>3.7053818461113823E-2</v>
      </c>
      <c r="T89" s="9">
        <v>-0.24898424057600319</v>
      </c>
    </row>
    <row r="90" spans="1:20" x14ac:dyDescent="0.25">
      <c r="A90" s="28">
        <v>80</v>
      </c>
      <c r="B90" s="39">
        <f t="shared" ca="1" si="11"/>
        <v>0.81689001022842489</v>
      </c>
      <c r="C90" s="39">
        <f t="shared" ca="1" si="7"/>
        <v>0.90357655156459293</v>
      </c>
      <c r="D90" s="29">
        <f t="shared" ca="1" si="10"/>
        <v>1.7691071121859674E-2</v>
      </c>
      <c r="E90" s="39">
        <f t="shared" ca="1" si="8"/>
        <v>842.33210502051566</v>
      </c>
      <c r="R90">
        <v>998.61890980750809</v>
      </c>
      <c r="S90" s="14">
        <f t="shared" si="9"/>
        <v>-1.3820447765641463E-3</v>
      </c>
      <c r="T90" s="9">
        <v>-0.2483626496694106</v>
      </c>
    </row>
    <row r="91" spans="1:20" x14ac:dyDescent="0.25">
      <c r="A91" s="28">
        <v>81</v>
      </c>
      <c r="B91" s="39">
        <f t="shared" ca="1" si="11"/>
        <v>0.26885733265514444</v>
      </c>
      <c r="C91" s="39">
        <f t="shared" ca="1" si="7"/>
        <v>-0.61627253073763133</v>
      </c>
      <c r="D91" s="29">
        <f t="shared" ca="1" si="10"/>
        <v>-1.1031376750436216E-2</v>
      </c>
      <c r="E91" s="39">
        <f t="shared" ca="1" si="8"/>
        <v>833.09108651182862</v>
      </c>
      <c r="R91">
        <v>1557.7468819094393</v>
      </c>
      <c r="S91" s="14">
        <f t="shared" si="9"/>
        <v>0.4432404707771766</v>
      </c>
      <c r="T91" s="9">
        <v>-0.24492311947975456</v>
      </c>
    </row>
    <row r="92" spans="1:20" x14ac:dyDescent="0.25">
      <c r="A92" s="28">
        <v>82</v>
      </c>
      <c r="B92" s="39">
        <f t="shared" ca="1" si="11"/>
        <v>0.8419691172021474</v>
      </c>
      <c r="C92" s="39">
        <f t="shared" ca="1" si="7"/>
        <v>1.0025836958989911</v>
      </c>
      <c r="D92" s="29">
        <f t="shared" ca="1" si="10"/>
        <v>1.9562130278484639E-2</v>
      </c>
      <c r="E92" s="39">
        <f t="shared" ca="1" si="8"/>
        <v>849.54856977423628</v>
      </c>
      <c r="R92">
        <v>1096.5893973105465</v>
      </c>
      <c r="S92" s="14">
        <f t="shared" si="9"/>
        <v>9.2204815247421731E-2</v>
      </c>
      <c r="T92" s="9">
        <v>-0.24346981201454854</v>
      </c>
    </row>
    <row r="93" spans="1:20" x14ac:dyDescent="0.25">
      <c r="A93" s="28">
        <v>83</v>
      </c>
      <c r="B93" s="39">
        <f t="shared" ca="1" si="11"/>
        <v>0.96429195550923097</v>
      </c>
      <c r="C93" s="39">
        <f t="shared" ca="1" si="7"/>
        <v>1.8028225407248522</v>
      </c>
      <c r="D93" s="29">
        <f t="shared" ca="1" si="10"/>
        <v>3.4685222941790612E-2</v>
      </c>
      <c r="E93" s="39">
        <f t="shared" ca="1" si="8"/>
        <v>879.53234225880885</v>
      </c>
      <c r="R93">
        <v>1314.7590849138874</v>
      </c>
      <c r="S93" s="14">
        <f t="shared" si="9"/>
        <v>0.2736534434568918</v>
      </c>
      <c r="T93" s="9">
        <v>-0.24311377858442967</v>
      </c>
    </row>
    <row r="94" spans="1:20" x14ac:dyDescent="0.25">
      <c r="A94" s="28">
        <v>84</v>
      </c>
      <c r="B94" s="39">
        <f t="shared" ca="1" si="11"/>
        <v>0.71596098124191787</v>
      </c>
      <c r="C94" s="39">
        <f t="shared" ca="1" si="7"/>
        <v>0.57088435388287828</v>
      </c>
      <c r="D94" s="29">
        <f t="shared" ca="1" si="10"/>
        <v>1.1403779563307129E-2</v>
      </c>
      <c r="E94" s="39">
        <f t="shared" ca="1" si="8"/>
        <v>889.61974313795793</v>
      </c>
      <c r="R94">
        <v>1364.9895181004408</v>
      </c>
      <c r="S94" s="14">
        <f t="shared" si="9"/>
        <v>0.31114674956014288</v>
      </c>
      <c r="T94" s="9">
        <v>-0.23765727646246998</v>
      </c>
    </row>
    <row r="95" spans="1:20" x14ac:dyDescent="0.25">
      <c r="A95" s="28">
        <v>85</v>
      </c>
      <c r="B95" s="39">
        <f t="shared" ca="1" si="11"/>
        <v>0.11458008720647994</v>
      </c>
      <c r="C95" s="39">
        <f t="shared" ca="1" si="7"/>
        <v>-1.202525030119193</v>
      </c>
      <c r="D95" s="29">
        <f t="shared" ca="1" si="10"/>
        <v>-2.2110507599390931E-2</v>
      </c>
      <c r="E95" s="39">
        <f t="shared" ca="1" si="8"/>
        <v>870.16566140176258</v>
      </c>
      <c r="R95">
        <v>1263.2506104929162</v>
      </c>
      <c r="S95" s="14">
        <f t="shared" si="9"/>
        <v>0.23368824846141756</v>
      </c>
      <c r="T95" s="9">
        <v>-0.23335860196783267</v>
      </c>
    </row>
    <row r="96" spans="1:20" x14ac:dyDescent="0.25">
      <c r="A96" s="28">
        <v>86</v>
      </c>
      <c r="B96" s="39">
        <f t="shared" ca="1" si="11"/>
        <v>0.92952839894834161</v>
      </c>
      <c r="C96" s="39">
        <f t="shared" ca="1" si="7"/>
        <v>1.4722877047118816</v>
      </c>
      <c r="D96" s="29">
        <f t="shared" ca="1" si="10"/>
        <v>2.8438701686548919E-2</v>
      </c>
      <c r="E96" s="39">
        <f t="shared" ca="1" si="8"/>
        <v>895.26728004435324</v>
      </c>
      <c r="R96">
        <v>1921.0222968580961</v>
      </c>
      <c r="S96" s="14">
        <f t="shared" si="9"/>
        <v>0.65285749062072385</v>
      </c>
      <c r="T96" s="9">
        <v>-0.23290053594038423</v>
      </c>
    </row>
    <row r="97" spans="1:20" x14ac:dyDescent="0.25">
      <c r="A97" s="28">
        <v>87</v>
      </c>
      <c r="B97" s="39">
        <f t="shared" ca="1" si="11"/>
        <v>0.97660753937629574</v>
      </c>
      <c r="C97" s="39">
        <f t="shared" ca="1" si="7"/>
        <v>1.9882420969445898</v>
      </c>
      <c r="D97" s="29">
        <f t="shared" ca="1" si="10"/>
        <v>3.8189323184400506E-2</v>
      </c>
      <c r="E97" s="39">
        <f t="shared" ca="1" si="8"/>
        <v>930.11816182032953</v>
      </c>
      <c r="R97">
        <v>1327.9056493427486</v>
      </c>
      <c r="S97" s="14">
        <f t="shared" si="9"/>
        <v>0.28360300134860633</v>
      </c>
      <c r="T97" s="9">
        <v>-0.23171640476400113</v>
      </c>
    </row>
    <row r="98" spans="1:20" x14ac:dyDescent="0.25">
      <c r="A98" s="28">
        <v>88</v>
      </c>
      <c r="B98" s="39">
        <f t="shared" ca="1" si="11"/>
        <v>0.8377739811064373</v>
      </c>
      <c r="C98" s="39">
        <f t="shared" ca="1" si="7"/>
        <v>0.98535029082296322</v>
      </c>
      <c r="D98" s="29">
        <f t="shared" ca="1" si="10"/>
        <v>1.9236449535098867E-2</v>
      </c>
      <c r="E98" s="39">
        <f t="shared" ca="1" si="8"/>
        <v>948.18353262489904</v>
      </c>
      <c r="R98">
        <v>938.97840218531803</v>
      </c>
      <c r="S98" s="14">
        <f t="shared" si="9"/>
        <v>-6.2962800906004091E-2</v>
      </c>
      <c r="T98" s="9">
        <v>-0.23030698827497009</v>
      </c>
    </row>
    <row r="99" spans="1:20" x14ac:dyDescent="0.25">
      <c r="A99" s="28">
        <v>89</v>
      </c>
      <c r="B99" s="39">
        <f t="shared" ca="1" si="11"/>
        <v>2.7264833809957145E-2</v>
      </c>
      <c r="C99" s="39">
        <f t="shared" ca="1" si="7"/>
        <v>-1.9226050634989131</v>
      </c>
      <c r="D99" s="29">
        <f t="shared" ca="1" si="10"/>
        <v>-3.5718741116432563E-2</v>
      </c>
      <c r="E99" s="39">
        <f t="shared" ca="1" si="8"/>
        <v>914.91333250517778</v>
      </c>
      <c r="R99">
        <v>746.67476074999479</v>
      </c>
      <c r="S99" s="14">
        <f t="shared" si="9"/>
        <v>-0.29212558256974508</v>
      </c>
      <c r="T99" s="9">
        <v>-0.23009912962676268</v>
      </c>
    </row>
    <row r="100" spans="1:20" x14ac:dyDescent="0.25">
      <c r="A100" s="28">
        <v>90</v>
      </c>
      <c r="B100" s="39">
        <f t="shared" ca="1" si="11"/>
        <v>0.45271487883260209</v>
      </c>
      <c r="C100" s="39">
        <f t="shared" ca="1" si="7"/>
        <v>-0.11880511315692274</v>
      </c>
      <c r="D100" s="29">
        <f t="shared" ca="1" si="10"/>
        <v>-1.6301262341785305E-3</v>
      </c>
      <c r="E100" s="39">
        <f t="shared" ca="1" si="8"/>
        <v>913.42312322447867</v>
      </c>
      <c r="R100">
        <v>1809.2835742472378</v>
      </c>
      <c r="S100" s="14">
        <f t="shared" si="9"/>
        <v>0.59293095158915077</v>
      </c>
      <c r="T100" s="9">
        <v>-0.22701102147052174</v>
      </c>
    </row>
    <row r="101" spans="1:20" x14ac:dyDescent="0.25">
      <c r="A101" s="28">
        <v>91</v>
      </c>
      <c r="B101" s="39">
        <f t="shared" ca="1" si="11"/>
        <v>0.42661170032789608</v>
      </c>
      <c r="C101" s="39">
        <f t="shared" ca="1" si="7"/>
        <v>-0.18500718422044926</v>
      </c>
      <c r="D101" s="29">
        <f t="shared" ca="1" si="10"/>
        <v>-2.8812277792607914E-3</v>
      </c>
      <c r="E101" s="39">
        <f t="shared" ca="1" si="8"/>
        <v>910.79513088790418</v>
      </c>
      <c r="R101">
        <v>993.53191598327214</v>
      </c>
      <c r="S101" s="14">
        <f t="shared" si="9"/>
        <v>-6.4890927118196632E-3</v>
      </c>
      <c r="T101" s="9">
        <v>-0.2237288330266276</v>
      </c>
    </row>
    <row r="102" spans="1:20" x14ac:dyDescent="0.25">
      <c r="A102" s="28">
        <v>92</v>
      </c>
      <c r="B102" s="39">
        <f t="shared" ca="1" si="11"/>
        <v>0.52712323654699489</v>
      </c>
      <c r="C102" s="39">
        <f t="shared" ca="1" si="7"/>
        <v>6.8040333832495942E-2</v>
      </c>
      <c r="D102" s="29">
        <f t="shared" ca="1" si="10"/>
        <v>1.9009208110979262E-3</v>
      </c>
      <c r="E102" s="39">
        <f t="shared" ca="1" si="8"/>
        <v>912.52812692912744</v>
      </c>
      <c r="R102">
        <v>1313.1626317262476</v>
      </c>
      <c r="S102" s="14">
        <f t="shared" si="9"/>
        <v>0.27243845035118208</v>
      </c>
      <c r="T102" s="9">
        <v>-0.22047786334610128</v>
      </c>
    </row>
    <row r="103" spans="1:20" x14ac:dyDescent="0.25">
      <c r="A103" s="28">
        <v>93</v>
      </c>
      <c r="B103" s="39">
        <f t="shared" ca="1" si="11"/>
        <v>0.94886284842678115</v>
      </c>
      <c r="C103" s="39">
        <f t="shared" ca="1" si="7"/>
        <v>1.6339264119041825</v>
      </c>
      <c r="D103" s="29">
        <f t="shared" ca="1" si="10"/>
        <v>3.1493386125640462E-2</v>
      </c>
      <c r="E103" s="39">
        <f t="shared" ca="1" si="8"/>
        <v>941.72405379540737</v>
      </c>
      <c r="R103">
        <v>1049.0296250594038</v>
      </c>
      <c r="S103" s="14">
        <f t="shared" si="9"/>
        <v>4.7865570254090981E-2</v>
      </c>
      <c r="T103" s="9">
        <v>-0.21831105654016281</v>
      </c>
    </row>
    <row r="104" spans="1:20" x14ac:dyDescent="0.25">
      <c r="A104" s="28">
        <v>94</v>
      </c>
      <c r="B104" s="39">
        <f t="shared" ca="1" si="11"/>
        <v>3.660800552909893E-2</v>
      </c>
      <c r="C104" s="39">
        <f t="shared" ca="1" si="7"/>
        <v>-1.7914818098456979</v>
      </c>
      <c r="D104" s="29">
        <f t="shared" ca="1" si="10"/>
        <v>-3.3240744543117928E-2</v>
      </c>
      <c r="E104" s="39">
        <f t="shared" ca="1" si="8"/>
        <v>910.93500550776707</v>
      </c>
      <c r="R104">
        <v>1018.2190102694792</v>
      </c>
      <c r="S104" s="14">
        <f t="shared" si="9"/>
        <v>1.8055032778787793E-2</v>
      </c>
      <c r="T104" s="9">
        <v>-0.2179731331853943</v>
      </c>
    </row>
    <row r="105" spans="1:20" x14ac:dyDescent="0.25">
      <c r="A105" s="28">
        <v>95</v>
      </c>
      <c r="B105" s="39">
        <f t="shared" ca="1" si="11"/>
        <v>0.58537661419913645</v>
      </c>
      <c r="C105" s="39">
        <f t="shared" ca="1" si="7"/>
        <v>0.21566771124085157</v>
      </c>
      <c r="D105" s="29">
        <f t="shared" ca="1" si="10"/>
        <v>4.6908160062920983E-3</v>
      </c>
      <c r="E105" s="39">
        <f t="shared" ca="1" si="8"/>
        <v>915.21807169638612</v>
      </c>
      <c r="R105">
        <v>924.76062494070914</v>
      </c>
      <c r="S105" s="14">
        <f t="shared" si="9"/>
        <v>-7.8220358807911838E-2</v>
      </c>
      <c r="T105" s="9">
        <v>-0.21457333542585308</v>
      </c>
    </row>
    <row r="106" spans="1:20" x14ac:dyDescent="0.25">
      <c r="A106" s="28">
        <v>96</v>
      </c>
      <c r="B106" s="39">
        <f t="shared" ca="1" si="11"/>
        <v>0.79759078158011143</v>
      </c>
      <c r="C106" s="39">
        <f t="shared" ca="1" si="7"/>
        <v>0.83304662032958343</v>
      </c>
      <c r="D106" s="29">
        <f t="shared" ca="1" si="10"/>
        <v>1.6358180707328803E-2</v>
      </c>
      <c r="E106" s="39">
        <f t="shared" ca="1" si="8"/>
        <v>930.3124963713758</v>
      </c>
      <c r="R106">
        <v>1415.7520672365156</v>
      </c>
      <c r="S106" s="14">
        <f t="shared" si="9"/>
        <v>0.34766088618130325</v>
      </c>
      <c r="T106" s="9">
        <v>-0.21247860843980115</v>
      </c>
    </row>
    <row r="107" spans="1:20" x14ac:dyDescent="0.25">
      <c r="A107" s="28">
        <v>97</v>
      </c>
      <c r="B107" s="39">
        <f t="shared" ca="1" si="11"/>
        <v>0.92249866981557149</v>
      </c>
      <c r="C107" s="39">
        <f t="shared" ca="1" si="7"/>
        <v>1.4220812668626335</v>
      </c>
      <c r="D107" s="29">
        <f t="shared" ca="1" si="10"/>
        <v>2.748988919538084E-2</v>
      </c>
      <c r="E107" s="39">
        <f t="shared" ca="1" si="8"/>
        <v>956.24144290539425</v>
      </c>
      <c r="R107">
        <v>794.45484458755334</v>
      </c>
      <c r="S107" s="14">
        <f t="shared" si="9"/>
        <v>-0.23009912962676268</v>
      </c>
      <c r="T107" s="9">
        <v>-0.21129140216665221</v>
      </c>
    </row>
    <row r="108" spans="1:20" x14ac:dyDescent="0.25">
      <c r="A108" s="28">
        <v>98</v>
      </c>
      <c r="B108" s="39">
        <f t="shared" ca="1" si="11"/>
        <v>0.15232735097630146</v>
      </c>
      <c r="C108" s="39">
        <f t="shared" ca="1" si="7"/>
        <v>-1.0265026780278488</v>
      </c>
      <c r="D108" s="29">
        <f t="shared" ca="1" si="10"/>
        <v>-1.8783997822088453E-2</v>
      </c>
      <c r="E108" s="39">
        <f t="shared" ca="1" si="8"/>
        <v>938.44705381657627</v>
      </c>
      <c r="R108">
        <v>843.58825963289496</v>
      </c>
      <c r="S108" s="14">
        <f t="shared" si="9"/>
        <v>-0.17009074745765151</v>
      </c>
      <c r="T108" s="9">
        <v>-0.21103518327800272</v>
      </c>
    </row>
    <row r="109" spans="1:20" x14ac:dyDescent="0.25">
      <c r="A109" s="28">
        <v>99</v>
      </c>
      <c r="B109" s="39">
        <f t="shared" ca="1" si="11"/>
        <v>7.0426228945414504E-2</v>
      </c>
      <c r="C109" s="39">
        <f t="shared" ca="1" si="7"/>
        <v>-1.4726239695775762</v>
      </c>
      <c r="D109" s="29">
        <f t="shared" ca="1" si="10"/>
        <v>-2.721489776502788E-2</v>
      </c>
      <c r="E109" s="39">
        <f t="shared" ca="1" si="8"/>
        <v>913.25171256684837</v>
      </c>
      <c r="R109">
        <v>2172.2290564554273</v>
      </c>
      <c r="S109" s="14">
        <f t="shared" si="9"/>
        <v>0.77575385528452045</v>
      </c>
      <c r="T109" s="9">
        <v>-0.20922778772370809</v>
      </c>
    </row>
    <row r="110" spans="1:20" x14ac:dyDescent="0.25">
      <c r="A110" s="28">
        <v>100</v>
      </c>
      <c r="B110" s="39">
        <f t="shared" ca="1" si="11"/>
        <v>0.21146268564795945</v>
      </c>
      <c r="C110" s="39">
        <f t="shared" ca="1" si="7"/>
        <v>-0.80135636042813052</v>
      </c>
      <c r="D110" s="29">
        <f t="shared" ca="1" si="10"/>
        <v>-1.4529132358011171E-2</v>
      </c>
      <c r="E110" s="39">
        <f t="shared" ca="1" si="8"/>
        <v>900.07888416890239</v>
      </c>
      <c r="R110">
        <v>905.4014343923028</v>
      </c>
      <c r="S110" s="14">
        <f t="shared" si="9"/>
        <v>-9.9376859717890301E-2</v>
      </c>
      <c r="T110" s="9">
        <v>-0.20852218657290772</v>
      </c>
    </row>
    <row r="111" spans="1:20" x14ac:dyDescent="0.25">
      <c r="A111" s="28">
        <v>101</v>
      </c>
      <c r="B111" s="39">
        <f t="shared" ca="1" si="11"/>
        <v>0.94322828970853889</v>
      </c>
      <c r="C111" s="39">
        <f t="shared" ca="1" si="7"/>
        <v>1.5824651563550778</v>
      </c>
      <c r="D111" s="29">
        <f t="shared" ca="1" si="10"/>
        <v>3.052085980893993E-2</v>
      </c>
      <c r="E111" s="39">
        <f t="shared" ca="1" si="8"/>
        <v>927.9735853966414</v>
      </c>
      <c r="R111">
        <v>725.78380717311632</v>
      </c>
      <c r="S111" s="14">
        <f t="shared" si="9"/>
        <v>-0.32050309476739958</v>
      </c>
      <c r="T111" s="9">
        <v>-0.20250166184086074</v>
      </c>
    </row>
    <row r="112" spans="1:20" x14ac:dyDescent="0.25">
      <c r="A112" s="28">
        <v>102</v>
      </c>
      <c r="B112" s="39">
        <f t="shared" ca="1" si="11"/>
        <v>0.10256889939721248</v>
      </c>
      <c r="C112" s="39">
        <f t="shared" ca="1" si="7"/>
        <v>-1.2670489186562821</v>
      </c>
      <c r="D112" s="29">
        <f t="shared" ca="1" si="10"/>
        <v>-2.3329894475762281E-2</v>
      </c>
      <c r="E112" s="39">
        <f t="shared" ca="1" si="8"/>
        <v>906.57464763574364</v>
      </c>
      <c r="R112">
        <v>1077.3834597755504</v>
      </c>
      <c r="S112" s="14">
        <f t="shared" si="9"/>
        <v>7.4535379165341781E-2</v>
      </c>
      <c r="T112" s="9">
        <v>-0.20206968847348197</v>
      </c>
    </row>
    <row r="113" spans="1:20" x14ac:dyDescent="0.25">
      <c r="A113" s="28">
        <v>103</v>
      </c>
      <c r="B113" s="39">
        <f t="shared" ca="1" si="11"/>
        <v>0.15723917253295561</v>
      </c>
      <c r="C113" s="39">
        <f t="shared" ca="1" si="7"/>
        <v>-1.0058695094674801</v>
      </c>
      <c r="D113" s="29">
        <f t="shared" ca="1" si="10"/>
        <v>-1.8394067588016937E-2</v>
      </c>
      <c r="E113" s="39">
        <f t="shared" ca="1" si="8"/>
        <v>890.05148227415566</v>
      </c>
      <c r="R113">
        <v>1414.9705877925942</v>
      </c>
      <c r="S113" s="14">
        <f t="shared" si="9"/>
        <v>0.34710874486686788</v>
      </c>
      <c r="T113" s="9">
        <v>-0.19984168194484009</v>
      </c>
    </row>
    <row r="114" spans="1:20" x14ac:dyDescent="0.25">
      <c r="A114" s="28">
        <v>104</v>
      </c>
      <c r="B114" s="39">
        <f t="shared" ca="1" si="11"/>
        <v>0.48687038217199097</v>
      </c>
      <c r="C114" s="39">
        <f t="shared" ca="1" si="7"/>
        <v>-3.2917014744827958E-2</v>
      </c>
      <c r="D114" s="29">
        <f t="shared" ca="1" si="10"/>
        <v>-6.9937414739279979E-6</v>
      </c>
      <c r="E114" s="39">
        <f t="shared" ca="1" si="8"/>
        <v>890.04525750595747</v>
      </c>
      <c r="R114">
        <v>934.10516518778036</v>
      </c>
      <c r="S114" s="14">
        <f t="shared" si="9"/>
        <v>-6.8166250531018768E-2</v>
      </c>
      <c r="T114" s="9">
        <v>-0.19860978429547863</v>
      </c>
    </row>
    <row r="115" spans="1:20" x14ac:dyDescent="0.25">
      <c r="A115" s="28">
        <v>105</v>
      </c>
      <c r="B115" s="39">
        <f t="shared" ca="1" si="11"/>
        <v>0.88634999652519131</v>
      </c>
      <c r="C115" s="39">
        <f t="shared" ca="1" si="7"/>
        <v>1.2073431825119709</v>
      </c>
      <c r="D115" s="29">
        <f t="shared" ca="1" si="10"/>
        <v>2.3431720851050383E-2</v>
      </c>
      <c r="E115" s="39">
        <f t="shared" ca="1" si="8"/>
        <v>911.14680686455358</v>
      </c>
      <c r="R115">
        <v>1063.1737120287341</v>
      </c>
      <c r="S115" s="14">
        <f t="shared" si="9"/>
        <v>6.1258502780836985E-2</v>
      </c>
      <c r="T115" s="9">
        <v>-0.19589596593718131</v>
      </c>
    </row>
    <row r="116" spans="1:20" x14ac:dyDescent="0.25">
      <c r="A116" s="28">
        <v>106</v>
      </c>
      <c r="B116" s="39">
        <f t="shared" ca="1" si="11"/>
        <v>0.33713991990062497</v>
      </c>
      <c r="C116" s="39">
        <f t="shared" ca="1" si="7"/>
        <v>-0.42028147695820933</v>
      </c>
      <c r="D116" s="29">
        <f t="shared" ca="1" si="10"/>
        <v>-7.3274939826230984E-3</v>
      </c>
      <c r="E116" s="39">
        <f t="shared" ca="1" si="8"/>
        <v>904.49478520772743</v>
      </c>
      <c r="R116">
        <v>923.85670504372456</v>
      </c>
      <c r="S116" s="14">
        <f t="shared" si="9"/>
        <v>-7.9198300488283663E-2</v>
      </c>
      <c r="T116" s="9">
        <v>-0.19539887107504711</v>
      </c>
    </row>
    <row r="117" spans="1:20" x14ac:dyDescent="0.25">
      <c r="A117" s="28">
        <v>107</v>
      </c>
      <c r="B117" s="39">
        <f t="shared" ca="1" si="11"/>
        <v>0.68432173178680067</v>
      </c>
      <c r="C117" s="39">
        <f t="shared" ca="1" si="7"/>
        <v>0.47981838825502404</v>
      </c>
      <c r="D117" s="29">
        <f t="shared" ca="1" si="10"/>
        <v>9.6827945779267132E-3</v>
      </c>
      <c r="E117" s="39">
        <f t="shared" ca="1" si="8"/>
        <v>913.29536073302552</v>
      </c>
      <c r="R117">
        <v>1385.5149307696124</v>
      </c>
      <c r="S117" s="14">
        <f t="shared" si="9"/>
        <v>0.32607186171148622</v>
      </c>
      <c r="T117" s="9">
        <v>-0.19509445721546537</v>
      </c>
    </row>
    <row r="118" spans="1:20" x14ac:dyDescent="0.25">
      <c r="A118" s="28">
        <v>108</v>
      </c>
      <c r="B118" s="39">
        <f t="shared" ca="1" si="11"/>
        <v>0.37528046114600944</v>
      </c>
      <c r="C118" s="39">
        <f t="shared" ca="1" si="7"/>
        <v>-0.31789982903102776</v>
      </c>
      <c r="D118" s="29">
        <f t="shared" ca="1" si="10"/>
        <v>-5.3926627023924275E-3</v>
      </c>
      <c r="E118" s="39">
        <f t="shared" ca="1" si="8"/>
        <v>908.38352275102227</v>
      </c>
      <c r="R118">
        <v>1719.9738757558434</v>
      </c>
      <c r="S118" s="14">
        <f t="shared" si="9"/>
        <v>0.5423091021959705</v>
      </c>
      <c r="T118" s="9">
        <v>-0.19502330401414494</v>
      </c>
    </row>
    <row r="119" spans="1:20" x14ac:dyDescent="0.25">
      <c r="A119" s="28">
        <v>109</v>
      </c>
      <c r="B119" s="39">
        <f t="shared" ca="1" si="11"/>
        <v>0.283658518197626</v>
      </c>
      <c r="C119" s="39">
        <f t="shared" ca="1" si="7"/>
        <v>-0.57200728923091648</v>
      </c>
      <c r="D119" s="29">
        <f t="shared" ca="1" si="10"/>
        <v>-1.0194842316500634E-2</v>
      </c>
      <c r="E119" s="39">
        <f t="shared" ca="1" si="8"/>
        <v>899.16974229568041</v>
      </c>
      <c r="R119">
        <v>1126.804988055851</v>
      </c>
      <c r="S119" s="14">
        <f t="shared" si="9"/>
        <v>0.11938618375491422</v>
      </c>
      <c r="T119" s="9">
        <v>-0.19453011468965872</v>
      </c>
    </row>
    <row r="120" spans="1:20" x14ac:dyDescent="0.25">
      <c r="A120" s="28">
        <v>110</v>
      </c>
      <c r="B120" s="39">
        <f t="shared" ca="1" si="11"/>
        <v>0.61964318830603038</v>
      </c>
      <c r="C120" s="39">
        <f t="shared" ca="1" si="7"/>
        <v>0.30454380711118167</v>
      </c>
      <c r="D120" s="29">
        <f t="shared" ca="1" si="10"/>
        <v>6.3704163432294425E-3</v>
      </c>
      <c r="E120" s="39">
        <f t="shared" ca="1" si="8"/>
        <v>904.91611186730597</v>
      </c>
      <c r="R120">
        <v>1255.599438317437</v>
      </c>
      <c r="S120" s="14">
        <f t="shared" si="9"/>
        <v>0.22761309864360307</v>
      </c>
      <c r="T120" s="9">
        <v>-0.19330577315490843</v>
      </c>
    </row>
    <row r="121" spans="1:20" x14ac:dyDescent="0.25">
      <c r="A121" s="28">
        <v>111</v>
      </c>
      <c r="B121" s="39">
        <f t="shared" ca="1" si="11"/>
        <v>0.42949556169822112</v>
      </c>
      <c r="C121" s="39">
        <f t="shared" ca="1" si="7"/>
        <v>-0.17765857065228763</v>
      </c>
      <c r="D121" s="29">
        <f t="shared" ca="1" si="10"/>
        <v>-2.742352036528858E-3</v>
      </c>
      <c r="E121" s="39">
        <f t="shared" ca="1" si="8"/>
        <v>902.43791292510355</v>
      </c>
      <c r="R121">
        <v>1435.039013351306</v>
      </c>
      <c r="S121" s="14">
        <f t="shared" si="9"/>
        <v>0.36119203584641896</v>
      </c>
      <c r="T121" s="9">
        <v>-0.19150247172661256</v>
      </c>
    </row>
    <row r="122" spans="1:20" x14ac:dyDescent="0.25">
      <c r="A122" s="28">
        <v>112</v>
      </c>
      <c r="B122" s="39">
        <f t="shared" ca="1" si="11"/>
        <v>0.39161496532939144</v>
      </c>
      <c r="C122" s="39">
        <f t="shared" ca="1" si="7"/>
        <v>-0.2751123408464487</v>
      </c>
      <c r="D122" s="29">
        <f t="shared" ca="1" si="10"/>
        <v>-4.5840551812387793E-3</v>
      </c>
      <c r="E122" s="39">
        <f t="shared" ca="1" si="8"/>
        <v>898.3105549804369</v>
      </c>
      <c r="R122">
        <v>852.46156493501326</v>
      </c>
      <c r="S122" s="14">
        <f t="shared" si="9"/>
        <v>-0.15962715596104884</v>
      </c>
      <c r="T122" s="9">
        <v>-0.19026904368746655</v>
      </c>
    </row>
    <row r="123" spans="1:20" x14ac:dyDescent="0.25">
      <c r="A123" s="28">
        <v>113</v>
      </c>
      <c r="B123" s="39">
        <f t="shared" ca="1" si="11"/>
        <v>0.97718240633137032</v>
      </c>
      <c r="C123" s="39">
        <f t="shared" ca="1" si="7"/>
        <v>1.9987520581863938</v>
      </c>
      <c r="D123" s="29">
        <f t="shared" ca="1" si="10"/>
        <v>3.8387942782505798E-2</v>
      </c>
      <c r="E123" s="39">
        <f t="shared" ca="1" si="8"/>
        <v>933.46529117103114</v>
      </c>
      <c r="R123">
        <v>1135.2442568571994</v>
      </c>
      <c r="S123" s="14">
        <f t="shared" si="9"/>
        <v>0.12684783205971761</v>
      </c>
      <c r="T123" s="9">
        <v>-0.18481134206107597</v>
      </c>
    </row>
    <row r="124" spans="1:20" x14ac:dyDescent="0.25">
      <c r="A124" s="28">
        <v>114</v>
      </c>
      <c r="B124" s="39">
        <f t="shared" ca="1" si="11"/>
        <v>0.37465503626662167</v>
      </c>
      <c r="C124" s="39">
        <f t="shared" ca="1" si="7"/>
        <v>-0.31954922186934648</v>
      </c>
      <c r="D124" s="29">
        <f t="shared" ca="1" si="10"/>
        <v>-5.4238332971384426E-3</v>
      </c>
      <c r="E124" s="39">
        <f t="shared" ca="1" si="8"/>
        <v>928.4160365788739</v>
      </c>
      <c r="R124">
        <v>1950.411625549807</v>
      </c>
      <c r="S124" s="14">
        <f t="shared" si="9"/>
        <v>0.6680404403248329</v>
      </c>
      <c r="T124" s="9">
        <v>-0.1844897975009453</v>
      </c>
    </row>
    <row r="125" spans="1:20" x14ac:dyDescent="0.25">
      <c r="A125" s="28">
        <v>115</v>
      </c>
      <c r="B125" s="39">
        <f t="shared" ca="1" si="11"/>
        <v>0.41155382143999097</v>
      </c>
      <c r="C125" s="39">
        <f t="shared" ca="1" si="7"/>
        <v>-0.2235497819311571</v>
      </c>
      <c r="D125" s="29">
        <f t="shared" ca="1" si="10"/>
        <v>-3.6096144108675081E-3</v>
      </c>
      <c r="E125" s="39">
        <f t="shared" ca="1" si="8"/>
        <v>925.07085371621201</v>
      </c>
      <c r="R125">
        <v>2495.2717335277644</v>
      </c>
      <c r="S125" s="14">
        <f t="shared" si="9"/>
        <v>0.91439763450665712</v>
      </c>
      <c r="T125" s="9">
        <v>-0.18286088335729067</v>
      </c>
    </row>
    <row r="126" spans="1:20" x14ac:dyDescent="0.25">
      <c r="A126" s="28">
        <v>116</v>
      </c>
      <c r="B126" s="39">
        <f t="shared" ca="1" si="11"/>
        <v>0.52224415012529479</v>
      </c>
      <c r="C126" s="39">
        <f t="shared" ca="1" si="7"/>
        <v>5.5786738357000695E-2</v>
      </c>
      <c r="D126" s="29">
        <f t="shared" ca="1" si="10"/>
        <v>1.6693496232797356E-3</v>
      </c>
      <c r="E126" s="39">
        <f t="shared" ca="1" si="8"/>
        <v>926.61641007541277</v>
      </c>
      <c r="R126">
        <v>1854.3557457078603</v>
      </c>
      <c r="S126" s="14">
        <f t="shared" si="9"/>
        <v>0.61753732883835832</v>
      </c>
      <c r="T126" s="9">
        <v>-0.17799719709086137</v>
      </c>
    </row>
    <row r="127" spans="1:20" x14ac:dyDescent="0.25">
      <c r="A127" s="28">
        <v>117</v>
      </c>
      <c r="B127" s="39">
        <f t="shared" ca="1" si="11"/>
        <v>0.48305774881350516</v>
      </c>
      <c r="C127" s="39">
        <f t="shared" ref="C127:C190" ca="1" si="12">NORMSINV(B127)</f>
        <v>-4.2480699249885977E-2</v>
      </c>
      <c r="D127" s="29">
        <f t="shared" ca="1" si="10"/>
        <v>-1.877303901729663E-4</v>
      </c>
      <c r="E127" s="39">
        <f t="shared" ref="E127:E190" ca="1" si="13">+EXP(D127)*E126</f>
        <v>926.44247234241868</v>
      </c>
      <c r="R127">
        <v>831.52842352408186</v>
      </c>
      <c r="S127" s="14">
        <f t="shared" si="9"/>
        <v>-0.1844897975009453</v>
      </c>
      <c r="T127" s="9">
        <v>-0.17769194242392863</v>
      </c>
    </row>
    <row r="128" spans="1:20" x14ac:dyDescent="0.25">
      <c r="A128" s="28">
        <v>118</v>
      </c>
      <c r="B128" s="39">
        <f t="shared" ca="1" si="11"/>
        <v>0.22465979744640519</v>
      </c>
      <c r="C128" s="39">
        <f t="shared" ca="1" si="12"/>
        <v>-0.75654985219289761</v>
      </c>
      <c r="D128" s="29">
        <f t="shared" ca="1" si="10"/>
        <v>-1.3682368944385501E-2</v>
      </c>
      <c r="E128" s="39">
        <f t="shared" ca="1" si="13"/>
        <v>913.85286883488448</v>
      </c>
      <c r="R128">
        <v>1029.4478295683973</v>
      </c>
      <c r="S128" s="14">
        <f t="shared" si="9"/>
        <v>2.9022570697432377E-2</v>
      </c>
      <c r="T128" s="9">
        <v>-0.17450589467753122</v>
      </c>
    </row>
    <row r="129" spans="1:20" x14ac:dyDescent="0.25">
      <c r="A129" s="28">
        <v>119</v>
      </c>
      <c r="B129" s="39">
        <f t="shared" ca="1" si="11"/>
        <v>0.4223223285478882</v>
      </c>
      <c r="C129" s="39">
        <f t="shared" ca="1" si="12"/>
        <v>-0.19595593365557362</v>
      </c>
      <c r="D129" s="29">
        <f t="shared" ca="1" si="10"/>
        <v>-3.0881396947786341E-3</v>
      </c>
      <c r="E129" s="39">
        <f t="shared" ca="1" si="13"/>
        <v>911.03511656108742</v>
      </c>
      <c r="R129">
        <v>900.11364366044438</v>
      </c>
      <c r="S129" s="14">
        <f t="shared" si="9"/>
        <v>-0.10523425289547735</v>
      </c>
      <c r="T129" s="9">
        <v>-0.17281709414030536</v>
      </c>
    </row>
    <row r="130" spans="1:20" x14ac:dyDescent="0.25">
      <c r="A130" s="28">
        <v>120</v>
      </c>
      <c r="B130" s="39">
        <f t="shared" ca="1" si="11"/>
        <v>0.55410836769962968</v>
      </c>
      <c r="C130" s="39">
        <f t="shared" ca="1" si="12"/>
        <v>0.13604808928177309</v>
      </c>
      <c r="D130" s="29">
        <f t="shared" ca="1" si="10"/>
        <v>3.1861465835442485E-3</v>
      </c>
      <c r="E130" s="39">
        <f t="shared" ca="1" si="13"/>
        <v>913.94243710043031</v>
      </c>
      <c r="R130">
        <v>1359.8533555231797</v>
      </c>
      <c r="S130" s="14">
        <f t="shared" si="9"/>
        <v>0.30737686711303969</v>
      </c>
      <c r="T130" s="9">
        <v>-0.1722912956988269</v>
      </c>
    </row>
    <row r="131" spans="1:20" x14ac:dyDescent="0.25">
      <c r="A131" s="28">
        <v>121</v>
      </c>
      <c r="B131" s="39">
        <f t="shared" ca="1" si="11"/>
        <v>0.55967302133280727</v>
      </c>
      <c r="C131" s="39">
        <f t="shared" ca="1" si="12"/>
        <v>0.15014025968015252</v>
      </c>
      <c r="D131" s="29">
        <f t="shared" ca="1" si="10"/>
        <v>3.4524635714532339E-3</v>
      </c>
      <c r="E131" s="39">
        <f t="shared" ca="1" si="13"/>
        <v>917.10324321530572</v>
      </c>
      <c r="R131">
        <v>1053.1762102259611</v>
      </c>
      <c r="S131" s="14">
        <f t="shared" si="9"/>
        <v>5.1810560297133122E-2</v>
      </c>
      <c r="T131" s="9">
        <v>-0.17131824829357803</v>
      </c>
    </row>
    <row r="132" spans="1:20" x14ac:dyDescent="0.25">
      <c r="A132" s="28">
        <v>122</v>
      </c>
      <c r="B132" s="39">
        <f t="shared" ca="1" si="11"/>
        <v>6.5513798142200486E-2</v>
      </c>
      <c r="C132" s="39">
        <f t="shared" ca="1" si="12"/>
        <v>-1.510062032719409</v>
      </c>
      <c r="D132" s="29">
        <f t="shared" ca="1" si="10"/>
        <v>-2.7922410655322329E-2</v>
      </c>
      <c r="E132" s="39">
        <f t="shared" ca="1" si="13"/>
        <v>891.84972020915416</v>
      </c>
      <c r="R132">
        <v>774.31197259553801</v>
      </c>
      <c r="S132" s="14">
        <f t="shared" ref="S132:S195" si="14">+LN(R132/$B$2)</f>
        <v>-0.2557804212325227</v>
      </c>
      <c r="T132" s="9">
        <v>-0.17009074745765151</v>
      </c>
    </row>
    <row r="133" spans="1:20" x14ac:dyDescent="0.25">
      <c r="A133" s="28">
        <v>123</v>
      </c>
      <c r="B133" s="39">
        <f t="shared" ca="1" si="11"/>
        <v>9.1125429946544934E-2</v>
      </c>
      <c r="C133" s="39">
        <f t="shared" ca="1" si="12"/>
        <v>-1.3338565921253651</v>
      </c>
      <c r="D133" s="29">
        <f t="shared" ca="1" si="10"/>
        <v>-2.4592440830548009E-2</v>
      </c>
      <c r="E133" s="39">
        <f t="shared" ca="1" si="13"/>
        <v>870.18445155107815</v>
      </c>
      <c r="R133">
        <v>986.80206300312386</v>
      </c>
      <c r="S133" s="14">
        <f t="shared" si="14"/>
        <v>-1.3285803730089611E-2</v>
      </c>
      <c r="T133" s="9">
        <v>-0.16884603024790509</v>
      </c>
    </row>
    <row r="134" spans="1:20" x14ac:dyDescent="0.25">
      <c r="A134" s="28">
        <v>124</v>
      </c>
      <c r="B134" s="39">
        <f t="shared" ca="1" si="11"/>
        <v>0.99022294035676095</v>
      </c>
      <c r="C134" s="39">
        <f t="shared" ca="1" si="12"/>
        <v>2.334795253433207</v>
      </c>
      <c r="D134" s="29">
        <f t="shared" ca="1" si="10"/>
        <v>4.4738562242495727E-2</v>
      </c>
      <c r="E134" s="39">
        <f t="shared" ca="1" si="13"/>
        <v>909.99924031929697</v>
      </c>
      <c r="R134">
        <v>1139.3451559400762</v>
      </c>
      <c r="S134" s="14">
        <f t="shared" si="14"/>
        <v>0.13045367274741035</v>
      </c>
      <c r="T134" s="9">
        <v>-0.16870069187800207</v>
      </c>
    </row>
    <row r="135" spans="1:20" x14ac:dyDescent="0.25">
      <c r="A135" s="28">
        <v>125</v>
      </c>
      <c r="B135" s="39">
        <f t="shared" ca="1" si="11"/>
        <v>0.19519013679622199</v>
      </c>
      <c r="C135" s="39">
        <f t="shared" ca="1" si="12"/>
        <v>-0.85892793982101179</v>
      </c>
      <c r="D135" s="29">
        <f t="shared" ca="1" si="10"/>
        <v>-1.5617132941288135E-2</v>
      </c>
      <c r="E135" s="39">
        <f t="shared" ca="1" si="13"/>
        <v>895.89805782687324</v>
      </c>
      <c r="R135">
        <v>1272.0412609951591</v>
      </c>
      <c r="S135" s="14">
        <f t="shared" si="14"/>
        <v>0.24062290228110941</v>
      </c>
      <c r="T135" s="9">
        <v>-0.16533516912461632</v>
      </c>
    </row>
    <row r="136" spans="1:20" x14ac:dyDescent="0.25">
      <c r="A136" s="28">
        <v>126</v>
      </c>
      <c r="B136" s="39">
        <f t="shared" ca="1" si="11"/>
        <v>0.19593938139735423</v>
      </c>
      <c r="C136" s="39">
        <f t="shared" ca="1" si="12"/>
        <v>-0.85621518860251078</v>
      </c>
      <c r="D136" s="29">
        <f t="shared" ca="1" si="10"/>
        <v>-1.556586676205284E-2</v>
      </c>
      <c r="E136" s="39">
        <f t="shared" ca="1" si="13"/>
        <v>882.06060340802935</v>
      </c>
      <c r="R136">
        <v>1167.5595131797427</v>
      </c>
      <c r="S136" s="14">
        <f t="shared" si="14"/>
        <v>0.15491568414802923</v>
      </c>
      <c r="T136" s="9">
        <v>-0.16531505564858642</v>
      </c>
    </row>
    <row r="137" spans="1:20" x14ac:dyDescent="0.25">
      <c r="A137" s="28">
        <v>127</v>
      </c>
      <c r="B137" s="39">
        <f t="shared" ca="1" si="11"/>
        <v>0.83559467757991479</v>
      </c>
      <c r="C137" s="39">
        <f t="shared" ca="1" si="12"/>
        <v>0.97651232170506908</v>
      </c>
      <c r="D137" s="29">
        <f t="shared" ca="1" si="10"/>
        <v>1.9069427618093032E-2</v>
      </c>
      <c r="E137" s="39">
        <f t="shared" ca="1" si="13"/>
        <v>899.04239616726227</v>
      </c>
      <c r="R137">
        <v>1172.1176864691886</v>
      </c>
      <c r="S137" s="14">
        <f t="shared" si="14"/>
        <v>0.15881210118966416</v>
      </c>
      <c r="T137" s="9">
        <v>-0.16463259056325782</v>
      </c>
    </row>
    <row r="138" spans="1:20" x14ac:dyDescent="0.25">
      <c r="A138" s="28">
        <v>128</v>
      </c>
      <c r="B138" s="39">
        <f t="shared" ca="1" si="11"/>
        <v>0.67489468987173695</v>
      </c>
      <c r="C138" s="39">
        <f t="shared" ca="1" si="12"/>
        <v>0.45346961201467895</v>
      </c>
      <c r="D138" s="29">
        <f t="shared" ca="1" si="10"/>
        <v>9.1848495116207077E-3</v>
      </c>
      <c r="E138" s="39">
        <f t="shared" ca="1" si="13"/>
        <v>907.33800391596492</v>
      </c>
      <c r="R138">
        <v>1041.6371442239597</v>
      </c>
      <c r="S138" s="14">
        <f t="shared" si="14"/>
        <v>4.0793652573627159E-2</v>
      </c>
      <c r="T138" s="9">
        <v>-0.16318461677961255</v>
      </c>
    </row>
    <row r="139" spans="1:20" x14ac:dyDescent="0.25">
      <c r="A139" s="28">
        <v>129</v>
      </c>
      <c r="B139" s="39">
        <f t="shared" ca="1" si="11"/>
        <v>0.34815645885221791</v>
      </c>
      <c r="C139" s="39">
        <f t="shared" ca="1" si="12"/>
        <v>-0.39030244207518355</v>
      </c>
      <c r="D139" s="29">
        <f t="shared" ref="D139:D202" ca="1" si="15">+$E$2*$B$5+C139*$E$3*$B$5^0.5</f>
        <v>-6.7609434765786942E-3</v>
      </c>
      <c r="E139" s="39">
        <f t="shared" ca="1" si="13"/>
        <v>901.22423367339059</v>
      </c>
      <c r="R139">
        <v>1547.1276312423433</v>
      </c>
      <c r="S139" s="14">
        <f t="shared" si="14"/>
        <v>0.4364000706068889</v>
      </c>
      <c r="T139" s="9">
        <v>-0.16178873992195747</v>
      </c>
    </row>
    <row r="140" spans="1:20" x14ac:dyDescent="0.25">
      <c r="A140" s="28">
        <v>130</v>
      </c>
      <c r="B140" s="39">
        <f t="shared" ref="B140:B203" ca="1" si="16">RAND()</f>
        <v>0.87827566175423555</v>
      </c>
      <c r="C140" s="39">
        <f t="shared" ca="1" si="12"/>
        <v>1.1664101010627868</v>
      </c>
      <c r="D140" s="29">
        <f t="shared" ca="1" si="15"/>
        <v>2.2658158323121149E-2</v>
      </c>
      <c r="E140" s="39">
        <f t="shared" ca="1" si="13"/>
        <v>921.87741295687329</v>
      </c>
      <c r="R140">
        <v>1400.8636737065226</v>
      </c>
      <c r="S140" s="14">
        <f t="shared" si="14"/>
        <v>0.33708895620096596</v>
      </c>
      <c r="T140" s="9">
        <v>-0.16117863354557471</v>
      </c>
    </row>
    <row r="141" spans="1:20" x14ac:dyDescent="0.25">
      <c r="A141" s="28">
        <v>131</v>
      </c>
      <c r="B141" s="39">
        <f t="shared" ca="1" si="16"/>
        <v>0.86218770908561126</v>
      </c>
      <c r="C141" s="39">
        <f t="shared" ca="1" si="12"/>
        <v>1.0902010706762564</v>
      </c>
      <c r="D141" s="29">
        <f t="shared" ca="1" si="15"/>
        <v>2.1217943022691692E-2</v>
      </c>
      <c r="E141" s="39">
        <f t="shared" ca="1" si="13"/>
        <v>941.64674599415434</v>
      </c>
      <c r="R141">
        <v>847.60956391751506</v>
      </c>
      <c r="S141" s="14">
        <f t="shared" si="14"/>
        <v>-0.16533516912461632</v>
      </c>
      <c r="T141" s="9">
        <v>-0.15962715596104884</v>
      </c>
    </row>
    <row r="142" spans="1:20" x14ac:dyDescent="0.25">
      <c r="A142" s="28">
        <v>132</v>
      </c>
      <c r="B142" s="39">
        <f t="shared" ca="1" si="16"/>
        <v>0.15657534342076029</v>
      </c>
      <c r="C142" s="39">
        <f t="shared" ca="1" si="12"/>
        <v>-1.0086329750483471</v>
      </c>
      <c r="D142" s="29">
        <f t="shared" ca="1" si="15"/>
        <v>-1.8446292178614515E-2</v>
      </c>
      <c r="E142" s="39">
        <f t="shared" ca="1" si="13"/>
        <v>924.43607949378099</v>
      </c>
      <c r="R142">
        <v>3233.8562356644402</v>
      </c>
      <c r="S142" s="14">
        <f t="shared" si="14"/>
        <v>1.1736753061360201</v>
      </c>
      <c r="T142" s="9">
        <v>-0.15858434465346652</v>
      </c>
    </row>
    <row r="143" spans="1:20" x14ac:dyDescent="0.25">
      <c r="A143" s="28">
        <v>133</v>
      </c>
      <c r="B143" s="39">
        <f t="shared" ca="1" si="16"/>
        <v>0.83847093119018146</v>
      </c>
      <c r="C143" s="39">
        <f t="shared" ca="1" si="12"/>
        <v>0.9881929961924194</v>
      </c>
      <c r="D143" s="29">
        <f t="shared" ca="1" si="15"/>
        <v>1.9290171616943221E-2</v>
      </c>
      <c r="E143" s="39">
        <f t="shared" ca="1" si="13"/>
        <v>942.44171770423088</v>
      </c>
      <c r="R143">
        <v>1234.1173566288492</v>
      </c>
      <c r="S143" s="14">
        <f t="shared" si="14"/>
        <v>0.21035602357780045</v>
      </c>
      <c r="T143" s="9">
        <v>-0.15599216252545156</v>
      </c>
    </row>
    <row r="144" spans="1:20" x14ac:dyDescent="0.25">
      <c r="A144" s="28">
        <v>134</v>
      </c>
      <c r="B144" s="39">
        <f t="shared" ca="1" si="16"/>
        <v>0.80142959671116309</v>
      </c>
      <c r="C144" s="39">
        <f t="shared" ca="1" si="12"/>
        <v>0.8467386572339527</v>
      </c>
      <c r="D144" s="29">
        <f t="shared" ca="1" si="15"/>
        <v>1.6616935882977944E-2</v>
      </c>
      <c r="E144" s="39">
        <f t="shared" ca="1" si="13"/>
        <v>958.23304971629773</v>
      </c>
      <c r="R144">
        <v>1065.5106929616127</v>
      </c>
      <c r="S144" s="14">
        <f t="shared" si="14"/>
        <v>6.3454208134158224E-2</v>
      </c>
      <c r="T144" s="9">
        <v>-0.15596705334608943</v>
      </c>
    </row>
    <row r="145" spans="1:20" x14ac:dyDescent="0.25">
      <c r="A145" s="28">
        <v>135</v>
      </c>
      <c r="B145" s="39">
        <f t="shared" ca="1" si="16"/>
        <v>0.12730960168581051</v>
      </c>
      <c r="C145" s="39">
        <f t="shared" ca="1" si="12"/>
        <v>-1.1392013002786798</v>
      </c>
      <c r="D145" s="29">
        <f t="shared" ca="1" si="15"/>
        <v>-2.0913801590483519E-2</v>
      </c>
      <c r="E145" s="39">
        <f t="shared" ca="1" si="13"/>
        <v>938.40085993490698</v>
      </c>
      <c r="R145">
        <v>663.97545575492245</v>
      </c>
      <c r="S145" s="14">
        <f t="shared" si="14"/>
        <v>-0.40951009441341135</v>
      </c>
      <c r="T145" s="9">
        <v>-0.15494793694292802</v>
      </c>
    </row>
    <row r="146" spans="1:20" x14ac:dyDescent="0.25">
      <c r="A146" s="28">
        <v>136</v>
      </c>
      <c r="B146" s="39">
        <f t="shared" ca="1" si="16"/>
        <v>0.29987578013485028</v>
      </c>
      <c r="C146" s="39">
        <f t="shared" ca="1" si="12"/>
        <v>-0.52475781539611321</v>
      </c>
      <c r="D146" s="29">
        <f t="shared" ca="1" si="15"/>
        <v>-9.3019111926038994E-3</v>
      </c>
      <c r="E146" s="39">
        <f t="shared" ca="1" si="13"/>
        <v>929.71241071191446</v>
      </c>
      <c r="R146">
        <v>1002.6921925031589</v>
      </c>
      <c r="S146" s="14">
        <f t="shared" si="14"/>
        <v>2.6885750440648333E-3</v>
      </c>
      <c r="T146" s="9">
        <v>-0.15276257286213743</v>
      </c>
    </row>
    <row r="147" spans="1:20" x14ac:dyDescent="0.25">
      <c r="A147" s="28">
        <v>137</v>
      </c>
      <c r="B147" s="39">
        <f t="shared" ca="1" si="16"/>
        <v>0.946645858097663</v>
      </c>
      <c r="C147" s="39">
        <f t="shared" ca="1" si="12"/>
        <v>1.6131667560205256</v>
      </c>
      <c r="D147" s="29">
        <f t="shared" ca="1" si="15"/>
        <v>3.1101065505844495E-2</v>
      </c>
      <c r="E147" s="39">
        <f t="shared" ca="1" si="13"/>
        <v>959.08179962197869</v>
      </c>
      <c r="R147">
        <v>925.16165529571572</v>
      </c>
      <c r="S147" s="14">
        <f t="shared" si="14"/>
        <v>-7.7786794257040617E-2</v>
      </c>
      <c r="T147" s="9">
        <v>-0.15008051647291798</v>
      </c>
    </row>
    <row r="148" spans="1:20" x14ac:dyDescent="0.25">
      <c r="A148" s="28">
        <v>138</v>
      </c>
      <c r="B148" s="39">
        <f t="shared" ca="1" si="16"/>
        <v>0.13425459650743043</v>
      </c>
      <c r="C148" s="39">
        <f t="shared" ca="1" si="12"/>
        <v>-1.1065022446280632</v>
      </c>
      <c r="D148" s="29">
        <f t="shared" ca="1" si="15"/>
        <v>-2.0295847523639284E-2</v>
      </c>
      <c r="E148" s="39">
        <f t="shared" ca="1" si="13"/>
        <v>939.81262521130304</v>
      </c>
      <c r="R148">
        <v>799.53191162521068</v>
      </c>
      <c r="S148" s="14">
        <f t="shared" si="14"/>
        <v>-0.2237288330266276</v>
      </c>
      <c r="T148" s="9">
        <v>-0.14948760186037111</v>
      </c>
    </row>
    <row r="149" spans="1:20" x14ac:dyDescent="0.25">
      <c r="A149" s="28">
        <v>139</v>
      </c>
      <c r="B149" s="39">
        <f t="shared" ca="1" si="16"/>
        <v>0.38306165611888132</v>
      </c>
      <c r="C149" s="39">
        <f t="shared" ca="1" si="12"/>
        <v>-0.29744955894294056</v>
      </c>
      <c r="D149" s="29">
        <f t="shared" ca="1" si="15"/>
        <v>-5.0061889245554148E-3</v>
      </c>
      <c r="E149" s="39">
        <f t="shared" ca="1" si="13"/>
        <v>935.11950278611994</v>
      </c>
      <c r="R149">
        <v>950.88187350980274</v>
      </c>
      <c r="S149" s="14">
        <f t="shared" si="14"/>
        <v>-5.0365437075256862E-2</v>
      </c>
      <c r="T149" s="9">
        <v>-0.14923900116823155</v>
      </c>
    </row>
    <row r="150" spans="1:20" x14ac:dyDescent="0.25">
      <c r="A150" s="28">
        <v>140</v>
      </c>
      <c r="B150" s="39">
        <f t="shared" ca="1" si="16"/>
        <v>0.84017629817425798</v>
      </c>
      <c r="C150" s="39">
        <f t="shared" ca="1" si="12"/>
        <v>0.99518272179138145</v>
      </c>
      <c r="D150" s="29">
        <f t="shared" ca="1" si="15"/>
        <v>1.9422265014567761E-2</v>
      </c>
      <c r="E150" s="39">
        <f t="shared" ca="1" si="13"/>
        <v>953.45916395899542</v>
      </c>
      <c r="R150">
        <v>1008.3370442709243</v>
      </c>
      <c r="S150" s="14">
        <f t="shared" si="14"/>
        <v>8.3024830766081758E-3</v>
      </c>
      <c r="T150" s="9">
        <v>-0.14848424968077395</v>
      </c>
    </row>
    <row r="151" spans="1:20" x14ac:dyDescent="0.25">
      <c r="A151" s="28">
        <v>141</v>
      </c>
      <c r="B151" s="39">
        <f t="shared" ca="1" si="16"/>
        <v>0.2245490443866911</v>
      </c>
      <c r="C151" s="39">
        <f t="shared" ca="1" si="12"/>
        <v>-0.75691950538906627</v>
      </c>
      <c r="D151" s="29">
        <f t="shared" ca="1" si="15"/>
        <v>-1.3689354733159803E-2</v>
      </c>
      <c r="E151" s="39">
        <f t="shared" ca="1" si="13"/>
        <v>940.49585534637993</v>
      </c>
      <c r="R151">
        <v>959.70873853520925</v>
      </c>
      <c r="S151" s="14">
        <f t="shared" si="14"/>
        <v>-4.1125437913702323E-2</v>
      </c>
      <c r="T151" s="9">
        <v>-0.147914091212723</v>
      </c>
    </row>
    <row r="152" spans="1:20" x14ac:dyDescent="0.25">
      <c r="A152" s="28">
        <v>142</v>
      </c>
      <c r="B152" s="39">
        <f t="shared" ca="1" si="16"/>
        <v>0.75888601156178237</v>
      </c>
      <c r="C152" s="39">
        <f t="shared" ca="1" si="12"/>
        <v>0.70272366485144122</v>
      </c>
      <c r="D152" s="29">
        <f t="shared" ca="1" si="15"/>
        <v>1.3895308347913755E-2</v>
      </c>
      <c r="E152" s="39">
        <f t="shared" ca="1" si="13"/>
        <v>953.65555254310834</v>
      </c>
      <c r="R152">
        <v>1533.1556562907094</v>
      </c>
      <c r="S152" s="14">
        <f t="shared" si="14"/>
        <v>0.42732813178061269</v>
      </c>
      <c r="T152" s="9">
        <v>-0.14686164065126719</v>
      </c>
    </row>
    <row r="153" spans="1:20" x14ac:dyDescent="0.25">
      <c r="A153" s="28">
        <v>143</v>
      </c>
      <c r="B153" s="39">
        <f t="shared" ca="1" si="16"/>
        <v>0.97488527892460264</v>
      </c>
      <c r="C153" s="39">
        <f t="shared" ca="1" si="12"/>
        <v>1.9580048622986148</v>
      </c>
      <c r="D153" s="29">
        <f t="shared" ca="1" si="15"/>
        <v>3.7617893161489391E-2</v>
      </c>
      <c r="E153" s="39">
        <f t="shared" ca="1" si="13"/>
        <v>990.21336823736533</v>
      </c>
      <c r="R153">
        <v>1111.4387942616984</v>
      </c>
      <c r="S153" s="14">
        <f t="shared" si="14"/>
        <v>0.10565538701452286</v>
      </c>
      <c r="T153" s="9">
        <v>-0.13910099695425479</v>
      </c>
    </row>
    <row r="154" spans="1:20" x14ac:dyDescent="0.25">
      <c r="A154" s="28">
        <v>144</v>
      </c>
      <c r="B154" s="39">
        <f t="shared" ca="1" si="16"/>
        <v>1.5262127391155511E-2</v>
      </c>
      <c r="C154" s="39">
        <f t="shared" ca="1" si="12"/>
        <v>-2.1632201030617244</v>
      </c>
      <c r="D154" s="29">
        <f t="shared" ca="1" si="15"/>
        <v>-4.0265937947755182E-2</v>
      </c>
      <c r="E154" s="39">
        <f t="shared" ca="1" si="13"/>
        <v>951.13357056362679</v>
      </c>
      <c r="R154">
        <v>1275.3693053666377</v>
      </c>
      <c r="S154" s="14">
        <f t="shared" si="14"/>
        <v>0.24323578793751072</v>
      </c>
      <c r="T154" s="9">
        <v>-0.13863353273404388</v>
      </c>
    </row>
    <row r="155" spans="1:20" x14ac:dyDescent="0.25">
      <c r="A155" s="28">
        <v>145</v>
      </c>
      <c r="B155" s="39">
        <f t="shared" ca="1" si="16"/>
        <v>0.70370901888533033</v>
      </c>
      <c r="C155" s="39">
        <f t="shared" ca="1" si="12"/>
        <v>0.53509818891518945</v>
      </c>
      <c r="D155" s="29">
        <f t="shared" ca="1" si="15"/>
        <v>1.0727484614155441E-2</v>
      </c>
      <c r="E155" s="39">
        <f t="shared" ca="1" si="13"/>
        <v>961.39176524568495</v>
      </c>
      <c r="R155">
        <v>1005.2531379749894</v>
      </c>
      <c r="S155" s="14">
        <f t="shared" si="14"/>
        <v>5.2393883770336328E-3</v>
      </c>
      <c r="T155" s="9">
        <v>-0.13846556340589836</v>
      </c>
    </row>
    <row r="156" spans="1:20" x14ac:dyDescent="0.25">
      <c r="A156" s="28">
        <v>146</v>
      </c>
      <c r="B156" s="39">
        <f t="shared" ca="1" si="16"/>
        <v>0.45848954191782654</v>
      </c>
      <c r="C156" s="39">
        <f t="shared" ca="1" si="12"/>
        <v>-0.10423975756749985</v>
      </c>
      <c r="D156" s="29">
        <f t="shared" ca="1" si="15"/>
        <v>-1.3548668867011191E-3</v>
      </c>
      <c r="E156" s="39">
        <f t="shared" ca="1" si="13"/>
        <v>960.0900893756932</v>
      </c>
      <c r="R156">
        <v>1073.8530040055316</v>
      </c>
      <c r="S156" s="14">
        <f t="shared" si="14"/>
        <v>7.1253118940589166E-2</v>
      </c>
      <c r="T156" s="9">
        <v>-0.13828881311735383</v>
      </c>
    </row>
    <row r="157" spans="1:20" x14ac:dyDescent="0.25">
      <c r="A157" s="28">
        <v>147</v>
      </c>
      <c r="B157" s="39">
        <f t="shared" ca="1" si="16"/>
        <v>0.15595892481439178</v>
      </c>
      <c r="C157" s="39">
        <f t="shared" ca="1" si="12"/>
        <v>-1.0112059896743089</v>
      </c>
      <c r="D157" s="29">
        <f t="shared" ca="1" si="15"/>
        <v>-1.8494917584471849E-2</v>
      </c>
      <c r="E157" s="39">
        <f t="shared" ca="1" si="13"/>
        <v>942.49649979894946</v>
      </c>
      <c r="R157">
        <v>2046.8785417345914</v>
      </c>
      <c r="S157" s="14">
        <f t="shared" si="14"/>
        <v>0.71631597015306547</v>
      </c>
      <c r="T157" s="9">
        <v>-0.13813837257196718</v>
      </c>
    </row>
    <row r="158" spans="1:20" x14ac:dyDescent="0.25">
      <c r="A158" s="28">
        <v>148</v>
      </c>
      <c r="B158" s="39">
        <f t="shared" ca="1" si="16"/>
        <v>0.40844999013633376</v>
      </c>
      <c r="C158" s="39">
        <f t="shared" ca="1" si="12"/>
        <v>-0.23153399287823609</v>
      </c>
      <c r="D158" s="29">
        <f t="shared" ca="1" si="15"/>
        <v>-3.7605018150178686E-3</v>
      </c>
      <c r="E158" s="39">
        <f t="shared" ca="1" si="13"/>
        <v>938.9588957529063</v>
      </c>
      <c r="R158">
        <v>1095.2163715788818</v>
      </c>
      <c r="S158" s="14">
        <f t="shared" si="14"/>
        <v>9.0951943363648771E-2</v>
      </c>
      <c r="T158" s="9">
        <v>-0.13744648346871474</v>
      </c>
    </row>
    <row r="159" spans="1:20" x14ac:dyDescent="0.25">
      <c r="A159" s="28">
        <v>149</v>
      </c>
      <c r="B159" s="39">
        <f t="shared" ca="1" si="16"/>
        <v>0.10989270340659796</v>
      </c>
      <c r="C159" s="39">
        <f t="shared" ca="1" si="12"/>
        <v>-1.2270989384505122</v>
      </c>
      <c r="D159" s="29">
        <f t="shared" ca="1" si="15"/>
        <v>-2.2574910815002135E-2</v>
      </c>
      <c r="E159" s="39">
        <f t="shared" ca="1" si="13"/>
        <v>917.99945133322115</v>
      </c>
      <c r="R159">
        <v>1781.1825610452572</v>
      </c>
      <c r="S159" s="14">
        <f t="shared" si="14"/>
        <v>0.5772775038522775</v>
      </c>
      <c r="T159" s="9">
        <v>-0.13738848784047894</v>
      </c>
    </row>
    <row r="160" spans="1:20" x14ac:dyDescent="0.25">
      <c r="A160" s="28">
        <v>150</v>
      </c>
      <c r="B160" s="39">
        <f t="shared" ca="1" si="16"/>
        <v>0.98918733101320833</v>
      </c>
      <c r="C160" s="39">
        <f t="shared" ca="1" si="12"/>
        <v>2.2968848760411338</v>
      </c>
      <c r="D160" s="29">
        <f t="shared" ca="1" si="15"/>
        <v>4.4022123451866936E-2</v>
      </c>
      <c r="E160" s="39">
        <f t="shared" ca="1" si="13"/>
        <v>959.3144515528179</v>
      </c>
      <c r="R160">
        <v>1778.4628606244801</v>
      </c>
      <c r="S160" s="14">
        <f t="shared" si="14"/>
        <v>0.57574942977308341</v>
      </c>
      <c r="T160" s="9">
        <v>-0.13676948219740842</v>
      </c>
    </row>
    <row r="161" spans="1:20" x14ac:dyDescent="0.25">
      <c r="A161" s="28">
        <v>151</v>
      </c>
      <c r="B161" s="39">
        <f t="shared" ca="1" si="16"/>
        <v>0.4367998613105053</v>
      </c>
      <c r="C161" s="39">
        <f t="shared" ca="1" si="12"/>
        <v>-0.15908777128452037</v>
      </c>
      <c r="D161" s="29">
        <f t="shared" ca="1" si="15"/>
        <v>-2.3913969167089462E-3</v>
      </c>
      <c r="E161" s="39">
        <f t="shared" ca="1" si="13"/>
        <v>957.02309079972224</v>
      </c>
      <c r="R161">
        <v>888.83389697831728</v>
      </c>
      <c r="S161" s="14">
        <f t="shared" si="14"/>
        <v>-0.11784490346955021</v>
      </c>
      <c r="T161" s="9">
        <v>-0.13633164856861082</v>
      </c>
    </row>
    <row r="162" spans="1:20" x14ac:dyDescent="0.25">
      <c r="A162" s="28">
        <v>152</v>
      </c>
      <c r="B162" s="39">
        <f t="shared" ca="1" si="16"/>
        <v>0.23304395067864625</v>
      </c>
      <c r="C162" s="39">
        <f t="shared" ca="1" si="12"/>
        <v>-0.72885902514615286</v>
      </c>
      <c r="D162" s="29">
        <f t="shared" ca="1" si="15"/>
        <v>-1.3159061501789873E-2</v>
      </c>
      <c r="E162" s="39">
        <f t="shared" ca="1" si="13"/>
        <v>944.51206232041841</v>
      </c>
      <c r="R162">
        <v>872.55320347604368</v>
      </c>
      <c r="S162" s="14">
        <f t="shared" si="14"/>
        <v>-0.13633164856861082</v>
      </c>
      <c r="T162" s="9">
        <v>-0.13478162112392339</v>
      </c>
    </row>
    <row r="163" spans="1:20" x14ac:dyDescent="0.25">
      <c r="A163" s="28">
        <v>153</v>
      </c>
      <c r="B163" s="39">
        <f t="shared" ca="1" si="16"/>
        <v>0.83382550679197354</v>
      </c>
      <c r="C163" s="39">
        <f t="shared" ca="1" si="12"/>
        <v>0.96939331509428273</v>
      </c>
      <c r="D163" s="29">
        <f t="shared" ca="1" si="15"/>
        <v>1.8934891038993283E-2</v>
      </c>
      <c r="E163" s="39">
        <f t="shared" ca="1" si="13"/>
        <v>962.56668705756852</v>
      </c>
      <c r="R163">
        <v>1495.1056024283237</v>
      </c>
      <c r="S163" s="14">
        <f t="shared" si="14"/>
        <v>0.40219684142377071</v>
      </c>
      <c r="T163" s="9">
        <v>-0.13413987967633703</v>
      </c>
    </row>
    <row r="164" spans="1:20" x14ac:dyDescent="0.25">
      <c r="A164" s="28">
        <v>154</v>
      </c>
      <c r="B164" s="39">
        <f t="shared" ca="1" si="16"/>
        <v>0.84257390216404293</v>
      </c>
      <c r="C164" s="39">
        <f t="shared" ca="1" si="12"/>
        <v>1.0050927398787211</v>
      </c>
      <c r="D164" s="29">
        <f t="shared" ca="1" si="15"/>
        <v>1.960954675276242E-2</v>
      </c>
      <c r="E164" s="39">
        <f t="shared" ca="1" si="13"/>
        <v>981.62846914168449</v>
      </c>
      <c r="R164">
        <v>1496.3061820465875</v>
      </c>
      <c r="S164" s="14">
        <f t="shared" si="14"/>
        <v>0.40299952575426384</v>
      </c>
      <c r="T164" s="9">
        <v>-0.13379597188366246</v>
      </c>
    </row>
    <row r="165" spans="1:20" x14ac:dyDescent="0.25">
      <c r="A165" s="28">
        <v>155</v>
      </c>
      <c r="B165" s="39">
        <f t="shared" ca="1" si="16"/>
        <v>0.39485942523758422</v>
      </c>
      <c r="C165" s="39">
        <f t="shared" ca="1" si="12"/>
        <v>-0.26667571905216303</v>
      </c>
      <c r="D165" s="29">
        <f t="shared" ca="1" si="15"/>
        <v>-4.4246180157160118E-3</v>
      </c>
      <c r="E165" s="39">
        <f t="shared" ca="1" si="13"/>
        <v>977.29473276661656</v>
      </c>
      <c r="R165">
        <v>774.42389944512297</v>
      </c>
      <c r="S165" s="14">
        <f t="shared" si="14"/>
        <v>-0.25563588160920725</v>
      </c>
      <c r="T165" s="9">
        <v>-0.13332896196108468</v>
      </c>
    </row>
    <row r="166" spans="1:20" x14ac:dyDescent="0.25">
      <c r="A166" s="28">
        <v>156</v>
      </c>
      <c r="B166" s="39">
        <f t="shared" ca="1" si="16"/>
        <v>0.9362777341430838</v>
      </c>
      <c r="C166" s="39">
        <f t="shared" ca="1" si="12"/>
        <v>1.5242569698259421</v>
      </c>
      <c r="D166" s="29">
        <f t="shared" ca="1" si="15"/>
        <v>2.9420828481624549E-2</v>
      </c>
      <c r="E166" s="39">
        <f t="shared" ca="1" si="13"/>
        <v>1006.4746980708096</v>
      </c>
      <c r="R166">
        <v>1051.1129743182303</v>
      </c>
      <c r="S166" s="14">
        <f t="shared" si="14"/>
        <v>4.9849578333192368E-2</v>
      </c>
      <c r="T166" s="9">
        <v>-0.13152865510363732</v>
      </c>
    </row>
    <row r="167" spans="1:20" x14ac:dyDescent="0.25">
      <c r="A167" s="28">
        <v>157</v>
      </c>
      <c r="B167" s="39">
        <f t="shared" ca="1" si="16"/>
        <v>0.86197767259735658</v>
      </c>
      <c r="C167" s="39">
        <f t="shared" ca="1" si="12"/>
        <v>1.0892477327516383</v>
      </c>
      <c r="D167" s="29">
        <f t="shared" ca="1" si="15"/>
        <v>2.1199926629377794E-2</v>
      </c>
      <c r="E167" s="39">
        <f t="shared" ca="1" si="13"/>
        <v>1028.0396680464921</v>
      </c>
      <c r="R167">
        <v>853.35098516234154</v>
      </c>
      <c r="S167" s="14">
        <f t="shared" si="14"/>
        <v>-0.15858434465346652</v>
      </c>
      <c r="T167" s="9">
        <v>-0.13078604716203404</v>
      </c>
    </row>
    <row r="168" spans="1:20" x14ac:dyDescent="0.25">
      <c r="A168" s="28">
        <v>158</v>
      </c>
      <c r="B168" s="39">
        <f t="shared" ca="1" si="16"/>
        <v>0.96115308386208254</v>
      </c>
      <c r="C168" s="39">
        <f t="shared" ca="1" si="12"/>
        <v>1.7642266221730796</v>
      </c>
      <c r="D168" s="29">
        <f t="shared" ca="1" si="15"/>
        <v>3.3955828641004222E-2</v>
      </c>
      <c r="E168" s="39">
        <f t="shared" ca="1" si="13"/>
        <v>1063.5470363112718</v>
      </c>
      <c r="R168">
        <v>1792.5273182307815</v>
      </c>
      <c r="S168" s="14">
        <f t="shared" si="14"/>
        <v>0.58362653367161865</v>
      </c>
      <c r="T168" s="9">
        <v>-0.13023390993384826</v>
      </c>
    </row>
    <row r="169" spans="1:20" x14ac:dyDescent="0.25">
      <c r="A169" s="28">
        <v>159</v>
      </c>
      <c r="B169" s="39">
        <f t="shared" ca="1" si="16"/>
        <v>0.48013009429684883</v>
      </c>
      <c r="C169" s="39">
        <f t="shared" ca="1" si="12"/>
        <v>-4.9827077700854372E-2</v>
      </c>
      <c r="D169" s="29">
        <f t="shared" ca="1" si="15"/>
        <v>-3.265638931602969E-4</v>
      </c>
      <c r="E169" s="39">
        <f t="shared" ca="1" si="13"/>
        <v>1063.1997769548047</v>
      </c>
      <c r="R169">
        <v>870.97816391844924</v>
      </c>
      <c r="S169" s="14">
        <f t="shared" si="14"/>
        <v>-0.13813837257196718</v>
      </c>
      <c r="T169" s="9">
        <v>-0.12857469058701174</v>
      </c>
    </row>
    <row r="170" spans="1:20" x14ac:dyDescent="0.25">
      <c r="A170" s="28">
        <v>160</v>
      </c>
      <c r="B170" s="39">
        <f t="shared" ca="1" si="16"/>
        <v>0.59322034333761542</v>
      </c>
      <c r="C170" s="39">
        <f t="shared" ca="1" si="12"/>
        <v>0.23583679723417453</v>
      </c>
      <c r="D170" s="29">
        <f t="shared" ca="1" si="15"/>
        <v>5.071975904219303E-3</v>
      </c>
      <c r="E170" s="39">
        <f t="shared" ca="1" si="13"/>
        <v>1068.6059991296361</v>
      </c>
      <c r="R170">
        <v>2024.1000949486086</v>
      </c>
      <c r="S170" s="14">
        <f t="shared" si="14"/>
        <v>0.70512520422840153</v>
      </c>
      <c r="T170" s="9">
        <v>-0.12789213768663674</v>
      </c>
    </row>
    <row r="171" spans="1:20" x14ac:dyDescent="0.25">
      <c r="A171" s="28">
        <v>161</v>
      </c>
      <c r="B171" s="39">
        <f t="shared" ca="1" si="16"/>
        <v>0.31786781298921252</v>
      </c>
      <c r="C171" s="39">
        <f t="shared" ca="1" si="12"/>
        <v>-0.47366947232065687</v>
      </c>
      <c r="D171" s="29">
        <f t="shared" ca="1" si="15"/>
        <v>-8.336432259232425E-3</v>
      </c>
      <c r="E171" s="39">
        <f t="shared" ca="1" si="13"/>
        <v>1059.7346666142246</v>
      </c>
      <c r="R171">
        <v>1034.4850972313025</v>
      </c>
      <c r="S171" s="14">
        <f t="shared" si="14"/>
        <v>3.3903812330051762E-2</v>
      </c>
      <c r="T171" s="9">
        <v>-0.12368932484761451</v>
      </c>
    </row>
    <row r="172" spans="1:20" x14ac:dyDescent="0.25">
      <c r="A172" s="28">
        <v>162</v>
      </c>
      <c r="B172" s="39">
        <f t="shared" ca="1" si="16"/>
        <v>0.21021989392371065</v>
      </c>
      <c r="C172" s="39">
        <f t="shared" ca="1" si="12"/>
        <v>-0.80565849425727054</v>
      </c>
      <c r="D172" s="29">
        <f t="shared" ca="1" si="15"/>
        <v>-1.4610435045288474E-2</v>
      </c>
      <c r="E172" s="39">
        <f t="shared" ca="1" si="13"/>
        <v>1044.3640412868904</v>
      </c>
      <c r="R172">
        <v>1004.6174844269932</v>
      </c>
      <c r="S172" s="14">
        <f t="shared" si="14"/>
        <v>4.6068565492585634E-3</v>
      </c>
      <c r="T172" s="9">
        <v>-0.12189481333909108</v>
      </c>
    </row>
    <row r="173" spans="1:20" x14ac:dyDescent="0.25">
      <c r="A173" s="28">
        <v>163</v>
      </c>
      <c r="B173" s="39">
        <f t="shared" ca="1" si="16"/>
        <v>0.97059864463315515</v>
      </c>
      <c r="C173" s="39">
        <f t="shared" ca="1" si="12"/>
        <v>1.8896655018704354</v>
      </c>
      <c r="D173" s="29">
        <f t="shared" ca="1" si="15"/>
        <v>3.6326400643988163E-2</v>
      </c>
      <c r="E173" s="39">
        <f t="shared" ca="1" si="13"/>
        <v>1082.999523323105</v>
      </c>
      <c r="R173">
        <v>956.78409728727866</v>
      </c>
      <c r="S173" s="14">
        <f t="shared" si="14"/>
        <v>-4.417751665207427E-2</v>
      </c>
      <c r="T173" s="9">
        <v>-0.12155514447418189</v>
      </c>
    </row>
    <row r="174" spans="1:20" x14ac:dyDescent="0.25">
      <c r="A174" s="28">
        <v>164</v>
      </c>
      <c r="B174" s="39">
        <f t="shared" ca="1" si="16"/>
        <v>0.23804269324043714</v>
      </c>
      <c r="C174" s="39">
        <f t="shared" ca="1" si="12"/>
        <v>-0.71261280394340798</v>
      </c>
      <c r="D174" s="29">
        <f t="shared" ca="1" si="15"/>
        <v>-1.2852036780025533E-2</v>
      </c>
      <c r="E174" s="39">
        <f t="shared" ca="1" si="13"/>
        <v>1069.1698338149301</v>
      </c>
      <c r="R174">
        <v>1367.2984156633452</v>
      </c>
      <c r="S174" s="14">
        <f t="shared" si="14"/>
        <v>0.31283683359847875</v>
      </c>
      <c r="T174" s="9">
        <v>-0.12032376808416989</v>
      </c>
    </row>
    <row r="175" spans="1:20" x14ac:dyDescent="0.25">
      <c r="A175" s="28">
        <v>165</v>
      </c>
      <c r="B175" s="39">
        <f t="shared" ca="1" si="16"/>
        <v>0.3587311109925353</v>
      </c>
      <c r="C175" s="39">
        <f t="shared" ca="1" si="12"/>
        <v>-0.36185254739132333</v>
      </c>
      <c r="D175" s="29">
        <f t="shared" ca="1" si="15"/>
        <v>-6.2232910040110325E-3</v>
      </c>
      <c r="E175" s="39">
        <f t="shared" ca="1" si="13"/>
        <v>1062.536740050703</v>
      </c>
      <c r="R175">
        <v>929.98555624363075</v>
      </c>
      <c r="S175" s="14">
        <f t="shared" si="14"/>
        <v>-7.2586223876268549E-2</v>
      </c>
      <c r="T175" s="9">
        <v>-0.11972367129680356</v>
      </c>
    </row>
    <row r="176" spans="1:20" x14ac:dyDescent="0.25">
      <c r="A176" s="28">
        <v>166</v>
      </c>
      <c r="B176" s="39">
        <f t="shared" ca="1" si="16"/>
        <v>0.17978692327797952</v>
      </c>
      <c r="C176" s="39">
        <f t="shared" ca="1" si="12"/>
        <v>-0.91617742001091862</v>
      </c>
      <c r="D176" s="29">
        <f t="shared" ca="1" si="15"/>
        <v>-1.669904642178965E-2</v>
      </c>
      <c r="E176" s="39">
        <f t="shared" ca="1" si="13"/>
        <v>1044.9407170042232</v>
      </c>
      <c r="R176">
        <v>1433.7560593412932</v>
      </c>
      <c r="S176" s="14">
        <f t="shared" si="14"/>
        <v>0.36029761567137486</v>
      </c>
      <c r="T176" s="9">
        <v>-0.11784490346955021</v>
      </c>
    </row>
    <row r="177" spans="1:20" x14ac:dyDescent="0.25">
      <c r="A177" s="28">
        <v>167</v>
      </c>
      <c r="B177" s="39">
        <f t="shared" ca="1" si="16"/>
        <v>0.2339799697105156</v>
      </c>
      <c r="C177" s="39">
        <f t="shared" ca="1" si="12"/>
        <v>-0.72580236086998529</v>
      </c>
      <c r="D177" s="29">
        <f t="shared" ca="1" si="15"/>
        <v>-1.3101295976674483E-2</v>
      </c>
      <c r="E177" s="39">
        <f t="shared" ca="1" si="13"/>
        <v>1031.3399279149075</v>
      </c>
      <c r="R177">
        <v>1323.9353530077112</v>
      </c>
      <c r="S177" s="14">
        <f t="shared" si="14"/>
        <v>0.28060862928928726</v>
      </c>
      <c r="T177" s="9">
        <v>-0.11640734474772019</v>
      </c>
    </row>
    <row r="178" spans="1:20" x14ac:dyDescent="0.25">
      <c r="A178" s="28">
        <v>168</v>
      </c>
      <c r="B178" s="39">
        <f t="shared" ca="1" si="16"/>
        <v>1.7994920403578862E-2</v>
      </c>
      <c r="C178" s="39">
        <f t="shared" ca="1" si="12"/>
        <v>-2.0970421891642199</v>
      </c>
      <c r="D178" s="29">
        <f t="shared" ca="1" si="15"/>
        <v>-3.9015292930199168E-2</v>
      </c>
      <c r="E178" s="39">
        <f t="shared" ca="1" si="13"/>
        <v>991.87673822541365</v>
      </c>
      <c r="R178">
        <v>1021.3751185701091</v>
      </c>
      <c r="S178" s="14">
        <f t="shared" si="14"/>
        <v>2.1149874811440473E-2</v>
      </c>
      <c r="T178" s="9">
        <v>-0.11549569685013385</v>
      </c>
    </row>
    <row r="179" spans="1:20" x14ac:dyDescent="0.25">
      <c r="A179" s="28">
        <v>169</v>
      </c>
      <c r="B179" s="39">
        <f t="shared" ca="1" si="16"/>
        <v>0.95958991987003039</v>
      </c>
      <c r="C179" s="39">
        <f t="shared" ca="1" si="12"/>
        <v>1.7459470090356604</v>
      </c>
      <c r="D179" s="29">
        <f t="shared" ca="1" si="15"/>
        <v>3.3610376423689359E-2</v>
      </c>
      <c r="E179" s="39">
        <f t="shared" ca="1" si="13"/>
        <v>1025.7806589406464</v>
      </c>
      <c r="R179">
        <v>779.59225921284894</v>
      </c>
      <c r="S179" s="14">
        <f t="shared" si="14"/>
        <v>-0.24898424057600319</v>
      </c>
      <c r="T179" s="9">
        <v>-0.11277053318482569</v>
      </c>
    </row>
    <row r="180" spans="1:20" x14ac:dyDescent="0.25">
      <c r="A180" s="28">
        <v>170</v>
      </c>
      <c r="B180" s="39">
        <f t="shared" ca="1" si="16"/>
        <v>0.44498209718768467</v>
      </c>
      <c r="C180" s="39">
        <f t="shared" ca="1" si="12"/>
        <v>-0.13834951505024043</v>
      </c>
      <c r="D180" s="29">
        <f t="shared" ca="1" si="15"/>
        <v>-1.9994807122729486E-3</v>
      </c>
      <c r="E180" s="39">
        <f t="shared" ca="1" si="13"/>
        <v>1023.7316794282178</v>
      </c>
      <c r="R180">
        <v>1151.0345664934728</v>
      </c>
      <c r="S180" s="14">
        <f t="shared" si="14"/>
        <v>0.14066116099468712</v>
      </c>
      <c r="T180" s="9">
        <v>-0.11217451293860309</v>
      </c>
    </row>
    <row r="181" spans="1:20" x14ac:dyDescent="0.25">
      <c r="A181" s="28">
        <v>171</v>
      </c>
      <c r="B181" s="39">
        <f t="shared" ca="1" si="16"/>
        <v>0.69721020762170893</v>
      </c>
      <c r="C181" s="39">
        <f t="shared" ca="1" si="12"/>
        <v>0.51639352849610753</v>
      </c>
      <c r="D181" s="29">
        <f t="shared" ca="1" si="15"/>
        <v>1.0373999758249697E-2</v>
      </c>
      <c r="E181" s="39">
        <f t="shared" ca="1" si="13"/>
        <v>1034.407149544433</v>
      </c>
      <c r="R181">
        <v>1149.9520592103906</v>
      </c>
      <c r="S181" s="14">
        <f t="shared" si="14"/>
        <v>0.13972025386306622</v>
      </c>
      <c r="T181" s="9">
        <v>-0.1087324727475894</v>
      </c>
    </row>
    <row r="182" spans="1:20" x14ac:dyDescent="0.25">
      <c r="A182" s="28">
        <v>172</v>
      </c>
      <c r="B182" s="39">
        <f t="shared" ca="1" si="16"/>
        <v>0.5524532057514504</v>
      </c>
      <c r="C182" s="39">
        <f t="shared" ca="1" si="12"/>
        <v>0.13186181948910961</v>
      </c>
      <c r="D182" s="29">
        <f t="shared" ca="1" si="15"/>
        <v>3.1070335207413228E-3</v>
      </c>
      <c r="E182" s="39">
        <f t="shared" ca="1" si="13"/>
        <v>1037.6260853132878</v>
      </c>
      <c r="R182">
        <v>479.12999782815984</v>
      </c>
      <c r="S182" s="14">
        <f t="shared" si="14"/>
        <v>-0.73578332417869219</v>
      </c>
      <c r="T182" s="9">
        <v>-0.10798605713983174</v>
      </c>
    </row>
    <row r="183" spans="1:20" x14ac:dyDescent="0.25">
      <c r="A183" s="28">
        <v>173</v>
      </c>
      <c r="B183" s="39">
        <f t="shared" ca="1" si="16"/>
        <v>2.3627323599051286E-2</v>
      </c>
      <c r="C183" s="39">
        <f t="shared" ca="1" si="12"/>
        <v>-1.9840106992933015</v>
      </c>
      <c r="D183" s="29">
        <f t="shared" ca="1" si="15"/>
        <v>-3.687919855507369E-2</v>
      </c>
      <c r="E183" s="39">
        <f t="shared" ca="1" si="13"/>
        <v>1000.0562967811238</v>
      </c>
      <c r="R183">
        <v>1244.5088884886075</v>
      </c>
      <c r="S183" s="14">
        <f t="shared" si="14"/>
        <v>0.21874098501664335</v>
      </c>
      <c r="T183" s="9">
        <v>-0.10782315753508398</v>
      </c>
    </row>
    <row r="184" spans="1:20" x14ac:dyDescent="0.25">
      <c r="A184" s="28">
        <v>174</v>
      </c>
      <c r="B184" s="39">
        <f t="shared" ca="1" si="16"/>
        <v>0.74131818000050709</v>
      </c>
      <c r="C184" s="39">
        <f t="shared" ca="1" si="12"/>
        <v>0.6474146143129984</v>
      </c>
      <c r="D184" s="29">
        <f t="shared" ca="1" si="15"/>
        <v>1.2850065540943593E-2</v>
      </c>
      <c r="E184" s="39">
        <f t="shared" ca="1" si="13"/>
        <v>1012.9900072813255</v>
      </c>
      <c r="R184">
        <v>871.63154209357242</v>
      </c>
      <c r="S184" s="14">
        <f t="shared" si="14"/>
        <v>-0.13738848784047894</v>
      </c>
      <c r="T184" s="9">
        <v>-0.10658687599337231</v>
      </c>
    </row>
    <row r="185" spans="1:20" x14ac:dyDescent="0.25">
      <c r="A185" s="28">
        <v>175</v>
      </c>
      <c r="B185" s="39">
        <f t="shared" ca="1" si="16"/>
        <v>6.3003194614179803E-2</v>
      </c>
      <c r="C185" s="39">
        <f t="shared" ca="1" si="12"/>
        <v>-1.5300417735818144</v>
      </c>
      <c r="D185" s="29">
        <f t="shared" ca="1" si="15"/>
        <v>-2.8299992266618328E-2</v>
      </c>
      <c r="E185" s="39">
        <f t="shared" ca="1" si="13"/>
        <v>984.72424479334404</v>
      </c>
      <c r="R185">
        <v>1485.1864805116375</v>
      </c>
      <c r="S185" s="14">
        <f t="shared" si="14"/>
        <v>0.39554034047275705</v>
      </c>
      <c r="T185" s="9">
        <v>-0.10523425289547735</v>
      </c>
    </row>
    <row r="186" spans="1:20" x14ac:dyDescent="0.25">
      <c r="A186" s="28">
        <v>176</v>
      </c>
      <c r="B186" s="39">
        <f t="shared" ca="1" si="16"/>
        <v>0.41205569579801493</v>
      </c>
      <c r="C186" s="39">
        <f t="shared" ca="1" si="12"/>
        <v>-0.22226012474648982</v>
      </c>
      <c r="D186" s="29">
        <f t="shared" ca="1" si="15"/>
        <v>-3.5852421809592413E-3</v>
      </c>
      <c r="E186" s="39">
        <f t="shared" ca="1" si="13"/>
        <v>981.20009114140407</v>
      </c>
      <c r="R186">
        <v>1611.4004052855378</v>
      </c>
      <c r="S186" s="14">
        <f t="shared" si="14"/>
        <v>0.47710361787236893</v>
      </c>
      <c r="T186" s="9">
        <v>-0.10505068673846871</v>
      </c>
    </row>
    <row r="187" spans="1:20" x14ac:dyDescent="0.25">
      <c r="A187" s="28">
        <v>177</v>
      </c>
      <c r="B187" s="39">
        <f t="shared" ca="1" si="16"/>
        <v>0.32926261123112543</v>
      </c>
      <c r="C187" s="39">
        <f t="shared" ca="1" si="12"/>
        <v>-0.44195022860122563</v>
      </c>
      <c r="D187" s="29">
        <f t="shared" ca="1" si="15"/>
        <v>-7.7369948973991208E-3</v>
      </c>
      <c r="E187" s="39">
        <f t="shared" ca="1" si="13"/>
        <v>973.63784330304691</v>
      </c>
      <c r="R187">
        <v>780.07699731081493</v>
      </c>
      <c r="S187" s="14">
        <f t="shared" si="14"/>
        <v>-0.2483626496694106</v>
      </c>
      <c r="T187" s="9">
        <v>-0.1043334100455033</v>
      </c>
    </row>
    <row r="188" spans="1:20" x14ac:dyDescent="0.25">
      <c r="A188" s="28">
        <v>178</v>
      </c>
      <c r="B188" s="39">
        <f t="shared" ca="1" si="16"/>
        <v>0.21925153519882357</v>
      </c>
      <c r="C188" s="39">
        <f t="shared" ca="1" si="12"/>
        <v>-0.77472348528001234</v>
      </c>
      <c r="D188" s="29">
        <f t="shared" ca="1" si="15"/>
        <v>-1.4025818327007219E-2</v>
      </c>
      <c r="E188" s="39">
        <f t="shared" ca="1" si="13"/>
        <v>960.07709837805589</v>
      </c>
      <c r="R188">
        <v>917.03267770114144</v>
      </c>
      <c r="S188" s="14">
        <f t="shared" si="14"/>
        <v>-8.6612171917697239E-2</v>
      </c>
      <c r="T188" s="9">
        <v>-0.10232740710983365</v>
      </c>
    </row>
    <row r="189" spans="1:20" x14ac:dyDescent="0.25">
      <c r="A189" s="28">
        <v>179</v>
      </c>
      <c r="B189" s="39">
        <f t="shared" ca="1" si="16"/>
        <v>0.27480135103080461</v>
      </c>
      <c r="C189" s="39">
        <f t="shared" ca="1" si="12"/>
        <v>-0.59835557426193231</v>
      </c>
      <c r="D189" s="29">
        <f t="shared" ca="1" si="15"/>
        <v>-1.0692778099822874E-2</v>
      </c>
      <c r="E189" s="39">
        <f t="shared" ca="1" si="13"/>
        <v>949.86589735144821</v>
      </c>
      <c r="R189">
        <v>1078.8706324043885</v>
      </c>
      <c r="S189" s="14">
        <f t="shared" si="14"/>
        <v>7.5914783262513955E-2</v>
      </c>
      <c r="T189" s="9">
        <v>-0.10095970031923447</v>
      </c>
    </row>
    <row r="190" spans="1:20" x14ac:dyDescent="0.25">
      <c r="A190" s="28">
        <v>180</v>
      </c>
      <c r="B190" s="39">
        <f t="shared" ca="1" si="16"/>
        <v>0.92098701020962126</v>
      </c>
      <c r="C190" s="39">
        <f t="shared" ca="1" si="12"/>
        <v>1.4117418717603558</v>
      </c>
      <c r="D190" s="29">
        <f t="shared" ca="1" si="15"/>
        <v>2.7294492994327513E-2</v>
      </c>
      <c r="E190" s="39">
        <f t="shared" ca="1" si="13"/>
        <v>976.14906661880855</v>
      </c>
      <c r="R190">
        <v>941.84815271545006</v>
      </c>
      <c r="S190" s="14">
        <f t="shared" si="14"/>
        <v>-5.9911214092085385E-2</v>
      </c>
      <c r="T190" s="9">
        <v>-9.9553102431945789E-2</v>
      </c>
    </row>
    <row r="191" spans="1:20" x14ac:dyDescent="0.25">
      <c r="A191" s="28">
        <v>181</v>
      </c>
      <c r="B191" s="39">
        <f t="shared" ca="1" si="16"/>
        <v>0.88589125470370489</v>
      </c>
      <c r="C191" s="39">
        <f t="shared" ref="C191:C254" ca="1" si="17">NORMSINV(B191)</f>
        <v>1.204963246725508</v>
      </c>
      <c r="D191" s="29">
        <f t="shared" ca="1" si="15"/>
        <v>2.3386744292284069E-2</v>
      </c>
      <c r="E191" s="39">
        <f t="shared" ref="E191:E254" ca="1" si="18">+EXP(D191)*E190</f>
        <v>999.24705585707727</v>
      </c>
      <c r="R191">
        <v>1038.9000890115144</v>
      </c>
      <c r="S191" s="14">
        <f t="shared" si="14"/>
        <v>3.8162546772961395E-2</v>
      </c>
      <c r="T191" s="9">
        <v>-9.9376859717890301E-2</v>
      </c>
    </row>
    <row r="192" spans="1:20" x14ac:dyDescent="0.25">
      <c r="A192" s="28">
        <v>182</v>
      </c>
      <c r="B192" s="39">
        <f t="shared" ca="1" si="16"/>
        <v>0.92778614787253111</v>
      </c>
      <c r="C192" s="39">
        <f t="shared" ca="1" si="17"/>
        <v>1.4594994050901593</v>
      </c>
      <c r="D192" s="29">
        <f t="shared" ca="1" si="15"/>
        <v>2.8197025540188499E-2</v>
      </c>
      <c r="E192" s="39">
        <f t="shared" ca="1" si="18"/>
        <v>1027.8238475147386</v>
      </c>
      <c r="R192">
        <v>968.61072974167303</v>
      </c>
      <c r="S192" s="14">
        <f t="shared" si="14"/>
        <v>-3.1892471496754185E-2</v>
      </c>
      <c r="T192" s="9">
        <v>-9.8722496702483231E-2</v>
      </c>
    </row>
    <row r="193" spans="1:20" x14ac:dyDescent="0.25">
      <c r="A193" s="28">
        <v>183</v>
      </c>
      <c r="B193" s="39">
        <f t="shared" ca="1" si="16"/>
        <v>0.86329555229987853</v>
      </c>
      <c r="C193" s="39">
        <f t="shared" ca="1" si="17"/>
        <v>1.0952459601371269</v>
      </c>
      <c r="D193" s="29">
        <f t="shared" ca="1" si="15"/>
        <v>2.1313282472015079E-2</v>
      </c>
      <c r="E193" s="39">
        <f t="shared" ca="1" si="18"/>
        <v>1049.9652624744213</v>
      </c>
      <c r="R193">
        <v>749.254123746338</v>
      </c>
      <c r="S193" s="14">
        <f t="shared" si="14"/>
        <v>-0.28867706896822748</v>
      </c>
      <c r="T193" s="9">
        <v>-9.8629687830072962E-2</v>
      </c>
    </row>
    <row r="194" spans="1:20" x14ac:dyDescent="0.25">
      <c r="A194" s="28">
        <v>184</v>
      </c>
      <c r="B194" s="39">
        <f t="shared" ca="1" si="16"/>
        <v>0.75586341281907299</v>
      </c>
      <c r="C194" s="39">
        <f t="shared" ca="1" si="17"/>
        <v>0.69305796715783841</v>
      </c>
      <c r="D194" s="29">
        <f t="shared" ca="1" si="15"/>
        <v>1.3712643831162302E-2</v>
      </c>
      <c r="E194" s="39">
        <f t="shared" ca="1" si="18"/>
        <v>1064.4622308732921</v>
      </c>
      <c r="R194">
        <v>2107.9326705801086</v>
      </c>
      <c r="S194" s="14">
        <f t="shared" si="14"/>
        <v>0.74570769021651462</v>
      </c>
      <c r="T194" s="9">
        <v>-9.5110974887896077E-2</v>
      </c>
    </row>
    <row r="195" spans="1:20" x14ac:dyDescent="0.25">
      <c r="A195" s="28">
        <v>185</v>
      </c>
      <c r="B195" s="39">
        <f t="shared" ca="1" si="16"/>
        <v>0.44188254810325389</v>
      </c>
      <c r="C195" s="39">
        <f t="shared" ca="1" si="17"/>
        <v>-0.14619798500128658</v>
      </c>
      <c r="D195" s="29">
        <f t="shared" ca="1" si="15"/>
        <v>-2.1478028527217446E-3</v>
      </c>
      <c r="E195" s="39">
        <f t="shared" ca="1" si="18"/>
        <v>1062.1784293129033</v>
      </c>
      <c r="R195">
        <v>679.91365004853014</v>
      </c>
      <c r="S195" s="14">
        <f t="shared" si="14"/>
        <v>-0.38578947409804054</v>
      </c>
      <c r="T195" s="9">
        <v>-9.325044956113257E-2</v>
      </c>
    </row>
    <row r="196" spans="1:20" x14ac:dyDescent="0.25">
      <c r="A196" s="28">
        <v>186</v>
      </c>
      <c r="B196" s="39">
        <f t="shared" ca="1" si="16"/>
        <v>0.1348306731821256</v>
      </c>
      <c r="C196" s="39">
        <f t="shared" ca="1" si="17"/>
        <v>-1.10384277399126</v>
      </c>
      <c r="D196" s="29">
        <f t="shared" ca="1" si="15"/>
        <v>-2.024558825275314E-2</v>
      </c>
      <c r="E196" s="39">
        <f t="shared" ca="1" si="18"/>
        <v>1040.8902254233085</v>
      </c>
      <c r="R196">
        <v>940.58739741662009</v>
      </c>
      <c r="S196" s="14">
        <f t="shared" ref="S196:S259" si="19">+LN(R196/$B$2)</f>
        <v>-6.12507080123421E-2</v>
      </c>
      <c r="T196" s="9">
        <v>-9.2330077311920514E-2</v>
      </c>
    </row>
    <row r="197" spans="1:20" x14ac:dyDescent="0.25">
      <c r="A197" s="28">
        <v>187</v>
      </c>
      <c r="B197" s="39">
        <f t="shared" ca="1" si="16"/>
        <v>0.48670939407739588</v>
      </c>
      <c r="C197" s="39">
        <f t="shared" ca="1" si="17"/>
        <v>-3.3320773430254733E-2</v>
      </c>
      <c r="D197" s="29">
        <f t="shared" ca="1" si="15"/>
        <v>-1.462406341193941E-5</v>
      </c>
      <c r="E197" s="39">
        <f t="shared" ca="1" si="18"/>
        <v>1040.8750034899506</v>
      </c>
      <c r="R197">
        <v>1015.3244520335721</v>
      </c>
      <c r="S197" s="14">
        <f t="shared" si="19"/>
        <v>1.5208218590213608E-2</v>
      </c>
      <c r="T197" s="9">
        <v>-9.1244149190351606E-2</v>
      </c>
    </row>
    <row r="198" spans="1:20" x14ac:dyDescent="0.25">
      <c r="A198" s="28">
        <v>188</v>
      </c>
      <c r="B198" s="39">
        <f t="shared" ca="1" si="16"/>
        <v>0.19813859193885885</v>
      </c>
      <c r="C198" s="39">
        <f t="shared" ca="1" si="17"/>
        <v>-0.84828874541823251</v>
      </c>
      <c r="D198" s="29">
        <f t="shared" ca="1" si="15"/>
        <v>-1.5416071066003673E-2</v>
      </c>
      <c r="E198" s="39">
        <f t="shared" ca="1" si="18"/>
        <v>1024.9518520330089</v>
      </c>
      <c r="R198">
        <v>1652.5493166904687</v>
      </c>
      <c r="S198" s="14">
        <f t="shared" si="19"/>
        <v>0.50231913598399935</v>
      </c>
      <c r="T198" s="9">
        <v>-9.1023177391338972E-2</v>
      </c>
    </row>
    <row r="199" spans="1:20" x14ac:dyDescent="0.25">
      <c r="A199" s="28">
        <v>189</v>
      </c>
      <c r="B199" s="39">
        <f t="shared" ca="1" si="16"/>
        <v>0.74424920426577701</v>
      </c>
      <c r="C199" s="39">
        <f t="shared" ca="1" si="17"/>
        <v>0.65650136206364595</v>
      </c>
      <c r="D199" s="29">
        <f t="shared" ca="1" si="15"/>
        <v>1.3021788932190656E-2</v>
      </c>
      <c r="E199" s="39">
        <f t="shared" ca="1" si="18"/>
        <v>1038.385836139134</v>
      </c>
      <c r="R199">
        <v>1199.8544087245891</v>
      </c>
      <c r="S199" s="14">
        <f t="shared" si="19"/>
        <v>0.18220022337051003</v>
      </c>
      <c r="T199" s="9">
        <v>-8.7834458624567513E-2</v>
      </c>
    </row>
    <row r="200" spans="1:20" x14ac:dyDescent="0.25">
      <c r="A200" s="28">
        <v>190</v>
      </c>
      <c r="B200" s="39">
        <f t="shared" ca="1" si="16"/>
        <v>0.6530326418183604</v>
      </c>
      <c r="C200" s="39">
        <f t="shared" ca="1" si="17"/>
        <v>0.39352100054645278</v>
      </c>
      <c r="D200" s="29">
        <f t="shared" ca="1" si="15"/>
        <v>8.051927244559557E-3</v>
      </c>
      <c r="E200" s="39">
        <f t="shared" ca="1" si="18"/>
        <v>1046.7805949821204</v>
      </c>
      <c r="R200">
        <v>1152.3459618101765</v>
      </c>
      <c r="S200" s="14">
        <f t="shared" si="19"/>
        <v>0.14179983125978887</v>
      </c>
      <c r="T200" s="9">
        <v>-8.7051075458104352E-2</v>
      </c>
    </row>
    <row r="201" spans="1:20" x14ac:dyDescent="0.25">
      <c r="A201" s="28">
        <v>191</v>
      </c>
      <c r="B201" s="39">
        <f t="shared" ca="1" si="16"/>
        <v>0.78738043534617952</v>
      </c>
      <c r="C201" s="39">
        <f t="shared" ca="1" si="17"/>
        <v>0.79736491529319209</v>
      </c>
      <c r="D201" s="29">
        <f t="shared" ca="1" si="15"/>
        <v>1.5683859865321288E-2</v>
      </c>
      <c r="E201" s="39">
        <f t="shared" ca="1" si="18"/>
        <v>1063.3275762221208</v>
      </c>
      <c r="R201">
        <v>1204.1658015499554</v>
      </c>
      <c r="S201" s="14">
        <f t="shared" si="19"/>
        <v>0.18578704633415963</v>
      </c>
      <c r="T201" s="9">
        <v>-8.6612171917697239E-2</v>
      </c>
    </row>
    <row r="202" spans="1:20" x14ac:dyDescent="0.25">
      <c r="A202" s="28">
        <v>192</v>
      </c>
      <c r="B202" s="39">
        <f t="shared" ca="1" si="16"/>
        <v>0.62388410456659049</v>
      </c>
      <c r="C202" s="39">
        <f t="shared" ca="1" si="17"/>
        <v>0.3156979394398397</v>
      </c>
      <c r="D202" s="29">
        <f t="shared" ca="1" si="15"/>
        <v>6.5812096306032625E-3</v>
      </c>
      <c r="E202" s="39">
        <f t="shared" ca="1" si="18"/>
        <v>1070.3486360991653</v>
      </c>
      <c r="R202">
        <v>987.92183606579476</v>
      </c>
      <c r="S202" s="14">
        <f t="shared" si="19"/>
        <v>-1.2151697657620928E-2</v>
      </c>
      <c r="T202" s="9">
        <v>-8.6379123770894184E-2</v>
      </c>
    </row>
    <row r="203" spans="1:20" x14ac:dyDescent="0.25">
      <c r="A203" s="28">
        <v>193</v>
      </c>
      <c r="B203" s="39">
        <f t="shared" ca="1" si="16"/>
        <v>5.5064742743860307E-2</v>
      </c>
      <c r="C203" s="39">
        <f t="shared" ca="1" si="17"/>
        <v>-1.5976114101791201</v>
      </c>
      <c r="D203" s="29">
        <f t="shared" ref="D203:D262" ca="1" si="20">+$E$2*$B$5+C203*$E$3*$B$5^0.5</f>
        <v>-2.9576938371014612E-2</v>
      </c>
      <c r="E203" s="39">
        <f t="shared" ca="1" si="18"/>
        <v>1039.1545866929621</v>
      </c>
      <c r="R203">
        <v>1705.203140505288</v>
      </c>
      <c r="S203" s="14">
        <f t="shared" si="19"/>
        <v>0.53368424762976985</v>
      </c>
      <c r="T203" s="9">
        <v>-8.6206220211617418E-2</v>
      </c>
    </row>
    <row r="204" spans="1:20" x14ac:dyDescent="0.25">
      <c r="A204" s="28">
        <v>194</v>
      </c>
      <c r="B204" s="39">
        <f t="shared" ref="B204:B262" ca="1" si="21">RAND()</f>
        <v>0.94621953009512727</v>
      </c>
      <c r="C204" s="39">
        <f t="shared" ca="1" si="17"/>
        <v>1.6092534199754884</v>
      </c>
      <c r="D204" s="29">
        <f t="shared" ca="1" si="20"/>
        <v>3.1027110406045971E-2</v>
      </c>
      <c r="E204" s="39">
        <f t="shared" ca="1" si="18"/>
        <v>1071.9019517742288</v>
      </c>
      <c r="R204">
        <v>1103.935977508585</v>
      </c>
      <c r="S204" s="14">
        <f t="shared" si="19"/>
        <v>9.888195478618686E-2</v>
      </c>
      <c r="T204" s="9">
        <v>-8.6126832762991531E-2</v>
      </c>
    </row>
    <row r="205" spans="1:20" x14ac:dyDescent="0.25">
      <c r="A205" s="28">
        <v>195</v>
      </c>
      <c r="B205" s="39">
        <f t="shared" ca="1" si="21"/>
        <v>0.89757831424237111</v>
      </c>
      <c r="C205" s="39">
        <f t="shared" ca="1" si="17"/>
        <v>1.2678728209163799</v>
      </c>
      <c r="D205" s="29">
        <f t="shared" ca="1" si="20"/>
        <v>2.4575623495098457E-2</v>
      </c>
      <c r="E205" s="39">
        <f t="shared" ca="1" si="18"/>
        <v>1098.5709722263898</v>
      </c>
      <c r="R205">
        <v>883.65432768533822</v>
      </c>
      <c r="S205" s="14">
        <f t="shared" si="19"/>
        <v>-0.12368932484761451</v>
      </c>
      <c r="T205" s="9">
        <v>-8.5708950044798685E-2</v>
      </c>
    </row>
    <row r="206" spans="1:20" x14ac:dyDescent="0.25">
      <c r="A206" s="28">
        <v>196</v>
      </c>
      <c r="B206" s="39">
        <f t="shared" ca="1" si="21"/>
        <v>0.55397899220442959</v>
      </c>
      <c r="C206" s="39">
        <f t="shared" ca="1" si="17"/>
        <v>0.13572078514537439</v>
      </c>
      <c r="D206" s="29">
        <f t="shared" ca="1" si="20"/>
        <v>3.1799611167728651E-3</v>
      </c>
      <c r="E206" s="39">
        <f t="shared" ca="1" si="18"/>
        <v>1102.0699455531367</v>
      </c>
      <c r="R206">
        <v>1732.9819031357367</v>
      </c>
      <c r="S206" s="14">
        <f t="shared" si="19"/>
        <v>0.54984356817215785</v>
      </c>
      <c r="T206" s="9">
        <v>-8.5040050702396244E-2</v>
      </c>
    </row>
    <row r="207" spans="1:20" x14ac:dyDescent="0.25">
      <c r="A207" s="28">
        <v>197</v>
      </c>
      <c r="B207" s="39">
        <f t="shared" ca="1" si="21"/>
        <v>0.4063132458804527</v>
      </c>
      <c r="C207" s="39">
        <f t="shared" ca="1" si="17"/>
        <v>-0.23703905529951205</v>
      </c>
      <c r="D207" s="29">
        <f t="shared" ca="1" si="20"/>
        <v>-3.864537715864892E-3</v>
      </c>
      <c r="E207" s="39">
        <f t="shared" ca="1" si="18"/>
        <v>1097.8191736075933</v>
      </c>
      <c r="R207">
        <v>1043.903623768635</v>
      </c>
      <c r="S207" s="14">
        <f t="shared" si="19"/>
        <v>4.2967170801351498E-2</v>
      </c>
      <c r="T207" s="9">
        <v>-8.3549199461213253E-2</v>
      </c>
    </row>
    <row r="208" spans="1:20" x14ac:dyDescent="0.25">
      <c r="A208" s="28">
        <v>198</v>
      </c>
      <c r="B208" s="39">
        <f t="shared" ca="1" si="21"/>
        <v>7.5522170221231533E-2</v>
      </c>
      <c r="C208" s="39">
        <f t="shared" ca="1" si="17"/>
        <v>-1.4358524180743413</v>
      </c>
      <c r="D208" s="29">
        <f t="shared" ca="1" si="20"/>
        <v>-2.6519980760745288E-2</v>
      </c>
      <c r="E208" s="39">
        <f t="shared" ca="1" si="18"/>
        <v>1069.0876933040749</v>
      </c>
      <c r="R208">
        <v>676.43172877065604</v>
      </c>
      <c r="S208" s="14">
        <f t="shared" si="19"/>
        <v>-0.39092375476299263</v>
      </c>
      <c r="T208" s="9">
        <v>-8.2068098999191583E-2</v>
      </c>
    </row>
    <row r="209" spans="1:20" x14ac:dyDescent="0.25">
      <c r="A209" s="28">
        <v>199</v>
      </c>
      <c r="B209" s="39">
        <f t="shared" ca="1" si="21"/>
        <v>0.36283225062387447</v>
      </c>
      <c r="C209" s="39">
        <f t="shared" ca="1" si="17"/>
        <v>-0.35089849413994767</v>
      </c>
      <c r="D209" s="29">
        <f t="shared" ca="1" si="20"/>
        <v>-6.0162788557874712E-3</v>
      </c>
      <c r="E209" s="39">
        <f t="shared" ca="1" si="18"/>
        <v>1062.6750730181661</v>
      </c>
      <c r="R209">
        <v>1567.3036847034405</v>
      </c>
      <c r="S209" s="14">
        <f t="shared" si="19"/>
        <v>0.44935674466308873</v>
      </c>
      <c r="T209" s="9">
        <v>-8.1863792458945012E-2</v>
      </c>
    </row>
    <row r="210" spans="1:20" x14ac:dyDescent="0.25">
      <c r="A210" s="28">
        <v>200</v>
      </c>
      <c r="B210" s="39">
        <f t="shared" ca="1" si="21"/>
        <v>0.52975057547428217</v>
      </c>
      <c r="C210" s="39">
        <f t="shared" ca="1" si="17"/>
        <v>7.4642888680768266E-2</v>
      </c>
      <c r="D210" s="29">
        <f t="shared" ca="1" si="20"/>
        <v>2.0256973692850148E-3</v>
      </c>
      <c r="E210" s="39">
        <f t="shared" ca="1" si="18"/>
        <v>1064.8299129078753</v>
      </c>
      <c r="R210">
        <v>1331.7281401306718</v>
      </c>
      <c r="S210" s="14">
        <f t="shared" si="19"/>
        <v>0.28647745228616467</v>
      </c>
      <c r="T210" s="9">
        <v>-8.1688399459104985E-2</v>
      </c>
    </row>
    <row r="211" spans="1:20" x14ac:dyDescent="0.25">
      <c r="A211" s="28">
        <v>201</v>
      </c>
      <c r="B211" s="39">
        <f t="shared" ca="1" si="21"/>
        <v>5.5419589980938766E-2</v>
      </c>
      <c r="C211" s="39">
        <f t="shared" ca="1" si="17"/>
        <v>-1.5944325805548207</v>
      </c>
      <c r="D211" s="29">
        <f t="shared" ca="1" si="20"/>
        <v>-2.9516864137827888E-2</v>
      </c>
      <c r="E211" s="39">
        <f t="shared" ca="1" si="18"/>
        <v>1033.8588065938156</v>
      </c>
      <c r="R211">
        <v>960.14861325057814</v>
      </c>
      <c r="S211" s="14">
        <f t="shared" si="19"/>
        <v>-4.0667201032033133E-2</v>
      </c>
      <c r="T211" s="9">
        <v>-7.9696712392150523E-2</v>
      </c>
    </row>
    <row r="212" spans="1:20" x14ac:dyDescent="0.25">
      <c r="A212" s="28">
        <v>202</v>
      </c>
      <c r="B212" s="39">
        <f t="shared" ca="1" si="21"/>
        <v>0.42735856550188633</v>
      </c>
      <c r="C212" s="39">
        <f t="shared" ca="1" si="17"/>
        <v>-0.18310309037101694</v>
      </c>
      <c r="D212" s="29">
        <f t="shared" ca="1" si="20"/>
        <v>-2.845243787842751E-3</v>
      </c>
      <c r="E212" s="39">
        <f t="shared" ca="1" si="18"/>
        <v>1030.9214070373896</v>
      </c>
      <c r="R212">
        <v>1102.3354064095881</v>
      </c>
      <c r="S212" s="14">
        <f t="shared" si="19"/>
        <v>9.7431025955348916E-2</v>
      </c>
      <c r="T212" s="9">
        <v>-7.9198300488283663E-2</v>
      </c>
    </row>
    <row r="213" spans="1:20" x14ac:dyDescent="0.25">
      <c r="A213" s="28">
        <v>203</v>
      </c>
      <c r="B213" s="39">
        <f t="shared" ca="1" si="21"/>
        <v>0.39626200884030971</v>
      </c>
      <c r="C213" s="39">
        <f t="shared" ca="1" si="17"/>
        <v>-0.26303446142939546</v>
      </c>
      <c r="D213" s="29">
        <f t="shared" ca="1" si="20"/>
        <v>-4.3558047147920029E-3</v>
      </c>
      <c r="E213" s="39">
        <f t="shared" ca="1" si="18"/>
        <v>1026.4406803815957</v>
      </c>
      <c r="R213">
        <v>1273.3176011797616</v>
      </c>
      <c r="S213" s="14">
        <f t="shared" si="19"/>
        <v>0.24162577877962121</v>
      </c>
      <c r="T213" s="9">
        <v>-7.8220358807911838E-2</v>
      </c>
    </row>
    <row r="214" spans="1:20" x14ac:dyDescent="0.25">
      <c r="A214" s="28">
        <v>204</v>
      </c>
      <c r="B214" s="39">
        <f t="shared" ca="1" si="21"/>
        <v>0.10767093231782521</v>
      </c>
      <c r="C214" s="39">
        <f t="shared" ca="1" si="17"/>
        <v>-1.239009811304628</v>
      </c>
      <c r="D214" s="29">
        <f t="shared" ca="1" si="20"/>
        <v>-2.2800005154071427E-2</v>
      </c>
      <c r="E214" s="39">
        <f t="shared" ca="1" si="18"/>
        <v>1003.3026040416854</v>
      </c>
      <c r="R214">
        <v>793.17103093951641</v>
      </c>
      <c r="S214" s="14">
        <f t="shared" si="19"/>
        <v>-0.23171640476400113</v>
      </c>
      <c r="T214" s="9">
        <v>-7.7786794257040617E-2</v>
      </c>
    </row>
    <row r="215" spans="1:20" x14ac:dyDescent="0.25">
      <c r="A215" s="28">
        <v>205</v>
      </c>
      <c r="B215" s="39">
        <f t="shared" ca="1" si="21"/>
        <v>0.22827389400487452</v>
      </c>
      <c r="C215" s="39">
        <f t="shared" ca="1" si="17"/>
        <v>-0.7445434119914367</v>
      </c>
      <c r="D215" s="29">
        <f t="shared" ca="1" si="20"/>
        <v>-1.3455468552212402E-2</v>
      </c>
      <c r="E215" s="39">
        <f t="shared" ca="1" si="18"/>
        <v>989.89311519701846</v>
      </c>
      <c r="R215">
        <v>1026.6945567716509</v>
      </c>
      <c r="S215" s="14">
        <f t="shared" si="19"/>
        <v>2.6344473635065879E-2</v>
      </c>
      <c r="T215" s="9">
        <v>-7.69877653946065E-2</v>
      </c>
    </row>
    <row r="216" spans="1:20" x14ac:dyDescent="0.25">
      <c r="A216" s="28">
        <v>206</v>
      </c>
      <c r="B216" s="39">
        <f t="shared" ca="1" si="21"/>
        <v>0.88817929101873261</v>
      </c>
      <c r="C216" s="39">
        <f t="shared" ca="1" si="17"/>
        <v>1.2169022276645434</v>
      </c>
      <c r="D216" s="29">
        <f t="shared" ca="1" si="20"/>
        <v>2.3612369824228555E-2</v>
      </c>
      <c r="E216" s="39">
        <f t="shared" ca="1" si="18"/>
        <v>1013.5449768693244</v>
      </c>
      <c r="R216">
        <v>1019.2020847472783</v>
      </c>
      <c r="S216" s="14">
        <f t="shared" si="19"/>
        <v>1.9020051307843972E-2</v>
      </c>
      <c r="T216" s="9">
        <v>-7.2586223876268549E-2</v>
      </c>
    </row>
    <row r="217" spans="1:20" x14ac:dyDescent="0.25">
      <c r="A217" s="28">
        <v>207</v>
      </c>
      <c r="B217" s="39">
        <f t="shared" ca="1" si="21"/>
        <v>0.98608031184554035</v>
      </c>
      <c r="C217" s="39">
        <f t="shared" ca="1" si="17"/>
        <v>2.1995424198824294</v>
      </c>
      <c r="D217" s="29">
        <f t="shared" ca="1" si="20"/>
        <v>4.218252394469451E-2</v>
      </c>
      <c r="E217" s="39">
        <f t="shared" ca="1" si="18"/>
        <v>1057.2134094950175</v>
      </c>
      <c r="R217">
        <v>1106.1006941191463</v>
      </c>
      <c r="S217" s="14">
        <f t="shared" si="19"/>
        <v>0.10084094246329997</v>
      </c>
      <c r="T217" s="9">
        <v>-6.9515080553959621E-2</v>
      </c>
    </row>
    <row r="218" spans="1:20" x14ac:dyDescent="0.25">
      <c r="A218" s="28">
        <v>208</v>
      </c>
      <c r="B218" s="39">
        <f t="shared" ca="1" si="21"/>
        <v>0.91041035746398158</v>
      </c>
      <c r="C218" s="39">
        <f t="shared" ca="1" si="17"/>
        <v>1.3432863043700254</v>
      </c>
      <c r="D218" s="29">
        <f t="shared" ca="1" si="20"/>
        <v>2.6000804371665815E-2</v>
      </c>
      <c r="E218" s="39">
        <f t="shared" ca="1" si="18"/>
        <v>1085.0622862329653</v>
      </c>
      <c r="R218">
        <v>1640.8705450624041</v>
      </c>
      <c r="S218" s="14">
        <f t="shared" si="19"/>
        <v>0.49522692116092504</v>
      </c>
      <c r="T218" s="9">
        <v>-6.8939304383227998E-2</v>
      </c>
    </row>
    <row r="219" spans="1:20" x14ac:dyDescent="0.25">
      <c r="A219" s="28">
        <v>209</v>
      </c>
      <c r="B219" s="39">
        <f t="shared" ca="1" si="21"/>
        <v>0.38567700006533445</v>
      </c>
      <c r="C219" s="39">
        <f t="shared" ca="1" si="17"/>
        <v>-0.29060426195060213</v>
      </c>
      <c r="D219" s="29">
        <f t="shared" ca="1" si="20"/>
        <v>-4.8768249710403732E-3</v>
      </c>
      <c r="E219" s="39">
        <f t="shared" ca="1" si="18"/>
        <v>1079.7835096772685</v>
      </c>
      <c r="R219">
        <v>1149.9346910216725</v>
      </c>
      <c r="S219" s="14">
        <f t="shared" si="19"/>
        <v>0.13970515034658507</v>
      </c>
      <c r="T219" s="9">
        <v>-6.8292548141157886E-2</v>
      </c>
    </row>
    <row r="220" spans="1:20" x14ac:dyDescent="0.25">
      <c r="A220" s="28">
        <v>210</v>
      </c>
      <c r="B220" s="39">
        <f t="shared" ca="1" si="21"/>
        <v>0.18775277407739566</v>
      </c>
      <c r="C220" s="39">
        <f t="shared" ca="1" si="17"/>
        <v>-0.88620782434462653</v>
      </c>
      <c r="D220" s="29">
        <f t="shared" ca="1" si="20"/>
        <v>-1.6132674300174163E-2</v>
      </c>
      <c r="E220" s="39">
        <f t="shared" ca="1" si="18"/>
        <v>1062.5034753617977</v>
      </c>
      <c r="R220">
        <v>1717.7951721518905</v>
      </c>
      <c r="S220" s="14">
        <f t="shared" si="19"/>
        <v>0.54104159186279799</v>
      </c>
      <c r="T220" s="9">
        <v>-6.8166250531018768E-2</v>
      </c>
    </row>
    <row r="221" spans="1:20" x14ac:dyDescent="0.25">
      <c r="A221" s="28">
        <v>211</v>
      </c>
      <c r="B221" s="39">
        <f t="shared" ca="1" si="21"/>
        <v>8.9862554658959315E-3</v>
      </c>
      <c r="C221" s="39">
        <f t="shared" ca="1" si="17"/>
        <v>-2.3661839737870958</v>
      </c>
      <c r="D221" s="29">
        <f t="shared" ca="1" si="20"/>
        <v>-4.410159456968657E-2</v>
      </c>
      <c r="E221" s="39">
        <f t="shared" ca="1" si="18"/>
        <v>1016.6636128271745</v>
      </c>
      <c r="R221">
        <v>1387.901862198554</v>
      </c>
      <c r="S221" s="14">
        <f t="shared" si="19"/>
        <v>0.32779315511703344</v>
      </c>
      <c r="T221" s="9">
        <v>-6.5488083772697228E-2</v>
      </c>
    </row>
    <row r="222" spans="1:20" x14ac:dyDescent="0.25">
      <c r="A222" s="28">
        <v>212</v>
      </c>
      <c r="B222" s="39">
        <f t="shared" ca="1" si="21"/>
        <v>8.0380141156841667E-3</v>
      </c>
      <c r="C222" s="39">
        <f t="shared" ca="1" si="17"/>
        <v>-2.4071849025786149</v>
      </c>
      <c r="D222" s="29">
        <f t="shared" ca="1" si="20"/>
        <v>-4.4876439291865342E-2</v>
      </c>
      <c r="E222" s="39">
        <f t="shared" ca="1" si="18"/>
        <v>972.04795324762131</v>
      </c>
      <c r="R222">
        <v>1002.3914717970139</v>
      </c>
      <c r="S222" s="14">
        <f t="shared" si="19"/>
        <v>2.3886167792263537E-3</v>
      </c>
      <c r="T222" s="9">
        <v>-6.3263851986147701E-2</v>
      </c>
    </row>
    <row r="223" spans="1:20" x14ac:dyDescent="0.25">
      <c r="A223" s="28">
        <v>213</v>
      </c>
      <c r="B223" s="39">
        <f t="shared" ca="1" si="21"/>
        <v>0.23522933002298019</v>
      </c>
      <c r="C223" s="39">
        <f t="shared" ca="1" si="17"/>
        <v>-0.72173298209286574</v>
      </c>
      <c r="D223" s="29">
        <f t="shared" ca="1" si="20"/>
        <v>-1.3024391946426038E-2</v>
      </c>
      <c r="E223" s="39">
        <f t="shared" ca="1" si="18"/>
        <v>959.46970951048866</v>
      </c>
      <c r="R223">
        <v>1199.6394744115103</v>
      </c>
      <c r="S223" s="14">
        <f t="shared" si="19"/>
        <v>0.1820210736630119</v>
      </c>
      <c r="T223" s="9">
        <v>-6.2962800906004091E-2</v>
      </c>
    </row>
    <row r="224" spans="1:20" x14ac:dyDescent="0.25">
      <c r="A224" s="28">
        <v>214</v>
      </c>
      <c r="B224" s="39">
        <f t="shared" ca="1" si="21"/>
        <v>0.613113020307962</v>
      </c>
      <c r="C224" s="39">
        <f t="shared" ca="1" si="17"/>
        <v>0.28744193032360693</v>
      </c>
      <c r="D224" s="29">
        <f t="shared" ca="1" si="20"/>
        <v>6.0472212508552213E-3</v>
      </c>
      <c r="E224" s="39">
        <f t="shared" ca="1" si="18"/>
        <v>965.28941391246144</v>
      </c>
      <c r="R224">
        <v>771.74082952086007</v>
      </c>
      <c r="S224" s="14">
        <f t="shared" si="19"/>
        <v>-0.25910649837748467</v>
      </c>
      <c r="T224" s="9">
        <v>-6.12507080123421E-2</v>
      </c>
    </row>
    <row r="225" spans="1:20" x14ac:dyDescent="0.25">
      <c r="A225" s="28">
        <v>215</v>
      </c>
      <c r="B225" s="39">
        <f t="shared" ca="1" si="21"/>
        <v>0.99021470411091961</v>
      </c>
      <c r="C225" s="39">
        <f t="shared" ca="1" si="17"/>
        <v>2.3344801976200209</v>
      </c>
      <c r="D225" s="29">
        <f t="shared" ca="1" si="20"/>
        <v>4.4732608247275762E-2</v>
      </c>
      <c r="E225" s="39">
        <f t="shared" ca="1" si="18"/>
        <v>1009.4496652219119</v>
      </c>
      <c r="R225">
        <v>1134.9633467968631</v>
      </c>
      <c r="S225" s="14">
        <f t="shared" si="19"/>
        <v>0.12660035684087173</v>
      </c>
      <c r="T225" s="9">
        <v>-6.1118591448900902E-2</v>
      </c>
    </row>
    <row r="226" spans="1:20" x14ac:dyDescent="0.25">
      <c r="A226" s="28">
        <v>216</v>
      </c>
      <c r="B226" s="39">
        <f t="shared" ca="1" si="21"/>
        <v>8.5029539859353243E-2</v>
      </c>
      <c r="C226" s="39">
        <f t="shared" ca="1" si="17"/>
        <v>-1.3720139995874145</v>
      </c>
      <c r="D226" s="29">
        <f t="shared" ca="1" si="20"/>
        <v>-2.5313548050687602E-2</v>
      </c>
      <c r="E226" s="39">
        <f t="shared" ca="1" si="18"/>
        <v>984.21761628412946</v>
      </c>
      <c r="R226">
        <v>1112.6032327394289</v>
      </c>
      <c r="S226" s="14">
        <f t="shared" si="19"/>
        <v>0.10670252422685408</v>
      </c>
      <c r="T226" s="9">
        <v>-6.1010947966610121E-2</v>
      </c>
    </row>
    <row r="227" spans="1:20" x14ac:dyDescent="0.25">
      <c r="A227" s="28">
        <v>217</v>
      </c>
      <c r="B227" s="39">
        <f t="shared" ca="1" si="21"/>
        <v>0.11348477528712653</v>
      </c>
      <c r="C227" s="39">
        <f t="shared" ca="1" si="17"/>
        <v>-1.2082020574696304</v>
      </c>
      <c r="D227" s="29">
        <f t="shared" ca="1" si="20"/>
        <v>-2.2217793331929286E-2</v>
      </c>
      <c r="E227" s="39">
        <f t="shared" ca="1" si="18"/>
        <v>962.59160343131862</v>
      </c>
      <c r="R227">
        <v>1545.7769818485758</v>
      </c>
      <c r="S227" s="14">
        <f t="shared" si="19"/>
        <v>0.43552668481030954</v>
      </c>
      <c r="T227" s="9">
        <v>-5.9911214092085385E-2</v>
      </c>
    </row>
    <row r="228" spans="1:20" x14ac:dyDescent="0.25">
      <c r="A228" s="28">
        <v>218</v>
      </c>
      <c r="B228" s="39">
        <f t="shared" ca="1" si="21"/>
        <v>0.91814831266965824</v>
      </c>
      <c r="C228" s="39">
        <f t="shared" ca="1" si="17"/>
        <v>1.3927236480448819</v>
      </c>
      <c r="D228" s="29">
        <f t="shared" ca="1" si="20"/>
        <v>2.6935082349117977E-2</v>
      </c>
      <c r="E228" s="39">
        <f t="shared" ca="1" si="18"/>
        <v>988.87142328224786</v>
      </c>
      <c r="R228">
        <v>2205.2884837311535</v>
      </c>
      <c r="S228" s="14">
        <f t="shared" si="19"/>
        <v>0.79085833196520483</v>
      </c>
      <c r="T228" s="9">
        <v>-5.9479316670819855E-2</v>
      </c>
    </row>
    <row r="229" spans="1:20" x14ac:dyDescent="0.25">
      <c r="A229" s="28">
        <v>219</v>
      </c>
      <c r="B229" s="39">
        <f t="shared" ca="1" si="21"/>
        <v>0.97410671501953494</v>
      </c>
      <c r="C229" s="39">
        <f t="shared" ca="1" si="17"/>
        <v>1.9449036973997318</v>
      </c>
      <c r="D229" s="29">
        <f t="shared" ca="1" si="20"/>
        <v>3.7370304417148725E-2</v>
      </c>
      <c r="E229" s="39">
        <f t="shared" ca="1" si="18"/>
        <v>1026.5250308268915</v>
      </c>
      <c r="R229">
        <v>916.6302771262076</v>
      </c>
      <c r="S229" s="14">
        <f t="shared" si="19"/>
        <v>-8.7051075458104352E-2</v>
      </c>
      <c r="T229" s="9">
        <v>-5.9228848903561331E-2</v>
      </c>
    </row>
    <row r="230" spans="1:20" x14ac:dyDescent="0.25">
      <c r="A230" s="28">
        <v>220</v>
      </c>
      <c r="B230" s="39">
        <f t="shared" ca="1" si="21"/>
        <v>0.32520588911272807</v>
      </c>
      <c r="C230" s="39">
        <f t="shared" ca="1" si="17"/>
        <v>-0.45319021440969182</v>
      </c>
      <c r="D230" s="29">
        <f t="shared" ca="1" si="20"/>
        <v>-7.949410663035528E-3</v>
      </c>
      <c r="E230" s="39">
        <f t="shared" ca="1" si="18"/>
        <v>1018.39711069081</v>
      </c>
      <c r="R230">
        <v>1125.2276188441188</v>
      </c>
      <c r="S230" s="14">
        <f t="shared" si="19"/>
        <v>0.1179853430523011</v>
      </c>
      <c r="T230" s="9">
        <v>-5.7336302380355635E-2</v>
      </c>
    </row>
    <row r="231" spans="1:20" x14ac:dyDescent="0.25">
      <c r="A231" s="28">
        <v>221</v>
      </c>
      <c r="B231" s="39">
        <f t="shared" ca="1" si="21"/>
        <v>3.2050071579963535E-2</v>
      </c>
      <c r="C231" s="39">
        <f t="shared" ca="1" si="17"/>
        <v>-1.8514826871563199</v>
      </c>
      <c r="D231" s="29">
        <f t="shared" ca="1" si="20"/>
        <v>-3.4374654541757955E-2</v>
      </c>
      <c r="E231" s="39">
        <f t="shared" ca="1" si="18"/>
        <v>983.98490411790624</v>
      </c>
      <c r="R231">
        <v>1134.1699455072321</v>
      </c>
      <c r="S231" s="14">
        <f t="shared" si="19"/>
        <v>0.12590105784009964</v>
      </c>
      <c r="T231" s="9">
        <v>-5.440415229667827E-2</v>
      </c>
    </row>
    <row r="232" spans="1:20" x14ac:dyDescent="0.25">
      <c r="A232" s="28">
        <v>222</v>
      </c>
      <c r="B232" s="39">
        <f t="shared" ca="1" si="21"/>
        <v>0.63651305871411901</v>
      </c>
      <c r="C232" s="39">
        <f t="shared" ca="1" si="17"/>
        <v>0.34915375446397523</v>
      </c>
      <c r="D232" s="29">
        <f t="shared" ca="1" si="20"/>
        <v>7.2134651053378414E-3</v>
      </c>
      <c r="E232" s="39">
        <f t="shared" ca="1" si="18"/>
        <v>991.10850692894178</v>
      </c>
      <c r="R232">
        <v>1157.1636477427562</v>
      </c>
      <c r="S232" s="14">
        <f t="shared" si="19"/>
        <v>0.14597187964676983</v>
      </c>
      <c r="T232" s="9">
        <v>-5.3914189862245478E-2</v>
      </c>
    </row>
    <row r="233" spans="1:20" x14ac:dyDescent="0.25">
      <c r="A233" s="28">
        <v>223</v>
      </c>
      <c r="B233" s="39">
        <f t="shared" ca="1" si="21"/>
        <v>0.97821181207815888</v>
      </c>
      <c r="C233" s="39">
        <f t="shared" ca="1" si="17"/>
        <v>2.0181429484360183</v>
      </c>
      <c r="D233" s="29">
        <f t="shared" ca="1" si="20"/>
        <v>3.875439616322475E-2</v>
      </c>
      <c r="E233" s="39">
        <f t="shared" ca="1" si="18"/>
        <v>1030.2723016928746</v>
      </c>
      <c r="R233">
        <v>980.905640474949</v>
      </c>
      <c r="S233" s="14">
        <f t="shared" si="19"/>
        <v>-1.9279011122610466E-2</v>
      </c>
      <c r="T233" s="9">
        <v>-5.0365437075256862E-2</v>
      </c>
    </row>
    <row r="234" spans="1:20" x14ac:dyDescent="0.25">
      <c r="A234" s="28">
        <v>224</v>
      </c>
      <c r="B234" s="39">
        <f t="shared" ca="1" si="21"/>
        <v>0.29806744963366605</v>
      </c>
      <c r="C234" s="39">
        <f t="shared" ca="1" si="17"/>
        <v>-0.52996687277970123</v>
      </c>
      <c r="D234" s="29">
        <f t="shared" ca="1" si="20"/>
        <v>-9.4003531240470332E-3</v>
      </c>
      <c r="E234" s="39">
        <f t="shared" ca="1" si="18"/>
        <v>1020.6327567904665</v>
      </c>
      <c r="R234">
        <v>2337.9559263048504</v>
      </c>
      <c r="S234" s="14">
        <f t="shared" si="19"/>
        <v>0.84927701184775017</v>
      </c>
      <c r="T234" s="9">
        <v>-4.7407606457231195E-2</v>
      </c>
    </row>
    <row r="235" spans="1:20" x14ac:dyDescent="0.25">
      <c r="A235" s="28">
        <v>225</v>
      </c>
      <c r="B235" s="39">
        <f t="shared" ca="1" si="21"/>
        <v>0.29789467149780413</v>
      </c>
      <c r="C235" s="39">
        <f t="shared" ca="1" si="17"/>
        <v>-0.53046532683371761</v>
      </c>
      <c r="D235" s="29">
        <f t="shared" ca="1" si="20"/>
        <v>-9.4097730202393117E-3</v>
      </c>
      <c r="E235" s="39">
        <f t="shared" ca="1" si="18"/>
        <v>1011.0738781825992</v>
      </c>
      <c r="R235">
        <v>1407.1675218962796</v>
      </c>
      <c r="S235" s="14">
        <f t="shared" si="19"/>
        <v>0.34157883422622937</v>
      </c>
      <c r="T235" s="9">
        <v>-4.6406307025446229E-2</v>
      </c>
    </row>
    <row r="236" spans="1:20" x14ac:dyDescent="0.25">
      <c r="A236" s="28">
        <v>226</v>
      </c>
      <c r="B236" s="39">
        <f t="shared" ca="1" si="21"/>
        <v>0.88883056039633246</v>
      </c>
      <c r="C236" s="39">
        <f t="shared" ca="1" si="17"/>
        <v>1.2203324341634547</v>
      </c>
      <c r="D236" s="29">
        <f t="shared" ca="1" si="20"/>
        <v>2.3677194633812248E-2</v>
      </c>
      <c r="E236" s="39">
        <f t="shared" ca="1" si="18"/>
        <v>1035.2989300977247</v>
      </c>
      <c r="R236">
        <v>745.02610572150843</v>
      </c>
      <c r="S236" s="14">
        <f t="shared" si="19"/>
        <v>-0.29433601997958331</v>
      </c>
      <c r="T236" s="9">
        <v>-4.417751665207427E-2</v>
      </c>
    </row>
    <row r="237" spans="1:20" x14ac:dyDescent="0.25">
      <c r="A237" s="28">
        <v>227</v>
      </c>
      <c r="B237" s="39">
        <f t="shared" ca="1" si="21"/>
        <v>0.93179568128632828</v>
      </c>
      <c r="C237" s="39">
        <f t="shared" ca="1" si="17"/>
        <v>1.4892990513759468</v>
      </c>
      <c r="D237" s="29">
        <f t="shared" ca="1" si="20"/>
        <v>2.876018592040195E-2</v>
      </c>
      <c r="E237" s="39">
        <f t="shared" ca="1" si="18"/>
        <v>1065.5066271437781</v>
      </c>
      <c r="R237">
        <v>1217.7514701175039</v>
      </c>
      <c r="S237" s="14">
        <f t="shared" si="19"/>
        <v>0.19700610094460241</v>
      </c>
      <c r="T237" s="9">
        <v>-4.3601962815112E-2</v>
      </c>
    </row>
    <row r="238" spans="1:20" x14ac:dyDescent="0.25">
      <c r="A238" s="28">
        <v>228</v>
      </c>
      <c r="B238" s="39">
        <f t="shared" ca="1" si="21"/>
        <v>0.52640175612737072</v>
      </c>
      <c r="C238" s="39">
        <f t="shared" ca="1" si="17"/>
        <v>6.6227770370968816E-2</v>
      </c>
      <c r="D238" s="29">
        <f t="shared" ca="1" si="20"/>
        <v>1.8666665814213322E-3</v>
      </c>
      <c r="E238" s="39">
        <f t="shared" ca="1" si="18"/>
        <v>1067.4974302617054</v>
      </c>
      <c r="R238">
        <v>996.60296403450627</v>
      </c>
      <c r="S238" s="14">
        <f t="shared" si="19"/>
        <v>-3.4028189926508493E-3</v>
      </c>
      <c r="T238" s="9">
        <v>-4.2899209001749053E-2</v>
      </c>
    </row>
    <row r="239" spans="1:20" x14ac:dyDescent="0.25">
      <c r="A239" s="28">
        <v>229</v>
      </c>
      <c r="B239" s="39">
        <f t="shared" ca="1" si="21"/>
        <v>0.80213633714452104</v>
      </c>
      <c r="C239" s="39">
        <f t="shared" ca="1" si="17"/>
        <v>0.84927673069796383</v>
      </c>
      <c r="D239" s="29">
        <f t="shared" ca="1" si="20"/>
        <v>1.6664900962942129E-2</v>
      </c>
      <c r="E239" s="39">
        <f t="shared" ca="1" si="18"/>
        <v>1085.4362282006853</v>
      </c>
      <c r="R239">
        <v>1101.3244767707226</v>
      </c>
      <c r="S239" s="14">
        <f t="shared" si="19"/>
        <v>9.6513525285214855E-2</v>
      </c>
      <c r="T239" s="9">
        <v>-4.2833829948593104E-2</v>
      </c>
    </row>
    <row r="240" spans="1:20" x14ac:dyDescent="0.25">
      <c r="A240" s="28">
        <v>230</v>
      </c>
      <c r="B240" s="39">
        <f t="shared" ca="1" si="21"/>
        <v>0.98087520721468602</v>
      </c>
      <c r="C240" s="39">
        <f t="shared" ca="1" si="17"/>
        <v>2.0721700485241303</v>
      </c>
      <c r="D240" s="29">
        <f t="shared" ca="1" si="20"/>
        <v>3.9775412383875754E-2</v>
      </c>
      <c r="E240" s="39">
        <f t="shared" ca="1" si="18"/>
        <v>1129.4800252962884</v>
      </c>
      <c r="R240">
        <v>776.28185177762259</v>
      </c>
      <c r="S240" s="14">
        <f t="shared" si="19"/>
        <v>-0.25323961369044823</v>
      </c>
      <c r="T240" s="9">
        <v>-4.1125437913702323E-2</v>
      </c>
    </row>
    <row r="241" spans="1:20" x14ac:dyDescent="0.25">
      <c r="A241" s="28">
        <v>231</v>
      </c>
      <c r="B241" s="39">
        <f t="shared" ca="1" si="21"/>
        <v>0.1238754340756173</v>
      </c>
      <c r="C241" s="39">
        <f t="shared" ca="1" si="17"/>
        <v>-1.1558295876062901</v>
      </c>
      <c r="D241" s="29">
        <f t="shared" ca="1" si="20"/>
        <v>-2.1228046683324828E-2</v>
      </c>
      <c r="E241" s="39">
        <f t="shared" ca="1" si="18"/>
        <v>1105.7560681138507</v>
      </c>
      <c r="R241">
        <v>1934.7246052496967</v>
      </c>
      <c r="S241" s="14">
        <f t="shared" si="19"/>
        <v>0.65996499348451088</v>
      </c>
      <c r="T241" s="9">
        <v>-4.0667201032033133E-2</v>
      </c>
    </row>
    <row r="242" spans="1:20" x14ac:dyDescent="0.25">
      <c r="A242" s="28">
        <v>232</v>
      </c>
      <c r="B242" s="39">
        <f t="shared" ca="1" si="21"/>
        <v>0.3834760373658237</v>
      </c>
      <c r="C242" s="39">
        <f t="shared" ca="1" si="17"/>
        <v>-0.29636405259197146</v>
      </c>
      <c r="D242" s="29">
        <f t="shared" ca="1" si="20"/>
        <v>-4.9856747827608048E-3</v>
      </c>
      <c r="E242" s="39">
        <f t="shared" ca="1" si="18"/>
        <v>1100.2568480217897</v>
      </c>
      <c r="R242">
        <v>1138.415124667323</v>
      </c>
      <c r="S242" s="14">
        <f t="shared" si="19"/>
        <v>0.12963705360416206</v>
      </c>
      <c r="T242" s="9">
        <v>-3.858415363587598E-2</v>
      </c>
    </row>
    <row r="243" spans="1:20" x14ac:dyDescent="0.25">
      <c r="A243" s="28">
        <v>233</v>
      </c>
      <c r="B243" s="39">
        <f t="shared" ca="1" si="21"/>
        <v>0.83308411748474676</v>
      </c>
      <c r="C243" s="39">
        <f t="shared" ca="1" si="17"/>
        <v>0.96642458876572068</v>
      </c>
      <c r="D243" s="29">
        <f t="shared" ca="1" si="20"/>
        <v>1.8878787384879102E-2</v>
      </c>
      <c r="E243" s="39">
        <f t="shared" ca="1" si="18"/>
        <v>1121.225673336299</v>
      </c>
      <c r="R243">
        <v>879.34788095613681</v>
      </c>
      <c r="S243" s="14">
        <f t="shared" si="19"/>
        <v>-0.12857469058701174</v>
      </c>
      <c r="T243" s="9">
        <v>-3.77357502461204E-2</v>
      </c>
    </row>
    <row r="244" spans="1:20" x14ac:dyDescent="0.25">
      <c r="A244" s="28">
        <v>234</v>
      </c>
      <c r="B244" s="39">
        <f t="shared" ca="1" si="21"/>
        <v>0.76180472548669109</v>
      </c>
      <c r="C244" s="39">
        <f t="shared" ca="1" si="17"/>
        <v>0.71211987312852032</v>
      </c>
      <c r="D244" s="29">
        <f t="shared" ca="1" si="20"/>
        <v>1.4072879993400312E-2</v>
      </c>
      <c r="E244" s="39">
        <f t="shared" ca="1" si="18"/>
        <v>1137.1160974464726</v>
      </c>
      <c r="R244">
        <v>1831.1404558477007</v>
      </c>
      <c r="S244" s="14">
        <f t="shared" si="19"/>
        <v>0.60493897266167918</v>
      </c>
      <c r="T244" s="9">
        <v>-3.763969025378279E-2</v>
      </c>
    </row>
    <row r="245" spans="1:20" x14ac:dyDescent="0.25">
      <c r="A245" s="28">
        <v>235</v>
      </c>
      <c r="B245" s="39">
        <f t="shared" ca="1" si="21"/>
        <v>0.81437626052942014</v>
      </c>
      <c r="C245" s="39">
        <f t="shared" ca="1" si="17"/>
        <v>0.89413908588992286</v>
      </c>
      <c r="D245" s="29">
        <f t="shared" ca="1" si="20"/>
        <v>1.7512719784846208E-2</v>
      </c>
      <c r="E245" s="39">
        <f t="shared" ca="1" si="18"/>
        <v>1157.2054895300168</v>
      </c>
      <c r="R245">
        <v>1692.1308819125668</v>
      </c>
      <c r="S245" s="14">
        <f t="shared" si="19"/>
        <v>0.52598861156863497</v>
      </c>
      <c r="T245" s="9">
        <v>-3.5180003620440013E-2</v>
      </c>
    </row>
    <row r="246" spans="1:20" x14ac:dyDescent="0.25">
      <c r="A246" s="28">
        <v>236</v>
      </c>
      <c r="B246" s="39">
        <f t="shared" ca="1" si="21"/>
        <v>0.66110026652584863</v>
      </c>
      <c r="C246" s="39">
        <f t="shared" ca="1" si="17"/>
        <v>0.41546782123735188</v>
      </c>
      <c r="D246" s="29">
        <f t="shared" ca="1" si="20"/>
        <v>8.4666831703927407E-3</v>
      </c>
      <c r="E246" s="39">
        <f t="shared" ca="1" si="18"/>
        <v>1167.0447760565871</v>
      </c>
      <c r="R246">
        <v>1672.6545976175644</v>
      </c>
      <c r="S246" s="14">
        <f t="shared" si="19"/>
        <v>0.51441194379626176</v>
      </c>
      <c r="T246" s="9">
        <v>-3.4030063901434766E-2</v>
      </c>
    </row>
    <row r="247" spans="1:20" x14ac:dyDescent="0.25">
      <c r="A247" s="28">
        <v>237</v>
      </c>
      <c r="B247" s="39">
        <f t="shared" ca="1" si="21"/>
        <v>0.15080360662164871</v>
      </c>
      <c r="C247" s="39">
        <f t="shared" ca="1" si="17"/>
        <v>-1.0329929172327577</v>
      </c>
      <c r="D247" s="29">
        <f t="shared" ca="1" si="20"/>
        <v>-1.8906651814127814E-2</v>
      </c>
      <c r="E247" s="39">
        <f t="shared" ca="1" si="18"/>
        <v>1145.1871452331336</v>
      </c>
      <c r="R247">
        <v>1398.3763340851301</v>
      </c>
      <c r="S247" s="14">
        <f t="shared" si="19"/>
        <v>0.33531180220980328</v>
      </c>
      <c r="T247" s="9">
        <v>-3.3210976295793997E-2</v>
      </c>
    </row>
    <row r="248" spans="1:20" x14ac:dyDescent="0.25">
      <c r="A248" s="28">
        <v>238</v>
      </c>
      <c r="B248" s="39">
        <f t="shared" ca="1" si="21"/>
        <v>0.10342317428454795</v>
      </c>
      <c r="C248" s="39">
        <f t="shared" ca="1" si="17"/>
        <v>-1.262284732143778</v>
      </c>
      <c r="D248" s="29">
        <f t="shared" ca="1" si="20"/>
        <v>-2.3239859813536469E-2</v>
      </c>
      <c r="E248" s="39">
        <f t="shared" ca="1" si="18"/>
        <v>1118.8800273923357</v>
      </c>
      <c r="R248">
        <v>1521.82761192775</v>
      </c>
      <c r="S248" s="14">
        <f t="shared" si="19"/>
        <v>0.419911988851003</v>
      </c>
      <c r="T248" s="9">
        <v>-3.3196534705925519E-2</v>
      </c>
    </row>
    <row r="249" spans="1:20" x14ac:dyDescent="0.25">
      <c r="A249" s="28">
        <v>239</v>
      </c>
      <c r="B249" s="39">
        <f t="shared" ca="1" si="21"/>
        <v>0.53965744889572365</v>
      </c>
      <c r="C249" s="39">
        <f t="shared" ca="1" si="17"/>
        <v>9.9570768015372887E-2</v>
      </c>
      <c r="D249" s="29">
        <f t="shared" ca="1" si="20"/>
        <v>2.4967900080820867E-3</v>
      </c>
      <c r="E249" s="39">
        <f t="shared" ca="1" si="18"/>
        <v>1121.6771262961854</v>
      </c>
      <c r="R249">
        <v>1383.2134413244428</v>
      </c>
      <c r="S249" s="14">
        <f t="shared" si="19"/>
        <v>0.32440937289643962</v>
      </c>
      <c r="T249" s="9">
        <v>-3.2489663986433215E-2</v>
      </c>
    </row>
    <row r="250" spans="1:20" x14ac:dyDescent="0.25">
      <c r="A250" s="28">
        <v>240</v>
      </c>
      <c r="B250" s="39">
        <f t="shared" ca="1" si="21"/>
        <v>0.67707102704211175</v>
      </c>
      <c r="C250" s="39">
        <f t="shared" ca="1" si="17"/>
        <v>0.45952396592620048</v>
      </c>
      <c r="D250" s="29">
        <f t="shared" ca="1" si="20"/>
        <v>9.2992660458996873E-3</v>
      </c>
      <c r="E250" s="39">
        <f t="shared" ca="1" si="18"/>
        <v>1132.1565502685592</v>
      </c>
      <c r="R250">
        <v>885.24147920083476</v>
      </c>
      <c r="S250" s="14">
        <f t="shared" si="19"/>
        <v>-0.12189481333909108</v>
      </c>
      <c r="T250" s="9">
        <v>-3.222389105473103E-2</v>
      </c>
    </row>
    <row r="251" spans="1:20" x14ac:dyDescent="0.25">
      <c r="A251" s="28">
        <v>241</v>
      </c>
      <c r="B251" s="39">
        <f t="shared" ca="1" si="21"/>
        <v>0.76762496490005372</v>
      </c>
      <c r="C251" s="39">
        <f t="shared" ca="1" si="17"/>
        <v>0.73104761434290533</v>
      </c>
      <c r="D251" s="29">
        <f t="shared" ca="1" si="20"/>
        <v>1.4430580680067815E-2</v>
      </c>
      <c r="E251" s="39">
        <f t="shared" ca="1" si="18"/>
        <v>1148.6126768710521</v>
      </c>
      <c r="R251">
        <v>1348.8178014339765</v>
      </c>
      <c r="S251" s="14">
        <f t="shared" si="19"/>
        <v>0.29922850615728819</v>
      </c>
      <c r="T251" s="9">
        <v>-3.1905853200148999E-2</v>
      </c>
    </row>
    <row r="252" spans="1:20" x14ac:dyDescent="0.25">
      <c r="A252" s="28">
        <v>242</v>
      </c>
      <c r="B252" s="39">
        <f t="shared" ca="1" si="21"/>
        <v>6.7484559802399091E-2</v>
      </c>
      <c r="C252" s="39">
        <f t="shared" ca="1" si="17"/>
        <v>-1.4947905261566867</v>
      </c>
      <c r="D252" s="29">
        <f t="shared" ca="1" si="20"/>
        <v>-2.7633806308820515E-2</v>
      </c>
      <c r="E252" s="39">
        <f t="shared" ca="1" si="18"/>
        <v>1117.3066807023854</v>
      </c>
      <c r="R252">
        <v>811.21043081859091</v>
      </c>
      <c r="S252" s="14">
        <f t="shared" si="19"/>
        <v>-0.20922778772370809</v>
      </c>
      <c r="T252" s="9">
        <v>-3.1892471496754185E-2</v>
      </c>
    </row>
    <row r="253" spans="1:20" x14ac:dyDescent="0.25">
      <c r="A253" s="28">
        <v>243</v>
      </c>
      <c r="B253" s="39">
        <f t="shared" ca="1" si="21"/>
        <v>0.62738603149172556</v>
      </c>
      <c r="C253" s="39">
        <f t="shared" ca="1" si="17"/>
        <v>0.3249380782300223</v>
      </c>
      <c r="D253" s="29">
        <f t="shared" ca="1" si="20"/>
        <v>6.7558318400214373E-3</v>
      </c>
      <c r="E253" s="39">
        <f t="shared" ca="1" si="18"/>
        <v>1124.8805719118275</v>
      </c>
      <c r="R253">
        <v>695.22223404888325</v>
      </c>
      <c r="S253" s="14">
        <f t="shared" si="19"/>
        <v>-0.36352372330865385</v>
      </c>
      <c r="T253" s="9">
        <v>-3.1429131425392491E-2</v>
      </c>
    </row>
    <row r="254" spans="1:20" x14ac:dyDescent="0.25">
      <c r="A254" s="28">
        <v>244</v>
      </c>
      <c r="B254" s="39">
        <f t="shared" ca="1" si="21"/>
        <v>8.5343935793196879E-2</v>
      </c>
      <c r="C254" s="39">
        <f t="shared" ca="1" si="17"/>
        <v>-1.3699968928040513</v>
      </c>
      <c r="D254" s="29">
        <f t="shared" ca="1" si="20"/>
        <v>-2.5275428315568737E-2</v>
      </c>
      <c r="E254" s="39">
        <f t="shared" ca="1" si="18"/>
        <v>1096.8050388632937</v>
      </c>
      <c r="R254">
        <v>1751.3674674567803</v>
      </c>
      <c r="S254" s="14">
        <f t="shared" si="19"/>
        <v>0.56039689276890114</v>
      </c>
      <c r="T254" s="9">
        <v>-2.7660157506662612E-2</v>
      </c>
    </row>
    <row r="255" spans="1:20" x14ac:dyDescent="0.25">
      <c r="A255" s="28">
        <v>245</v>
      </c>
      <c r="B255" s="39">
        <f t="shared" ca="1" si="21"/>
        <v>0.87082105067759508</v>
      </c>
      <c r="C255" s="39">
        <f t="shared" ref="C255:C262" ca="1" si="22">NORMSINV(B255)</f>
        <v>1.130280856027325</v>
      </c>
      <c r="D255" s="29">
        <f t="shared" ca="1" si="20"/>
        <v>2.197537977011867E-2</v>
      </c>
      <c r="E255" s="39">
        <f t="shared" ref="E255:E262" ca="1" si="23">+EXP(D255)*E254</f>
        <v>1121.1745298393917</v>
      </c>
      <c r="R255">
        <v>1027.2194271397329</v>
      </c>
      <c r="S255" s="14">
        <f t="shared" si="19"/>
        <v>2.6855566488631102E-2</v>
      </c>
      <c r="T255" s="9">
        <v>-2.7508760758462293E-2</v>
      </c>
    </row>
    <row r="256" spans="1:20" x14ac:dyDescent="0.25">
      <c r="A256" s="28">
        <v>246</v>
      </c>
      <c r="B256" s="39">
        <f t="shared" ca="1" si="21"/>
        <v>0.70760229820718901</v>
      </c>
      <c r="C256" s="39">
        <f t="shared" ca="1" si="22"/>
        <v>0.54639360710738338</v>
      </c>
      <c r="D256" s="29">
        <f t="shared" ca="1" si="20"/>
        <v>1.094094795337701E-2</v>
      </c>
      <c r="E256" s="39">
        <f t="shared" ca="1" si="23"/>
        <v>1133.5085921474104</v>
      </c>
      <c r="R256">
        <v>1443.7130106519696</v>
      </c>
      <c r="S256" s="14">
        <f t="shared" si="19"/>
        <v>0.36721827463212026</v>
      </c>
      <c r="T256" s="9">
        <v>-2.7310639960290602E-2</v>
      </c>
    </row>
    <row r="257" spans="1:20" x14ac:dyDescent="0.25">
      <c r="A257" s="28">
        <v>247</v>
      </c>
      <c r="B257" s="39">
        <f t="shared" ca="1" si="21"/>
        <v>0.39377601918008054</v>
      </c>
      <c r="C257" s="39">
        <f t="shared" ca="1" si="22"/>
        <v>-0.26949077740064104</v>
      </c>
      <c r="D257" s="29">
        <f t="shared" ca="1" si="20"/>
        <v>-4.4778176179746474E-3</v>
      </c>
      <c r="E257" s="39">
        <f t="shared" ca="1" si="23"/>
        <v>1128.4442943662343</v>
      </c>
      <c r="R257">
        <v>1165.3997137007557</v>
      </c>
      <c r="S257" s="14">
        <f t="shared" si="19"/>
        <v>0.15306413006073114</v>
      </c>
      <c r="T257" s="9">
        <v>-2.633750126258861E-2</v>
      </c>
    </row>
    <row r="258" spans="1:20" x14ac:dyDescent="0.25">
      <c r="A258" s="28">
        <v>248</v>
      </c>
      <c r="B258" s="39">
        <f t="shared" ca="1" si="21"/>
        <v>0.25055672898263692</v>
      </c>
      <c r="C258" s="39">
        <f t="shared" ca="1" si="22"/>
        <v>-0.67273883260877476</v>
      </c>
      <c r="D258" s="29">
        <f t="shared" ca="1" si="20"/>
        <v>-1.209848955191155E-2</v>
      </c>
      <c r="E258" s="39">
        <f t="shared" ca="1" si="23"/>
        <v>1114.8740779479192</v>
      </c>
      <c r="R258">
        <v>1028.174997802809</v>
      </c>
      <c r="S258" s="14">
        <f t="shared" si="19"/>
        <v>2.7785383870955048E-2</v>
      </c>
      <c r="T258" s="9">
        <v>-2.5845408368486894E-2</v>
      </c>
    </row>
    <row r="259" spans="1:20" x14ac:dyDescent="0.25">
      <c r="A259" s="28">
        <v>249</v>
      </c>
      <c r="B259" s="39">
        <f t="shared" ca="1" si="21"/>
        <v>0.17731605383854543</v>
      </c>
      <c r="C259" s="39">
        <f t="shared" ca="1" si="22"/>
        <v>-0.92564190614956787</v>
      </c>
      <c r="D259" s="29">
        <f t="shared" ca="1" si="20"/>
        <v>-1.6877908397574536E-2</v>
      </c>
      <c r="E259" s="39">
        <f t="shared" ca="1" si="23"/>
        <v>1096.2152394028899</v>
      </c>
      <c r="R259">
        <v>1409.144474631004</v>
      </c>
      <c r="S259" s="14">
        <f t="shared" si="19"/>
        <v>0.34298276465856786</v>
      </c>
      <c r="T259" s="9">
        <v>-2.4552105434445307E-2</v>
      </c>
    </row>
    <row r="260" spans="1:20" x14ac:dyDescent="0.25">
      <c r="A260" s="28">
        <v>250</v>
      </c>
      <c r="B260" s="39">
        <f t="shared" ca="1" si="21"/>
        <v>0.19328435485568507</v>
      </c>
      <c r="C260" s="39">
        <f t="shared" ca="1" si="22"/>
        <v>-0.86585677508004311</v>
      </c>
      <c r="D260" s="29">
        <f t="shared" ca="1" si="20"/>
        <v>-1.5748075619650512E-2</v>
      </c>
      <c r="E260" s="39">
        <f t="shared" ca="1" si="23"/>
        <v>1079.0871798867242</v>
      </c>
      <c r="R260">
        <v>1195.4715446751782</v>
      </c>
      <c r="S260" s="14">
        <f t="shared" ref="S260:S323" si="24">+LN(R260/$B$2)</f>
        <v>0.17854070560467872</v>
      </c>
      <c r="T260" s="9">
        <v>-2.329750883826499E-2</v>
      </c>
    </row>
    <row r="261" spans="1:20" ht="13" thickBot="1" x14ac:dyDescent="0.3">
      <c r="A261" s="28">
        <v>251</v>
      </c>
      <c r="B261" s="39">
        <f t="shared" ca="1" si="21"/>
        <v>0.91895272746345646</v>
      </c>
      <c r="C261" s="39">
        <f t="shared" ca="1" si="22"/>
        <v>1.3980616825967536</v>
      </c>
      <c r="D261" s="29">
        <f t="shared" ca="1" si="20"/>
        <v>2.7035961719933138E-2</v>
      </c>
      <c r="E261" s="39">
        <f t="shared" ca="1" si="23"/>
        <v>1108.6592935686151</v>
      </c>
      <c r="R261">
        <v>1222.9472801860215</v>
      </c>
      <c r="S261" s="14">
        <f t="shared" si="24"/>
        <v>0.20126374881435122</v>
      </c>
      <c r="T261" s="9">
        <v>-2.3029913572048134E-2</v>
      </c>
    </row>
    <row r="262" spans="1:20" ht="13" thickBot="1" x14ac:dyDescent="0.3">
      <c r="A262" s="28">
        <v>252</v>
      </c>
      <c r="B262" s="39">
        <f t="shared" ca="1" si="21"/>
        <v>0.9133919473034372</v>
      </c>
      <c r="C262" s="39">
        <f t="shared" ca="1" si="22"/>
        <v>1.3619422681451447</v>
      </c>
      <c r="D262" s="29">
        <f t="shared" ca="1" si="20"/>
        <v>2.6353368947502929E-2</v>
      </c>
      <c r="E262" s="40">
        <f t="shared" ca="1" si="23"/>
        <v>1138.2645871953066</v>
      </c>
      <c r="R262">
        <v>1409.970599325507</v>
      </c>
      <c r="S262" s="14">
        <f t="shared" si="24"/>
        <v>0.34356885263048681</v>
      </c>
      <c r="T262" s="9">
        <v>-1.9703620670020464E-2</v>
      </c>
    </row>
    <row r="263" spans="1:20" x14ac:dyDescent="0.25">
      <c r="R263">
        <v>1119.0117686025837</v>
      </c>
      <c r="S263" s="14">
        <f t="shared" si="24"/>
        <v>0.11244594634560462</v>
      </c>
      <c r="T263" s="9">
        <v>-1.9279011122610466E-2</v>
      </c>
    </row>
    <row r="264" spans="1:20" x14ac:dyDescent="0.25">
      <c r="R264">
        <v>1048.1151557329908</v>
      </c>
      <c r="S264" s="14">
        <f t="shared" si="24"/>
        <v>4.6993461286938473E-2</v>
      </c>
      <c r="T264" s="9">
        <v>-1.8637382584349129E-2</v>
      </c>
    </row>
    <row r="265" spans="1:20" x14ac:dyDescent="0.25">
      <c r="R265">
        <v>933.98719738748093</v>
      </c>
      <c r="S265" s="14">
        <f t="shared" si="24"/>
        <v>-6.8292548141157886E-2</v>
      </c>
      <c r="T265" s="9">
        <v>-1.8036567996135719E-2</v>
      </c>
    </row>
    <row r="266" spans="1:20" x14ac:dyDescent="0.25">
      <c r="R266">
        <v>1124.6940831376114</v>
      </c>
      <c r="S266" s="14">
        <f t="shared" si="24"/>
        <v>0.11751107257787673</v>
      </c>
      <c r="T266" s="9">
        <v>-1.7334819267772195E-2</v>
      </c>
    </row>
    <row r="267" spans="1:20" x14ac:dyDescent="0.25">
      <c r="R267">
        <v>1105.315054707977</v>
      </c>
      <c r="S267" s="14">
        <f t="shared" si="24"/>
        <v>0.10013041171426391</v>
      </c>
      <c r="T267" s="9">
        <v>-1.6657393185331732E-2</v>
      </c>
    </row>
    <row r="268" spans="1:20" x14ac:dyDescent="0.25">
      <c r="R268">
        <v>1093.4900089001992</v>
      </c>
      <c r="S268" s="14">
        <f t="shared" si="24"/>
        <v>8.9374424284713316E-2</v>
      </c>
      <c r="T268" s="9">
        <v>-1.4197367865087251E-2</v>
      </c>
    </row>
    <row r="269" spans="1:20" x14ac:dyDescent="0.25">
      <c r="R269">
        <v>1016.7268955999771</v>
      </c>
      <c r="S269" s="14">
        <f t="shared" si="24"/>
        <v>1.6588541770245789E-2</v>
      </c>
      <c r="T269" s="9">
        <v>-1.3892955928329549E-2</v>
      </c>
    </row>
    <row r="270" spans="1:20" x14ac:dyDescent="0.25">
      <c r="R270">
        <v>1157.0707793807076</v>
      </c>
      <c r="S270" s="14">
        <f t="shared" si="24"/>
        <v>0.14589162125893315</v>
      </c>
      <c r="T270" s="9">
        <v>-1.3540237159138713E-2</v>
      </c>
    </row>
    <row r="271" spans="1:20" x14ac:dyDescent="0.25">
      <c r="R271">
        <v>1235.8191882915917</v>
      </c>
      <c r="S271" s="14">
        <f t="shared" si="24"/>
        <v>0.21173406054442226</v>
      </c>
      <c r="T271" s="9">
        <v>-1.3285803730089611E-2</v>
      </c>
    </row>
    <row r="272" spans="1:20" x14ac:dyDescent="0.25">
      <c r="R272">
        <v>1103.7546943886805</v>
      </c>
      <c r="S272" s="14">
        <f t="shared" si="24"/>
        <v>9.8717726053765512E-2</v>
      </c>
      <c r="T272" s="9">
        <v>-1.2151697657620928E-2</v>
      </c>
    </row>
    <row r="273" spans="18:20" x14ac:dyDescent="0.25">
      <c r="R273">
        <v>912.99654977571163</v>
      </c>
      <c r="S273" s="14">
        <f t="shared" si="24"/>
        <v>-9.1023177391338972E-2</v>
      </c>
      <c r="T273" s="9">
        <v>-1.2107161939121524E-2</v>
      </c>
    </row>
    <row r="274" spans="18:20" x14ac:dyDescent="0.25">
      <c r="R274">
        <v>1705.0419816359743</v>
      </c>
      <c r="S274" s="14">
        <f t="shared" si="24"/>
        <v>0.53358973309274282</v>
      </c>
      <c r="T274" s="9">
        <v>-1.1039540916429414E-2</v>
      </c>
    </row>
    <row r="275" spans="18:20" x14ac:dyDescent="0.25">
      <c r="R275">
        <v>1061.4332960527518</v>
      </c>
      <c r="S275" s="14">
        <f t="shared" si="24"/>
        <v>5.9620160858157516E-2</v>
      </c>
      <c r="T275" s="9">
        <v>-9.2326096969172974E-3</v>
      </c>
    </row>
    <row r="276" spans="18:20" x14ac:dyDescent="0.25">
      <c r="R276">
        <v>986.20310580883211</v>
      </c>
      <c r="S276" s="14">
        <f t="shared" si="24"/>
        <v>-1.3892955928329549E-2</v>
      </c>
      <c r="T276" s="9">
        <v>-7.0425281191121075E-3</v>
      </c>
    </row>
    <row r="277" spans="18:20" x14ac:dyDescent="0.25">
      <c r="R277">
        <v>1023.2943767456494</v>
      </c>
      <c r="S277" s="14">
        <f t="shared" si="24"/>
        <v>2.3027203879652073E-2</v>
      </c>
      <c r="T277" s="9">
        <v>-6.4890927118196632E-3</v>
      </c>
    </row>
    <row r="278" spans="18:20" x14ac:dyDescent="0.25">
      <c r="R278">
        <v>996.96058920252062</v>
      </c>
      <c r="S278" s="14">
        <f t="shared" si="24"/>
        <v>-3.0440391872417652E-3</v>
      </c>
      <c r="T278" s="9">
        <v>-5.7070221891448751E-3</v>
      </c>
    </row>
    <row r="279" spans="18:20" x14ac:dyDescent="0.25">
      <c r="R279">
        <v>1091.4435534186805</v>
      </c>
      <c r="S279" s="14">
        <f t="shared" si="24"/>
        <v>8.7501180983190555E-2</v>
      </c>
      <c r="T279" s="9">
        <v>-4.6719875492353775E-3</v>
      </c>
    </row>
    <row r="280" spans="18:20" x14ac:dyDescent="0.25">
      <c r="R280">
        <v>1156.4806957666256</v>
      </c>
      <c r="S280" s="14">
        <f t="shared" si="24"/>
        <v>0.14538151060592511</v>
      </c>
      <c r="T280" s="9">
        <v>-4.4976833730992335E-3</v>
      </c>
    </row>
    <row r="281" spans="18:20" x14ac:dyDescent="0.25">
      <c r="R281">
        <v>1096.9688618611021</v>
      </c>
      <c r="S281" s="14">
        <f t="shared" si="24"/>
        <v>9.2550796078114825E-2</v>
      </c>
      <c r="T281" s="9">
        <v>-3.7547381313962373E-3</v>
      </c>
    </row>
    <row r="282" spans="18:20" x14ac:dyDescent="0.25">
      <c r="R282">
        <v>1772.503296199257</v>
      </c>
      <c r="S282" s="14">
        <f t="shared" si="24"/>
        <v>0.5723928390552836</v>
      </c>
      <c r="T282" s="9">
        <v>-3.4028189926508493E-3</v>
      </c>
    </row>
    <row r="283" spans="18:20" x14ac:dyDescent="0.25">
      <c r="R283">
        <v>911.80413401107182</v>
      </c>
      <c r="S283" s="14">
        <f t="shared" si="24"/>
        <v>-9.2330077311920514E-2</v>
      </c>
      <c r="T283" s="9">
        <v>-3.0440391872417652E-3</v>
      </c>
    </row>
    <row r="284" spans="18:20" x14ac:dyDescent="0.25">
      <c r="R284">
        <v>1868.418169588097</v>
      </c>
      <c r="S284" s="14">
        <f t="shared" si="24"/>
        <v>0.62509217427638264</v>
      </c>
      <c r="T284" s="9">
        <v>-2.2706929032306903E-3</v>
      </c>
    </row>
    <row r="285" spans="18:20" x14ac:dyDescent="0.25">
      <c r="R285">
        <v>1267.0180682631842</v>
      </c>
      <c r="S285" s="14">
        <f t="shared" si="24"/>
        <v>0.23666616190281628</v>
      </c>
      <c r="T285" s="9">
        <v>-2.2335720310128078E-3</v>
      </c>
    </row>
    <row r="286" spans="18:20" x14ac:dyDescent="0.25">
      <c r="R286">
        <v>1082.3635201573288</v>
      </c>
      <c r="S286" s="14">
        <f t="shared" si="24"/>
        <v>7.9147094569359602E-2</v>
      </c>
      <c r="T286" s="9">
        <v>-1.9592626976789847E-3</v>
      </c>
    </row>
    <row r="287" spans="18:20" x14ac:dyDescent="0.25">
      <c r="R287">
        <v>1588.7721585741187</v>
      </c>
      <c r="S287" s="14">
        <f t="shared" si="24"/>
        <v>0.46296149059916358</v>
      </c>
      <c r="T287" s="9">
        <v>-1.3820447765641463E-3</v>
      </c>
    </row>
    <row r="288" spans="18:20" x14ac:dyDescent="0.25">
      <c r="R288">
        <v>1108.0453028950735</v>
      </c>
      <c r="S288" s="14">
        <f t="shared" si="24"/>
        <v>0.10259747457865424</v>
      </c>
      <c r="T288" s="9">
        <v>3.5824777678284401E-4</v>
      </c>
    </row>
    <row r="289" spans="18:20" x14ac:dyDescent="0.25">
      <c r="R289">
        <v>2642.2583189832599</v>
      </c>
      <c r="S289" s="14">
        <f t="shared" si="24"/>
        <v>0.97163397534905072</v>
      </c>
      <c r="T289" s="9">
        <v>3.6107561684700764E-4</v>
      </c>
    </row>
    <row r="290" spans="18:20" x14ac:dyDescent="0.25">
      <c r="R290">
        <v>1001.9282233491156</v>
      </c>
      <c r="S290" s="14">
        <f t="shared" si="24"/>
        <v>1.9263667127634731E-3</v>
      </c>
      <c r="T290" s="9">
        <v>7.5665586493462019E-4</v>
      </c>
    </row>
    <row r="291" spans="18:20" x14ac:dyDescent="0.25">
      <c r="R291">
        <v>1085.3419969436832</v>
      </c>
      <c r="S291" s="14">
        <f t="shared" si="24"/>
        <v>8.1895141882293271E-2</v>
      </c>
      <c r="T291" s="9">
        <v>1.9263667127634731E-3</v>
      </c>
    </row>
    <row r="292" spans="18:20" x14ac:dyDescent="0.25">
      <c r="R292">
        <v>595.89982865259037</v>
      </c>
      <c r="S292" s="14">
        <f t="shared" si="24"/>
        <v>-0.51768269877314455</v>
      </c>
      <c r="T292" s="9">
        <v>2.3886167792263537E-3</v>
      </c>
    </row>
    <row r="293" spans="18:20" x14ac:dyDescent="0.25">
      <c r="R293">
        <v>942.49105643035023</v>
      </c>
      <c r="S293" s="14">
        <f t="shared" si="24"/>
        <v>-5.9228848903561331E-2</v>
      </c>
      <c r="T293" s="9">
        <v>2.6885750440648333E-3</v>
      </c>
    </row>
    <row r="294" spans="18:20" x14ac:dyDescent="0.25">
      <c r="R294">
        <v>1709.0833898500498</v>
      </c>
      <c r="S294" s="14">
        <f t="shared" si="24"/>
        <v>0.53595719747203296</v>
      </c>
      <c r="T294" s="9">
        <v>2.8723226268660752E-3</v>
      </c>
    </row>
    <row r="295" spans="18:20" x14ac:dyDescent="0.25">
      <c r="R295">
        <v>1027.7430213841212</v>
      </c>
      <c r="S295" s="14">
        <f t="shared" si="24"/>
        <v>2.736515658463989E-2</v>
      </c>
      <c r="T295" s="9">
        <v>4.6068565492585634E-3</v>
      </c>
    </row>
    <row r="296" spans="18:20" x14ac:dyDescent="0.25">
      <c r="R296">
        <v>753.85899702260508</v>
      </c>
      <c r="S296" s="14">
        <f t="shared" si="24"/>
        <v>-0.28254993506341525</v>
      </c>
      <c r="T296" s="9">
        <v>4.6214706959321842E-3</v>
      </c>
    </row>
    <row r="297" spans="18:20" x14ac:dyDescent="0.25">
      <c r="R297">
        <v>1190.7223933269631</v>
      </c>
      <c r="S297" s="14">
        <f t="shared" si="24"/>
        <v>0.17456017615710506</v>
      </c>
      <c r="T297" s="9">
        <v>4.8323874658575423E-3</v>
      </c>
    </row>
    <row r="298" spans="18:20" x14ac:dyDescent="0.25">
      <c r="R298">
        <v>1168.7394080899003</v>
      </c>
      <c r="S298" s="14">
        <f t="shared" si="24"/>
        <v>0.15592573898281736</v>
      </c>
      <c r="T298" s="9">
        <v>5.2393883770336328E-3</v>
      </c>
    </row>
    <row r="299" spans="18:20" x14ac:dyDescent="0.25">
      <c r="R299">
        <v>877.40547770250078</v>
      </c>
      <c r="S299" s="14">
        <f t="shared" si="24"/>
        <v>-0.13078604716203404</v>
      </c>
      <c r="T299" s="9">
        <v>5.3623932165860434E-3</v>
      </c>
    </row>
    <row r="300" spans="18:20" x14ac:dyDescent="0.25">
      <c r="R300">
        <v>1301.6534140078643</v>
      </c>
      <c r="S300" s="14">
        <f t="shared" si="24"/>
        <v>0.26363531327173367</v>
      </c>
      <c r="T300" s="9">
        <v>8.3024830766081758E-3</v>
      </c>
    </row>
    <row r="301" spans="18:20" x14ac:dyDescent="0.25">
      <c r="R301">
        <v>958.07057947785131</v>
      </c>
      <c r="S301" s="14">
        <f t="shared" si="24"/>
        <v>-4.2833829948593104E-2</v>
      </c>
      <c r="T301" s="9">
        <v>8.5670994206885776E-3</v>
      </c>
    </row>
    <row r="302" spans="18:20" x14ac:dyDescent="0.25">
      <c r="R302">
        <v>1699.2802178108659</v>
      </c>
      <c r="S302" s="14">
        <f t="shared" si="24"/>
        <v>0.53020476011481033</v>
      </c>
      <c r="T302" s="9">
        <v>9.2031423043711074E-3</v>
      </c>
    </row>
    <row r="303" spans="18:20" x14ac:dyDescent="0.25">
      <c r="R303">
        <v>1902.4775075434604</v>
      </c>
      <c r="S303" s="14">
        <f t="shared" si="24"/>
        <v>0.64315698810482069</v>
      </c>
      <c r="T303" s="9">
        <v>9.6573335753606833E-3</v>
      </c>
    </row>
    <row r="304" spans="18:20" x14ac:dyDescent="0.25">
      <c r="R304">
        <v>822.75693905604794</v>
      </c>
      <c r="S304" s="14">
        <f t="shared" si="24"/>
        <v>-0.19509445721546537</v>
      </c>
      <c r="T304" s="9">
        <v>9.9437037040959412E-3</v>
      </c>
    </row>
    <row r="305" spans="18:20" x14ac:dyDescent="0.25">
      <c r="R305">
        <v>1274.4284600322151</v>
      </c>
      <c r="S305" s="14">
        <f t="shared" si="24"/>
        <v>0.24249781146746321</v>
      </c>
      <c r="T305" s="9">
        <v>1.2985573227146018E-2</v>
      </c>
    </row>
    <row r="306" spans="18:20" x14ac:dyDescent="0.25">
      <c r="R306">
        <v>1133.8436449760634</v>
      </c>
      <c r="S306" s="14">
        <f t="shared" si="24"/>
        <v>0.1256133165895276</v>
      </c>
      <c r="T306" s="9">
        <v>1.427878355956615E-2</v>
      </c>
    </row>
    <row r="307" spans="18:20" x14ac:dyDescent="0.25">
      <c r="R307">
        <v>1661.1841459226735</v>
      </c>
      <c r="S307" s="14">
        <f t="shared" si="24"/>
        <v>0.50753068897902398</v>
      </c>
      <c r="T307" s="9">
        <v>1.4926153676822203E-2</v>
      </c>
    </row>
    <row r="308" spans="18:20" x14ac:dyDescent="0.25">
      <c r="R308">
        <v>974.00630577142294</v>
      </c>
      <c r="S308" s="14">
        <f t="shared" si="24"/>
        <v>-2.633750126258861E-2</v>
      </c>
      <c r="T308" s="9">
        <v>1.5208218590213608E-2</v>
      </c>
    </row>
    <row r="309" spans="18:20" x14ac:dyDescent="0.25">
      <c r="R309">
        <v>1116.4193428094643</v>
      </c>
      <c r="S309" s="14">
        <f t="shared" si="24"/>
        <v>0.11012654858642457</v>
      </c>
      <c r="T309" s="9">
        <v>1.5679192564558655E-2</v>
      </c>
    </row>
    <row r="310" spans="18:20" x14ac:dyDescent="0.25">
      <c r="R310">
        <v>985.90293950077785</v>
      </c>
      <c r="S310" s="14">
        <f t="shared" si="24"/>
        <v>-1.4197367865087251E-2</v>
      </c>
      <c r="T310" s="9">
        <v>1.5775810625559779E-2</v>
      </c>
    </row>
    <row r="311" spans="18:20" x14ac:dyDescent="0.25">
      <c r="R311">
        <v>1243.5327660493829</v>
      </c>
      <c r="S311" s="14">
        <f t="shared" si="24"/>
        <v>0.2179563337729428</v>
      </c>
      <c r="T311" s="9">
        <v>1.6588541770245789E-2</v>
      </c>
    </row>
    <row r="312" spans="18:20" x14ac:dyDescent="0.25">
      <c r="R312">
        <v>1291.0526274059087</v>
      </c>
      <c r="S312" s="14">
        <f t="shared" si="24"/>
        <v>0.25545787587168123</v>
      </c>
      <c r="T312" s="9">
        <v>1.7058382133916604E-2</v>
      </c>
    </row>
    <row r="313" spans="18:20" x14ac:dyDescent="0.25">
      <c r="R313">
        <v>819.8697569757926</v>
      </c>
      <c r="S313" s="14">
        <f t="shared" si="24"/>
        <v>-0.19860978429547863</v>
      </c>
      <c r="T313" s="9">
        <v>1.8055032778787793E-2</v>
      </c>
    </row>
    <row r="314" spans="18:20" x14ac:dyDescent="0.25">
      <c r="R314">
        <v>1620.8504256473313</v>
      </c>
      <c r="S314" s="14">
        <f t="shared" si="24"/>
        <v>0.4829509656073811</v>
      </c>
      <c r="T314" s="9">
        <v>1.9020051307843972E-2</v>
      </c>
    </row>
    <row r="315" spans="18:20" x14ac:dyDescent="0.25">
      <c r="R315">
        <v>811.78302381950141</v>
      </c>
      <c r="S315" s="14">
        <f t="shared" si="24"/>
        <v>-0.20852218657290772</v>
      </c>
      <c r="T315" s="9">
        <v>1.9265869434049759E-2</v>
      </c>
    </row>
    <row r="316" spans="18:20" x14ac:dyDescent="0.25">
      <c r="R316">
        <v>1181.3859545144614</v>
      </c>
      <c r="S316" s="14">
        <f t="shared" si="24"/>
        <v>0.166688286971892</v>
      </c>
      <c r="T316" s="9">
        <v>2.062323036866311E-2</v>
      </c>
    </row>
    <row r="317" spans="18:20" x14ac:dyDescent="0.25">
      <c r="R317">
        <v>1043.1593835755191</v>
      </c>
      <c r="S317" s="14">
        <f t="shared" si="24"/>
        <v>4.2253976976303363E-2</v>
      </c>
      <c r="T317" s="9">
        <v>2.1149874811440473E-2</v>
      </c>
    </row>
    <row r="318" spans="18:20" x14ac:dyDescent="0.25">
      <c r="R318">
        <v>921.39745143081996</v>
      </c>
      <c r="S318" s="14">
        <f t="shared" si="24"/>
        <v>-8.1863792458945012E-2</v>
      </c>
      <c r="T318" s="9">
        <v>2.1326242387818901E-2</v>
      </c>
    </row>
    <row r="319" spans="18:20" x14ac:dyDescent="0.25">
      <c r="R319">
        <v>1144.1007437376732</v>
      </c>
      <c r="S319" s="14">
        <f t="shared" si="24"/>
        <v>0.13461895178806976</v>
      </c>
      <c r="T319" s="9">
        <v>2.1336834135489598E-2</v>
      </c>
    </row>
    <row r="320" spans="18:20" x14ac:dyDescent="0.25">
      <c r="R320">
        <v>1572.8215583769897</v>
      </c>
      <c r="S320" s="14">
        <f t="shared" si="24"/>
        <v>0.45287117732152343</v>
      </c>
      <c r="T320" s="9">
        <v>2.1587506527091415E-2</v>
      </c>
    </row>
    <row r="321" spans="18:20" x14ac:dyDescent="0.25">
      <c r="R321">
        <v>874.76852377150749</v>
      </c>
      <c r="S321" s="14">
        <f t="shared" si="24"/>
        <v>-0.13379597188366246</v>
      </c>
      <c r="T321" s="9">
        <v>2.2655731653704981E-2</v>
      </c>
    </row>
    <row r="322" spans="18:20" x14ac:dyDescent="0.25">
      <c r="R322">
        <v>1227.9740970019286</v>
      </c>
      <c r="S322" s="14">
        <f t="shared" si="24"/>
        <v>0.2053657358558387</v>
      </c>
      <c r="T322" s="9">
        <v>2.3027203879652073E-2</v>
      </c>
    </row>
    <row r="323" spans="18:20" x14ac:dyDescent="0.25">
      <c r="R323">
        <v>741.84371352308847</v>
      </c>
      <c r="S323" s="14">
        <f t="shared" si="24"/>
        <v>-0.29861668667517427</v>
      </c>
      <c r="T323" s="9">
        <v>2.3872843207898869E-2</v>
      </c>
    </row>
    <row r="324" spans="18:20" x14ac:dyDescent="0.25">
      <c r="R324">
        <v>921.20922313411688</v>
      </c>
      <c r="S324" s="14">
        <f t="shared" ref="S324:S387" si="25">+LN(R324/$B$2)</f>
        <v>-8.2068098999191583E-2</v>
      </c>
      <c r="T324" s="9">
        <v>2.4275048803966841E-2</v>
      </c>
    </row>
    <row r="325" spans="18:20" x14ac:dyDescent="0.25">
      <c r="R325">
        <v>1357.4492661466099</v>
      </c>
      <c r="S325" s="14">
        <f t="shared" si="25"/>
        <v>0.30560739912322643</v>
      </c>
      <c r="T325" s="9">
        <v>2.5155188841861312E-2</v>
      </c>
    </row>
    <row r="326" spans="18:20" x14ac:dyDescent="0.25">
      <c r="R326">
        <v>1738.1613857859093</v>
      </c>
      <c r="S326" s="14">
        <f t="shared" si="25"/>
        <v>0.55282787971630631</v>
      </c>
      <c r="T326" s="9">
        <v>2.5435399160996044E-2</v>
      </c>
    </row>
    <row r="327" spans="18:20" x14ac:dyDescent="0.25">
      <c r="R327">
        <v>962.1507328503958</v>
      </c>
      <c r="S327" s="14">
        <f t="shared" si="25"/>
        <v>-3.858415363587598E-2</v>
      </c>
      <c r="T327" s="9">
        <v>2.5976967750854788E-2</v>
      </c>
    </row>
    <row r="328" spans="18:20" x14ac:dyDescent="0.25">
      <c r="R328">
        <v>792.23236825313268</v>
      </c>
      <c r="S328" s="14">
        <f t="shared" si="25"/>
        <v>-0.23290053594038423</v>
      </c>
      <c r="T328" s="9">
        <v>2.6344473635065879E-2</v>
      </c>
    </row>
    <row r="329" spans="18:20" x14ac:dyDescent="0.25">
      <c r="R329">
        <v>1420.1867952714288</v>
      </c>
      <c r="S329" s="14">
        <f t="shared" si="25"/>
        <v>0.35078840892755231</v>
      </c>
      <c r="T329" s="9">
        <v>2.6413781644269912E-2</v>
      </c>
    </row>
    <row r="330" spans="18:20" x14ac:dyDescent="0.25">
      <c r="R330">
        <v>774.68527380216426</v>
      </c>
      <c r="S330" s="14">
        <f t="shared" si="25"/>
        <v>-0.25529843042883166</v>
      </c>
      <c r="T330" s="9">
        <v>2.6855566488631102E-2</v>
      </c>
    </row>
    <row r="331" spans="18:20" x14ac:dyDescent="0.25">
      <c r="R331">
        <v>1069.0899305306325</v>
      </c>
      <c r="S331" s="14">
        <f t="shared" si="25"/>
        <v>6.6807754351704815E-2</v>
      </c>
      <c r="T331" s="9">
        <v>2.736515658463989E-2</v>
      </c>
    </row>
    <row r="332" spans="18:20" x14ac:dyDescent="0.25">
      <c r="R332">
        <v>989.02117119872185</v>
      </c>
      <c r="S332" s="14">
        <f t="shared" si="25"/>
        <v>-1.1039540916429414E-2</v>
      </c>
      <c r="T332" s="9">
        <v>2.7368988946389686E-2</v>
      </c>
    </row>
    <row r="333" spans="18:20" x14ac:dyDescent="0.25">
      <c r="R333">
        <v>1882.8698397859284</v>
      </c>
      <c r="S333" s="14">
        <f t="shared" si="25"/>
        <v>0.63279712343345051</v>
      </c>
      <c r="T333" s="9">
        <v>2.7785383870955048E-2</v>
      </c>
    </row>
    <row r="334" spans="18:20" x14ac:dyDescent="0.25">
      <c r="R334">
        <v>1324.6893806778871</v>
      </c>
      <c r="S334" s="14">
        <f t="shared" si="25"/>
        <v>0.28117800227818723</v>
      </c>
      <c r="T334" s="9">
        <v>2.8449915641193323E-2</v>
      </c>
    </row>
    <row r="335" spans="18:20" x14ac:dyDescent="0.25">
      <c r="R335">
        <v>1063.7158235386723</v>
      </c>
      <c r="S335" s="14">
        <f t="shared" si="25"/>
        <v>6.1768272106053242E-2</v>
      </c>
      <c r="T335" s="9">
        <v>2.9022570697432377E-2</v>
      </c>
    </row>
    <row r="336" spans="18:20" x14ac:dyDescent="0.25">
      <c r="R336">
        <v>695.95324250955957</v>
      </c>
      <c r="S336" s="14">
        <f t="shared" si="25"/>
        <v>-0.36247280120677189</v>
      </c>
      <c r="T336" s="9">
        <v>2.9547756650636293E-2</v>
      </c>
    </row>
    <row r="337" spans="18:20" x14ac:dyDescent="0.25">
      <c r="R337">
        <v>784.18228554513792</v>
      </c>
      <c r="S337" s="14">
        <f t="shared" si="25"/>
        <v>-0.24311377858442967</v>
      </c>
      <c r="T337" s="9">
        <v>3.0621558764056488E-2</v>
      </c>
    </row>
    <row r="338" spans="18:20" x14ac:dyDescent="0.25">
      <c r="R338">
        <v>1301.515061035823</v>
      </c>
      <c r="S338" s="14">
        <f t="shared" si="25"/>
        <v>0.26352901744532214</v>
      </c>
      <c r="T338" s="9">
        <v>3.0649292093387355E-2</v>
      </c>
    </row>
    <row r="339" spans="18:20" x14ac:dyDescent="0.25">
      <c r="R339">
        <v>1558.0119490357461</v>
      </c>
      <c r="S339" s="14">
        <f t="shared" si="25"/>
        <v>0.44341061689010008</v>
      </c>
      <c r="T339" s="9">
        <v>3.1020824067595199E-2</v>
      </c>
    </row>
    <row r="340" spans="18:20" x14ac:dyDescent="0.25">
      <c r="R340">
        <v>1102.1593454906954</v>
      </c>
      <c r="S340" s="14">
        <f t="shared" si="25"/>
        <v>9.7271296911662058E-2</v>
      </c>
      <c r="T340" s="9">
        <v>3.3138926651016767E-2</v>
      </c>
    </row>
    <row r="341" spans="18:20" x14ac:dyDescent="0.25">
      <c r="R341">
        <v>1337.1306902233123</v>
      </c>
      <c r="S341" s="14">
        <f t="shared" si="25"/>
        <v>0.29052604220082212</v>
      </c>
      <c r="T341" s="9">
        <v>3.3391732889415521E-2</v>
      </c>
    </row>
    <row r="342" spans="18:20" x14ac:dyDescent="0.25">
      <c r="R342">
        <v>766.46745173924842</v>
      </c>
      <c r="S342" s="14">
        <f t="shared" si="25"/>
        <v>-0.26596304505621393</v>
      </c>
      <c r="T342" s="9">
        <v>3.3903812330051762E-2</v>
      </c>
    </row>
    <row r="343" spans="18:20" x14ac:dyDescent="0.25">
      <c r="R343">
        <v>1720.0529519944632</v>
      </c>
      <c r="S343" s="14">
        <f t="shared" si="25"/>
        <v>0.54235507639477376</v>
      </c>
      <c r="T343" s="9">
        <v>3.4209365053725224E-2</v>
      </c>
    </row>
    <row r="344" spans="18:20" x14ac:dyDescent="0.25">
      <c r="R344">
        <v>1894.0512234422779</v>
      </c>
      <c r="S344" s="14">
        <f t="shared" si="25"/>
        <v>0.63871803951025319</v>
      </c>
      <c r="T344" s="9">
        <v>3.6399551432643368E-2</v>
      </c>
    </row>
    <row r="345" spans="18:20" x14ac:dyDescent="0.25">
      <c r="R345">
        <v>822.50651855840113</v>
      </c>
      <c r="S345" s="14">
        <f t="shared" si="25"/>
        <v>-0.19539887107504711</v>
      </c>
      <c r="T345" s="9">
        <v>3.6729794608642605E-2</v>
      </c>
    </row>
    <row r="346" spans="18:20" x14ac:dyDescent="0.25">
      <c r="R346">
        <v>1345.0298886451694</v>
      </c>
      <c r="S346" s="14">
        <f t="shared" si="25"/>
        <v>0.29641623484791474</v>
      </c>
      <c r="T346" s="9">
        <v>3.700150031057263E-2</v>
      </c>
    </row>
    <row r="347" spans="18:20" x14ac:dyDescent="0.25">
      <c r="R347">
        <v>1116.9367801336775</v>
      </c>
      <c r="S347" s="14">
        <f t="shared" si="25"/>
        <v>0.11058992057457834</v>
      </c>
      <c r="T347" s="9">
        <v>3.7030074392131948E-2</v>
      </c>
    </row>
    <row r="348" spans="18:20" x14ac:dyDescent="0.25">
      <c r="R348">
        <v>909.27202250822336</v>
      </c>
      <c r="S348" s="14">
        <f t="shared" si="25"/>
        <v>-9.5110974887896077E-2</v>
      </c>
      <c r="T348" s="9">
        <v>3.7053818461113823E-2</v>
      </c>
    </row>
    <row r="349" spans="18:20" x14ac:dyDescent="0.25">
      <c r="R349">
        <v>1907.0485056121297</v>
      </c>
      <c r="S349" s="14">
        <f t="shared" si="25"/>
        <v>0.64555676185438926</v>
      </c>
      <c r="T349" s="9">
        <v>3.8162546772961395E-2</v>
      </c>
    </row>
    <row r="350" spans="18:20" x14ac:dyDescent="0.25">
      <c r="R350">
        <v>1169.8894473382186</v>
      </c>
      <c r="S350" s="14">
        <f t="shared" si="25"/>
        <v>0.15690925489074103</v>
      </c>
      <c r="T350" s="9">
        <v>3.8306910712179634E-2</v>
      </c>
    </row>
    <row r="351" spans="18:20" x14ac:dyDescent="0.25">
      <c r="R351">
        <v>1257.4092168416166</v>
      </c>
      <c r="S351" s="14">
        <f t="shared" si="25"/>
        <v>0.22905342701918308</v>
      </c>
      <c r="T351" s="9">
        <v>4.0583983371544431E-2</v>
      </c>
    </row>
    <row r="352" spans="18:20" x14ac:dyDescent="0.25">
      <c r="R352">
        <v>890.11256676041978</v>
      </c>
      <c r="S352" s="14">
        <f t="shared" si="25"/>
        <v>-0.11640734474772019</v>
      </c>
      <c r="T352" s="9">
        <v>4.0793652573627159E-2</v>
      </c>
    </row>
    <row r="353" spans="18:20" x14ac:dyDescent="0.25">
      <c r="R353">
        <v>1110.6938535451188</v>
      </c>
      <c r="S353" s="14">
        <f t="shared" si="25"/>
        <v>0.10498491331870524</v>
      </c>
      <c r="T353" s="9">
        <v>4.0825107934523576E-2</v>
      </c>
    </row>
    <row r="354" spans="18:20" x14ac:dyDescent="0.25">
      <c r="R354">
        <v>1535.2047322967985</v>
      </c>
      <c r="S354" s="14">
        <f t="shared" si="25"/>
        <v>0.42866374823448028</v>
      </c>
      <c r="T354" s="9">
        <v>4.1424523830712448E-2</v>
      </c>
    </row>
    <row r="355" spans="18:20" x14ac:dyDescent="0.25">
      <c r="R355">
        <v>1242.6222723760907</v>
      </c>
      <c r="S355" s="14">
        <f t="shared" si="25"/>
        <v>0.21722388249784103</v>
      </c>
      <c r="T355" s="9">
        <v>4.2253976976303363E-2</v>
      </c>
    </row>
    <row r="356" spans="18:20" x14ac:dyDescent="0.25">
      <c r="R356">
        <v>1148.1368900367379</v>
      </c>
      <c r="S356" s="14">
        <f t="shared" si="25"/>
        <v>0.13814053298086998</v>
      </c>
      <c r="T356" s="9">
        <v>4.2610731524014317E-2</v>
      </c>
    </row>
    <row r="357" spans="18:20" x14ac:dyDescent="0.25">
      <c r="R357">
        <v>1083.1535464401322</v>
      </c>
      <c r="S357" s="14">
        <f t="shared" si="25"/>
        <v>7.9876736768942205E-2</v>
      </c>
      <c r="T357" s="9">
        <v>4.2632345207431484E-2</v>
      </c>
    </row>
    <row r="358" spans="18:20" x14ac:dyDescent="0.25">
      <c r="R358">
        <v>1280.488753439832</v>
      </c>
      <c r="S358" s="14">
        <f t="shared" si="25"/>
        <v>0.24724184367457891</v>
      </c>
      <c r="T358" s="9">
        <v>4.2967170801351498E-2</v>
      </c>
    </row>
    <row r="359" spans="18:20" x14ac:dyDescent="0.25">
      <c r="R359">
        <v>1396.3201437090161</v>
      </c>
      <c r="S359" s="14">
        <f t="shared" si="25"/>
        <v>0.3338403073526881</v>
      </c>
      <c r="T359" s="9">
        <v>4.5240376463030252E-2</v>
      </c>
    </row>
    <row r="360" spans="18:20" x14ac:dyDescent="0.25">
      <c r="R360">
        <v>1697.0134080056773</v>
      </c>
      <c r="S360" s="14">
        <f t="shared" si="25"/>
        <v>0.52886988722598982</v>
      </c>
      <c r="T360" s="9">
        <v>4.6993461286938473E-2</v>
      </c>
    </row>
    <row r="361" spans="18:20" x14ac:dyDescent="0.25">
      <c r="R361">
        <v>997.76892053487552</v>
      </c>
      <c r="S361" s="14">
        <f t="shared" si="25"/>
        <v>-2.2335720310128078E-3</v>
      </c>
      <c r="T361" s="9">
        <v>4.7865570254090981E-2</v>
      </c>
    </row>
    <row r="362" spans="18:20" x14ac:dyDescent="0.25">
      <c r="R362">
        <v>1149.7809639424008</v>
      </c>
      <c r="S362" s="14">
        <f t="shared" si="25"/>
        <v>0.13957145809713772</v>
      </c>
      <c r="T362" s="9">
        <v>4.90057283292634E-2</v>
      </c>
    </row>
    <row r="363" spans="18:20" x14ac:dyDescent="0.25">
      <c r="R363">
        <v>1422.8281753582073</v>
      </c>
      <c r="S363" s="14">
        <f t="shared" si="25"/>
        <v>0.35264656364996189</v>
      </c>
      <c r="T363" s="9">
        <v>4.9259966701565801E-2</v>
      </c>
    </row>
    <row r="364" spans="18:20" x14ac:dyDescent="0.25">
      <c r="R364">
        <v>1200.8011122655782</v>
      </c>
      <c r="S364" s="14">
        <f t="shared" si="25"/>
        <v>0.18298892760715432</v>
      </c>
      <c r="T364" s="9">
        <v>4.9849578333192368E-2</v>
      </c>
    </row>
    <row r="365" spans="18:20" x14ac:dyDescent="0.25">
      <c r="R365">
        <v>656.28186814427227</v>
      </c>
      <c r="S365" s="14">
        <f t="shared" si="25"/>
        <v>-0.42116490527360168</v>
      </c>
      <c r="T365" s="9">
        <v>5.0374787106447438E-2</v>
      </c>
    </row>
    <row r="366" spans="18:20" x14ac:dyDescent="0.25">
      <c r="R366">
        <v>1174.3094309360533</v>
      </c>
      <c r="S366" s="14">
        <f t="shared" si="25"/>
        <v>0.16068025646969811</v>
      </c>
      <c r="T366" s="9">
        <v>5.0465807578983501E-2</v>
      </c>
    </row>
    <row r="367" spans="18:20" x14ac:dyDescent="0.25">
      <c r="R367">
        <v>1449.9317134607224</v>
      </c>
      <c r="S367" s="14">
        <f t="shared" si="25"/>
        <v>0.37151646115849896</v>
      </c>
      <c r="T367" s="9">
        <v>5.1172914621536794E-2</v>
      </c>
    </row>
    <row r="368" spans="18:20" x14ac:dyDescent="0.25">
      <c r="R368">
        <v>1491.4632858328578</v>
      </c>
      <c r="S368" s="14">
        <f t="shared" si="25"/>
        <v>0.39975770906987018</v>
      </c>
      <c r="T368" s="9">
        <v>5.1554463413832421E-2</v>
      </c>
    </row>
    <row r="369" spans="18:20" x14ac:dyDescent="0.25">
      <c r="R369">
        <v>982.12511735413864</v>
      </c>
      <c r="S369" s="14">
        <f t="shared" si="25"/>
        <v>-1.8036567996135719E-2</v>
      </c>
      <c r="T369" s="9">
        <v>5.1810560297133122E-2</v>
      </c>
    </row>
    <row r="370" spans="18:20" x14ac:dyDescent="0.25">
      <c r="R370">
        <v>525.93640955199214</v>
      </c>
      <c r="S370" s="14">
        <f t="shared" si="25"/>
        <v>-0.64257496794059032</v>
      </c>
      <c r="T370" s="9">
        <v>5.482549710166338E-2</v>
      </c>
    </row>
    <row r="371" spans="18:20" x14ac:dyDescent="0.25">
      <c r="R371">
        <v>1267.4972059780939</v>
      </c>
      <c r="S371" s="14">
        <f t="shared" si="25"/>
        <v>0.23704425212423824</v>
      </c>
      <c r="T371" s="9">
        <v>5.6078715183442006E-2</v>
      </c>
    </row>
    <row r="372" spans="18:20" x14ac:dyDescent="0.25">
      <c r="R372">
        <v>910.96532085879721</v>
      </c>
      <c r="S372" s="14">
        <f t="shared" si="25"/>
        <v>-9.325044956113257E-2</v>
      </c>
      <c r="T372" s="9">
        <v>5.6813990273705664E-2</v>
      </c>
    </row>
    <row r="373" spans="18:20" x14ac:dyDescent="0.25">
      <c r="R373">
        <v>1170.9855266115676</v>
      </c>
      <c r="S373" s="14">
        <f t="shared" si="25"/>
        <v>0.15784572468571045</v>
      </c>
      <c r="T373" s="9">
        <v>5.7302829088025538E-2</v>
      </c>
    </row>
    <row r="374" spans="18:20" x14ac:dyDescent="0.25">
      <c r="R374">
        <v>906.07817768156713</v>
      </c>
      <c r="S374" s="14">
        <f t="shared" si="25"/>
        <v>-9.8629687830072962E-2</v>
      </c>
      <c r="T374" s="9">
        <v>5.7843553443981469E-2</v>
      </c>
    </row>
    <row r="375" spans="18:20" x14ac:dyDescent="0.25">
      <c r="R375">
        <v>1578.832850469516</v>
      </c>
      <c r="S375" s="14">
        <f t="shared" si="25"/>
        <v>0.45668587182945647</v>
      </c>
      <c r="T375" s="9">
        <v>5.9033954332326673E-2</v>
      </c>
    </row>
    <row r="376" spans="18:20" x14ac:dyDescent="0.25">
      <c r="R376">
        <v>1683.1721511979531</v>
      </c>
      <c r="S376" s="14">
        <f t="shared" si="25"/>
        <v>0.52068019827107381</v>
      </c>
      <c r="T376" s="9">
        <v>5.9620160858157516E-2</v>
      </c>
    </row>
    <row r="377" spans="18:20" x14ac:dyDescent="0.25">
      <c r="R377">
        <v>763.31985970890162</v>
      </c>
      <c r="S377" s="14">
        <f t="shared" si="25"/>
        <v>-0.27007812229411626</v>
      </c>
      <c r="T377" s="9">
        <v>6.1258502780836985E-2</v>
      </c>
    </row>
    <row r="378" spans="18:20" x14ac:dyDescent="0.25">
      <c r="R378">
        <v>1637.4884438372969</v>
      </c>
      <c r="S378" s="14">
        <f t="shared" si="25"/>
        <v>0.4931636313037705</v>
      </c>
      <c r="T378" s="9">
        <v>6.1522124595438828E-2</v>
      </c>
    </row>
    <row r="379" spans="18:20" x14ac:dyDescent="0.25">
      <c r="R379">
        <v>1453.5911279451589</v>
      </c>
      <c r="S379" s="14">
        <f t="shared" si="25"/>
        <v>0.37403713457621635</v>
      </c>
      <c r="T379" s="9">
        <v>6.1597556763333748E-2</v>
      </c>
    </row>
    <row r="380" spans="18:20" x14ac:dyDescent="0.25">
      <c r="R380">
        <v>1322.3334001870701</v>
      </c>
      <c r="S380" s="14">
        <f t="shared" si="25"/>
        <v>0.2793979034214833</v>
      </c>
      <c r="T380" s="9">
        <v>6.1768272106053242E-2</v>
      </c>
    </row>
    <row r="381" spans="18:20" x14ac:dyDescent="0.25">
      <c r="R381">
        <v>1308.2233181451152</v>
      </c>
      <c r="S381" s="14">
        <f t="shared" si="25"/>
        <v>0.26866997098871437</v>
      </c>
      <c r="T381" s="9">
        <v>6.2415788616460209E-2</v>
      </c>
    </row>
    <row r="382" spans="18:20" x14ac:dyDescent="0.25">
      <c r="R382">
        <v>917.24641537185414</v>
      </c>
      <c r="S382" s="14">
        <f t="shared" si="25"/>
        <v>-8.6379123770894184E-2</v>
      </c>
      <c r="T382" s="9">
        <v>6.3446087983682981E-2</v>
      </c>
    </row>
    <row r="383" spans="18:20" x14ac:dyDescent="0.25">
      <c r="R383">
        <v>885.54221924236822</v>
      </c>
      <c r="S383" s="14">
        <f t="shared" si="25"/>
        <v>-0.12155514447418189</v>
      </c>
      <c r="T383" s="9">
        <v>6.3454208134158224E-2</v>
      </c>
    </row>
    <row r="384" spans="18:20" x14ac:dyDescent="0.25">
      <c r="R384">
        <v>1199.2145588858009</v>
      </c>
      <c r="S384" s="14">
        <f t="shared" si="25"/>
        <v>0.18166680823105547</v>
      </c>
      <c r="T384" s="9">
        <v>6.579512876012901E-2</v>
      </c>
    </row>
    <row r="385" spans="18:20" x14ac:dyDescent="0.25">
      <c r="R385">
        <v>1498.0624189271593</v>
      </c>
      <c r="S385" s="14">
        <f t="shared" si="25"/>
        <v>0.40417255240260724</v>
      </c>
      <c r="T385" s="9">
        <v>6.6402947569362852E-2</v>
      </c>
    </row>
    <row r="386" spans="18:20" x14ac:dyDescent="0.25">
      <c r="R386">
        <v>783.90314013167506</v>
      </c>
      <c r="S386" s="14">
        <f t="shared" si="25"/>
        <v>-0.24346981201454854</v>
      </c>
      <c r="T386" s="9">
        <v>6.6405485972255873E-2</v>
      </c>
    </row>
    <row r="387" spans="18:20" x14ac:dyDescent="0.25">
      <c r="R387">
        <v>2384.0899971067352</v>
      </c>
      <c r="S387" s="14">
        <f t="shared" si="25"/>
        <v>0.86881749895480709</v>
      </c>
      <c r="T387" s="9">
        <v>6.6794732482678587E-2</v>
      </c>
    </row>
    <row r="388" spans="18:20" x14ac:dyDescent="0.25">
      <c r="R388">
        <v>855.56589582067454</v>
      </c>
      <c r="S388" s="14">
        <f t="shared" ref="S388:S451" si="26">+LN(R388/$B$2)</f>
        <v>-0.15599216252545156</v>
      </c>
      <c r="T388" s="9">
        <v>6.6807754351704815E-2</v>
      </c>
    </row>
    <row r="389" spans="18:20" x14ac:dyDescent="0.25">
      <c r="R389">
        <v>1451.3250625185929</v>
      </c>
      <c r="S389" s="14">
        <f t="shared" si="26"/>
        <v>0.37247697535809038</v>
      </c>
      <c r="T389" s="9">
        <v>6.7115013557618605E-2</v>
      </c>
    </row>
    <row r="390" spans="18:20" x14ac:dyDescent="0.25">
      <c r="R390">
        <v>769.84208249600658</v>
      </c>
      <c r="S390" s="14">
        <f t="shared" si="26"/>
        <v>-0.26156987283528293</v>
      </c>
      <c r="T390" s="9">
        <v>6.8115252981163596E-2</v>
      </c>
    </row>
    <row r="391" spans="18:20" x14ac:dyDescent="0.25">
      <c r="R391">
        <v>1277.8640259585568</v>
      </c>
      <c r="S391" s="14">
        <f t="shared" si="26"/>
        <v>0.2451899543313204</v>
      </c>
      <c r="T391" s="9">
        <v>6.9434308538251041E-2</v>
      </c>
    </row>
    <row r="392" spans="18:20" x14ac:dyDescent="0.25">
      <c r="R392">
        <v>1290.8537861086963</v>
      </c>
      <c r="S392" s="14">
        <f t="shared" si="26"/>
        <v>0.25530384914432619</v>
      </c>
      <c r="T392" s="9">
        <v>7.0083949991180922E-2</v>
      </c>
    </row>
    <row r="393" spans="18:20" x14ac:dyDescent="0.25">
      <c r="R393">
        <v>1294.1023727616516</v>
      </c>
      <c r="S393" s="14">
        <f t="shared" si="26"/>
        <v>0.25781730636644895</v>
      </c>
      <c r="T393" s="9">
        <v>7.0377155251285892E-2</v>
      </c>
    </row>
    <row r="394" spans="18:20" x14ac:dyDescent="0.25">
      <c r="R394">
        <v>775.99021456098092</v>
      </c>
      <c r="S394" s="14">
        <f t="shared" si="26"/>
        <v>-0.253615368980255</v>
      </c>
      <c r="T394" s="9">
        <v>7.1253118940589166E-2</v>
      </c>
    </row>
    <row r="395" spans="18:20" x14ac:dyDescent="0.25">
      <c r="R395">
        <v>1211.329581431148</v>
      </c>
      <c r="S395" s="14">
        <f t="shared" si="26"/>
        <v>0.19171858396850394</v>
      </c>
      <c r="T395" s="9">
        <v>7.2445275815412075E-2</v>
      </c>
    </row>
    <row r="396" spans="18:20" x14ac:dyDescent="0.25">
      <c r="R396">
        <v>1039.0500795471701</v>
      </c>
      <c r="S396" s="14">
        <f t="shared" si="26"/>
        <v>3.8306910712179634E-2</v>
      </c>
      <c r="T396" s="9">
        <v>7.4535379165341781E-2</v>
      </c>
    </row>
    <row r="397" spans="18:20" x14ac:dyDescent="0.25">
      <c r="R397">
        <v>1409.8583410133929</v>
      </c>
      <c r="S397" s="14">
        <f t="shared" si="26"/>
        <v>0.34348923197650499</v>
      </c>
      <c r="T397" s="9">
        <v>7.5914783262513955E-2</v>
      </c>
    </row>
    <row r="398" spans="18:20" x14ac:dyDescent="0.25">
      <c r="R398">
        <v>1142.1720853626523</v>
      </c>
      <c r="S398" s="14">
        <f t="shared" si="26"/>
        <v>0.132931787589668</v>
      </c>
      <c r="T398" s="9">
        <v>7.7859460951646975E-2</v>
      </c>
    </row>
    <row r="399" spans="18:20" x14ac:dyDescent="0.25">
      <c r="R399">
        <v>1122.6309675776386</v>
      </c>
      <c r="S399" s="14">
        <f t="shared" si="26"/>
        <v>0.11567500873041311</v>
      </c>
      <c r="T399" s="9">
        <v>7.9147094569359602E-2</v>
      </c>
    </row>
    <row r="400" spans="18:20" x14ac:dyDescent="0.25">
      <c r="R400">
        <v>1247.9885888070833</v>
      </c>
      <c r="S400" s="14">
        <f t="shared" si="26"/>
        <v>0.22153312632136515</v>
      </c>
      <c r="T400" s="9">
        <v>7.9495545362811976E-2</v>
      </c>
    </row>
    <row r="401" spans="18:20" x14ac:dyDescent="0.25">
      <c r="R401">
        <v>2174.4650747366086</v>
      </c>
      <c r="S401" s="14">
        <f t="shared" si="26"/>
        <v>0.77678269164195901</v>
      </c>
      <c r="T401" s="9">
        <v>7.9876736768942205E-2</v>
      </c>
    </row>
    <row r="402" spans="18:20" x14ac:dyDescent="0.25">
      <c r="R402">
        <v>1630.9250746902462</v>
      </c>
      <c r="S402" s="14">
        <f t="shared" si="26"/>
        <v>0.48914738431896515</v>
      </c>
      <c r="T402" s="9">
        <v>8.1852357548328009E-2</v>
      </c>
    </row>
    <row r="403" spans="18:20" x14ac:dyDescent="0.25">
      <c r="R403">
        <v>987.96583485433678</v>
      </c>
      <c r="S403" s="14">
        <f t="shared" si="26"/>
        <v>-1.2107161939121524E-2</v>
      </c>
      <c r="T403" s="9">
        <v>8.1879369468998417E-2</v>
      </c>
    </row>
    <row r="404" spans="18:20" x14ac:dyDescent="0.25">
      <c r="R404">
        <v>1685.0081149441157</v>
      </c>
      <c r="S404" s="14">
        <f t="shared" si="26"/>
        <v>0.52177037978330143</v>
      </c>
      <c r="T404" s="9">
        <v>8.1895141882293271E-2</v>
      </c>
    </row>
    <row r="405" spans="18:20" x14ac:dyDescent="0.25">
      <c r="R405">
        <v>1089.8588268586016</v>
      </c>
      <c r="S405" s="14">
        <f t="shared" si="26"/>
        <v>8.6048171209562804E-2</v>
      </c>
      <c r="T405" s="9">
        <v>8.2947469885993372E-2</v>
      </c>
    </row>
    <row r="406" spans="18:20" x14ac:dyDescent="0.25">
      <c r="R406">
        <v>1601.6644557881648</v>
      </c>
      <c r="S406" s="14">
        <f t="shared" si="26"/>
        <v>0.47104337339200597</v>
      </c>
      <c r="T406" s="9">
        <v>8.3728143586374565E-2</v>
      </c>
    </row>
    <row r="407" spans="18:20" x14ac:dyDescent="0.25">
      <c r="R407">
        <v>1217.3354429402759</v>
      </c>
      <c r="S407" s="14">
        <f t="shared" si="26"/>
        <v>0.19666440703705038</v>
      </c>
      <c r="T407" s="9">
        <v>8.5111653683717536E-2</v>
      </c>
    </row>
    <row r="408" spans="18:20" x14ac:dyDescent="0.25">
      <c r="R408">
        <v>1699.357176168736</v>
      </c>
      <c r="S408" s="14">
        <f t="shared" si="26"/>
        <v>0.53025004788691554</v>
      </c>
      <c r="T408" s="9">
        <v>8.521521743639919E-2</v>
      </c>
    </row>
    <row r="409" spans="18:20" x14ac:dyDescent="0.25">
      <c r="R409">
        <v>1326.906778104295</v>
      </c>
      <c r="S409" s="14">
        <f t="shared" si="26"/>
        <v>0.28285050277261559</v>
      </c>
      <c r="T409" s="9">
        <v>8.6048171209562804E-2</v>
      </c>
    </row>
    <row r="410" spans="18:20" x14ac:dyDescent="0.25">
      <c r="R410">
        <v>1471.1313526714246</v>
      </c>
      <c r="S410" s="14">
        <f t="shared" si="26"/>
        <v>0.38603173244677658</v>
      </c>
      <c r="T410" s="9">
        <v>8.7501180983190555E-2</v>
      </c>
    </row>
    <row r="411" spans="18:20" x14ac:dyDescent="0.25">
      <c r="R411">
        <v>873.90673362182042</v>
      </c>
      <c r="S411" s="14">
        <f t="shared" si="26"/>
        <v>-0.13478162112392339</v>
      </c>
      <c r="T411" s="9">
        <v>8.8286032190427952E-2</v>
      </c>
    </row>
    <row r="412" spans="18:20" x14ac:dyDescent="0.25">
      <c r="R412">
        <v>839.87190344058047</v>
      </c>
      <c r="S412" s="14">
        <f t="shared" si="26"/>
        <v>-0.17450589467753122</v>
      </c>
      <c r="T412" s="9">
        <v>8.8629233024682091E-2</v>
      </c>
    </row>
    <row r="413" spans="18:20" x14ac:dyDescent="0.25">
      <c r="R413">
        <v>717.72285309947381</v>
      </c>
      <c r="S413" s="14">
        <f t="shared" si="26"/>
        <v>-0.33167178291919736</v>
      </c>
      <c r="T413" s="9">
        <v>8.9374424284713316E-2</v>
      </c>
    </row>
    <row r="414" spans="18:20" x14ac:dyDescent="0.25">
      <c r="R414">
        <v>1021.5552719104815</v>
      </c>
      <c r="S414" s="14">
        <f t="shared" si="26"/>
        <v>2.1326242387818901E-2</v>
      </c>
      <c r="T414" s="9">
        <v>9.0178735764145465E-2</v>
      </c>
    </row>
    <row r="415" spans="18:20" x14ac:dyDescent="0.25">
      <c r="R415">
        <v>711.94637003552407</v>
      </c>
      <c r="S415" s="14">
        <f t="shared" si="26"/>
        <v>-0.3397526933908942</v>
      </c>
      <c r="T415" s="9">
        <v>9.0907880936748536E-2</v>
      </c>
    </row>
    <row r="416" spans="18:20" x14ac:dyDescent="0.25">
      <c r="R416">
        <v>1575.6366174494337</v>
      </c>
      <c r="S416" s="14">
        <f t="shared" si="26"/>
        <v>0.45465939216534984</v>
      </c>
      <c r="T416" s="9">
        <v>9.0951943363648771E-2</v>
      </c>
    </row>
    <row r="417" spans="18:20" x14ac:dyDescent="0.25">
      <c r="R417">
        <v>975.74684588050627</v>
      </c>
      <c r="S417" s="14">
        <f t="shared" si="26"/>
        <v>-2.4552105434445307E-2</v>
      </c>
      <c r="T417" s="9">
        <v>9.1893486121432777E-2</v>
      </c>
    </row>
    <row r="418" spans="18:20" x14ac:dyDescent="0.25">
      <c r="R418">
        <v>1187.3328762337474</v>
      </c>
      <c r="S418" s="14">
        <f t="shared" si="26"/>
        <v>0.17170951121928674</v>
      </c>
      <c r="T418" s="9">
        <v>9.2204815247421731E-2</v>
      </c>
    </row>
    <row r="419" spans="18:20" x14ac:dyDescent="0.25">
      <c r="R419">
        <v>1604.1246844126263</v>
      </c>
      <c r="S419" s="14">
        <f t="shared" si="26"/>
        <v>0.47257823984756725</v>
      </c>
      <c r="T419" s="9">
        <v>9.2550796078114825E-2</v>
      </c>
    </row>
    <row r="420" spans="18:20" x14ac:dyDescent="0.25">
      <c r="R420">
        <v>1470.0908791489076</v>
      </c>
      <c r="S420" s="14">
        <f t="shared" si="26"/>
        <v>0.38532422142998707</v>
      </c>
      <c r="T420" s="9">
        <v>9.2679204579710114E-2</v>
      </c>
    </row>
    <row r="421" spans="18:20" x14ac:dyDescent="0.25">
      <c r="R421">
        <v>1764.5447037332988</v>
      </c>
      <c r="S421" s="14">
        <f t="shared" si="26"/>
        <v>0.56789269888355454</v>
      </c>
      <c r="T421" s="9">
        <v>9.3395068525389105E-2</v>
      </c>
    </row>
    <row r="422" spans="18:20" x14ac:dyDescent="0.25">
      <c r="R422">
        <v>1883.4625257823493</v>
      </c>
      <c r="S422" s="14">
        <f t="shared" si="26"/>
        <v>0.63311185189806063</v>
      </c>
      <c r="T422" s="9">
        <v>9.5268708788270415E-2</v>
      </c>
    </row>
    <row r="423" spans="18:20" x14ac:dyDescent="0.25">
      <c r="R423">
        <v>1883.7894980584474</v>
      </c>
      <c r="S423" s="14">
        <f t="shared" si="26"/>
        <v>0.63328543852027208</v>
      </c>
      <c r="T423" s="9">
        <v>9.6273106375285328E-2</v>
      </c>
    </row>
    <row r="424" spans="18:20" x14ac:dyDescent="0.25">
      <c r="R424">
        <v>1143.797387053691</v>
      </c>
      <c r="S424" s="14">
        <f t="shared" si="26"/>
        <v>0.13435376805311486</v>
      </c>
      <c r="T424" s="9">
        <v>9.6513525285214855E-2</v>
      </c>
    </row>
    <row r="425" spans="18:20" x14ac:dyDescent="0.25">
      <c r="R425">
        <v>1831.7018918865367</v>
      </c>
      <c r="S425" s="14">
        <f t="shared" si="26"/>
        <v>0.60524553024179462</v>
      </c>
      <c r="T425" s="9">
        <v>9.6607870760281211E-2</v>
      </c>
    </row>
    <row r="426" spans="18:20" x14ac:dyDescent="0.25">
      <c r="R426">
        <v>1063.5342464267412</v>
      </c>
      <c r="S426" s="14">
        <f t="shared" si="26"/>
        <v>6.1597556763333748E-2</v>
      </c>
      <c r="T426" s="9">
        <v>9.6904533118759115E-2</v>
      </c>
    </row>
    <row r="427" spans="18:20" x14ac:dyDescent="0.25">
      <c r="R427">
        <v>1000.3583119551813</v>
      </c>
      <c r="S427" s="14">
        <f t="shared" si="26"/>
        <v>3.5824777678284401E-4</v>
      </c>
      <c r="T427" s="9">
        <v>9.7117510287860268E-2</v>
      </c>
    </row>
    <row r="428" spans="18:20" x14ac:dyDescent="0.25">
      <c r="R428">
        <v>1015.0381050160669</v>
      </c>
      <c r="S428" s="14">
        <f t="shared" si="26"/>
        <v>1.4926153676822203E-2</v>
      </c>
      <c r="T428" s="9">
        <v>9.7271296911662058E-2</v>
      </c>
    </row>
    <row r="429" spans="18:20" x14ac:dyDescent="0.25">
      <c r="R429">
        <v>968.28976639147413</v>
      </c>
      <c r="S429" s="14">
        <f t="shared" si="26"/>
        <v>-3.222389105473103E-2</v>
      </c>
      <c r="T429" s="9">
        <v>9.7361571341562606E-2</v>
      </c>
    </row>
    <row r="430" spans="18:20" x14ac:dyDescent="0.25">
      <c r="R430">
        <v>1414.7799853419119</v>
      </c>
      <c r="S430" s="14">
        <f t="shared" si="26"/>
        <v>0.34697403161490836</v>
      </c>
      <c r="T430" s="9">
        <v>9.7431025955348916E-2</v>
      </c>
    </row>
    <row r="431" spans="18:20" x14ac:dyDescent="0.25">
      <c r="R431">
        <v>666.84831268516234</v>
      </c>
      <c r="S431" s="14">
        <f t="shared" si="26"/>
        <v>-0.40519267619336519</v>
      </c>
      <c r="T431" s="9">
        <v>9.7801384608806288E-2</v>
      </c>
    </row>
    <row r="432" spans="18:20" x14ac:dyDescent="0.25">
      <c r="R432">
        <v>1771.8464006171591</v>
      </c>
      <c r="S432" s="14">
        <f t="shared" si="26"/>
        <v>0.57202216705855058</v>
      </c>
      <c r="T432" s="9">
        <v>9.8717726053765512E-2</v>
      </c>
    </row>
    <row r="433" spans="18:20" x14ac:dyDescent="0.25">
      <c r="R433">
        <v>886.63332666759391</v>
      </c>
      <c r="S433" s="14">
        <f t="shared" si="26"/>
        <v>-0.12032376808416989</v>
      </c>
      <c r="T433" s="9">
        <v>9.888195478618686E-2</v>
      </c>
    </row>
    <row r="434" spans="18:20" x14ac:dyDescent="0.25">
      <c r="R434">
        <v>1060.811259266696</v>
      </c>
      <c r="S434" s="14">
        <f t="shared" si="26"/>
        <v>5.9033954332326673E-2</v>
      </c>
      <c r="T434" s="9">
        <v>0.10013041171426391</v>
      </c>
    </row>
    <row r="435" spans="18:20" x14ac:dyDescent="0.25">
      <c r="R435">
        <v>1051.7609004886599</v>
      </c>
      <c r="S435" s="14">
        <f t="shared" si="26"/>
        <v>5.0465807578983501E-2</v>
      </c>
      <c r="T435" s="9">
        <v>0.10084094246329997</v>
      </c>
    </row>
    <row r="436" spans="18:20" x14ac:dyDescent="0.25">
      <c r="R436">
        <v>1172.4740683157713</v>
      </c>
      <c r="S436" s="14">
        <f t="shared" si="26"/>
        <v>0.15911610451868716</v>
      </c>
      <c r="T436" s="9">
        <v>0.1012272239008036</v>
      </c>
    </row>
    <row r="437" spans="18:20" x14ac:dyDescent="0.25">
      <c r="R437">
        <v>824.22990822416955</v>
      </c>
      <c r="S437" s="14">
        <f t="shared" si="26"/>
        <v>-0.19330577315490843</v>
      </c>
      <c r="T437" s="9">
        <v>0.10149066206131582</v>
      </c>
    </row>
    <row r="438" spans="18:20" x14ac:dyDescent="0.25">
      <c r="R438">
        <v>917.86133584855008</v>
      </c>
      <c r="S438" s="14">
        <f t="shared" si="26"/>
        <v>-8.5708950044798685E-2</v>
      </c>
      <c r="T438" s="9">
        <v>0.1016029104153357</v>
      </c>
    </row>
    <row r="439" spans="18:20" x14ac:dyDescent="0.25">
      <c r="R439">
        <v>1295.3118093101712</v>
      </c>
      <c r="S439" s="14">
        <f t="shared" si="26"/>
        <v>0.25875144555888951</v>
      </c>
      <c r="T439" s="9">
        <v>0.10226744504464777</v>
      </c>
    </row>
    <row r="440" spans="18:20" x14ac:dyDescent="0.25">
      <c r="R440">
        <v>1673.2455097724164</v>
      </c>
      <c r="S440" s="14">
        <f t="shared" si="26"/>
        <v>0.51476515945843315</v>
      </c>
      <c r="T440" s="9">
        <v>0.10234414905563444</v>
      </c>
    </row>
    <row r="441" spans="18:20" x14ac:dyDescent="0.25">
      <c r="R441">
        <v>990.80987997991099</v>
      </c>
      <c r="S441" s="14">
        <f t="shared" si="26"/>
        <v>-9.2326096969172974E-3</v>
      </c>
      <c r="T441" s="9">
        <v>0.10259747457865424</v>
      </c>
    </row>
    <row r="442" spans="18:20" x14ac:dyDescent="0.25">
      <c r="R442">
        <v>693.72721492032565</v>
      </c>
      <c r="S442" s="14">
        <f t="shared" si="26"/>
        <v>-0.36567645781893687</v>
      </c>
      <c r="T442" s="9">
        <v>0.10355320863438688</v>
      </c>
    </row>
    <row r="443" spans="18:20" x14ac:dyDescent="0.25">
      <c r="R443">
        <v>1797.34405829872</v>
      </c>
      <c r="S443" s="14">
        <f t="shared" si="26"/>
        <v>0.58631005207842524</v>
      </c>
      <c r="T443" s="9">
        <v>0.10489995903215305</v>
      </c>
    </row>
    <row r="444" spans="18:20" x14ac:dyDescent="0.25">
      <c r="R444">
        <v>1546.7419197543172</v>
      </c>
      <c r="S444" s="14">
        <f t="shared" si="26"/>
        <v>0.43615073140000465</v>
      </c>
      <c r="T444" s="9">
        <v>0.10498491331870524</v>
      </c>
    </row>
    <row r="445" spans="18:20" x14ac:dyDescent="0.25">
      <c r="R445">
        <v>1515.4238983490791</v>
      </c>
      <c r="S445" s="14">
        <f t="shared" si="26"/>
        <v>0.41569520071484478</v>
      </c>
      <c r="T445" s="9">
        <v>0.10565538701452286</v>
      </c>
    </row>
    <row r="446" spans="18:20" x14ac:dyDescent="0.25">
      <c r="R446">
        <v>1210.0514291566849</v>
      </c>
      <c r="S446" s="14">
        <f t="shared" si="26"/>
        <v>0.19066286214068104</v>
      </c>
      <c r="T446" s="9">
        <v>0.10576677704397937</v>
      </c>
    </row>
    <row r="447" spans="18:20" x14ac:dyDescent="0.25">
      <c r="R447">
        <v>717.63650168688457</v>
      </c>
      <c r="S447" s="14">
        <f t="shared" si="26"/>
        <v>-0.33179210318938684</v>
      </c>
      <c r="T447" s="9">
        <v>0.10583648018602348</v>
      </c>
    </row>
    <row r="448" spans="18:20" x14ac:dyDescent="0.25">
      <c r="R448">
        <v>1033.6941369309209</v>
      </c>
      <c r="S448" s="14">
        <f t="shared" si="26"/>
        <v>3.3138926651016767E-2</v>
      </c>
      <c r="T448" s="9">
        <v>0.10670252422685408</v>
      </c>
    </row>
    <row r="449" spans="18:20" x14ac:dyDescent="0.25">
      <c r="R449">
        <v>1111.5626043572074</v>
      </c>
      <c r="S449" s="14">
        <f t="shared" si="26"/>
        <v>0.10576677704397937</v>
      </c>
      <c r="T449" s="9">
        <v>0.10708361225132657</v>
      </c>
    </row>
    <row r="450" spans="18:20" x14ac:dyDescent="0.25">
      <c r="R450">
        <v>2270.1744029657871</v>
      </c>
      <c r="S450" s="14">
        <f t="shared" si="26"/>
        <v>0.81985665804242303</v>
      </c>
      <c r="T450" s="9">
        <v>0.10919450351869514</v>
      </c>
    </row>
    <row r="451" spans="18:20" x14ac:dyDescent="0.25">
      <c r="R451">
        <v>1009.2456214323256</v>
      </c>
      <c r="S451" s="14">
        <f t="shared" si="26"/>
        <v>9.2031423043711074E-3</v>
      </c>
      <c r="T451" s="9">
        <v>0.11012654858642457</v>
      </c>
    </row>
    <row r="452" spans="18:20" x14ac:dyDescent="0.25">
      <c r="R452">
        <v>1031.5069838340282</v>
      </c>
      <c r="S452" s="14">
        <f t="shared" ref="S452:S515" si="27">+LN(R452/$B$2)</f>
        <v>3.1020824067595199E-2</v>
      </c>
      <c r="T452" s="9">
        <v>0.11020403891253583</v>
      </c>
    </row>
    <row r="453" spans="18:20" x14ac:dyDescent="0.25">
      <c r="R453">
        <v>1115.3792744380717</v>
      </c>
      <c r="S453" s="14">
        <f t="shared" si="27"/>
        <v>0.10919450351869514</v>
      </c>
      <c r="T453" s="9">
        <v>0.11058992057457834</v>
      </c>
    </row>
    <row r="454" spans="18:20" x14ac:dyDescent="0.25">
      <c r="R454">
        <v>1390.9623282298496</v>
      </c>
      <c r="S454" s="14">
        <f t="shared" si="27"/>
        <v>0.32999583006547362</v>
      </c>
      <c r="T454" s="9">
        <v>0.11114994339929697</v>
      </c>
    </row>
    <row r="455" spans="18:20" x14ac:dyDescent="0.25">
      <c r="R455">
        <v>1088.9514028101617</v>
      </c>
      <c r="S455" s="14">
        <f t="shared" si="27"/>
        <v>8.521521743639919E-2</v>
      </c>
      <c r="T455" s="9">
        <v>0.11226620325373669</v>
      </c>
    </row>
    <row r="456" spans="18:20" x14ac:dyDescent="0.25">
      <c r="R456">
        <v>1142.4867004253917</v>
      </c>
      <c r="S456" s="14">
        <f t="shared" si="27"/>
        <v>0.13320720295294708</v>
      </c>
      <c r="T456" s="9">
        <v>0.11244594634560462</v>
      </c>
    </row>
    <row r="457" spans="18:20" x14ac:dyDescent="0.25">
      <c r="R457">
        <v>825.71758415583326</v>
      </c>
      <c r="S457" s="14">
        <f t="shared" si="27"/>
        <v>-0.19150247172661256</v>
      </c>
      <c r="T457" s="9">
        <v>0.11412306295936611</v>
      </c>
    </row>
    <row r="458" spans="18:20" x14ac:dyDescent="0.25">
      <c r="R458">
        <v>671.41494242988006</v>
      </c>
      <c r="S458" s="14">
        <f t="shared" si="27"/>
        <v>-0.39836793905400714</v>
      </c>
      <c r="T458" s="9">
        <v>0.11419971654964871</v>
      </c>
    </row>
    <row r="459" spans="18:20" x14ac:dyDescent="0.25">
      <c r="R459">
        <v>1287.8837835989352</v>
      </c>
      <c r="S459" s="14">
        <f t="shared" si="27"/>
        <v>0.2530003934861289</v>
      </c>
      <c r="T459" s="9">
        <v>0.11567500873041311</v>
      </c>
    </row>
    <row r="460" spans="18:20" x14ac:dyDescent="0.25">
      <c r="R460">
        <v>858.33348928416501</v>
      </c>
      <c r="S460" s="14">
        <f t="shared" si="27"/>
        <v>-0.15276257286213743</v>
      </c>
      <c r="T460" s="9">
        <v>0.11701935017984551</v>
      </c>
    </row>
    <row r="461" spans="18:20" x14ac:dyDescent="0.25">
      <c r="R461">
        <v>1182.8194118734259</v>
      </c>
      <c r="S461" s="14">
        <f t="shared" si="27"/>
        <v>0.16790092065845746</v>
      </c>
      <c r="T461" s="9">
        <v>0.11747112037092258</v>
      </c>
    </row>
    <row r="462" spans="18:20" x14ac:dyDescent="0.25">
      <c r="R462">
        <v>1408.9333807320902</v>
      </c>
      <c r="S462" s="14">
        <f t="shared" si="27"/>
        <v>0.342832950558218</v>
      </c>
      <c r="T462" s="9">
        <v>0.11751107257787673</v>
      </c>
    </row>
    <row r="463" spans="18:20" x14ac:dyDescent="0.25">
      <c r="R463">
        <v>1000.7569422011984</v>
      </c>
      <c r="S463" s="14">
        <f t="shared" si="27"/>
        <v>7.5665586493462019E-4</v>
      </c>
      <c r="T463" s="9">
        <v>0.11785644789181593</v>
      </c>
    </row>
    <row r="464" spans="18:20" x14ac:dyDescent="0.25">
      <c r="R464">
        <v>1216.0448715429666</v>
      </c>
      <c r="S464" s="14">
        <f t="shared" si="27"/>
        <v>0.19560368380309195</v>
      </c>
      <c r="T464" s="9">
        <v>0.1179853430523011</v>
      </c>
    </row>
    <row r="465" spans="18:20" x14ac:dyDescent="0.25">
      <c r="R465">
        <v>1355.525370393387</v>
      </c>
      <c r="S465" s="14">
        <f t="shared" si="27"/>
        <v>0.30418910641247821</v>
      </c>
      <c r="T465" s="9">
        <v>0.11839556152710889</v>
      </c>
    </row>
    <row r="466" spans="18:20" x14ac:dyDescent="0.25">
      <c r="R466">
        <v>1434.68248433345</v>
      </c>
      <c r="S466" s="14">
        <f t="shared" si="27"/>
        <v>0.3609435594559553</v>
      </c>
      <c r="T466" s="9">
        <v>0.11938618375491422</v>
      </c>
    </row>
    <row r="467" spans="18:20" x14ac:dyDescent="0.25">
      <c r="R467">
        <v>1326.9116965925482</v>
      </c>
      <c r="S467" s="14">
        <f t="shared" si="27"/>
        <v>0.28285420949807566</v>
      </c>
      <c r="T467" s="9">
        <v>0.12069375396214468</v>
      </c>
    </row>
    <row r="468" spans="18:20" x14ac:dyDescent="0.25">
      <c r="R468">
        <v>1101.059729366955</v>
      </c>
      <c r="S468" s="14">
        <f t="shared" si="27"/>
        <v>9.6273106375285328E-2</v>
      </c>
      <c r="T468" s="9">
        <v>0.12075787076531758</v>
      </c>
    </row>
    <row r="469" spans="18:20" x14ac:dyDescent="0.25">
      <c r="R469">
        <v>997.73188316970732</v>
      </c>
      <c r="S469" s="14">
        <f t="shared" si="27"/>
        <v>-2.2706929032306903E-3</v>
      </c>
      <c r="T469" s="9">
        <v>0.12216943585649223</v>
      </c>
    </row>
    <row r="470" spans="18:20" x14ac:dyDescent="0.25">
      <c r="R470">
        <v>1171.0803580763188</v>
      </c>
      <c r="S470" s="14">
        <f t="shared" si="27"/>
        <v>0.1579267057250765</v>
      </c>
      <c r="T470" s="9">
        <v>0.1256133165895276</v>
      </c>
    </row>
    <row r="471" spans="18:20" x14ac:dyDescent="0.25">
      <c r="R471">
        <v>1082.740736301547</v>
      </c>
      <c r="S471" s="14">
        <f t="shared" si="27"/>
        <v>7.9495545362811976E-2</v>
      </c>
      <c r="T471" s="9">
        <v>0.12590105784009964</v>
      </c>
    </row>
    <row r="472" spans="18:20" x14ac:dyDescent="0.25">
      <c r="R472">
        <v>1037.7242292942638</v>
      </c>
      <c r="S472" s="14">
        <f t="shared" si="27"/>
        <v>3.7030074392131948E-2</v>
      </c>
      <c r="T472" s="9">
        <v>0.12660035684087173</v>
      </c>
    </row>
    <row r="473" spans="18:20" x14ac:dyDescent="0.25">
      <c r="R473">
        <v>877.89005969652339</v>
      </c>
      <c r="S473" s="14">
        <f t="shared" si="27"/>
        <v>-0.13023390993384826</v>
      </c>
      <c r="T473" s="9">
        <v>0.12684783205971761</v>
      </c>
    </row>
    <row r="474" spans="18:20" x14ac:dyDescent="0.25">
      <c r="R474">
        <v>872.17125396191932</v>
      </c>
      <c r="S474" s="14">
        <f t="shared" si="27"/>
        <v>-0.13676948219740842</v>
      </c>
      <c r="T474" s="9">
        <v>0.12702762238610613</v>
      </c>
    </row>
    <row r="475" spans="18:20" x14ac:dyDescent="0.25">
      <c r="R475">
        <v>1367.1809568015572</v>
      </c>
      <c r="S475" s="14">
        <f t="shared" si="27"/>
        <v>0.31275092411015487</v>
      </c>
      <c r="T475" s="9">
        <v>0.12767310472085308</v>
      </c>
    </row>
    <row r="476" spans="18:20" x14ac:dyDescent="0.25">
      <c r="R476">
        <v>848.20528547161734</v>
      </c>
      <c r="S476" s="14">
        <f t="shared" si="27"/>
        <v>-0.16463259056325782</v>
      </c>
      <c r="T476" s="9">
        <v>0.12918721804451125</v>
      </c>
    </row>
    <row r="477" spans="18:20" x14ac:dyDescent="0.25">
      <c r="R477">
        <v>1558.2858201546071</v>
      </c>
      <c r="S477" s="14">
        <f t="shared" si="27"/>
        <v>0.44358638386735993</v>
      </c>
      <c r="T477" s="9">
        <v>0.12927262543005955</v>
      </c>
    </row>
    <row r="478" spans="18:20" x14ac:dyDescent="0.25">
      <c r="R478">
        <v>1261.7099185924972</v>
      </c>
      <c r="S478" s="14">
        <f t="shared" si="27"/>
        <v>0.23246787921296047</v>
      </c>
      <c r="T478" s="9">
        <v>0.12963705360416206</v>
      </c>
    </row>
    <row r="479" spans="18:20" x14ac:dyDescent="0.25">
      <c r="R479">
        <v>1554.336939538478</v>
      </c>
      <c r="S479" s="14">
        <f t="shared" si="27"/>
        <v>0.44104904925305249</v>
      </c>
      <c r="T479" s="9">
        <v>0.13045367274741035</v>
      </c>
    </row>
    <row r="480" spans="18:20" x14ac:dyDescent="0.25">
      <c r="R480">
        <v>1349.3451319473027</v>
      </c>
      <c r="S480" s="14">
        <f t="shared" si="27"/>
        <v>0.29961938731091781</v>
      </c>
      <c r="T480" s="9">
        <v>0.13077218486559775</v>
      </c>
    </row>
    <row r="481" spans="18:20" x14ac:dyDescent="0.25">
      <c r="R481">
        <v>1096.2480502303142</v>
      </c>
      <c r="S481" s="14">
        <f t="shared" si="27"/>
        <v>9.1893486121432777E-2</v>
      </c>
      <c r="T481" s="9">
        <v>0.132931787589668</v>
      </c>
    </row>
    <row r="482" spans="18:20" x14ac:dyDescent="0.25">
      <c r="R482">
        <v>1037.4126684674195</v>
      </c>
      <c r="S482" s="14">
        <f t="shared" si="27"/>
        <v>3.6729794608642605E-2</v>
      </c>
      <c r="T482" s="9">
        <v>0.13320720295294708</v>
      </c>
    </row>
    <row r="483" spans="18:20" x14ac:dyDescent="0.25">
      <c r="R483">
        <v>1574.5923762372886</v>
      </c>
      <c r="S483" s="14">
        <f t="shared" si="27"/>
        <v>0.45399643004260581</v>
      </c>
      <c r="T483" s="9">
        <v>0.13322822968573259</v>
      </c>
    </row>
    <row r="484" spans="18:20" x14ac:dyDescent="0.25">
      <c r="R484">
        <v>1265.4346022556379</v>
      </c>
      <c r="S484" s="14">
        <f t="shared" si="27"/>
        <v>0.23541562227193696</v>
      </c>
      <c r="T484" s="9">
        <v>0.13416683906424776</v>
      </c>
    </row>
    <row r="485" spans="18:20" x14ac:dyDescent="0.25">
      <c r="R485">
        <v>925.90118157278857</v>
      </c>
      <c r="S485" s="14">
        <f t="shared" si="27"/>
        <v>-7.69877653946065E-2</v>
      </c>
      <c r="T485" s="9">
        <v>0.13435376805311486</v>
      </c>
    </row>
    <row r="486" spans="18:20" x14ac:dyDescent="0.25">
      <c r="R486">
        <v>1171.439637916126</v>
      </c>
      <c r="S486" s="14">
        <f t="shared" si="27"/>
        <v>0.15823345217184251</v>
      </c>
      <c r="T486" s="9">
        <v>0.13448448318355724</v>
      </c>
    </row>
    <row r="487" spans="18:20" x14ac:dyDescent="0.25">
      <c r="R487">
        <v>2076.6048032438102</v>
      </c>
      <c r="S487" s="14">
        <f t="shared" si="27"/>
        <v>0.73073425391729219</v>
      </c>
      <c r="T487" s="9">
        <v>0.13461895178806976</v>
      </c>
    </row>
    <row r="488" spans="18:20" x14ac:dyDescent="0.25">
      <c r="R488">
        <v>1252.8390810528144</v>
      </c>
      <c r="S488" s="14">
        <f t="shared" si="27"/>
        <v>0.22541224073337759</v>
      </c>
      <c r="T488" s="9">
        <v>0.13490436854703391</v>
      </c>
    </row>
    <row r="489" spans="18:20" x14ac:dyDescent="0.25">
      <c r="R489">
        <v>1075.1339686504971</v>
      </c>
      <c r="S489" s="14">
        <f t="shared" si="27"/>
        <v>7.2445275815412075E-2</v>
      </c>
      <c r="T489" s="9">
        <v>0.13545418022303923</v>
      </c>
    </row>
    <row r="490" spans="18:20" x14ac:dyDescent="0.25">
      <c r="R490">
        <v>1204.997312385744</v>
      </c>
      <c r="S490" s="14">
        <f t="shared" si="27"/>
        <v>0.18647733655485635</v>
      </c>
      <c r="T490" s="9">
        <v>0.13814053298086998</v>
      </c>
    </row>
    <row r="491" spans="18:20" x14ac:dyDescent="0.25">
      <c r="R491">
        <v>905.24187804693042</v>
      </c>
      <c r="S491" s="14">
        <f t="shared" si="27"/>
        <v>-9.9553102431945789E-2</v>
      </c>
      <c r="T491" s="9">
        <v>0.13957145809713772</v>
      </c>
    </row>
    <row r="492" spans="18:20" x14ac:dyDescent="0.25">
      <c r="R492">
        <v>947.51340926962121</v>
      </c>
      <c r="S492" s="14">
        <f t="shared" si="27"/>
        <v>-5.3914189862245478E-2</v>
      </c>
      <c r="T492" s="9">
        <v>0.13970515034658507</v>
      </c>
    </row>
    <row r="493" spans="18:20" x14ac:dyDescent="0.25">
      <c r="R493">
        <v>983.48057406807607</v>
      </c>
      <c r="S493" s="14">
        <f t="shared" si="27"/>
        <v>-1.6657393185331732E-2</v>
      </c>
      <c r="T493" s="9">
        <v>0.13972025386306622</v>
      </c>
    </row>
    <row r="494" spans="18:20" x14ac:dyDescent="0.25">
      <c r="R494">
        <v>608.68341645278576</v>
      </c>
      <c r="S494" s="14">
        <f t="shared" si="27"/>
        <v>-0.49645698805778171</v>
      </c>
      <c r="T494" s="9">
        <v>0.13994522022322539</v>
      </c>
    </row>
    <row r="495" spans="18:20" x14ac:dyDescent="0.25">
      <c r="R495">
        <v>1231.0662829018024</v>
      </c>
      <c r="S495" s="14">
        <f t="shared" si="27"/>
        <v>0.20788069051456093</v>
      </c>
      <c r="T495" s="9">
        <v>0.14017703972524639</v>
      </c>
    </row>
    <row r="496" spans="18:20" x14ac:dyDescent="0.25">
      <c r="R496">
        <v>1572.0463390932339</v>
      </c>
      <c r="S496" s="14">
        <f t="shared" si="27"/>
        <v>0.45237817136723124</v>
      </c>
      <c r="T496" s="9">
        <v>0.14066116099468712</v>
      </c>
    </row>
    <row r="497" spans="18:20" x14ac:dyDescent="0.25">
      <c r="R497">
        <v>1435.9629780065454</v>
      </c>
      <c r="S497" s="14">
        <f t="shared" si="27"/>
        <v>0.36183568896119894</v>
      </c>
      <c r="T497" s="9">
        <v>0.14108706114010436</v>
      </c>
    </row>
    <row r="498" spans="18:20" x14ac:dyDescent="0.25">
      <c r="R498">
        <v>1043.5316018209251</v>
      </c>
      <c r="S498" s="14">
        <f t="shared" si="27"/>
        <v>4.2610731524014317E-2</v>
      </c>
      <c r="T498" s="9">
        <v>0.14165681583387618</v>
      </c>
    </row>
    <row r="499" spans="18:20" x14ac:dyDescent="0.25">
      <c r="R499">
        <v>1699.3313971765456</v>
      </c>
      <c r="S499" s="14">
        <f t="shared" si="27"/>
        <v>0.5302348779225986</v>
      </c>
      <c r="T499" s="9">
        <v>0.14179983125978887</v>
      </c>
    </row>
    <row r="500" spans="18:20" x14ac:dyDescent="0.25">
      <c r="R500">
        <v>1163.2963492640697</v>
      </c>
      <c r="S500" s="14">
        <f t="shared" si="27"/>
        <v>0.15125765557731649</v>
      </c>
      <c r="T500" s="9">
        <v>0.14363404042877304</v>
      </c>
    </row>
    <row r="501" spans="18:20" x14ac:dyDescent="0.25">
      <c r="R501">
        <v>1189.9816572085178</v>
      </c>
      <c r="S501" s="14">
        <f t="shared" si="27"/>
        <v>0.17393789289415013</v>
      </c>
      <c r="T501" s="9">
        <v>0.14469885251328388</v>
      </c>
    </row>
    <row r="502" spans="18:20" x14ac:dyDescent="0.25">
      <c r="R502">
        <v>1420.2483590041234</v>
      </c>
      <c r="S502" s="14">
        <f t="shared" si="27"/>
        <v>0.35083175702695296</v>
      </c>
      <c r="T502" s="9">
        <v>0.14538151060592511</v>
      </c>
    </row>
    <row r="503" spans="18:20" x14ac:dyDescent="0.25">
      <c r="R503">
        <v>788.47287300455821</v>
      </c>
      <c r="S503" s="14">
        <f t="shared" si="27"/>
        <v>-0.23765727646246998</v>
      </c>
      <c r="T503" s="9">
        <v>0.14584528205059966</v>
      </c>
    </row>
    <row r="504" spans="18:20" x14ac:dyDescent="0.25">
      <c r="R504">
        <v>1107.7646422899361</v>
      </c>
      <c r="S504" s="14">
        <f t="shared" si="27"/>
        <v>0.10234414905563444</v>
      </c>
      <c r="T504" s="9">
        <v>0.14587734195258631</v>
      </c>
    </row>
    <row r="505" spans="18:20" x14ac:dyDescent="0.25">
      <c r="R505">
        <v>1037.6945777011354</v>
      </c>
      <c r="S505" s="14">
        <f t="shared" si="27"/>
        <v>3.700150031057263E-2</v>
      </c>
      <c r="T505" s="9">
        <v>0.14589162125893315</v>
      </c>
    </row>
    <row r="506" spans="18:20" x14ac:dyDescent="0.25">
      <c r="R506">
        <v>841.29147791398736</v>
      </c>
      <c r="S506" s="14">
        <f t="shared" si="27"/>
        <v>-0.17281709414030536</v>
      </c>
      <c r="T506" s="9">
        <v>0.14597187964676983</v>
      </c>
    </row>
    <row r="507" spans="18:20" x14ac:dyDescent="0.25">
      <c r="R507">
        <v>1776.9185019642384</v>
      </c>
      <c r="S507" s="14">
        <f t="shared" si="27"/>
        <v>0.57488068541073645</v>
      </c>
      <c r="T507" s="9">
        <v>0.14713230773198821</v>
      </c>
    </row>
    <row r="508" spans="18:20" x14ac:dyDescent="0.25">
      <c r="R508">
        <v>1051.665173071146</v>
      </c>
      <c r="S508" s="14">
        <f t="shared" si="27"/>
        <v>5.0374787106447438E-2</v>
      </c>
      <c r="T508" s="9">
        <v>0.14825844276098096</v>
      </c>
    </row>
    <row r="509" spans="18:20" x14ac:dyDescent="0.25">
      <c r="R509">
        <v>1004.6321661615419</v>
      </c>
      <c r="S509" s="14">
        <f t="shared" si="27"/>
        <v>4.6214706959321842E-3</v>
      </c>
      <c r="T509" s="9">
        <v>0.14943036454165265</v>
      </c>
    </row>
    <row r="510" spans="18:20" x14ac:dyDescent="0.25">
      <c r="R510">
        <v>822.81548292893774</v>
      </c>
      <c r="S510" s="14">
        <f t="shared" si="27"/>
        <v>-0.19502330401414494</v>
      </c>
      <c r="T510" s="9">
        <v>0.15100302713107888</v>
      </c>
    </row>
    <row r="511" spans="18:20" x14ac:dyDescent="0.25">
      <c r="R511">
        <v>837.20028965983386</v>
      </c>
      <c r="S511" s="14">
        <f t="shared" si="27"/>
        <v>-0.17769194242392863</v>
      </c>
      <c r="T511" s="9">
        <v>0.15125765557731649</v>
      </c>
    </row>
    <row r="512" spans="18:20" x14ac:dyDescent="0.25">
      <c r="R512">
        <v>1390.8171502545579</v>
      </c>
      <c r="S512" s="14">
        <f t="shared" si="27"/>
        <v>0.32989145229106959</v>
      </c>
      <c r="T512" s="9">
        <v>0.15306413006073114</v>
      </c>
    </row>
    <row r="513" spans="18:20" x14ac:dyDescent="0.25">
      <c r="R513">
        <v>396.63449048333882</v>
      </c>
      <c r="S513" s="14">
        <f t="shared" si="27"/>
        <v>-0.92474010126334472</v>
      </c>
      <c r="T513" s="9">
        <v>0.15491568414802923</v>
      </c>
    </row>
    <row r="514" spans="18:20" x14ac:dyDescent="0.25">
      <c r="R514">
        <v>860.63867804445169</v>
      </c>
      <c r="S514" s="14">
        <f t="shared" si="27"/>
        <v>-0.15008051647291798</v>
      </c>
      <c r="T514" s="9">
        <v>0.15592573898281736</v>
      </c>
    </row>
    <row r="515" spans="18:20" x14ac:dyDescent="0.25">
      <c r="R515">
        <v>1173.4557536717343</v>
      </c>
      <c r="S515" s="14">
        <f t="shared" si="27"/>
        <v>0.1599530310150073</v>
      </c>
      <c r="T515" s="9">
        <v>0.15690925489074103</v>
      </c>
    </row>
    <row r="516" spans="18:20" x14ac:dyDescent="0.25">
      <c r="R516">
        <v>1383.5953402503603</v>
      </c>
      <c r="S516" s="14">
        <f t="shared" ref="S516:S579" si="28">+LN(R516/$B$2)</f>
        <v>0.32468543023071295</v>
      </c>
      <c r="T516" s="9">
        <v>0.15778074253674626</v>
      </c>
    </row>
    <row r="517" spans="18:20" x14ac:dyDescent="0.25">
      <c r="R517">
        <v>1202.7881159674262</v>
      </c>
      <c r="S517" s="14">
        <f t="shared" si="28"/>
        <v>0.18464229177699645</v>
      </c>
      <c r="T517" s="9">
        <v>0.15784572468571045</v>
      </c>
    </row>
    <row r="518" spans="18:20" x14ac:dyDescent="0.25">
      <c r="R518">
        <v>1205.8563007990101</v>
      </c>
      <c r="S518" s="14">
        <f t="shared" si="28"/>
        <v>0.18718993763931702</v>
      </c>
      <c r="T518" s="9">
        <v>0.1579267057250765</v>
      </c>
    </row>
    <row r="519" spans="18:20" x14ac:dyDescent="0.25">
      <c r="R519">
        <v>994.30923192642285</v>
      </c>
      <c r="S519" s="14">
        <f t="shared" si="28"/>
        <v>-5.7070221891448751E-3</v>
      </c>
      <c r="T519" s="9">
        <v>0.15823345217184251</v>
      </c>
    </row>
    <row r="520" spans="18:20" x14ac:dyDescent="0.25">
      <c r="R520">
        <v>1097.8953935142267</v>
      </c>
      <c r="S520" s="14">
        <f t="shared" si="28"/>
        <v>9.3395068525389105E-2</v>
      </c>
      <c r="T520" s="9">
        <v>0.15881210118966416</v>
      </c>
    </row>
    <row r="521" spans="18:20" x14ac:dyDescent="0.25">
      <c r="R521">
        <v>1213.0557079968896</v>
      </c>
      <c r="S521" s="14">
        <f t="shared" si="28"/>
        <v>0.19314255470858374</v>
      </c>
      <c r="T521" s="9">
        <v>0.15904267142476611</v>
      </c>
    </row>
    <row r="522" spans="18:20" x14ac:dyDescent="0.25">
      <c r="R522">
        <v>600.10921032875376</v>
      </c>
      <c r="S522" s="14">
        <f t="shared" si="28"/>
        <v>-0.51064362311452449</v>
      </c>
      <c r="T522" s="9">
        <v>0.15911610451868716</v>
      </c>
    </row>
    <row r="523" spans="18:20" x14ac:dyDescent="0.25">
      <c r="R523">
        <v>912.79482557411609</v>
      </c>
      <c r="S523" s="14">
        <f t="shared" si="28"/>
        <v>-9.1244149190351606E-2</v>
      </c>
      <c r="T523" s="9">
        <v>0.1599530310150073</v>
      </c>
    </row>
    <row r="524" spans="18:20" x14ac:dyDescent="0.25">
      <c r="R524">
        <v>2083.0966393564272</v>
      </c>
      <c r="S524" s="14">
        <f t="shared" si="28"/>
        <v>0.73385555551682735</v>
      </c>
      <c r="T524" s="9">
        <v>0.16068025646969811</v>
      </c>
    </row>
    <row r="525" spans="18:20" x14ac:dyDescent="0.25">
      <c r="R525">
        <v>890.92440601006797</v>
      </c>
      <c r="S525" s="14">
        <f t="shared" si="28"/>
        <v>-0.11549569685013385</v>
      </c>
      <c r="T525" s="9">
        <v>0.16136298771463836</v>
      </c>
    </row>
    <row r="526" spans="18:20" x14ac:dyDescent="0.25">
      <c r="R526">
        <v>1350.1658028002948</v>
      </c>
      <c r="S526" s="14">
        <f t="shared" si="28"/>
        <v>0.30022740179806862</v>
      </c>
      <c r="T526" s="9">
        <v>0.16152786788398701</v>
      </c>
    </row>
    <row r="527" spans="18:20" x14ac:dyDescent="0.25">
      <c r="R527">
        <v>1322.469491501163</v>
      </c>
      <c r="S527" s="14">
        <f t="shared" si="28"/>
        <v>0.27950081567603402</v>
      </c>
      <c r="T527" s="9">
        <v>0.16230630947686481</v>
      </c>
    </row>
    <row r="528" spans="18:20" x14ac:dyDescent="0.25">
      <c r="R528">
        <v>1107.6796755573296</v>
      </c>
      <c r="S528" s="14">
        <f t="shared" si="28"/>
        <v>0.10226744504464777</v>
      </c>
      <c r="T528" s="9">
        <v>0.16362455723673919</v>
      </c>
    </row>
    <row r="529" spans="18:20" x14ac:dyDescent="0.25">
      <c r="R529">
        <v>1494.8666955873105</v>
      </c>
      <c r="S529" s="14">
        <f t="shared" si="28"/>
        <v>0.40203703603582103</v>
      </c>
      <c r="T529" s="9">
        <v>0.16502978443550895</v>
      </c>
    </row>
    <row r="530" spans="18:20" x14ac:dyDescent="0.25">
      <c r="R530">
        <v>687.75131924217908</v>
      </c>
      <c r="S530" s="14">
        <f t="shared" si="28"/>
        <v>-0.37432796097910526</v>
      </c>
      <c r="T530" s="9">
        <v>0.166688286971892</v>
      </c>
    </row>
    <row r="531" spans="18:20" x14ac:dyDescent="0.25">
      <c r="R531">
        <v>619.47117571101535</v>
      </c>
      <c r="S531" s="14">
        <f t="shared" si="28"/>
        <v>-0.47888910730693207</v>
      </c>
      <c r="T531" s="9">
        <v>0.1676303541902274</v>
      </c>
    </row>
    <row r="532" spans="18:20" x14ac:dyDescent="0.25">
      <c r="R532">
        <v>1279.4002881610613</v>
      </c>
      <c r="S532" s="14">
        <f t="shared" si="28"/>
        <v>0.24639144326528123</v>
      </c>
      <c r="T532" s="9">
        <v>0.16790092065845746</v>
      </c>
    </row>
    <row r="533" spans="18:20" x14ac:dyDescent="0.25">
      <c r="R533">
        <v>1504.2279997030214</v>
      </c>
      <c r="S533" s="14">
        <f t="shared" si="28"/>
        <v>0.40827980958542598</v>
      </c>
      <c r="T533" s="9">
        <v>0.16860949055211311</v>
      </c>
    </row>
    <row r="534" spans="18:20" x14ac:dyDescent="0.25">
      <c r="R534">
        <v>1674.324784483606</v>
      </c>
      <c r="S534" s="14">
        <f t="shared" si="28"/>
        <v>0.51540997026371282</v>
      </c>
      <c r="T534" s="9">
        <v>0.16990986020200308</v>
      </c>
    </row>
    <row r="535" spans="18:20" x14ac:dyDescent="0.25">
      <c r="R535">
        <v>1139.7081089784433</v>
      </c>
      <c r="S535" s="14">
        <f t="shared" si="28"/>
        <v>0.13077218486559775</v>
      </c>
      <c r="T535" s="9">
        <v>0.17033622932650808</v>
      </c>
    </row>
    <row r="536" spans="18:20" x14ac:dyDescent="0.25">
      <c r="R536">
        <v>1120.9759799845865</v>
      </c>
      <c r="S536" s="14">
        <f t="shared" si="28"/>
        <v>0.11419971654964871</v>
      </c>
      <c r="T536" s="9">
        <v>0.17074463500752471</v>
      </c>
    </row>
    <row r="537" spans="18:20" x14ac:dyDescent="0.25">
      <c r="R537">
        <v>1834.4636798483573</v>
      </c>
      <c r="S537" s="14">
        <f t="shared" si="28"/>
        <v>0.60675216622438111</v>
      </c>
      <c r="T537" s="9">
        <v>0.17170951121928674</v>
      </c>
    </row>
    <row r="538" spans="18:20" x14ac:dyDescent="0.25">
      <c r="R538">
        <v>851.14001536770195</v>
      </c>
      <c r="S538" s="14">
        <f t="shared" si="28"/>
        <v>-0.16117863354557471</v>
      </c>
      <c r="T538" s="9">
        <v>0.17236709661443397</v>
      </c>
    </row>
    <row r="539" spans="18:20" x14ac:dyDescent="0.25">
      <c r="R539">
        <v>1441.4189199860707</v>
      </c>
      <c r="S539" s="14">
        <f t="shared" si="28"/>
        <v>0.36562798953976933</v>
      </c>
      <c r="T539" s="9">
        <v>0.17393789289415013</v>
      </c>
    </row>
    <row r="540" spans="18:20" x14ac:dyDescent="0.25">
      <c r="R540">
        <v>2010.6902434861674</v>
      </c>
      <c r="S540" s="14">
        <f t="shared" si="28"/>
        <v>0.69847806784056543</v>
      </c>
      <c r="T540" s="9">
        <v>0.17456017615710506</v>
      </c>
    </row>
    <row r="541" spans="18:20" x14ac:dyDescent="0.25">
      <c r="R541">
        <v>1526.7093281683813</v>
      </c>
      <c r="S541" s="14">
        <f t="shared" si="28"/>
        <v>0.42311465328264847</v>
      </c>
      <c r="T541" s="9">
        <v>0.17509720141469962</v>
      </c>
    </row>
    <row r="542" spans="18:20" x14ac:dyDescent="0.25">
      <c r="R542">
        <v>1175.1114424237792</v>
      </c>
      <c r="S542" s="14">
        <f t="shared" si="28"/>
        <v>0.16136298771463836</v>
      </c>
      <c r="T542" s="9">
        <v>0.17771883562856139</v>
      </c>
    </row>
    <row r="543" spans="18:20" x14ac:dyDescent="0.25">
      <c r="R543">
        <v>1155.691484272133</v>
      </c>
      <c r="S543" s="14">
        <f t="shared" si="28"/>
        <v>0.14469885251328388</v>
      </c>
      <c r="T543" s="9">
        <v>0.17851848191410988</v>
      </c>
    </row>
    <row r="544" spans="18:20" x14ac:dyDescent="0.25">
      <c r="R544">
        <v>1150.4774610421518</v>
      </c>
      <c r="S544" s="14">
        <f t="shared" si="28"/>
        <v>0.14017703972524639</v>
      </c>
      <c r="T544" s="9">
        <v>0.17854070560467872</v>
      </c>
    </row>
    <row r="545" spans="18:20" x14ac:dyDescent="0.25">
      <c r="R545">
        <v>893.35563206969448</v>
      </c>
      <c r="S545" s="14">
        <f t="shared" si="28"/>
        <v>-0.11277053318482569</v>
      </c>
      <c r="T545" s="9">
        <v>0.17921586988045204</v>
      </c>
    </row>
    <row r="546" spans="18:20" x14ac:dyDescent="0.25">
      <c r="R546">
        <v>1300.5301514187879</v>
      </c>
      <c r="S546" s="14">
        <f t="shared" si="28"/>
        <v>0.26277199011977243</v>
      </c>
      <c r="T546" s="9">
        <v>0.17930357462599519</v>
      </c>
    </row>
    <row r="547" spans="18:20" x14ac:dyDescent="0.25">
      <c r="R547">
        <v>1057.6809360088603</v>
      </c>
      <c r="S547" s="14">
        <f t="shared" si="28"/>
        <v>5.6078715183442006E-2</v>
      </c>
      <c r="T547" s="9">
        <v>0.17987170228957544</v>
      </c>
    </row>
    <row r="548" spans="18:20" x14ac:dyDescent="0.25">
      <c r="R548">
        <v>836.94476936562296</v>
      </c>
      <c r="S548" s="14">
        <f t="shared" si="28"/>
        <v>-0.17799719709086137</v>
      </c>
      <c r="T548" s="9">
        <v>0.18166680823105547</v>
      </c>
    </row>
    <row r="549" spans="18:20" x14ac:dyDescent="0.25">
      <c r="R549">
        <v>1085.2955623025641</v>
      </c>
      <c r="S549" s="14">
        <f t="shared" si="28"/>
        <v>8.1852357548328009E-2</v>
      </c>
      <c r="T549" s="9">
        <v>0.1820210736630119</v>
      </c>
    </row>
    <row r="550" spans="18:20" x14ac:dyDescent="0.25">
      <c r="R550">
        <v>803.87535208683414</v>
      </c>
      <c r="S550" s="14">
        <f t="shared" si="28"/>
        <v>-0.21831105654016281</v>
      </c>
      <c r="T550" s="9">
        <v>0.18220022337051003</v>
      </c>
    </row>
    <row r="551" spans="18:20" x14ac:dyDescent="0.25">
      <c r="R551">
        <v>1528.197969795581</v>
      </c>
      <c r="S551" s="14">
        <f t="shared" si="28"/>
        <v>0.42408924373651996</v>
      </c>
      <c r="T551" s="9">
        <v>0.18298892760715432</v>
      </c>
    </row>
    <row r="552" spans="18:20" x14ac:dyDescent="0.25">
      <c r="R552">
        <v>2957.2042486487176</v>
      </c>
      <c r="S552" s="14">
        <f t="shared" si="28"/>
        <v>1.0842443114131255</v>
      </c>
      <c r="T552" s="9">
        <v>0.18446994810122452</v>
      </c>
    </row>
    <row r="553" spans="18:20" x14ac:dyDescent="0.25">
      <c r="R553">
        <v>2316.8222495561981</v>
      </c>
      <c r="S553" s="14">
        <f t="shared" si="28"/>
        <v>0.84019652673540013</v>
      </c>
      <c r="T553" s="9">
        <v>0.18464229177699645</v>
      </c>
    </row>
    <row r="554" spans="18:20" x14ac:dyDescent="0.25">
      <c r="R554">
        <v>1720.7817580653411</v>
      </c>
      <c r="S554" s="14">
        <f t="shared" si="28"/>
        <v>0.54277869806985513</v>
      </c>
      <c r="T554" s="9">
        <v>0.18578704633415963</v>
      </c>
    </row>
    <row r="555" spans="18:20" x14ac:dyDescent="0.25">
      <c r="R555">
        <v>905.99408948970654</v>
      </c>
      <c r="S555" s="14">
        <f t="shared" si="28"/>
        <v>-9.8722496702483231E-2</v>
      </c>
      <c r="T555" s="9">
        <v>0.18647733655485635</v>
      </c>
    </row>
    <row r="556" spans="18:20" x14ac:dyDescent="0.25">
      <c r="R556">
        <v>1152.1811703457911</v>
      </c>
      <c r="S556" s="14">
        <f t="shared" si="28"/>
        <v>0.14165681583387618</v>
      </c>
      <c r="T556" s="9">
        <v>0.18718993763931702</v>
      </c>
    </row>
    <row r="557" spans="18:20" x14ac:dyDescent="0.25">
      <c r="R557">
        <v>918.47549807597147</v>
      </c>
      <c r="S557" s="14">
        <f t="shared" si="28"/>
        <v>-8.5040050702396244E-2</v>
      </c>
      <c r="T557" s="9">
        <v>0.18870350676131042</v>
      </c>
    </row>
    <row r="558" spans="18:20" x14ac:dyDescent="0.25">
      <c r="R558">
        <v>1170.9094359279372</v>
      </c>
      <c r="S558" s="14">
        <f t="shared" si="28"/>
        <v>0.15778074253674626</v>
      </c>
      <c r="T558" s="9">
        <v>0.19064260872154679</v>
      </c>
    </row>
    <row r="559" spans="18:20" x14ac:dyDescent="0.25">
      <c r="R559">
        <v>1541.7876678199489</v>
      </c>
      <c r="S559" s="14">
        <f t="shared" si="28"/>
        <v>0.43294256645087842</v>
      </c>
      <c r="T559" s="9">
        <v>0.19066286214068104</v>
      </c>
    </row>
    <row r="560" spans="18:20" x14ac:dyDescent="0.25">
      <c r="R560">
        <v>1445.0325087396875</v>
      </c>
      <c r="S560" s="14">
        <f t="shared" si="28"/>
        <v>0.36813181870904049</v>
      </c>
      <c r="T560" s="9">
        <v>0.19101206001945456</v>
      </c>
    </row>
    <row r="561" spans="18:20" x14ac:dyDescent="0.25">
      <c r="R561">
        <v>1759.7519570089135</v>
      </c>
      <c r="S561" s="14">
        <f t="shared" si="28"/>
        <v>0.5651728656003363</v>
      </c>
      <c r="T561" s="9">
        <v>0.19171858396850394</v>
      </c>
    </row>
    <row r="562" spans="18:20" x14ac:dyDescent="0.25">
      <c r="R562">
        <v>968.03245537618909</v>
      </c>
      <c r="S562" s="14">
        <f t="shared" si="28"/>
        <v>-3.2489663986433215E-2</v>
      </c>
      <c r="T562" s="9">
        <v>0.19313525563645484</v>
      </c>
    </row>
    <row r="563" spans="18:20" x14ac:dyDescent="0.25">
      <c r="R563">
        <v>897.78634914386112</v>
      </c>
      <c r="S563" s="14">
        <f t="shared" si="28"/>
        <v>-0.10782315753508398</v>
      </c>
      <c r="T563" s="9">
        <v>0.19314255470858374</v>
      </c>
    </row>
    <row r="564" spans="18:20" x14ac:dyDescent="0.25">
      <c r="R564">
        <v>871.58099274053347</v>
      </c>
      <c r="S564" s="14">
        <f t="shared" si="28"/>
        <v>-0.13744648346871474</v>
      </c>
      <c r="T564" s="9">
        <v>0.19560368380309195</v>
      </c>
    </row>
    <row r="565" spans="18:20" x14ac:dyDescent="0.25">
      <c r="R565">
        <v>733.305791861785</v>
      </c>
      <c r="S565" s="14">
        <f t="shared" si="28"/>
        <v>-0.31019248556121581</v>
      </c>
      <c r="T565" s="9">
        <v>0.19563362462042538</v>
      </c>
    </row>
    <row r="566" spans="18:20" x14ac:dyDescent="0.25">
      <c r="R566">
        <v>1161.1726092097501</v>
      </c>
      <c r="S566" s="14">
        <f t="shared" si="28"/>
        <v>0.14943036454165265</v>
      </c>
      <c r="T566" s="9">
        <v>0.19592574705203702</v>
      </c>
    </row>
    <row r="567" spans="18:20" x14ac:dyDescent="0.25">
      <c r="R567">
        <v>870.54699698679156</v>
      </c>
      <c r="S567" s="14">
        <f t="shared" si="28"/>
        <v>-0.13863353273404388</v>
      </c>
      <c r="T567" s="9">
        <v>0.19666440703705038</v>
      </c>
    </row>
    <row r="568" spans="18:20" x14ac:dyDescent="0.25">
      <c r="R568">
        <v>902.73394176830277</v>
      </c>
      <c r="S568" s="14">
        <f t="shared" si="28"/>
        <v>-0.10232740710983365</v>
      </c>
      <c r="T568" s="9">
        <v>0.19700610094460241</v>
      </c>
    </row>
    <row r="569" spans="18:20" x14ac:dyDescent="0.25">
      <c r="R569">
        <v>1037.070126577137</v>
      </c>
      <c r="S569" s="14">
        <f t="shared" si="28"/>
        <v>3.6399551432643368E-2</v>
      </c>
      <c r="T569" s="9">
        <v>0.19896193595852479</v>
      </c>
    </row>
    <row r="570" spans="18:20" x14ac:dyDescent="0.25">
      <c r="R570">
        <v>1124.1411818141223</v>
      </c>
      <c r="S570" s="14">
        <f t="shared" si="28"/>
        <v>0.11701935017984551</v>
      </c>
      <c r="T570" s="9">
        <v>0.19982593991047887</v>
      </c>
    </row>
    <row r="571" spans="18:20" x14ac:dyDescent="0.25">
      <c r="R571">
        <v>879.9482872839526</v>
      </c>
      <c r="S571" s="14">
        <f t="shared" si="28"/>
        <v>-0.12789213768663674</v>
      </c>
      <c r="T571" s="9">
        <v>0.20099011031864555</v>
      </c>
    </row>
    <row r="572" spans="18:20" x14ac:dyDescent="0.25">
      <c r="R572">
        <v>947.04927700592975</v>
      </c>
      <c r="S572" s="14">
        <f t="shared" si="28"/>
        <v>-5.440415229667827E-2</v>
      </c>
      <c r="T572" s="9">
        <v>0.20126374881435122</v>
      </c>
    </row>
    <row r="573" spans="18:20" x14ac:dyDescent="0.25">
      <c r="R573">
        <v>638.5431679304138</v>
      </c>
      <c r="S573" s="14">
        <f t="shared" si="28"/>
        <v>-0.44856599744654652</v>
      </c>
      <c r="T573" s="9">
        <v>0.2053657358558387</v>
      </c>
    </row>
    <row r="574" spans="18:20" x14ac:dyDescent="0.25">
      <c r="R574">
        <v>900.92486993933608</v>
      </c>
      <c r="S574" s="14">
        <f t="shared" si="28"/>
        <v>-0.1043334100455033</v>
      </c>
      <c r="T574" s="9">
        <v>0.20613357905404384</v>
      </c>
    </row>
    <row r="575" spans="18:20" x14ac:dyDescent="0.25">
      <c r="R575">
        <v>923.39635859506814</v>
      </c>
      <c r="S575" s="14">
        <f t="shared" si="28"/>
        <v>-7.9696712392150523E-2</v>
      </c>
      <c r="T575" s="9">
        <v>0.20788069051456093</v>
      </c>
    </row>
    <row r="576" spans="18:20" x14ac:dyDescent="0.25">
      <c r="R576">
        <v>1576.3451760388737</v>
      </c>
      <c r="S576" s="14">
        <f t="shared" si="28"/>
        <v>0.45510898778347114</v>
      </c>
      <c r="T576" s="9">
        <v>0.20873086199564819</v>
      </c>
    </row>
    <row r="577" spans="18:20" x14ac:dyDescent="0.25">
      <c r="R577">
        <v>2318.6170011914551</v>
      </c>
      <c r="S577" s="14">
        <f t="shared" si="28"/>
        <v>0.84097088775184559</v>
      </c>
      <c r="T577" s="9">
        <v>0.20991990989475259</v>
      </c>
    </row>
    <row r="578" spans="18:20" x14ac:dyDescent="0.25">
      <c r="R578">
        <v>1470.9280273580496</v>
      </c>
      <c r="S578" s="14">
        <f t="shared" si="28"/>
        <v>0.38589351272553052</v>
      </c>
      <c r="T578" s="9">
        <v>0.21035602357780045</v>
      </c>
    </row>
    <row r="579" spans="18:20" x14ac:dyDescent="0.25">
      <c r="R579">
        <v>1017.2047071731516</v>
      </c>
      <c r="S579" s="14">
        <f t="shared" si="28"/>
        <v>1.7058382133916604E-2</v>
      </c>
      <c r="T579" s="9">
        <v>0.21105631074536446</v>
      </c>
    </row>
    <row r="580" spans="18:20" x14ac:dyDescent="0.25">
      <c r="R580">
        <v>1009.9933066016163</v>
      </c>
      <c r="S580" s="14">
        <f t="shared" ref="S580:S643" si="29">+LN(R580/$B$2)</f>
        <v>9.9437037040959412E-3</v>
      </c>
      <c r="T580" s="9">
        <v>0.21130868792245036</v>
      </c>
    </row>
    <row r="581" spans="18:20" x14ac:dyDescent="0.25">
      <c r="R581">
        <v>2512.4137450940611</v>
      </c>
      <c r="S581" s="14">
        <f t="shared" si="29"/>
        <v>0.92124394248507413</v>
      </c>
      <c r="T581" s="9">
        <v>0.21161816907402539</v>
      </c>
    </row>
    <row r="582" spans="18:20" x14ac:dyDescent="0.25">
      <c r="R582">
        <v>2366.6242791913078</v>
      </c>
      <c r="S582" s="14">
        <f t="shared" si="29"/>
        <v>0.86146458501791456</v>
      </c>
      <c r="T582" s="9">
        <v>0.21173406054442226</v>
      </c>
    </row>
    <row r="583" spans="18:20" x14ac:dyDescent="0.25">
      <c r="R583">
        <v>1068.0078906503793</v>
      </c>
      <c r="S583" s="14">
        <f t="shared" si="29"/>
        <v>6.579512876012901E-2</v>
      </c>
      <c r="T583" s="9">
        <v>0.21195147438569825</v>
      </c>
    </row>
    <row r="584" spans="18:20" x14ac:dyDescent="0.25">
      <c r="R584">
        <v>1243.9307037379983</v>
      </c>
      <c r="S584" s="14">
        <f t="shared" si="29"/>
        <v>0.2182762883747639</v>
      </c>
      <c r="T584" s="9">
        <v>0.21270539282662118</v>
      </c>
    </row>
    <row r="585" spans="18:20" x14ac:dyDescent="0.25">
      <c r="R585">
        <v>1251.3992493762787</v>
      </c>
      <c r="S585" s="14">
        <f t="shared" si="29"/>
        <v>0.22426232475477553</v>
      </c>
      <c r="T585" s="9">
        <v>0.21315424190697871</v>
      </c>
    </row>
    <row r="586" spans="18:20" x14ac:dyDescent="0.25">
      <c r="R586">
        <v>778.97444402519284</v>
      </c>
      <c r="S586" s="14">
        <f t="shared" si="29"/>
        <v>-0.2497770397789274</v>
      </c>
      <c r="T586" s="9">
        <v>0.2133235114281587</v>
      </c>
    </row>
    <row r="587" spans="18:20" x14ac:dyDescent="0.25">
      <c r="R587">
        <v>1210.0269217260966</v>
      </c>
      <c r="S587" s="14">
        <f t="shared" si="29"/>
        <v>0.19064260872154679</v>
      </c>
      <c r="T587" s="9">
        <v>0.21442473473862408</v>
      </c>
    </row>
    <row r="588" spans="18:20" x14ac:dyDescent="0.25">
      <c r="R588">
        <v>2067.792609789517</v>
      </c>
      <c r="S588" s="14">
        <f t="shared" si="29"/>
        <v>0.726481666215678</v>
      </c>
      <c r="T588" s="9">
        <v>0.21722388249784103</v>
      </c>
    </row>
    <row r="589" spans="18:20" x14ac:dyDescent="0.25">
      <c r="R589">
        <v>1482.3599448899695</v>
      </c>
      <c r="S589" s="14">
        <f t="shared" si="29"/>
        <v>0.39363537517736047</v>
      </c>
      <c r="T589" s="9">
        <v>0.21760644080283748</v>
      </c>
    </row>
    <row r="590" spans="18:20" x14ac:dyDescent="0.25">
      <c r="R590">
        <v>589.24921344054951</v>
      </c>
      <c r="S590" s="14">
        <f t="shared" si="29"/>
        <v>-0.52890607201523976</v>
      </c>
      <c r="T590" s="9">
        <v>0.2179563337729428</v>
      </c>
    </row>
    <row r="591" spans="18:20" x14ac:dyDescent="0.25">
      <c r="R591">
        <v>1808.0347870456592</v>
      </c>
      <c r="S591" s="14">
        <f t="shared" si="29"/>
        <v>0.59224050240748549</v>
      </c>
      <c r="T591" s="9">
        <v>0.2182762883747639</v>
      </c>
    </row>
    <row r="592" spans="18:20" x14ac:dyDescent="0.25">
      <c r="R592">
        <v>1515.5423697695999</v>
      </c>
      <c r="S592" s="14">
        <f t="shared" si="29"/>
        <v>0.41577337474259768</v>
      </c>
      <c r="T592" s="9">
        <v>0.21874098501664335</v>
      </c>
    </row>
    <row r="593" spans="18:20" x14ac:dyDescent="0.25">
      <c r="R593">
        <v>1151.524896691162</v>
      </c>
      <c r="S593" s="14">
        <f t="shared" si="29"/>
        <v>0.14108706114010436</v>
      </c>
      <c r="T593" s="9">
        <v>0.22153312632136515</v>
      </c>
    </row>
    <row r="594" spans="18:20" x14ac:dyDescent="0.25">
      <c r="R594">
        <v>712.92928479526711</v>
      </c>
      <c r="S594" s="14">
        <f t="shared" si="29"/>
        <v>-0.33837304329676832</v>
      </c>
      <c r="T594" s="9">
        <v>0.222489861712694</v>
      </c>
    </row>
    <row r="595" spans="18:20" x14ac:dyDescent="0.25">
      <c r="R595">
        <v>1361.5136357833505</v>
      </c>
      <c r="S595" s="14">
        <f t="shared" si="29"/>
        <v>0.30859704834656382</v>
      </c>
      <c r="T595" s="9">
        <v>0.22251658610631919</v>
      </c>
    </row>
    <row r="596" spans="18:20" x14ac:dyDescent="0.25">
      <c r="R596">
        <v>1511.2189032832569</v>
      </c>
      <c r="S596" s="14">
        <f t="shared" si="29"/>
        <v>0.41291654591680199</v>
      </c>
      <c r="T596" s="9">
        <v>0.22391118634366405</v>
      </c>
    </row>
    <row r="597" spans="18:20" x14ac:dyDescent="0.25">
      <c r="R597">
        <v>1843.5678722313003</v>
      </c>
      <c r="S597" s="14">
        <f t="shared" si="29"/>
        <v>0.61170275506412797</v>
      </c>
      <c r="T597" s="9">
        <v>0.22426232475477553</v>
      </c>
    </row>
    <row r="598" spans="18:20" x14ac:dyDescent="0.25">
      <c r="R598">
        <v>1813.0630865045557</v>
      </c>
      <c r="S598" s="14">
        <f t="shared" si="29"/>
        <v>0.59501772791555929</v>
      </c>
      <c r="T598" s="9">
        <v>0.22541224073337759</v>
      </c>
    </row>
    <row r="599" spans="18:20" x14ac:dyDescent="0.25">
      <c r="R599">
        <v>1739.8651344901191</v>
      </c>
      <c r="S599" s="14">
        <f t="shared" si="29"/>
        <v>0.55380760130874185</v>
      </c>
      <c r="T599" s="9">
        <v>0.22575444796667696</v>
      </c>
    </row>
    <row r="600" spans="18:20" x14ac:dyDescent="0.25">
      <c r="R600">
        <v>1056.3562613615848</v>
      </c>
      <c r="S600" s="14">
        <f t="shared" si="29"/>
        <v>5.482549710166338E-2</v>
      </c>
      <c r="T600" s="9">
        <v>0.22594452056511266</v>
      </c>
    </row>
    <row r="601" spans="18:20" x14ac:dyDescent="0.25">
      <c r="R601">
        <v>870.69323446235603</v>
      </c>
      <c r="S601" s="14">
        <f t="shared" si="29"/>
        <v>-0.13846556340589836</v>
      </c>
      <c r="T601" s="9">
        <v>0.22696171688181768</v>
      </c>
    </row>
    <row r="602" spans="18:20" x14ac:dyDescent="0.25">
      <c r="R602">
        <v>1266.2619576177319</v>
      </c>
      <c r="S602" s="14">
        <f t="shared" si="29"/>
        <v>0.23606921986705212</v>
      </c>
      <c r="T602" s="9">
        <v>0.22702292256494677</v>
      </c>
    </row>
    <row r="603" spans="18:20" x14ac:dyDescent="0.25">
      <c r="R603">
        <v>696.70596981642962</v>
      </c>
      <c r="S603" s="14">
        <f t="shared" si="29"/>
        <v>-0.36139180827826856</v>
      </c>
      <c r="T603" s="9">
        <v>0.22736573975273514</v>
      </c>
    </row>
    <row r="604" spans="18:20" x14ac:dyDescent="0.25">
      <c r="R604">
        <v>1829.8977290743019</v>
      </c>
      <c r="S604" s="14">
        <f t="shared" si="29"/>
        <v>0.60426007953991523</v>
      </c>
      <c r="T604" s="9">
        <v>0.22761309864360307</v>
      </c>
    </row>
    <row r="605" spans="18:20" x14ac:dyDescent="0.25">
      <c r="R605">
        <v>1632.1310862894691</v>
      </c>
      <c r="S605" s="14">
        <f t="shared" si="29"/>
        <v>0.48988657579752987</v>
      </c>
      <c r="T605" s="9">
        <v>0.22811882157327268</v>
      </c>
    </row>
    <row r="606" spans="18:20" x14ac:dyDescent="0.25">
      <c r="R606">
        <v>1450.5593963038784</v>
      </c>
      <c r="S606" s="14">
        <f t="shared" si="29"/>
        <v>0.3719492725888402</v>
      </c>
      <c r="T606" s="9">
        <v>0.22905342701918308</v>
      </c>
    </row>
    <row r="607" spans="18:20" x14ac:dyDescent="0.25">
      <c r="R607">
        <v>1046.2793306085207</v>
      </c>
      <c r="S607" s="14">
        <f t="shared" si="29"/>
        <v>4.5240376463030252E-2</v>
      </c>
      <c r="T607" s="9">
        <v>0.22971129574308027</v>
      </c>
    </row>
    <row r="608" spans="18:20" x14ac:dyDescent="0.25">
      <c r="R608">
        <v>1348.6057407663054</v>
      </c>
      <c r="S608" s="14">
        <f t="shared" si="29"/>
        <v>0.29907127414326423</v>
      </c>
      <c r="T608" s="9">
        <v>0.2305118180793157</v>
      </c>
    </row>
    <row r="609" spans="18:20" x14ac:dyDescent="0.25">
      <c r="R609">
        <v>584.69341293677871</v>
      </c>
      <c r="S609" s="14">
        <f t="shared" si="29"/>
        <v>-0.53666764957839075</v>
      </c>
      <c r="T609" s="9">
        <v>0.23246787921296047</v>
      </c>
    </row>
    <row r="610" spans="18:20" x14ac:dyDescent="0.25">
      <c r="R610">
        <v>1101.7551874685551</v>
      </c>
      <c r="S610" s="14">
        <f t="shared" si="29"/>
        <v>9.6904533118759115E-2</v>
      </c>
      <c r="T610" s="9">
        <v>0.23351201579612668</v>
      </c>
    </row>
    <row r="611" spans="18:20" x14ac:dyDescent="0.25">
      <c r="R611">
        <v>1213.0468538480941</v>
      </c>
      <c r="S611" s="14">
        <f t="shared" si="29"/>
        <v>0.19313525563645484</v>
      </c>
      <c r="T611" s="9">
        <v>0.23368824846141756</v>
      </c>
    </row>
    <row r="612" spans="18:20" x14ac:dyDescent="0.25">
      <c r="R612">
        <v>1800.1140331736572</v>
      </c>
      <c r="S612" s="14">
        <f t="shared" si="29"/>
        <v>0.58785001465862363</v>
      </c>
      <c r="T612" s="9">
        <v>0.23521267914707653</v>
      </c>
    </row>
    <row r="613" spans="18:20" x14ac:dyDescent="0.25">
      <c r="R613">
        <v>1365.8151460857025</v>
      </c>
      <c r="S613" s="14">
        <f t="shared" si="29"/>
        <v>0.31175142701748437</v>
      </c>
      <c r="T613" s="9">
        <v>0.23541562227193696</v>
      </c>
    </row>
    <row r="614" spans="18:20" x14ac:dyDescent="0.25">
      <c r="R614">
        <v>1677.6152258444711</v>
      </c>
      <c r="S614" s="14">
        <f t="shared" si="29"/>
        <v>0.51737327653271714</v>
      </c>
      <c r="T614" s="9">
        <v>0.23574708886267162</v>
      </c>
    </row>
    <row r="615" spans="18:20" x14ac:dyDescent="0.25">
      <c r="R615">
        <v>1889.084655959711</v>
      </c>
      <c r="S615" s="14">
        <f t="shared" si="29"/>
        <v>0.63609240274003409</v>
      </c>
      <c r="T615" s="9">
        <v>0.23606921986705212</v>
      </c>
    </row>
    <row r="616" spans="18:20" x14ac:dyDescent="0.25">
      <c r="R616">
        <v>1249.2165391171584</v>
      </c>
      <c r="S616" s="14">
        <f t="shared" si="29"/>
        <v>0.22251658610631919</v>
      </c>
      <c r="T616" s="9">
        <v>0.23666616190281628</v>
      </c>
    </row>
    <row r="617" spans="18:20" x14ac:dyDescent="0.25">
      <c r="R617">
        <v>1580.4054555639691</v>
      </c>
      <c r="S617" s="14">
        <f t="shared" si="29"/>
        <v>0.4576814315638007</v>
      </c>
      <c r="T617" s="9">
        <v>0.23704425212423824</v>
      </c>
    </row>
    <row r="618" spans="18:20" x14ac:dyDescent="0.25">
      <c r="R618">
        <v>1136.1815296056864</v>
      </c>
      <c r="S618" s="14">
        <f t="shared" si="29"/>
        <v>0.12767310472085308</v>
      </c>
      <c r="T618" s="9">
        <v>0.23899849675252122</v>
      </c>
    </row>
    <row r="619" spans="18:20" x14ac:dyDescent="0.25">
      <c r="R619">
        <v>1253.2678850142349</v>
      </c>
      <c r="S619" s="14">
        <f t="shared" si="29"/>
        <v>0.22575444796667696</v>
      </c>
      <c r="T619" s="9">
        <v>0.23932876388402102</v>
      </c>
    </row>
    <row r="620" spans="18:20" x14ac:dyDescent="0.25">
      <c r="R620">
        <v>1237.785024078408</v>
      </c>
      <c r="S620" s="14">
        <f t="shared" si="29"/>
        <v>0.2133235114281587</v>
      </c>
      <c r="T620" s="9">
        <v>0.24062290228110941</v>
      </c>
    </row>
    <row r="621" spans="18:20" x14ac:dyDescent="0.25">
      <c r="R621">
        <v>1409.0086191486573</v>
      </c>
      <c r="S621" s="14">
        <f t="shared" si="29"/>
        <v>0.34288635010766794</v>
      </c>
      <c r="T621" s="9">
        <v>0.24065172113840561</v>
      </c>
    </row>
    <row r="622" spans="18:20" x14ac:dyDescent="0.25">
      <c r="R622">
        <v>1683.7386207181989</v>
      </c>
      <c r="S622" s="14">
        <f t="shared" si="29"/>
        <v>0.5210166904230582</v>
      </c>
      <c r="T622" s="9">
        <v>0.24162577877962121</v>
      </c>
    </row>
    <row r="623" spans="18:20" x14ac:dyDescent="0.25">
      <c r="R623">
        <v>1058.4589084313764</v>
      </c>
      <c r="S623" s="14">
        <f t="shared" si="29"/>
        <v>5.6813990273705664E-2</v>
      </c>
      <c r="T623" s="9">
        <v>0.24249781146746321</v>
      </c>
    </row>
    <row r="624" spans="18:20" x14ac:dyDescent="0.25">
      <c r="R624">
        <v>1196.3838808347268</v>
      </c>
      <c r="S624" s="14">
        <f t="shared" si="29"/>
        <v>0.17930357462599519</v>
      </c>
      <c r="T624" s="9">
        <v>0.24267061241450905</v>
      </c>
    </row>
    <row r="625" spans="18:20" x14ac:dyDescent="0.25">
      <c r="R625">
        <v>1683.1228043199917</v>
      </c>
      <c r="S625" s="14">
        <f t="shared" si="29"/>
        <v>0.52065088005706284</v>
      </c>
      <c r="T625" s="9">
        <v>0.24323578793751072</v>
      </c>
    </row>
    <row r="626" spans="18:20" x14ac:dyDescent="0.25">
      <c r="R626">
        <v>1619.6384965398477</v>
      </c>
      <c r="S626" s="14">
        <f t="shared" si="29"/>
        <v>0.48220297405851875</v>
      </c>
      <c r="T626" s="9">
        <v>0.24368350621903506</v>
      </c>
    </row>
    <row r="627" spans="18:20" x14ac:dyDescent="0.25">
      <c r="R627">
        <v>1118.8106520426561</v>
      </c>
      <c r="S627" s="14">
        <f t="shared" si="29"/>
        <v>0.11226620325373669</v>
      </c>
      <c r="T627" s="9">
        <v>0.2451899543313204</v>
      </c>
    </row>
    <row r="628" spans="18:20" x14ac:dyDescent="0.25">
      <c r="R628">
        <v>635.54817785175533</v>
      </c>
      <c r="S628" s="14">
        <f t="shared" si="29"/>
        <v>-0.45326738028709956</v>
      </c>
      <c r="T628" s="9">
        <v>0.24639144326528123</v>
      </c>
    </row>
    <row r="629" spans="18:20" x14ac:dyDescent="0.25">
      <c r="R629">
        <v>1430.4023949954083</v>
      </c>
      <c r="S629" s="14">
        <f t="shared" si="29"/>
        <v>0.35795579978932413</v>
      </c>
      <c r="T629" s="9">
        <v>0.24724184367457891</v>
      </c>
    </row>
    <row r="630" spans="18:20" x14ac:dyDescent="0.25">
      <c r="R630">
        <v>639.58401134806047</v>
      </c>
      <c r="S630" s="14">
        <f t="shared" si="29"/>
        <v>-0.44693729622712869</v>
      </c>
      <c r="T630" s="9">
        <v>0.24754273826780801</v>
      </c>
    </row>
    <row r="631" spans="18:20" x14ac:dyDescent="0.25">
      <c r="R631">
        <v>861.14911460048017</v>
      </c>
      <c r="S631" s="14">
        <f t="shared" si="29"/>
        <v>-0.14948760186037111</v>
      </c>
      <c r="T631" s="9">
        <v>0.24833479384635193</v>
      </c>
    </row>
    <row r="632" spans="18:20" x14ac:dyDescent="0.25">
      <c r="R632">
        <v>1849.8949238250866</v>
      </c>
      <c r="S632" s="14">
        <f t="shared" si="29"/>
        <v>0.61512883954478415</v>
      </c>
      <c r="T632" s="9">
        <v>0.24973309250497355</v>
      </c>
    </row>
    <row r="633" spans="18:20" x14ac:dyDescent="0.25">
      <c r="R633">
        <v>944.27645354299784</v>
      </c>
      <c r="S633" s="14">
        <f t="shared" si="29"/>
        <v>-5.7336302380355635E-2</v>
      </c>
      <c r="T633" s="9">
        <v>0.25096613710456617</v>
      </c>
    </row>
    <row r="634" spans="18:20" x14ac:dyDescent="0.25">
      <c r="R634">
        <v>974.48572530310128</v>
      </c>
      <c r="S634" s="14">
        <f t="shared" si="29"/>
        <v>-2.5845408368486894E-2</v>
      </c>
      <c r="T634" s="9">
        <v>0.25232474261318499</v>
      </c>
    </row>
    <row r="635" spans="18:20" x14ac:dyDescent="0.25">
      <c r="R635">
        <v>1255.2888930426514</v>
      </c>
      <c r="S635" s="14">
        <f t="shared" si="29"/>
        <v>0.22736573975273514</v>
      </c>
      <c r="T635" s="9">
        <v>0.2530003934861289</v>
      </c>
    </row>
    <row r="636" spans="18:20" x14ac:dyDescent="0.25">
      <c r="R636">
        <v>898.89695220328656</v>
      </c>
      <c r="S636" s="14">
        <f t="shared" si="29"/>
        <v>-0.10658687599337231</v>
      </c>
      <c r="T636" s="9">
        <v>0.25336632487111993</v>
      </c>
    </row>
    <row r="637" spans="18:20" x14ac:dyDescent="0.25">
      <c r="R637">
        <v>1024.5720864657505</v>
      </c>
      <c r="S637" s="14">
        <f t="shared" si="29"/>
        <v>2.4275048803966841E-2</v>
      </c>
      <c r="T637" s="9">
        <v>0.25530384914432619</v>
      </c>
    </row>
    <row r="638" spans="18:20" x14ac:dyDescent="0.25">
      <c r="R638">
        <v>1342.570422989811</v>
      </c>
      <c r="S638" s="14">
        <f t="shared" si="29"/>
        <v>0.29458600262829437</v>
      </c>
      <c r="T638" s="9">
        <v>0.25545787587168123</v>
      </c>
    </row>
    <row r="639" spans="18:20" x14ac:dyDescent="0.25">
      <c r="R639">
        <v>1102.2588467884132</v>
      </c>
      <c r="S639" s="14">
        <f t="shared" si="29"/>
        <v>9.7361571341562606E-2</v>
      </c>
      <c r="T639" s="9">
        <v>0.25625196562307523</v>
      </c>
    </row>
    <row r="640" spans="18:20" x14ac:dyDescent="0.25">
      <c r="R640">
        <v>742.97986382375336</v>
      </c>
      <c r="S640" s="14">
        <f t="shared" si="29"/>
        <v>-0.29708633581095745</v>
      </c>
      <c r="T640" s="9">
        <v>0.25682328611122807</v>
      </c>
    </row>
    <row r="641" spans="18:20" x14ac:dyDescent="0.25">
      <c r="R641">
        <v>1365.9913316444206</v>
      </c>
      <c r="S641" s="14">
        <f t="shared" si="29"/>
        <v>0.31188041533374961</v>
      </c>
      <c r="T641" s="9">
        <v>0.25781730636644895</v>
      </c>
    </row>
    <row r="642" spans="18:20" x14ac:dyDescent="0.25">
      <c r="R642">
        <v>1585.8387865346508</v>
      </c>
      <c r="S642" s="14">
        <f t="shared" si="29"/>
        <v>0.46111347021177085</v>
      </c>
      <c r="T642" s="9">
        <v>0.25875144555888951</v>
      </c>
    </row>
    <row r="643" spans="18:20" x14ac:dyDescent="0.25">
      <c r="R643">
        <v>1391.5805225742906</v>
      </c>
      <c r="S643" s="14">
        <f t="shared" si="29"/>
        <v>0.3304401677722108</v>
      </c>
      <c r="T643" s="9">
        <v>0.26277199011977243</v>
      </c>
    </row>
    <row r="644" spans="18:20" x14ac:dyDescent="0.25">
      <c r="R644">
        <v>1031.1238171916523</v>
      </c>
      <c r="S644" s="14">
        <f t="shared" ref="S644:S707" si="30">+LN(R644/$B$2)</f>
        <v>3.0649292093387355E-2</v>
      </c>
      <c r="T644" s="9">
        <v>0.2628013607488629</v>
      </c>
    </row>
    <row r="645" spans="18:20" x14ac:dyDescent="0.25">
      <c r="R645">
        <v>1347.8680275094357</v>
      </c>
      <c r="S645" s="14">
        <f t="shared" si="30"/>
        <v>0.29852410525628703</v>
      </c>
      <c r="T645" s="9">
        <v>0.26320407110070743</v>
      </c>
    </row>
    <row r="646" spans="18:20" x14ac:dyDescent="0.25">
      <c r="R646">
        <v>897.64011201374637</v>
      </c>
      <c r="S646" s="14">
        <f t="shared" si="30"/>
        <v>-0.10798605713983174</v>
      </c>
      <c r="T646" s="9">
        <v>0.26350231510226113</v>
      </c>
    </row>
    <row r="647" spans="18:20" x14ac:dyDescent="0.25">
      <c r="R647">
        <v>732.65230505178988</v>
      </c>
      <c r="S647" s="14">
        <f t="shared" si="30"/>
        <v>-0.31108403471893981</v>
      </c>
      <c r="T647" s="9">
        <v>0.26352901744532214</v>
      </c>
    </row>
    <row r="648" spans="18:20" x14ac:dyDescent="0.25">
      <c r="R648">
        <v>1477.8025098211554</v>
      </c>
      <c r="S648" s="14">
        <f t="shared" si="30"/>
        <v>0.39055619372064682</v>
      </c>
      <c r="T648" s="9">
        <v>0.26363531327173367</v>
      </c>
    </row>
    <row r="649" spans="18:20" x14ac:dyDescent="0.25">
      <c r="R649">
        <v>1019.4526538899328</v>
      </c>
      <c r="S649" s="14">
        <f t="shared" si="30"/>
        <v>1.9265869434049759E-2</v>
      </c>
      <c r="T649" s="9">
        <v>0.26395430664475444</v>
      </c>
    </row>
    <row r="650" spans="18:20" x14ac:dyDescent="0.25">
      <c r="R650">
        <v>1509.1202530071664</v>
      </c>
      <c r="S650" s="14">
        <f t="shared" si="30"/>
        <v>0.41152686713886494</v>
      </c>
      <c r="T650" s="9">
        <v>0.26434618122136277</v>
      </c>
    </row>
    <row r="651" spans="18:20" x14ac:dyDescent="0.25">
      <c r="R651">
        <v>1374.9057226603313</v>
      </c>
      <c r="S651" s="14">
        <f t="shared" si="30"/>
        <v>0.3183851634298836</v>
      </c>
      <c r="T651" s="9">
        <v>0.26464850116023747</v>
      </c>
    </row>
    <row r="652" spans="18:20" x14ac:dyDescent="0.25">
      <c r="R652">
        <v>1064.4048201410592</v>
      </c>
      <c r="S652" s="14">
        <f t="shared" si="30"/>
        <v>6.2415788616460209E-2</v>
      </c>
      <c r="T652" s="9">
        <v>0.26565697574334057</v>
      </c>
    </row>
    <row r="653" spans="18:20" x14ac:dyDescent="0.25">
      <c r="R653">
        <v>680.6665171295075</v>
      </c>
      <c r="S653" s="14">
        <f t="shared" si="30"/>
        <v>-0.38468278861786243</v>
      </c>
      <c r="T653" s="9">
        <v>0.26866997098871437</v>
      </c>
    </row>
    <row r="654" spans="18:20" x14ac:dyDescent="0.25">
      <c r="R654">
        <v>732.52755475153322</v>
      </c>
      <c r="S654" s="14">
        <f t="shared" si="30"/>
        <v>-0.31125432139019521</v>
      </c>
      <c r="T654" s="9">
        <v>0.26999039485364279</v>
      </c>
    </row>
    <row r="655" spans="18:20" x14ac:dyDescent="0.25">
      <c r="R655">
        <v>1398.8518223716642</v>
      </c>
      <c r="S655" s="14">
        <f t="shared" si="30"/>
        <v>0.33565177325579487</v>
      </c>
      <c r="T655" s="9">
        <v>0.27008581072868348</v>
      </c>
    </row>
    <row r="656" spans="18:20" x14ac:dyDescent="0.25">
      <c r="R656">
        <v>940.7116728004205</v>
      </c>
      <c r="S656" s="14">
        <f t="shared" si="30"/>
        <v>-6.1118591448900902E-2</v>
      </c>
      <c r="T656" s="9">
        <v>0.27036047066617175</v>
      </c>
    </row>
    <row r="657" spans="18:20" x14ac:dyDescent="0.25">
      <c r="R657">
        <v>826.73667573541218</v>
      </c>
      <c r="S657" s="14">
        <f t="shared" si="30"/>
        <v>-0.19026904368746655</v>
      </c>
      <c r="T657" s="9">
        <v>0.27225319916343899</v>
      </c>
    </row>
    <row r="658" spans="18:20" x14ac:dyDescent="0.25">
      <c r="R658">
        <v>1326.6261437730316</v>
      </c>
      <c r="S658" s="14">
        <f t="shared" si="30"/>
        <v>0.28263898526703202</v>
      </c>
      <c r="T658" s="9">
        <v>0.27243845035118208</v>
      </c>
    </row>
    <row r="659" spans="18:20" x14ac:dyDescent="0.25">
      <c r="R659">
        <v>1125.0825917964487</v>
      </c>
      <c r="S659" s="14">
        <f t="shared" si="30"/>
        <v>0.11785644789181593</v>
      </c>
      <c r="T659" s="9">
        <v>0.2736534434568918</v>
      </c>
    </row>
    <row r="660" spans="18:20" x14ac:dyDescent="0.25">
      <c r="R660">
        <v>1102.7437414769097</v>
      </c>
      <c r="S660" s="14">
        <f t="shared" si="30"/>
        <v>9.7801384608806288E-2</v>
      </c>
      <c r="T660" s="9">
        <v>0.27373533252391113</v>
      </c>
    </row>
    <row r="661" spans="18:20" x14ac:dyDescent="0.25">
      <c r="R661">
        <v>1216.0812814654034</v>
      </c>
      <c r="S661" s="14">
        <f t="shared" si="30"/>
        <v>0.19563362462042538</v>
      </c>
      <c r="T661" s="9">
        <v>0.27390501280556179</v>
      </c>
    </row>
    <row r="662" spans="18:20" x14ac:dyDescent="0.25">
      <c r="R662">
        <v>936.61020755325774</v>
      </c>
      <c r="S662" s="14">
        <f t="shared" si="30"/>
        <v>-6.5488083772697228E-2</v>
      </c>
      <c r="T662" s="9">
        <v>0.27478785749037349</v>
      </c>
    </row>
    <row r="663" spans="18:20" x14ac:dyDescent="0.25">
      <c r="R663">
        <v>1595.3385431362437</v>
      </c>
      <c r="S663" s="14">
        <f t="shared" si="30"/>
        <v>0.46708596646437589</v>
      </c>
      <c r="T663" s="9">
        <v>0.27579833120846503</v>
      </c>
    </row>
    <row r="664" spans="18:20" x14ac:dyDescent="0.25">
      <c r="R664">
        <v>1172.3879730785511</v>
      </c>
      <c r="S664" s="14">
        <f t="shared" si="30"/>
        <v>0.15904267142476611</v>
      </c>
      <c r="T664" s="9">
        <v>0.27619217427179216</v>
      </c>
    </row>
    <row r="665" spans="18:20" x14ac:dyDescent="0.25">
      <c r="R665">
        <v>1608.5065832194766</v>
      </c>
      <c r="S665" s="14">
        <f t="shared" si="30"/>
        <v>0.47530616045790447</v>
      </c>
      <c r="T665" s="9">
        <v>0.2773435752905013</v>
      </c>
    </row>
    <row r="666" spans="18:20" x14ac:dyDescent="0.25">
      <c r="R666">
        <v>1741.7075183341531</v>
      </c>
      <c r="S666" s="14">
        <f t="shared" si="30"/>
        <v>0.55486596441055203</v>
      </c>
      <c r="T666" s="9">
        <v>0.27905348276566871</v>
      </c>
    </row>
    <row r="667" spans="18:20" x14ac:dyDescent="0.25">
      <c r="R667">
        <v>921.55907226703869</v>
      </c>
      <c r="S667" s="14">
        <f t="shared" si="30"/>
        <v>-8.1688399459104985E-2</v>
      </c>
      <c r="T667" s="9">
        <v>0.2793979034214833</v>
      </c>
    </row>
    <row r="668" spans="18:20" x14ac:dyDescent="0.25">
      <c r="R668">
        <v>1779.2534716179737</v>
      </c>
      <c r="S668" s="14">
        <f t="shared" si="30"/>
        <v>0.57619387836463809</v>
      </c>
      <c r="T668" s="9">
        <v>0.27950081567603402</v>
      </c>
    </row>
    <row r="669" spans="18:20" x14ac:dyDescent="0.25">
      <c r="R669">
        <v>903.96946183255534</v>
      </c>
      <c r="S669" s="14">
        <f t="shared" si="30"/>
        <v>-0.10095970031923447</v>
      </c>
      <c r="T669" s="9">
        <v>0.28042291451842211</v>
      </c>
    </row>
    <row r="670" spans="18:20" x14ac:dyDescent="0.25">
      <c r="R670">
        <v>1013.0702519199731</v>
      </c>
      <c r="S670" s="14">
        <f t="shared" si="30"/>
        <v>1.2985573227146018E-2</v>
      </c>
      <c r="T670" s="9">
        <v>0.28060862928928726</v>
      </c>
    </row>
    <row r="671" spans="18:20" x14ac:dyDescent="0.25">
      <c r="R671">
        <v>1826.7553534828178</v>
      </c>
      <c r="S671" s="14">
        <f t="shared" si="30"/>
        <v>0.60254136228996935</v>
      </c>
      <c r="T671" s="9">
        <v>0.28117800227818723</v>
      </c>
    </row>
    <row r="672" spans="18:20" x14ac:dyDescent="0.25">
      <c r="R672">
        <v>1080.9707293967285</v>
      </c>
      <c r="S672" s="14">
        <f t="shared" si="30"/>
        <v>7.7859460951646975E-2</v>
      </c>
      <c r="T672" s="9">
        <v>0.28143229495375149</v>
      </c>
    </row>
    <row r="673" spans="18:20" x14ac:dyDescent="0.25">
      <c r="R673">
        <v>1177.7720460830949</v>
      </c>
      <c r="S673" s="14">
        <f t="shared" si="30"/>
        <v>0.16362455723673919</v>
      </c>
      <c r="T673" s="9">
        <v>0.28235456581308482</v>
      </c>
    </row>
    <row r="674" spans="18:20" x14ac:dyDescent="0.25">
      <c r="R674">
        <v>844.76170959150534</v>
      </c>
      <c r="S674" s="14">
        <f t="shared" si="30"/>
        <v>-0.16870069187800207</v>
      </c>
      <c r="T674" s="9">
        <v>0.28263898526703202</v>
      </c>
    </row>
    <row r="675" spans="18:20" x14ac:dyDescent="0.25">
      <c r="R675">
        <v>1314.8667537170948</v>
      </c>
      <c r="S675" s="14">
        <f t="shared" si="30"/>
        <v>0.27373533252391113</v>
      </c>
      <c r="T675" s="9">
        <v>0.28285050277261559</v>
      </c>
    </row>
    <row r="676" spans="18:20" x14ac:dyDescent="0.25">
      <c r="R676">
        <v>967.34842336754673</v>
      </c>
      <c r="S676" s="14">
        <f t="shared" si="30"/>
        <v>-3.3196534705925519E-2</v>
      </c>
      <c r="T676" s="9">
        <v>0.28285420949807566</v>
      </c>
    </row>
    <row r="677" spans="18:20" x14ac:dyDescent="0.25">
      <c r="R677">
        <v>710.84114431104183</v>
      </c>
      <c r="S677" s="14">
        <f t="shared" si="30"/>
        <v>-0.34130629986500799</v>
      </c>
      <c r="T677" s="9">
        <v>0.28299148140323183</v>
      </c>
    </row>
    <row r="678" spans="18:20" x14ac:dyDescent="0.25">
      <c r="R678">
        <v>969.05962989499687</v>
      </c>
      <c r="S678" s="14">
        <f t="shared" si="30"/>
        <v>-3.1429131425392491E-2</v>
      </c>
      <c r="T678" s="9">
        <v>0.2834587779071468</v>
      </c>
    </row>
    <row r="679" spans="18:20" x14ac:dyDescent="0.25">
      <c r="R679">
        <v>1743.1251568000996</v>
      </c>
      <c r="S679" s="14">
        <f t="shared" si="30"/>
        <v>0.55567956935305773</v>
      </c>
      <c r="T679" s="9">
        <v>0.28360300134860633</v>
      </c>
    </row>
    <row r="680" spans="18:20" x14ac:dyDescent="0.25">
      <c r="R680">
        <v>932.84606544305416</v>
      </c>
      <c r="S680" s="14">
        <f t="shared" si="30"/>
        <v>-6.9515080553959621E-2</v>
      </c>
      <c r="T680" s="9">
        <v>0.28637642485840059</v>
      </c>
    </row>
    <row r="681" spans="18:20" x14ac:dyDescent="0.25">
      <c r="R681">
        <v>1342.9464592798383</v>
      </c>
      <c r="S681" s="14">
        <f t="shared" si="30"/>
        <v>0.29486605023847151</v>
      </c>
      <c r="T681" s="9">
        <v>0.28647745228616467</v>
      </c>
    </row>
    <row r="682" spans="18:20" x14ac:dyDescent="0.25">
      <c r="R682">
        <v>1292.8166479149334</v>
      </c>
      <c r="S682" s="14">
        <f t="shared" si="30"/>
        <v>0.25682328611122807</v>
      </c>
      <c r="T682" s="9">
        <v>0.28752161555160577</v>
      </c>
    </row>
    <row r="683" spans="18:20" x14ac:dyDescent="0.25">
      <c r="R683">
        <v>1235.6759756874358</v>
      </c>
      <c r="S683" s="14">
        <f t="shared" si="30"/>
        <v>0.21161816907402539</v>
      </c>
      <c r="T683" s="9">
        <v>0.28830615338839477</v>
      </c>
    </row>
    <row r="684" spans="18:20" x14ac:dyDescent="0.25">
      <c r="R684">
        <v>1347.3873771068411</v>
      </c>
      <c r="S684" s="14">
        <f t="shared" si="30"/>
        <v>0.29816744116659316</v>
      </c>
      <c r="T684" s="9">
        <v>0.28840593242782192</v>
      </c>
    </row>
    <row r="685" spans="18:20" x14ac:dyDescent="0.25">
      <c r="R685">
        <v>1834.4941435486728</v>
      </c>
      <c r="S685" s="14">
        <f t="shared" si="30"/>
        <v>0.6067687724116323</v>
      </c>
      <c r="T685" s="9">
        <v>0.29052604220082212</v>
      </c>
    </row>
    <row r="686" spans="18:20" x14ac:dyDescent="0.25">
      <c r="R686">
        <v>1343.707572693867</v>
      </c>
      <c r="S686" s="14">
        <f t="shared" si="30"/>
        <v>0.29543263858615743</v>
      </c>
      <c r="T686" s="9">
        <v>0.29114523393912328</v>
      </c>
    </row>
    <row r="687" spans="18:20" x14ac:dyDescent="0.25">
      <c r="R687">
        <v>763.15112809309937</v>
      </c>
      <c r="S687" s="14">
        <f t="shared" si="30"/>
        <v>-0.27029919641584899</v>
      </c>
      <c r="T687" s="9">
        <v>0.29181913750632016</v>
      </c>
    </row>
    <row r="688" spans="18:20" x14ac:dyDescent="0.25">
      <c r="R688">
        <v>1868.5002985709136</v>
      </c>
      <c r="S688" s="14">
        <f t="shared" si="30"/>
        <v>0.62513612973515409</v>
      </c>
      <c r="T688" s="9">
        <v>0.29458600262829437</v>
      </c>
    </row>
    <row r="689" spans="18:20" x14ac:dyDescent="0.25">
      <c r="R689">
        <v>940.81293973097706</v>
      </c>
      <c r="S689" s="14">
        <f t="shared" si="30"/>
        <v>-6.1010947966610121E-2</v>
      </c>
      <c r="T689" s="9">
        <v>0.29481479947671668</v>
      </c>
    </row>
    <row r="690" spans="18:20" x14ac:dyDescent="0.25">
      <c r="R690">
        <v>1068.6572432590999</v>
      </c>
      <c r="S690" s="14">
        <f t="shared" si="30"/>
        <v>6.6402947569362852E-2</v>
      </c>
      <c r="T690" s="9">
        <v>0.29486605023847151</v>
      </c>
    </row>
    <row r="691" spans="18:20" x14ac:dyDescent="0.25">
      <c r="R691">
        <v>1207.6828296015606</v>
      </c>
      <c r="S691" s="14">
        <f t="shared" si="30"/>
        <v>0.18870350676131042</v>
      </c>
      <c r="T691" s="9">
        <v>0.29538526730544296</v>
      </c>
    </row>
    <row r="692" spans="18:20" x14ac:dyDescent="0.25">
      <c r="R692">
        <v>1469.9581092507274</v>
      </c>
      <c r="S692" s="14">
        <f t="shared" si="30"/>
        <v>0.38523390327624596</v>
      </c>
      <c r="T692" s="9">
        <v>0.29543263858615743</v>
      </c>
    </row>
    <row r="693" spans="18:20" x14ac:dyDescent="0.25">
      <c r="R693">
        <v>816.68512539627136</v>
      </c>
      <c r="S693" s="14">
        <f t="shared" si="30"/>
        <v>-0.20250166184086074</v>
      </c>
      <c r="T693" s="9">
        <v>0.29641623484791474</v>
      </c>
    </row>
    <row r="694" spans="18:20" x14ac:dyDescent="0.25">
      <c r="R694">
        <v>1425.7910260220642</v>
      </c>
      <c r="S694" s="14">
        <f t="shared" si="30"/>
        <v>0.35472676568667866</v>
      </c>
      <c r="T694" s="9">
        <v>0.29816744116659316</v>
      </c>
    </row>
    <row r="695" spans="18:20" x14ac:dyDescent="0.25">
      <c r="R695">
        <v>1302.5790466637227</v>
      </c>
      <c r="S695" s="14">
        <f t="shared" si="30"/>
        <v>0.26434618122136277</v>
      </c>
      <c r="T695" s="9">
        <v>0.29852410525628703</v>
      </c>
    </row>
    <row r="696" spans="18:20" x14ac:dyDescent="0.25">
      <c r="R696">
        <v>1615.9977503727428</v>
      </c>
      <c r="S696" s="14">
        <f t="shared" si="30"/>
        <v>0.47995256800185965</v>
      </c>
      <c r="T696" s="9">
        <v>0.29907127414326423</v>
      </c>
    </row>
    <row r="697" spans="18:20" x14ac:dyDescent="0.25">
      <c r="R697">
        <v>933.38333063590198</v>
      </c>
      <c r="S697" s="14">
        <f t="shared" si="30"/>
        <v>-6.8939304383227998E-2</v>
      </c>
      <c r="T697" s="9">
        <v>0.29922850615728819</v>
      </c>
    </row>
    <row r="698" spans="18:20" x14ac:dyDescent="0.25">
      <c r="R698">
        <v>1182.4994238935622</v>
      </c>
      <c r="S698" s="14">
        <f t="shared" si="30"/>
        <v>0.1676303541902274</v>
      </c>
      <c r="T698" s="9">
        <v>0.29961938731091781</v>
      </c>
    </row>
    <row r="699" spans="18:20" x14ac:dyDescent="0.25">
      <c r="R699">
        <v>986.55101950872415</v>
      </c>
      <c r="S699" s="14">
        <f t="shared" si="30"/>
        <v>-1.3540237159138713E-2</v>
      </c>
      <c r="T699" s="9">
        <v>0.30022740179806862</v>
      </c>
    </row>
    <row r="700" spans="18:20" x14ac:dyDescent="0.25">
      <c r="R700">
        <v>849.43435410296615</v>
      </c>
      <c r="S700" s="14">
        <f t="shared" si="30"/>
        <v>-0.16318461677961255</v>
      </c>
      <c r="T700" s="9">
        <v>0.30111929709285007</v>
      </c>
    </row>
    <row r="701" spans="18:20" x14ac:dyDescent="0.25">
      <c r="R701">
        <v>1351.3705464997433</v>
      </c>
      <c r="S701" s="14">
        <f t="shared" si="30"/>
        <v>0.30111929709285007</v>
      </c>
      <c r="T701" s="9">
        <v>0.30205650129330747</v>
      </c>
    </row>
    <row r="702" spans="18:20" x14ac:dyDescent="0.25">
      <c r="R702">
        <v>1598.3693254017592</v>
      </c>
      <c r="S702" s="14">
        <f t="shared" si="30"/>
        <v>0.46898393791329079</v>
      </c>
      <c r="T702" s="9">
        <v>0.30418910641247821</v>
      </c>
    </row>
    <row r="703" spans="18:20" x14ac:dyDescent="0.25">
      <c r="R703">
        <v>1437.234304865945</v>
      </c>
      <c r="S703" s="14">
        <f t="shared" si="30"/>
        <v>0.36272064520833719</v>
      </c>
      <c r="T703" s="9">
        <v>0.30434752035514817</v>
      </c>
    </row>
    <row r="704" spans="18:20" x14ac:dyDescent="0.25">
      <c r="R704">
        <v>1270.3961283009232</v>
      </c>
      <c r="S704" s="14">
        <f t="shared" si="30"/>
        <v>0.23932876388402102</v>
      </c>
      <c r="T704" s="9">
        <v>0.30479340950196498</v>
      </c>
    </row>
    <row r="705" spans="18:20" x14ac:dyDescent="0.25">
      <c r="R705">
        <v>1457.5327260645965</v>
      </c>
      <c r="S705" s="14">
        <f t="shared" si="30"/>
        <v>0.37674509255104804</v>
      </c>
      <c r="T705" s="9">
        <v>0.30508826882578449</v>
      </c>
    </row>
    <row r="706" spans="18:20" x14ac:dyDescent="0.25">
      <c r="R706">
        <v>2305.5925229957088</v>
      </c>
      <c r="S706" s="14">
        <f t="shared" si="30"/>
        <v>0.83533770328237156</v>
      </c>
      <c r="T706" s="9">
        <v>0.30560739912322643</v>
      </c>
    </row>
    <row r="707" spans="18:20" x14ac:dyDescent="0.25">
      <c r="R707">
        <v>896.97034941571405</v>
      </c>
      <c r="S707" s="14">
        <f t="shared" si="30"/>
        <v>-0.1087324727475894</v>
      </c>
      <c r="T707" s="9">
        <v>0.30653848391624811</v>
      </c>
    </row>
    <row r="708" spans="18:20" x14ac:dyDescent="0.25">
      <c r="R708">
        <v>1150.2107888411492</v>
      </c>
      <c r="S708" s="14">
        <f t="shared" ref="S708:S771" si="31">+LN(R708/$B$2)</f>
        <v>0.13994522022322539</v>
      </c>
      <c r="T708" s="9">
        <v>0.30737686711303969</v>
      </c>
    </row>
    <row r="709" spans="18:20" x14ac:dyDescent="0.25">
      <c r="R709">
        <v>773.06067202326619</v>
      </c>
      <c r="S709" s="14">
        <f t="shared" si="31"/>
        <v>-0.25739774444083857</v>
      </c>
      <c r="T709" s="9">
        <v>0.30824645393531691</v>
      </c>
    </row>
    <row r="710" spans="18:20" x14ac:dyDescent="0.25">
      <c r="R710">
        <v>1000.3611408124941</v>
      </c>
      <c r="S710" s="14">
        <f t="shared" si="31"/>
        <v>3.6107561684700764E-4</v>
      </c>
      <c r="T710" s="9">
        <v>0.30859704834656382</v>
      </c>
    </row>
    <row r="711" spans="18:20" x14ac:dyDescent="0.25">
      <c r="R711">
        <v>1912.4778813246546</v>
      </c>
      <c r="S711" s="14">
        <f t="shared" si="31"/>
        <v>0.64839972133123291</v>
      </c>
      <c r="T711" s="9">
        <v>0.31114674956014288</v>
      </c>
    </row>
    <row r="712" spans="18:20" x14ac:dyDescent="0.25">
      <c r="R712">
        <v>2069.9870585361109</v>
      </c>
      <c r="S712" s="14">
        <f t="shared" si="31"/>
        <v>0.72754235534281209</v>
      </c>
      <c r="T712" s="9">
        <v>0.31175142701748437</v>
      </c>
    </row>
    <row r="713" spans="18:20" x14ac:dyDescent="0.25">
      <c r="R713">
        <v>874.46773578402701</v>
      </c>
      <c r="S713" s="14">
        <f t="shared" si="31"/>
        <v>-0.13413987967633703</v>
      </c>
      <c r="T713" s="9">
        <v>0.31188041533374961</v>
      </c>
    </row>
    <row r="714" spans="18:20" x14ac:dyDescent="0.25">
      <c r="R714">
        <v>1087.3332551058595</v>
      </c>
      <c r="S714" s="14">
        <f t="shared" si="31"/>
        <v>8.3728143586374565E-2</v>
      </c>
      <c r="T714" s="9">
        <v>0.31275092411015487</v>
      </c>
    </row>
    <row r="715" spans="18:20" x14ac:dyDescent="0.25">
      <c r="R715">
        <v>915.91248558684936</v>
      </c>
      <c r="S715" s="14">
        <f t="shared" si="31"/>
        <v>-8.7834458624567513E-2</v>
      </c>
      <c r="T715" s="9">
        <v>0.31283683359847875</v>
      </c>
    </row>
    <row r="716" spans="18:20" x14ac:dyDescent="0.25">
      <c r="R716">
        <v>1143.583598146955</v>
      </c>
      <c r="S716" s="14">
        <f t="shared" si="31"/>
        <v>0.13416683906424776</v>
      </c>
      <c r="T716" s="9">
        <v>0.31399002434778994</v>
      </c>
    </row>
    <row r="717" spans="18:20" x14ac:dyDescent="0.25">
      <c r="R717">
        <v>1052.9065296146118</v>
      </c>
      <c r="S717" s="14">
        <f t="shared" si="31"/>
        <v>5.1554463413832421E-2</v>
      </c>
      <c r="T717" s="9">
        <v>0.31539347951908153</v>
      </c>
    </row>
    <row r="718" spans="18:20" x14ac:dyDescent="0.25">
      <c r="R718">
        <v>1269.9766274932383</v>
      </c>
      <c r="S718" s="14">
        <f t="shared" si="31"/>
        <v>0.23899849675252122</v>
      </c>
      <c r="T718" s="9">
        <v>0.3183851634298836</v>
      </c>
    </row>
    <row r="719" spans="18:20" x14ac:dyDescent="0.25">
      <c r="R719">
        <v>1101.4283866533224</v>
      </c>
      <c r="S719" s="14">
        <f t="shared" si="31"/>
        <v>9.6607870760281211E-2</v>
      </c>
      <c r="T719" s="9">
        <v>0.31988375501905369</v>
      </c>
    </row>
    <row r="720" spans="18:20" x14ac:dyDescent="0.25">
      <c r="R720">
        <v>809.5381313414216</v>
      </c>
      <c r="S720" s="14">
        <f t="shared" si="31"/>
        <v>-0.21129140216665221</v>
      </c>
      <c r="T720" s="9">
        <v>0.32070935631922359</v>
      </c>
    </row>
    <row r="721" spans="18:20" x14ac:dyDescent="0.25">
      <c r="R721">
        <v>2403.4902547929519</v>
      </c>
      <c r="S721" s="14">
        <f t="shared" si="31"/>
        <v>0.87692195375366544</v>
      </c>
      <c r="T721" s="9">
        <v>0.3230966606091461</v>
      </c>
    </row>
    <row r="722" spans="18:20" x14ac:dyDescent="0.25">
      <c r="R722">
        <v>747.71833839531268</v>
      </c>
      <c r="S722" s="14">
        <f t="shared" si="31"/>
        <v>-0.29072892486896634</v>
      </c>
      <c r="T722" s="9">
        <v>0.32362455274767604</v>
      </c>
    </row>
    <row r="723" spans="18:20" x14ac:dyDescent="0.25">
      <c r="R723">
        <v>668.76233365262715</v>
      </c>
      <c r="S723" s="14">
        <f t="shared" si="31"/>
        <v>-0.40232653809693797</v>
      </c>
      <c r="T723" s="9">
        <v>0.32440937289643962</v>
      </c>
    </row>
    <row r="724" spans="18:20" x14ac:dyDescent="0.25">
      <c r="R724">
        <v>1325.0262823187857</v>
      </c>
      <c r="S724" s="14">
        <f t="shared" si="31"/>
        <v>0.28143229495375149</v>
      </c>
      <c r="T724" s="9">
        <v>0.32468543023071295</v>
      </c>
    </row>
    <row r="725" spans="18:20" x14ac:dyDescent="0.25">
      <c r="R725">
        <v>1970.1170748233344</v>
      </c>
      <c r="S725" s="14">
        <f t="shared" si="31"/>
        <v>0.6780929698284055</v>
      </c>
      <c r="T725" s="9">
        <v>0.32607186171148622</v>
      </c>
    </row>
    <row r="726" spans="18:20" x14ac:dyDescent="0.25">
      <c r="R726">
        <v>1393.9888107825004</v>
      </c>
      <c r="S726" s="14">
        <f t="shared" si="31"/>
        <v>0.33216928560776832</v>
      </c>
      <c r="T726" s="9">
        <v>0.32641108189825219</v>
      </c>
    </row>
    <row r="727" spans="18:20" x14ac:dyDescent="0.25">
      <c r="R727">
        <v>1233.579258507642</v>
      </c>
      <c r="S727" s="14">
        <f t="shared" si="31"/>
        <v>0.20991990989475259</v>
      </c>
      <c r="T727" s="9">
        <v>0.32779315511703344</v>
      </c>
    </row>
    <row r="728" spans="18:20" x14ac:dyDescent="0.25">
      <c r="R728">
        <v>1144.4273358690959</v>
      </c>
      <c r="S728" s="14">
        <f t="shared" si="31"/>
        <v>0.13490436854703391</v>
      </c>
      <c r="T728" s="9">
        <v>0.32823620838745865</v>
      </c>
    </row>
    <row r="729" spans="18:20" x14ac:dyDescent="0.25">
      <c r="R729">
        <v>1065.5020408895809</v>
      </c>
      <c r="S729" s="14">
        <f t="shared" si="31"/>
        <v>6.3446087983682981E-2</v>
      </c>
      <c r="T729" s="9">
        <v>0.32971042142027007</v>
      </c>
    </row>
    <row r="730" spans="18:20" x14ac:dyDescent="0.25">
      <c r="R730">
        <v>595.85566913970945</v>
      </c>
      <c r="S730" s="14">
        <f t="shared" si="31"/>
        <v>-0.51775680711664773</v>
      </c>
      <c r="T730" s="9">
        <v>0.32989145229106959</v>
      </c>
    </row>
    <row r="731" spans="18:20" x14ac:dyDescent="0.25">
      <c r="R731">
        <v>1456.0072176282399</v>
      </c>
      <c r="S731" s="14">
        <f t="shared" si="31"/>
        <v>0.37569790692446026</v>
      </c>
      <c r="T731" s="9">
        <v>0.32999583006547362</v>
      </c>
    </row>
    <row r="732" spans="18:20" x14ac:dyDescent="0.25">
      <c r="R732">
        <v>1316.251412369026</v>
      </c>
      <c r="S732" s="14">
        <f t="shared" si="31"/>
        <v>0.27478785749037349</v>
      </c>
      <c r="T732" s="9">
        <v>0.3304401677722108</v>
      </c>
    </row>
    <row r="733" spans="18:20" x14ac:dyDescent="0.25">
      <c r="R733">
        <v>1622.5134899170596</v>
      </c>
      <c r="S733" s="14">
        <f t="shared" si="31"/>
        <v>0.48397648384016378</v>
      </c>
      <c r="T733" s="9">
        <v>0.33216928560776832</v>
      </c>
    </row>
    <row r="734" spans="18:20" x14ac:dyDescent="0.25">
      <c r="R734">
        <v>862.50520853583987</v>
      </c>
      <c r="S734" s="14">
        <f t="shared" si="31"/>
        <v>-0.147914091212723</v>
      </c>
      <c r="T734" s="9">
        <v>0.33334305865891478</v>
      </c>
    </row>
    <row r="735" spans="18:20" x14ac:dyDescent="0.25">
      <c r="R735">
        <v>1476.9111745315356</v>
      </c>
      <c r="S735" s="14">
        <f t="shared" si="31"/>
        <v>0.38995286262878642</v>
      </c>
      <c r="T735" s="9">
        <v>0.3338403073526881</v>
      </c>
    </row>
    <row r="736" spans="18:20" x14ac:dyDescent="0.25">
      <c r="R736">
        <v>1385.9850051280434</v>
      </c>
      <c r="S736" s="14">
        <f t="shared" si="31"/>
        <v>0.32641108189825219</v>
      </c>
      <c r="T736" s="9">
        <v>0.33531180220980328</v>
      </c>
    </row>
    <row r="737" spans="18:20" x14ac:dyDescent="0.25">
      <c r="R737">
        <v>1318.1011448171519</v>
      </c>
      <c r="S737" s="14">
        <f t="shared" si="31"/>
        <v>0.27619217427179216</v>
      </c>
      <c r="T737" s="9">
        <v>0.33565177325579487</v>
      </c>
    </row>
    <row r="738" spans="18:20" x14ac:dyDescent="0.25">
      <c r="R738">
        <v>1544.3655362417906</v>
      </c>
      <c r="S738" s="14">
        <f t="shared" si="31"/>
        <v>0.43461316985319814</v>
      </c>
      <c r="T738" s="9">
        <v>0.33708895620096596</v>
      </c>
    </row>
    <row r="739" spans="18:20" x14ac:dyDescent="0.25">
      <c r="R739">
        <v>1025.4742503377922</v>
      </c>
      <c r="S739" s="14">
        <f t="shared" si="31"/>
        <v>2.5155188841861312E-2</v>
      </c>
      <c r="T739" s="9">
        <v>0.34157883422622937</v>
      </c>
    </row>
    <row r="740" spans="18:20" x14ac:dyDescent="0.25">
      <c r="R740">
        <v>791.86955662157618</v>
      </c>
      <c r="S740" s="14">
        <f t="shared" si="31"/>
        <v>-0.23335860196783267</v>
      </c>
      <c r="T740" s="9">
        <v>0.342832950558218</v>
      </c>
    </row>
    <row r="741" spans="18:20" x14ac:dyDescent="0.25">
      <c r="R741">
        <v>1021.8222025374982</v>
      </c>
      <c r="S741" s="14">
        <f t="shared" si="31"/>
        <v>2.1587506527091415E-2</v>
      </c>
      <c r="T741" s="9">
        <v>0.34288635010766794</v>
      </c>
    </row>
    <row r="742" spans="18:20" x14ac:dyDescent="0.25">
      <c r="R742">
        <v>976.97178279224954</v>
      </c>
      <c r="S742" s="14">
        <f t="shared" si="31"/>
        <v>-2.329750883826499E-2</v>
      </c>
      <c r="T742" s="9">
        <v>0.34298276465856786</v>
      </c>
    </row>
    <row r="743" spans="18:20" x14ac:dyDescent="0.25">
      <c r="R743">
        <v>1002.8764516978973</v>
      </c>
      <c r="S743" s="14">
        <f t="shared" si="31"/>
        <v>2.8723226268660752E-3</v>
      </c>
      <c r="T743" s="9">
        <v>0.34348923197650499</v>
      </c>
    </row>
    <row r="744" spans="18:20" x14ac:dyDescent="0.25">
      <c r="R744">
        <v>1529.3342561052041</v>
      </c>
      <c r="S744" s="14">
        <f t="shared" si="31"/>
        <v>0.42483251398061378</v>
      </c>
      <c r="T744" s="9">
        <v>0.34356885263048681</v>
      </c>
    </row>
    <row r="745" spans="18:20" x14ac:dyDescent="0.25">
      <c r="R745">
        <v>1234.9818958544963</v>
      </c>
      <c r="S745" s="14">
        <f t="shared" si="31"/>
        <v>0.21105631074536446</v>
      </c>
      <c r="T745" s="9">
        <v>0.34383238533234833</v>
      </c>
    </row>
    <row r="746" spans="18:20" x14ac:dyDescent="0.25">
      <c r="R746">
        <v>1395.6259979373092</v>
      </c>
      <c r="S746" s="14">
        <f t="shared" si="31"/>
        <v>0.33334305865891478</v>
      </c>
      <c r="T746" s="9">
        <v>0.34412203471972636</v>
      </c>
    </row>
    <row r="747" spans="18:20" x14ac:dyDescent="0.25">
      <c r="R747">
        <v>1254.7818300596721</v>
      </c>
      <c r="S747" s="14">
        <f t="shared" si="31"/>
        <v>0.22696171688181768</v>
      </c>
      <c r="T747" s="9">
        <v>0.34422001411504644</v>
      </c>
    </row>
    <row r="748" spans="18:20" x14ac:dyDescent="0.25">
      <c r="R748">
        <v>1388.5169128976811</v>
      </c>
      <c r="S748" s="14">
        <f t="shared" si="31"/>
        <v>0.32823620838745865</v>
      </c>
      <c r="T748" s="9">
        <v>0.34697403161490836</v>
      </c>
    </row>
    <row r="749" spans="18:20" x14ac:dyDescent="0.25">
      <c r="R749">
        <v>1521.1939008457794</v>
      </c>
      <c r="S749" s="14">
        <f t="shared" si="31"/>
        <v>0.41949548762781308</v>
      </c>
      <c r="T749" s="9">
        <v>0.34710874486686788</v>
      </c>
    </row>
    <row r="750" spans="18:20" x14ac:dyDescent="0.25">
      <c r="R750">
        <v>1068.6599559451809</v>
      </c>
      <c r="S750" s="14">
        <f t="shared" si="31"/>
        <v>6.6405485972255873E-2</v>
      </c>
      <c r="T750" s="9">
        <v>0.34766088618130325</v>
      </c>
    </row>
    <row r="751" spans="18:20" x14ac:dyDescent="0.25">
      <c r="R751">
        <v>1063.454024758588</v>
      </c>
      <c r="S751" s="14">
        <f t="shared" si="31"/>
        <v>6.1522124595438828E-2</v>
      </c>
      <c r="T751" s="9">
        <v>0.3482334727210662</v>
      </c>
    </row>
    <row r="752" spans="18:20" x14ac:dyDescent="0.25">
      <c r="R752">
        <v>1250.9599121707849</v>
      </c>
      <c r="S752" s="14">
        <f t="shared" si="31"/>
        <v>0.22391118634366405</v>
      </c>
      <c r="T752" s="9">
        <v>0.34827267075943102</v>
      </c>
    </row>
    <row r="753" spans="18:20" x14ac:dyDescent="0.25">
      <c r="R753">
        <v>2040.7994922158628</v>
      </c>
      <c r="S753" s="14">
        <f t="shared" si="31"/>
        <v>0.71334163902921577</v>
      </c>
      <c r="T753" s="9">
        <v>0.34847934261148844</v>
      </c>
    </row>
    <row r="754" spans="18:20" x14ac:dyDescent="0.25">
      <c r="R754">
        <v>1292.0782462286456</v>
      </c>
      <c r="S754" s="14">
        <f t="shared" si="31"/>
        <v>0.25625196562307523</v>
      </c>
      <c r="T754" s="9">
        <v>0.35078840892755231</v>
      </c>
    </row>
    <row r="755" spans="18:20" x14ac:dyDescent="0.25">
      <c r="R755">
        <v>1027.7469600747122</v>
      </c>
      <c r="S755" s="14">
        <f t="shared" si="31"/>
        <v>2.7368988946389686E-2</v>
      </c>
      <c r="T755" s="9">
        <v>0.35083175702695296</v>
      </c>
    </row>
    <row r="756" spans="18:20" x14ac:dyDescent="0.25">
      <c r="R756">
        <v>1331.5936058581335</v>
      </c>
      <c r="S756" s="14">
        <f t="shared" si="31"/>
        <v>0.28637642485840059</v>
      </c>
      <c r="T756" s="9">
        <v>0.35232285630111332</v>
      </c>
    </row>
    <row r="757" spans="18:20" x14ac:dyDescent="0.25">
      <c r="R757">
        <v>1106.8195829302801</v>
      </c>
      <c r="S757" s="14">
        <f t="shared" si="31"/>
        <v>0.10149066206131582</v>
      </c>
      <c r="T757" s="9">
        <v>0.35264656364996189</v>
      </c>
    </row>
    <row r="758" spans="18:20" x14ac:dyDescent="0.25">
      <c r="R758">
        <v>1309.9518683934029</v>
      </c>
      <c r="S758" s="14">
        <f t="shared" si="31"/>
        <v>0.26999039485364279</v>
      </c>
      <c r="T758" s="9">
        <v>0.35472676568667866</v>
      </c>
    </row>
    <row r="759" spans="18:20" x14ac:dyDescent="0.25">
      <c r="R759">
        <v>966.54244616386927</v>
      </c>
      <c r="S759" s="14">
        <f t="shared" si="31"/>
        <v>-3.4030063901434766E-2</v>
      </c>
      <c r="T759" s="9">
        <v>0.35516736302062907</v>
      </c>
    </row>
    <row r="760" spans="18:20" x14ac:dyDescent="0.25">
      <c r="R760">
        <v>1946.2027535915136</v>
      </c>
      <c r="S760" s="14">
        <f t="shared" si="31"/>
        <v>0.66588016826011687</v>
      </c>
      <c r="T760" s="9">
        <v>0.35529107126674597</v>
      </c>
    </row>
    <row r="761" spans="18:20" x14ac:dyDescent="0.25">
      <c r="R761">
        <v>1780.5824102137235</v>
      </c>
      <c r="S761" s="14">
        <f t="shared" si="31"/>
        <v>0.57694050753609372</v>
      </c>
      <c r="T761" s="9">
        <v>0.35649419442141644</v>
      </c>
    </row>
    <row r="762" spans="18:20" x14ac:dyDescent="0.25">
      <c r="R762">
        <v>588.91427258407839</v>
      </c>
      <c r="S762" s="14">
        <f t="shared" si="31"/>
        <v>-0.52947465331905308</v>
      </c>
      <c r="T762" s="9">
        <v>0.35795579978932413</v>
      </c>
    </row>
    <row r="763" spans="18:20" x14ac:dyDescent="0.25">
      <c r="R763">
        <v>1651.0843036259316</v>
      </c>
      <c r="S763" s="14">
        <f t="shared" si="31"/>
        <v>0.50143222579422497</v>
      </c>
      <c r="T763" s="9">
        <v>0.3593317736876252</v>
      </c>
    </row>
    <row r="764" spans="18:20" x14ac:dyDescent="0.25">
      <c r="R764">
        <v>1428.3132383098484</v>
      </c>
      <c r="S764" s="14">
        <f t="shared" si="31"/>
        <v>0.35649419442141644</v>
      </c>
      <c r="T764" s="9">
        <v>0.36029761567137486</v>
      </c>
    </row>
    <row r="765" spans="18:20" x14ac:dyDescent="0.25">
      <c r="R765">
        <v>1259.2443490473258</v>
      </c>
      <c r="S765" s="14">
        <f t="shared" si="31"/>
        <v>0.2305118180793157</v>
      </c>
      <c r="T765" s="9">
        <v>0.36037868077315954</v>
      </c>
    </row>
    <row r="766" spans="18:20" x14ac:dyDescent="0.25">
      <c r="R766">
        <v>841.73394397569268</v>
      </c>
      <c r="S766" s="14">
        <f t="shared" si="31"/>
        <v>-0.1722912956988269</v>
      </c>
      <c r="T766" s="9">
        <v>0.3609435594559553</v>
      </c>
    </row>
    <row r="767" spans="18:20" x14ac:dyDescent="0.25">
      <c r="R767">
        <v>1625.541224707936</v>
      </c>
      <c r="S767" s="14">
        <f t="shared" si="31"/>
        <v>0.48584082168780868</v>
      </c>
      <c r="T767" s="9">
        <v>0.36119203584641896</v>
      </c>
    </row>
    <row r="768" spans="18:20" x14ac:dyDescent="0.25">
      <c r="R768">
        <v>1120.8900564443161</v>
      </c>
      <c r="S768" s="14">
        <f t="shared" si="31"/>
        <v>0.11412306295936611</v>
      </c>
      <c r="T768" s="9">
        <v>0.36183568896119894</v>
      </c>
    </row>
    <row r="769" spans="18:20" x14ac:dyDescent="0.25">
      <c r="R769">
        <v>1243.0977387873752</v>
      </c>
      <c r="S769" s="14">
        <f t="shared" si="31"/>
        <v>0.21760644080283748</v>
      </c>
      <c r="T769" s="9">
        <v>0.36272064520833719</v>
      </c>
    </row>
    <row r="770" spans="18:20" x14ac:dyDescent="0.25">
      <c r="R770">
        <v>1680.2979985138313</v>
      </c>
      <c r="S770" s="14">
        <f t="shared" si="31"/>
        <v>0.51897115775294023</v>
      </c>
      <c r="T770" s="9">
        <v>0.36474095697812814</v>
      </c>
    </row>
    <row r="771" spans="18:20" x14ac:dyDescent="0.25">
      <c r="R771">
        <v>1416.6184675158452</v>
      </c>
      <c r="S771" s="14">
        <f t="shared" si="31"/>
        <v>0.34827267075943102</v>
      </c>
      <c r="T771" s="9">
        <v>0.36562798953976933</v>
      </c>
    </row>
    <row r="772" spans="18:20" x14ac:dyDescent="0.25">
      <c r="R772">
        <v>1461.0004303532758</v>
      </c>
      <c r="S772" s="14">
        <f t="shared" ref="S772:S835" si="32">+LN(R772/$B$2)</f>
        <v>0.37912142732928272</v>
      </c>
      <c r="T772" s="9">
        <v>0.36582868464000429</v>
      </c>
    </row>
    <row r="773" spans="18:20" x14ac:dyDescent="0.25">
      <c r="R773">
        <v>900.27888922916509</v>
      </c>
      <c r="S773" s="14">
        <f t="shared" si="32"/>
        <v>-0.10505068673846871</v>
      </c>
      <c r="T773" s="9">
        <v>0.36721827463212026</v>
      </c>
    </row>
    <row r="774" spans="18:20" x14ac:dyDescent="0.25">
      <c r="R774">
        <v>756.36066234391569</v>
      </c>
      <c r="S774" s="14">
        <f t="shared" si="32"/>
        <v>-0.27923694997021042</v>
      </c>
      <c r="T774" s="9">
        <v>0.36813181870904049</v>
      </c>
    </row>
    <row r="775" spans="18:20" x14ac:dyDescent="0.25">
      <c r="R775">
        <v>1361.0363803782359</v>
      </c>
      <c r="S775" s="14">
        <f t="shared" si="32"/>
        <v>0.30824645393531691</v>
      </c>
      <c r="T775" s="9">
        <v>0.36859300901223047</v>
      </c>
    </row>
    <row r="776" spans="18:20" x14ac:dyDescent="0.25">
      <c r="R776">
        <v>2185.3122021787858</v>
      </c>
      <c r="S776" s="14">
        <f t="shared" si="32"/>
        <v>0.78175870263291569</v>
      </c>
      <c r="T776" s="9">
        <v>0.36932427949345104</v>
      </c>
    </row>
    <row r="777" spans="18:20" x14ac:dyDescent="0.25">
      <c r="R777">
        <v>818.86038319963234</v>
      </c>
      <c r="S777" s="14">
        <f t="shared" si="32"/>
        <v>-0.19984168194484009</v>
      </c>
      <c r="T777" s="9">
        <v>0.37151646115849896</v>
      </c>
    </row>
    <row r="778" spans="18:20" x14ac:dyDescent="0.25">
      <c r="R778">
        <v>1433.8722916333058</v>
      </c>
      <c r="S778" s="14">
        <f t="shared" si="32"/>
        <v>0.36037868077315954</v>
      </c>
      <c r="T778" s="9">
        <v>0.3719492725888402</v>
      </c>
    </row>
    <row r="779" spans="18:20" x14ac:dyDescent="0.25">
      <c r="R779">
        <v>1530.5060777023778</v>
      </c>
      <c r="S779" s="14">
        <f t="shared" si="32"/>
        <v>0.42559845045220984</v>
      </c>
      <c r="T779" s="9">
        <v>0.37247697535809038</v>
      </c>
    </row>
    <row r="780" spans="18:20" x14ac:dyDescent="0.25">
      <c r="R780">
        <v>806.88563626034806</v>
      </c>
      <c r="S780" s="14">
        <f t="shared" si="32"/>
        <v>-0.21457333542585308</v>
      </c>
      <c r="T780" s="9">
        <v>0.37403713457621635</v>
      </c>
    </row>
    <row r="781" spans="18:20" x14ac:dyDescent="0.25">
      <c r="R781">
        <v>850.62088779475562</v>
      </c>
      <c r="S781" s="14">
        <f t="shared" si="32"/>
        <v>-0.16178873992195747</v>
      </c>
      <c r="T781" s="9">
        <v>0.37556930768193736</v>
      </c>
    </row>
    <row r="782" spans="18:20" x14ac:dyDescent="0.25">
      <c r="R782">
        <v>1593.1716224769311</v>
      </c>
      <c r="S782" s="14">
        <f t="shared" si="32"/>
        <v>0.46572676051528616</v>
      </c>
      <c r="T782" s="9">
        <v>0.37569790692446026</v>
      </c>
    </row>
    <row r="783" spans="18:20" x14ac:dyDescent="0.25">
      <c r="R783">
        <v>1710.3494182220606</v>
      </c>
      <c r="S783" s="14">
        <f t="shared" si="32"/>
        <v>0.53669768778192994</v>
      </c>
      <c r="T783" s="9">
        <v>0.37674509255104804</v>
      </c>
    </row>
    <row r="784" spans="18:20" x14ac:dyDescent="0.25">
      <c r="R784">
        <v>1128.2793283792712</v>
      </c>
      <c r="S784" s="14">
        <f t="shared" si="32"/>
        <v>0.12069375396214468</v>
      </c>
      <c r="T784" s="9">
        <v>0.37714548283913146</v>
      </c>
    </row>
    <row r="785" spans="18:20" x14ac:dyDescent="0.25">
      <c r="R785">
        <v>601.20545818166795</v>
      </c>
      <c r="S785" s="14">
        <f t="shared" si="32"/>
        <v>-0.50881854233270685</v>
      </c>
      <c r="T785" s="9">
        <v>0.37884211076172097</v>
      </c>
    </row>
    <row r="786" spans="18:20" x14ac:dyDescent="0.25">
      <c r="R786">
        <v>1422.367669960207</v>
      </c>
      <c r="S786" s="14">
        <f t="shared" si="32"/>
        <v>0.35232285630111332</v>
      </c>
      <c r="T786" s="9">
        <v>0.37912142732928272</v>
      </c>
    </row>
    <row r="787" spans="18:20" x14ac:dyDescent="0.25">
      <c r="R787">
        <v>772.22113479820655</v>
      </c>
      <c r="S787" s="14">
        <f t="shared" si="32"/>
        <v>-0.25848432593549442</v>
      </c>
      <c r="T787" s="9">
        <v>0.38344326590074929</v>
      </c>
    </row>
    <row r="788" spans="18:20" x14ac:dyDescent="0.25">
      <c r="R788">
        <v>808.57761287313292</v>
      </c>
      <c r="S788" s="14">
        <f t="shared" si="32"/>
        <v>-0.21247860843980115</v>
      </c>
      <c r="T788" s="9">
        <v>0.38523390327624596</v>
      </c>
    </row>
    <row r="789" spans="18:20" x14ac:dyDescent="0.25">
      <c r="R789">
        <v>1674.6900927444785</v>
      </c>
      <c r="S789" s="14">
        <f t="shared" si="32"/>
        <v>0.51562812890182785</v>
      </c>
      <c r="T789" s="9">
        <v>0.38532422142998707</v>
      </c>
    </row>
    <row r="790" spans="18:20" x14ac:dyDescent="0.25">
      <c r="R790">
        <v>1382.1282934243179</v>
      </c>
      <c r="S790" s="14">
        <f t="shared" si="32"/>
        <v>0.32362455274767604</v>
      </c>
      <c r="T790" s="9">
        <v>0.3857134646943986</v>
      </c>
    </row>
    <row r="791" spans="18:20" x14ac:dyDescent="0.25">
      <c r="R791">
        <v>953.69858465306561</v>
      </c>
      <c r="S791" s="14">
        <f t="shared" si="32"/>
        <v>-4.7407606457231195E-2</v>
      </c>
      <c r="T791" s="9">
        <v>0.38589351272553052</v>
      </c>
    </row>
    <row r="792" spans="18:20" x14ac:dyDescent="0.25">
      <c r="R792">
        <v>1052.5048710308838</v>
      </c>
      <c r="S792" s="14">
        <f t="shared" si="32"/>
        <v>5.1172914621536794E-2</v>
      </c>
      <c r="T792" s="9">
        <v>0.38603173244677658</v>
      </c>
    </row>
    <row r="793" spans="18:20" x14ac:dyDescent="0.25">
      <c r="R793">
        <v>876.75415129676549</v>
      </c>
      <c r="S793" s="14">
        <f t="shared" si="32"/>
        <v>-0.13152865510363732</v>
      </c>
      <c r="T793" s="9">
        <v>0.38995286262878642</v>
      </c>
    </row>
    <row r="794" spans="18:20" x14ac:dyDescent="0.25">
      <c r="R794">
        <v>1287.0139176922173</v>
      </c>
      <c r="S794" s="14">
        <f t="shared" si="32"/>
        <v>0.25232474261318499</v>
      </c>
      <c r="T794" s="9">
        <v>0.39055619372064682</v>
      </c>
    </row>
    <row r="795" spans="18:20" x14ac:dyDescent="0.25">
      <c r="R795">
        <v>776.16016572910917</v>
      </c>
      <c r="S795" s="14">
        <f t="shared" si="32"/>
        <v>-0.25339638096083944</v>
      </c>
      <c r="T795" s="9">
        <v>0.39363537517736047</v>
      </c>
    </row>
    <row r="796" spans="18:20" x14ac:dyDescent="0.25">
      <c r="R796">
        <v>1356.744755987419</v>
      </c>
      <c r="S796" s="14">
        <f t="shared" si="32"/>
        <v>0.30508826882578449</v>
      </c>
      <c r="T796" s="9">
        <v>0.39554034047275705</v>
      </c>
    </row>
    <row r="797" spans="18:20" x14ac:dyDescent="0.25">
      <c r="R797">
        <v>992.98221236944437</v>
      </c>
      <c r="S797" s="14">
        <f t="shared" si="32"/>
        <v>-7.0425281191121075E-3</v>
      </c>
      <c r="T797" s="9">
        <v>0.39804263008848961</v>
      </c>
    </row>
    <row r="798" spans="18:20" x14ac:dyDescent="0.25">
      <c r="R798">
        <v>1188.1139057609978</v>
      </c>
      <c r="S798" s="14">
        <f t="shared" si="32"/>
        <v>0.17236709661443397</v>
      </c>
      <c r="T798" s="9">
        <v>0.39975770906987018</v>
      </c>
    </row>
    <row r="799" spans="18:20" x14ac:dyDescent="0.25">
      <c r="R799">
        <v>1042.2944904871927</v>
      </c>
      <c r="S799" s="14">
        <f t="shared" si="32"/>
        <v>4.1424523830712448E-2</v>
      </c>
      <c r="T799" s="9">
        <v>0.40203703603582103</v>
      </c>
    </row>
    <row r="800" spans="18:20" x14ac:dyDescent="0.25">
      <c r="R800">
        <v>1753.2539387621564</v>
      </c>
      <c r="S800" s="14">
        <f t="shared" si="32"/>
        <v>0.56147345498142898</v>
      </c>
      <c r="T800" s="9">
        <v>0.40219684142377071</v>
      </c>
    </row>
    <row r="801" spans="18:20" x14ac:dyDescent="0.25">
      <c r="R801">
        <v>1237.575522531672</v>
      </c>
      <c r="S801" s="14">
        <f t="shared" si="32"/>
        <v>0.21315424190697871</v>
      </c>
      <c r="T801" s="9">
        <v>0.40271288401053851</v>
      </c>
    </row>
    <row r="802" spans="18:20" x14ac:dyDescent="0.25">
      <c r="R802">
        <v>1237.0201625422449</v>
      </c>
      <c r="S802" s="14">
        <f t="shared" si="32"/>
        <v>0.21270539282662118</v>
      </c>
      <c r="T802" s="9">
        <v>0.40299952575426384</v>
      </c>
    </row>
    <row r="803" spans="18:20" x14ac:dyDescent="0.25">
      <c r="R803">
        <v>863.41343047233261</v>
      </c>
      <c r="S803" s="14">
        <f t="shared" si="32"/>
        <v>-0.14686164065126719</v>
      </c>
      <c r="T803" s="9">
        <v>0.40335469905318255</v>
      </c>
    </row>
    <row r="804" spans="18:20" x14ac:dyDescent="0.25">
      <c r="R804">
        <v>1326.2488791428709</v>
      </c>
      <c r="S804" s="14">
        <f t="shared" si="32"/>
        <v>0.28235456581308482</v>
      </c>
      <c r="T804" s="9">
        <v>0.40417255240260724</v>
      </c>
    </row>
    <row r="805" spans="18:20" x14ac:dyDescent="0.25">
      <c r="R805">
        <v>957.3349365492362</v>
      </c>
      <c r="S805" s="14">
        <f t="shared" si="32"/>
        <v>-4.3601962815112E-2</v>
      </c>
      <c r="T805" s="9">
        <v>0.40493008240135991</v>
      </c>
    </row>
    <row r="806" spans="18:20" x14ac:dyDescent="0.25">
      <c r="R806">
        <v>1376.9676894493625</v>
      </c>
      <c r="S806" s="14">
        <f t="shared" si="32"/>
        <v>0.31988375501905369</v>
      </c>
      <c r="T806" s="9">
        <v>0.40599475127572371</v>
      </c>
    </row>
    <row r="807" spans="18:20" x14ac:dyDescent="0.25">
      <c r="R807">
        <v>1222.6126805137073</v>
      </c>
      <c r="S807" s="14">
        <f t="shared" si="32"/>
        <v>0.20099011031864555</v>
      </c>
      <c r="T807" s="9">
        <v>0.40827980958542598</v>
      </c>
    </row>
    <row r="808" spans="18:20" x14ac:dyDescent="0.25">
      <c r="R808">
        <v>1138.000329708145</v>
      </c>
      <c r="S808" s="14">
        <f t="shared" si="32"/>
        <v>0.12927262543005955</v>
      </c>
      <c r="T808" s="9">
        <v>0.40925148280838658</v>
      </c>
    </row>
    <row r="809" spans="18:20" x14ac:dyDescent="0.25">
      <c r="R809">
        <v>995.33890920815156</v>
      </c>
      <c r="S809" s="14">
        <f t="shared" si="32"/>
        <v>-4.6719875492353775E-3</v>
      </c>
      <c r="T809" s="9">
        <v>0.41152686713886494</v>
      </c>
    </row>
    <row r="810" spans="18:20" x14ac:dyDescent="0.25">
      <c r="R810">
        <v>1426.4193641587892</v>
      </c>
      <c r="S810" s="14">
        <f t="shared" si="32"/>
        <v>0.35516736302062907</v>
      </c>
      <c r="T810" s="9">
        <v>0.41291654591680199</v>
      </c>
    </row>
    <row r="811" spans="18:20" x14ac:dyDescent="0.25">
      <c r="R811">
        <v>1024.1600807000655</v>
      </c>
      <c r="S811" s="14">
        <f t="shared" si="32"/>
        <v>2.3872843207898869E-2</v>
      </c>
      <c r="T811" s="9">
        <v>0.41569520071484478</v>
      </c>
    </row>
    <row r="812" spans="18:20" x14ac:dyDescent="0.25">
      <c r="R812">
        <v>972.86615947068049</v>
      </c>
      <c r="S812" s="14">
        <f t="shared" si="32"/>
        <v>-2.7508760758462293E-2</v>
      </c>
      <c r="T812" s="9">
        <v>0.41577337474259768</v>
      </c>
    </row>
    <row r="813" spans="18:20" x14ac:dyDescent="0.25">
      <c r="R813">
        <v>1009.7041160981203</v>
      </c>
      <c r="S813" s="14">
        <f t="shared" si="32"/>
        <v>9.6573335753606833E-3</v>
      </c>
      <c r="T813" s="9">
        <v>0.41608262020586684</v>
      </c>
    </row>
    <row r="814" spans="18:20" x14ac:dyDescent="0.25">
      <c r="R814">
        <v>887.16555215592996</v>
      </c>
      <c r="S814" s="14">
        <f t="shared" si="32"/>
        <v>-0.11972367129680356</v>
      </c>
      <c r="T814" s="9">
        <v>0.41814461797474134</v>
      </c>
    </row>
    <row r="815" spans="18:20" x14ac:dyDescent="0.25">
      <c r="R815">
        <v>823.22138682664729</v>
      </c>
      <c r="S815" s="14">
        <f t="shared" si="32"/>
        <v>-0.19453011468965872</v>
      </c>
      <c r="T815" s="9">
        <v>0.41949548762781308</v>
      </c>
    </row>
    <row r="816" spans="18:20" x14ac:dyDescent="0.25">
      <c r="R816">
        <v>822.09775639915574</v>
      </c>
      <c r="S816" s="14">
        <f t="shared" si="32"/>
        <v>-0.19589596593718131</v>
      </c>
      <c r="T816" s="9">
        <v>0.419911988851003</v>
      </c>
    </row>
    <row r="817" spans="18:20" x14ac:dyDescent="0.25">
      <c r="R817">
        <v>1092.3005104571059</v>
      </c>
      <c r="S817" s="14">
        <f t="shared" si="32"/>
        <v>8.8286032190427952E-2</v>
      </c>
      <c r="T817" s="9">
        <v>0.42256078387440166</v>
      </c>
    </row>
    <row r="818" spans="18:20" x14ac:dyDescent="0.25">
      <c r="R818">
        <v>1495.8773396984143</v>
      </c>
      <c r="S818" s="14">
        <f t="shared" si="32"/>
        <v>0.40271288401053851</v>
      </c>
      <c r="T818" s="9">
        <v>0.42311465328264847</v>
      </c>
    </row>
    <row r="819" spans="18:20" x14ac:dyDescent="0.25">
      <c r="R819">
        <v>1232.1133453751131</v>
      </c>
      <c r="S819" s="14">
        <f t="shared" si="32"/>
        <v>0.20873086199564819</v>
      </c>
      <c r="T819" s="9">
        <v>0.42408924373651996</v>
      </c>
    </row>
    <row r="820" spans="18:20" x14ac:dyDescent="0.25">
      <c r="R820">
        <v>710.34443148362641</v>
      </c>
      <c r="S820" s="14">
        <f t="shared" si="32"/>
        <v>-0.34200531181123173</v>
      </c>
      <c r="T820" s="9">
        <v>0.42483251398061378</v>
      </c>
    </row>
    <row r="821" spans="18:20" x14ac:dyDescent="0.25">
      <c r="R821">
        <v>1334.298829367865</v>
      </c>
      <c r="S821" s="14">
        <f t="shared" si="32"/>
        <v>0.28840593242782192</v>
      </c>
      <c r="T821" s="9">
        <v>0.42559845045220984</v>
      </c>
    </row>
    <row r="822" spans="18:20" x14ac:dyDescent="0.25">
      <c r="R822">
        <v>982.81456428729689</v>
      </c>
      <c r="S822" s="14">
        <f t="shared" si="32"/>
        <v>-1.7334819267772195E-2</v>
      </c>
      <c r="T822" s="9">
        <v>0.42713911380424141</v>
      </c>
    </row>
    <row r="823" spans="18:20" x14ac:dyDescent="0.25">
      <c r="R823">
        <v>1611.8730740095411</v>
      </c>
      <c r="S823" s="14">
        <f t="shared" si="32"/>
        <v>0.47739690277694041</v>
      </c>
      <c r="T823" s="9">
        <v>0.42732813178061269</v>
      </c>
    </row>
    <row r="824" spans="18:20" x14ac:dyDescent="0.25">
      <c r="R824">
        <v>1460.5924057145367</v>
      </c>
      <c r="S824" s="14">
        <f t="shared" si="32"/>
        <v>0.37884211076172097</v>
      </c>
      <c r="T824" s="9">
        <v>0.42866374823448028</v>
      </c>
    </row>
    <row r="825" spans="18:20" x14ac:dyDescent="0.25">
      <c r="R825">
        <v>855.58737864791578</v>
      </c>
      <c r="S825" s="14">
        <f t="shared" si="32"/>
        <v>-0.15596705334608943</v>
      </c>
      <c r="T825" s="9">
        <v>0.4301826244823217</v>
      </c>
    </row>
    <row r="826" spans="18:20" x14ac:dyDescent="0.25">
      <c r="R826">
        <v>1026.7657173934135</v>
      </c>
      <c r="S826" s="14">
        <f t="shared" si="32"/>
        <v>2.6413781644269912E-2</v>
      </c>
      <c r="T826" s="9">
        <v>0.43294256645087842</v>
      </c>
    </row>
    <row r="827" spans="18:20" x14ac:dyDescent="0.25">
      <c r="R827">
        <v>968.5977681669068</v>
      </c>
      <c r="S827" s="14">
        <f t="shared" si="32"/>
        <v>-3.1905853200148999E-2</v>
      </c>
      <c r="T827" s="9">
        <v>0.43461316985319814</v>
      </c>
    </row>
    <row r="828" spans="18:20" x14ac:dyDescent="0.25">
      <c r="R828">
        <v>1594.4012057542686</v>
      </c>
      <c r="S828" s="14">
        <f t="shared" si="32"/>
        <v>0.46649824615943131</v>
      </c>
      <c r="T828" s="9">
        <v>0.43552668481030954</v>
      </c>
    </row>
    <row r="829" spans="18:20" x14ac:dyDescent="0.25">
      <c r="R829">
        <v>847.62661246361381</v>
      </c>
      <c r="S829" s="14">
        <f t="shared" si="32"/>
        <v>-0.16531505564858642</v>
      </c>
      <c r="T829" s="9">
        <v>0.43615073140000465</v>
      </c>
    </row>
    <row r="830" spans="18:20" x14ac:dyDescent="0.25">
      <c r="R830">
        <v>1432.3719460696775</v>
      </c>
      <c r="S830" s="14">
        <f t="shared" si="32"/>
        <v>0.3593317736876252</v>
      </c>
      <c r="T830" s="9">
        <v>0.4364000706068889</v>
      </c>
    </row>
    <row r="831" spans="18:20" x14ac:dyDescent="0.25">
      <c r="R831">
        <v>1355.7401215210375</v>
      </c>
      <c r="S831" s="14">
        <f t="shared" si="32"/>
        <v>0.30434752035514817</v>
      </c>
      <c r="T831" s="9">
        <v>0.43794401121917409</v>
      </c>
    </row>
    <row r="832" spans="18:20" x14ac:dyDescent="0.25">
      <c r="R832">
        <v>1525.8639647083146</v>
      </c>
      <c r="S832" s="14">
        <f t="shared" si="32"/>
        <v>0.42256078387440166</v>
      </c>
      <c r="T832" s="9">
        <v>0.44104904925305249</v>
      </c>
    </row>
    <row r="833" spans="18:20" x14ac:dyDescent="0.25">
      <c r="R833">
        <v>1549.5181493587422</v>
      </c>
      <c r="S833" s="14">
        <f t="shared" si="32"/>
        <v>0.43794401121917409</v>
      </c>
      <c r="T833" s="9">
        <v>0.44143474496562507</v>
      </c>
    </row>
    <row r="834" spans="18:20" x14ac:dyDescent="0.25">
      <c r="R834">
        <v>1310.0768645604014</v>
      </c>
      <c r="S834" s="14">
        <f t="shared" si="32"/>
        <v>0.27008581072868348</v>
      </c>
      <c r="T834" s="9">
        <v>0.44306767716358736</v>
      </c>
    </row>
    <row r="835" spans="18:20" x14ac:dyDescent="0.25">
      <c r="R835">
        <v>980.48922698772253</v>
      </c>
      <c r="S835" s="14">
        <f t="shared" si="32"/>
        <v>-1.9703620670020464E-2</v>
      </c>
      <c r="T835" s="9">
        <v>0.4432404707771766</v>
      </c>
    </row>
    <row r="836" spans="18:20" x14ac:dyDescent="0.25">
      <c r="R836">
        <v>1595.6479323252909</v>
      </c>
      <c r="S836" s="14">
        <f t="shared" ref="S836:S899" si="33">+LN(R836/$B$2)</f>
        <v>0.467279880912084</v>
      </c>
      <c r="T836" s="9">
        <v>0.44341061689010008</v>
      </c>
    </row>
    <row r="837" spans="18:20" x14ac:dyDescent="0.25">
      <c r="R837">
        <v>1020.8373586564871</v>
      </c>
      <c r="S837" s="14">
        <f t="shared" si="33"/>
        <v>2.062323036866311E-2</v>
      </c>
      <c r="T837" s="9">
        <v>0.44358638386735993</v>
      </c>
    </row>
    <row r="838" spans="18:20" x14ac:dyDescent="0.25">
      <c r="R838">
        <v>998.04265540458698</v>
      </c>
      <c r="S838" s="14">
        <f t="shared" si="33"/>
        <v>-1.9592626976789847E-3</v>
      </c>
      <c r="T838" s="9">
        <v>0.44519183292007142</v>
      </c>
    </row>
    <row r="839" spans="18:20" x14ac:dyDescent="0.25">
      <c r="R839">
        <v>1416.9112729344622</v>
      </c>
      <c r="S839" s="14">
        <f t="shared" si="33"/>
        <v>0.34847934261148844</v>
      </c>
      <c r="T839" s="9">
        <v>0.44935674466308873</v>
      </c>
    </row>
    <row r="840" spans="18:20" x14ac:dyDescent="0.25">
      <c r="R840">
        <v>963.05987824531371</v>
      </c>
      <c r="S840" s="14">
        <f t="shared" si="33"/>
        <v>-3.763969025378279E-2</v>
      </c>
      <c r="T840" s="9">
        <v>0.45046768277367316</v>
      </c>
    </row>
    <row r="841" spans="18:20" x14ac:dyDescent="0.25">
      <c r="R841">
        <v>1008.6039020390865</v>
      </c>
      <c r="S841" s="14">
        <f t="shared" si="33"/>
        <v>8.5670994206885776E-3</v>
      </c>
      <c r="T841" s="9">
        <v>0.45237817136723124</v>
      </c>
    </row>
    <row r="842" spans="18:20" x14ac:dyDescent="0.25">
      <c r="R842">
        <v>1106.5280428184155</v>
      </c>
      <c r="S842" s="14">
        <f t="shared" si="33"/>
        <v>0.1012272239008036</v>
      </c>
      <c r="T842" s="9">
        <v>0.45287117732152343</v>
      </c>
    </row>
    <row r="843" spans="18:20" x14ac:dyDescent="0.25">
      <c r="R843">
        <v>2108.4813590689041</v>
      </c>
      <c r="S843" s="14">
        <f t="shared" si="33"/>
        <v>0.74596795331593246</v>
      </c>
      <c r="T843" s="9">
        <v>0.45399643004260581</v>
      </c>
    </row>
    <row r="844" spans="18:20" x14ac:dyDescent="0.25">
      <c r="R844">
        <v>1265.8541210734402</v>
      </c>
      <c r="S844" s="14">
        <f t="shared" si="33"/>
        <v>0.23574708886267162</v>
      </c>
      <c r="T844" s="9">
        <v>0.45465939216534984</v>
      </c>
    </row>
    <row r="845" spans="18:20" x14ac:dyDescent="0.25">
      <c r="R845">
        <v>1304.2875796657513</v>
      </c>
      <c r="S845" s="14">
        <f t="shared" si="33"/>
        <v>0.26565697574334057</v>
      </c>
      <c r="T845" s="9">
        <v>0.45510898778347114</v>
      </c>
    </row>
    <row r="846" spans="18:20" x14ac:dyDescent="0.25">
      <c r="R846">
        <v>1117.5624654069848</v>
      </c>
      <c r="S846" s="14">
        <f t="shared" si="33"/>
        <v>0.11114994339929697</v>
      </c>
      <c r="T846" s="9">
        <v>0.45668587182945647</v>
      </c>
    </row>
    <row r="847" spans="18:20" x14ac:dyDescent="0.25">
      <c r="R847">
        <v>709.38884535484351</v>
      </c>
      <c r="S847" s="14">
        <f t="shared" si="33"/>
        <v>-0.34335146082200041</v>
      </c>
      <c r="T847" s="9">
        <v>0.4576814315638007</v>
      </c>
    </row>
    <row r="848" spans="18:20" x14ac:dyDescent="0.25">
      <c r="R848">
        <v>2251.5567094319281</v>
      </c>
      <c r="S848" s="14">
        <f t="shared" si="33"/>
        <v>0.81162184784265989</v>
      </c>
      <c r="T848" s="9">
        <v>0.46111347021177085</v>
      </c>
    </row>
    <row r="849" spans="18:20" x14ac:dyDescent="0.25">
      <c r="R849">
        <v>1467.3283025376645</v>
      </c>
      <c r="S849" s="14">
        <f t="shared" si="33"/>
        <v>0.38344326590074929</v>
      </c>
      <c r="T849" s="9">
        <v>0.46296149059916358</v>
      </c>
    </row>
    <row r="850" spans="18:20" x14ac:dyDescent="0.25">
      <c r="R850">
        <v>1445.6990974208154</v>
      </c>
      <c r="S850" s="14">
        <f t="shared" si="33"/>
        <v>0.36859300901223047</v>
      </c>
      <c r="T850" s="9">
        <v>0.46572676051528616</v>
      </c>
    </row>
    <row r="851" spans="18:20" x14ac:dyDescent="0.25">
      <c r="R851">
        <v>1186.1877995035129</v>
      </c>
      <c r="S851" s="14">
        <f t="shared" si="33"/>
        <v>0.17074463500752471</v>
      </c>
      <c r="T851" s="9">
        <v>0.46580815950745041</v>
      </c>
    </row>
    <row r="852" spans="18:20" x14ac:dyDescent="0.25">
      <c r="R852">
        <v>1743.6675075262999</v>
      </c>
      <c r="S852" s="14">
        <f t="shared" si="33"/>
        <v>0.55599065795670377</v>
      </c>
      <c r="T852" s="9">
        <v>0.46649824615943131</v>
      </c>
    </row>
    <row r="853" spans="18:20" x14ac:dyDescent="0.25">
      <c r="R853">
        <v>1343.6439210528845</v>
      </c>
      <c r="S853" s="14">
        <f t="shared" si="33"/>
        <v>0.29538526730544296</v>
      </c>
      <c r="T853" s="9">
        <v>0.46708596646437589</v>
      </c>
    </row>
    <row r="854" spans="18:20" x14ac:dyDescent="0.25">
      <c r="R854">
        <v>1947.039683919023</v>
      </c>
      <c r="S854" s="14">
        <f t="shared" si="33"/>
        <v>0.66631010826710835</v>
      </c>
      <c r="T854" s="9">
        <v>0.467279880912084</v>
      </c>
    </row>
    <row r="855" spans="18:20" x14ac:dyDescent="0.25">
      <c r="R855">
        <v>1381.3988713088188</v>
      </c>
      <c r="S855" s="14">
        <f t="shared" si="33"/>
        <v>0.3230966606091461</v>
      </c>
      <c r="T855" s="9">
        <v>0.46898393791329079</v>
      </c>
    </row>
    <row r="856" spans="18:20" x14ac:dyDescent="0.25">
      <c r="R856">
        <v>954.65400075294667</v>
      </c>
      <c r="S856" s="14">
        <f t="shared" si="33"/>
        <v>-4.6406307025446229E-2</v>
      </c>
      <c r="T856" s="9">
        <v>0.47104337339200597</v>
      </c>
    </row>
    <row r="857" spans="18:20" x14ac:dyDescent="0.25">
      <c r="R857">
        <v>958.00794377806221</v>
      </c>
      <c r="S857" s="14">
        <f t="shared" si="33"/>
        <v>-4.2899209001749053E-2</v>
      </c>
      <c r="T857" s="9">
        <v>0.47257823984756725</v>
      </c>
    </row>
    <row r="858" spans="18:20" x14ac:dyDescent="0.25">
      <c r="R858">
        <v>1025.7616390675073</v>
      </c>
      <c r="S858" s="14">
        <f t="shared" si="33"/>
        <v>2.5435399160996044E-2</v>
      </c>
      <c r="T858" s="9">
        <v>0.47530616045790447</v>
      </c>
    </row>
    <row r="859" spans="18:20" x14ac:dyDescent="0.25">
      <c r="R859">
        <v>1441.7082347317528</v>
      </c>
      <c r="S859" s="14">
        <f t="shared" si="33"/>
        <v>0.36582868464000429</v>
      </c>
      <c r="T859" s="9">
        <v>0.47710361787236893</v>
      </c>
    </row>
    <row r="860" spans="18:20" x14ac:dyDescent="0.25">
      <c r="R860">
        <v>1202.5808409041317</v>
      </c>
      <c r="S860" s="14">
        <f t="shared" si="33"/>
        <v>0.18446994810122452</v>
      </c>
      <c r="T860" s="9">
        <v>0.47739690277694041</v>
      </c>
    </row>
    <row r="861" spans="18:20" x14ac:dyDescent="0.25">
      <c r="R861">
        <v>1158.5072323546781</v>
      </c>
      <c r="S861" s="14">
        <f t="shared" si="33"/>
        <v>0.14713230773198821</v>
      </c>
      <c r="T861" s="9">
        <v>0.47916126817762755</v>
      </c>
    </row>
    <row r="862" spans="18:20" x14ac:dyDescent="0.25">
      <c r="R862">
        <v>1772.6913935818798</v>
      </c>
      <c r="S862" s="14">
        <f t="shared" si="33"/>
        <v>0.57249895304859477</v>
      </c>
      <c r="T862" s="9">
        <v>0.47995256800185965</v>
      </c>
    </row>
    <row r="863" spans="18:20" x14ac:dyDescent="0.25">
      <c r="R863">
        <v>1670.7795592267717</v>
      </c>
      <c r="S863" s="14">
        <f t="shared" si="33"/>
        <v>0.51329031944273451</v>
      </c>
      <c r="T863" s="9">
        <v>0.48220297405851875</v>
      </c>
    </row>
    <row r="864" spans="18:20" x14ac:dyDescent="0.25">
      <c r="R864">
        <v>1300.5683493684323</v>
      </c>
      <c r="S864" s="14">
        <f t="shared" si="33"/>
        <v>0.2628013607488629</v>
      </c>
      <c r="T864" s="9">
        <v>0.4829509656073811</v>
      </c>
    </row>
    <row r="865" spans="18:20" x14ac:dyDescent="0.25">
      <c r="R865">
        <v>1021.5660920234551</v>
      </c>
      <c r="S865" s="14">
        <f t="shared" si="33"/>
        <v>2.1336834135489598E-2</v>
      </c>
      <c r="T865" s="9">
        <v>0.48397648384016378</v>
      </c>
    </row>
    <row r="866" spans="18:20" x14ac:dyDescent="0.25">
      <c r="R866">
        <v>1263.0280040867349</v>
      </c>
      <c r="S866" s="14">
        <f t="shared" si="33"/>
        <v>0.23351201579612668</v>
      </c>
      <c r="T866" s="9">
        <v>0.48584082168780868</v>
      </c>
    </row>
    <row r="867" spans="18:20" x14ac:dyDescent="0.25">
      <c r="R867">
        <v>1069.4184687243453</v>
      </c>
      <c r="S867" s="14">
        <f t="shared" si="33"/>
        <v>6.7115013557618605E-2</v>
      </c>
      <c r="T867" s="9">
        <v>0.48914738431896515</v>
      </c>
    </row>
    <row r="868" spans="18:20" x14ac:dyDescent="0.25">
      <c r="R868">
        <v>1639.6696419468958</v>
      </c>
      <c r="S868" s="14">
        <f t="shared" si="33"/>
        <v>0.49449478370752231</v>
      </c>
      <c r="T868" s="9">
        <v>0.48988657579752987</v>
      </c>
    </row>
    <row r="869" spans="18:20" x14ac:dyDescent="0.25">
      <c r="R869">
        <v>1272.0779202989715</v>
      </c>
      <c r="S869" s="14">
        <f t="shared" si="33"/>
        <v>0.24065172113840561</v>
      </c>
      <c r="T869" s="9">
        <v>0.49026453507150153</v>
      </c>
    </row>
    <row r="870" spans="18:20" x14ac:dyDescent="0.25">
      <c r="R870">
        <v>1220.1355217268472</v>
      </c>
      <c r="S870" s="14">
        <f t="shared" si="33"/>
        <v>0.19896193595852479</v>
      </c>
      <c r="T870" s="9">
        <v>0.4931636313037705</v>
      </c>
    </row>
    <row r="871" spans="18:20" x14ac:dyDescent="0.25">
      <c r="R871">
        <v>1097.1097310331565</v>
      </c>
      <c r="S871" s="14">
        <f t="shared" si="33"/>
        <v>9.2679204579710114E-2</v>
      </c>
      <c r="T871" s="9">
        <v>0.49449478370752231</v>
      </c>
    </row>
    <row r="872" spans="18:20" x14ac:dyDescent="0.25">
      <c r="R872">
        <v>1015.8027560515268</v>
      </c>
      <c r="S872" s="14">
        <f t="shared" si="33"/>
        <v>1.5679192564558655E-2</v>
      </c>
      <c r="T872" s="9">
        <v>0.49522692116092504</v>
      </c>
    </row>
    <row r="873" spans="18:20" x14ac:dyDescent="0.25">
      <c r="R873">
        <v>1368.8760810475612</v>
      </c>
      <c r="S873" s="14">
        <f t="shared" si="33"/>
        <v>0.31399002434778994</v>
      </c>
      <c r="T873" s="9">
        <v>0.50019562815788032</v>
      </c>
    </row>
    <row r="874" spans="18:20" x14ac:dyDescent="0.25">
      <c r="R874">
        <v>1235.2936164330495</v>
      </c>
      <c r="S874" s="14">
        <f t="shared" si="33"/>
        <v>0.21130868792245036</v>
      </c>
      <c r="T874" s="9">
        <v>0.50143222579422497</v>
      </c>
    </row>
    <row r="875" spans="18:20" x14ac:dyDescent="0.25">
      <c r="R875">
        <v>870.14014251605113</v>
      </c>
      <c r="S875" s="14">
        <f t="shared" si="33"/>
        <v>-0.13910099695425479</v>
      </c>
      <c r="T875" s="9">
        <v>0.50154372951748138</v>
      </c>
    </row>
    <row r="876" spans="18:20" x14ac:dyDescent="0.25">
      <c r="R876">
        <v>1700.4664280403658</v>
      </c>
      <c r="S876" s="14">
        <f t="shared" si="33"/>
        <v>0.53090258286526948</v>
      </c>
      <c r="T876" s="9">
        <v>0.50231913598399935</v>
      </c>
    </row>
    <row r="877" spans="18:20" x14ac:dyDescent="0.25">
      <c r="R877">
        <v>1410.8890168607604</v>
      </c>
      <c r="S877" s="14">
        <f t="shared" si="33"/>
        <v>0.34422001411504644</v>
      </c>
      <c r="T877" s="9">
        <v>0.50753068897902398</v>
      </c>
    </row>
    <row r="878" spans="18:20" x14ac:dyDescent="0.25">
      <c r="R878">
        <v>1050.4934085519587</v>
      </c>
      <c r="S878" s="14">
        <f t="shared" si="33"/>
        <v>4.9259966701565801E-2</v>
      </c>
      <c r="T878" s="9">
        <v>0.51050067197176718</v>
      </c>
    </row>
    <row r="879" spans="18:20" x14ac:dyDescent="0.25">
      <c r="R879">
        <v>1333.1194079631264</v>
      </c>
      <c r="S879" s="14">
        <f t="shared" si="33"/>
        <v>0.28752161555160577</v>
      </c>
      <c r="T879" s="9">
        <v>0.51329031944273451</v>
      </c>
    </row>
    <row r="880" spans="18:20" x14ac:dyDescent="0.25">
      <c r="R880">
        <v>604.19361570131889</v>
      </c>
      <c r="S880" s="14">
        <f t="shared" si="33"/>
        <v>-0.50386057661746886</v>
      </c>
      <c r="T880" s="9">
        <v>0.51441194379626176</v>
      </c>
    </row>
    <row r="881" spans="18:20" x14ac:dyDescent="0.25">
      <c r="R881">
        <v>623.34315185212427</v>
      </c>
      <c r="S881" s="14">
        <f t="shared" si="33"/>
        <v>-0.47265810629124611</v>
      </c>
      <c r="T881" s="9">
        <v>0.51476515945843315</v>
      </c>
    </row>
    <row r="882" spans="18:20" x14ac:dyDescent="0.25">
      <c r="R882">
        <v>1632.748081962143</v>
      </c>
      <c r="S882" s="14">
        <f t="shared" si="33"/>
        <v>0.49026453507150153</v>
      </c>
      <c r="T882" s="9">
        <v>0.51540997026371282</v>
      </c>
    </row>
    <row r="883" spans="18:20" x14ac:dyDescent="0.25">
      <c r="R883">
        <v>967.33445341923095</v>
      </c>
      <c r="S883" s="14">
        <f t="shared" si="33"/>
        <v>-3.3210976295793997E-2</v>
      </c>
      <c r="T883" s="9">
        <v>0.51562812890182785</v>
      </c>
    </row>
    <row r="884" spans="18:20" x14ac:dyDescent="0.25">
      <c r="R884">
        <v>995.51241605774237</v>
      </c>
      <c r="S884" s="14">
        <f t="shared" si="33"/>
        <v>-4.4976833730992335E-3</v>
      </c>
      <c r="T884" s="9">
        <v>0.51737327653271714</v>
      </c>
    </row>
    <row r="885" spans="18:20" x14ac:dyDescent="0.25">
      <c r="R885">
        <v>1301.0922071804066</v>
      </c>
      <c r="S885" s="14">
        <f t="shared" si="33"/>
        <v>0.26320407110070743</v>
      </c>
      <c r="T885" s="9">
        <v>0.51897115775294023</v>
      </c>
    </row>
    <row r="886" spans="18:20" x14ac:dyDescent="0.25">
      <c r="R886">
        <v>942.25502236048214</v>
      </c>
      <c r="S886" s="14">
        <f t="shared" si="33"/>
        <v>-5.9479316670819855E-2</v>
      </c>
      <c r="T886" s="9">
        <v>0.52036767627339164</v>
      </c>
    </row>
    <row r="887" spans="18:20" x14ac:dyDescent="0.25">
      <c r="R887">
        <v>1116.5058578604119</v>
      </c>
      <c r="S887" s="14">
        <f t="shared" si="33"/>
        <v>0.11020403891253583</v>
      </c>
      <c r="T887" s="9">
        <v>0.52065088005706284</v>
      </c>
    </row>
    <row r="888" spans="18:20" x14ac:dyDescent="0.25">
      <c r="R888">
        <v>1496.837724438702</v>
      </c>
      <c r="S888" s="14">
        <f t="shared" si="33"/>
        <v>0.40335469905318255</v>
      </c>
      <c r="T888" s="9">
        <v>0.52068019827107381</v>
      </c>
    </row>
    <row r="889" spans="18:20" x14ac:dyDescent="0.25">
      <c r="R889">
        <v>1334.165700954185</v>
      </c>
      <c r="S889" s="14">
        <f t="shared" si="33"/>
        <v>0.28830615338839477</v>
      </c>
      <c r="T889" s="9">
        <v>0.5210166904230582</v>
      </c>
    </row>
    <row r="890" spans="18:20" x14ac:dyDescent="0.25">
      <c r="R890">
        <v>1145.0567283885193</v>
      </c>
      <c r="S890" s="14">
        <f t="shared" si="33"/>
        <v>0.13545418022303923</v>
      </c>
      <c r="T890" s="9">
        <v>0.52177037978330143</v>
      </c>
    </row>
    <row r="891" spans="18:20" x14ac:dyDescent="0.25">
      <c r="R891">
        <v>1094.3698692604628</v>
      </c>
      <c r="S891" s="14">
        <f t="shared" si="33"/>
        <v>9.0178735764145465E-2</v>
      </c>
      <c r="T891" s="9">
        <v>0.52598861156863497</v>
      </c>
    </row>
    <row r="892" spans="18:20" x14ac:dyDescent="0.25">
      <c r="R892">
        <v>1088.8386327559444</v>
      </c>
      <c r="S892" s="14">
        <f t="shared" si="33"/>
        <v>8.5111653683717536E-2</v>
      </c>
      <c r="T892" s="9">
        <v>0.52771580202878277</v>
      </c>
    </row>
    <row r="893" spans="18:20" x14ac:dyDescent="0.25">
      <c r="R893">
        <v>769.15118752148715</v>
      </c>
      <c r="S893" s="14">
        <f t="shared" si="33"/>
        <v>-0.26246772604152185</v>
      </c>
      <c r="T893" s="9">
        <v>0.52855816871583239</v>
      </c>
    </row>
    <row r="894" spans="18:20" x14ac:dyDescent="0.25">
      <c r="R894">
        <v>1712.5450972394142</v>
      </c>
      <c r="S894" s="14">
        <f t="shared" si="33"/>
        <v>0.53798062496190802</v>
      </c>
      <c r="T894" s="9">
        <v>0.52886988722598982</v>
      </c>
    </row>
    <row r="895" spans="18:20" x14ac:dyDescent="0.25">
      <c r="R895">
        <v>1327.0938567915662</v>
      </c>
      <c r="S895" s="14">
        <f t="shared" si="33"/>
        <v>0.28299148140323183</v>
      </c>
      <c r="T895" s="9">
        <v>0.53020476011481033</v>
      </c>
    </row>
    <row r="896" spans="18:20" x14ac:dyDescent="0.25">
      <c r="R896">
        <v>1265.1778170604257</v>
      </c>
      <c r="S896" s="14">
        <f t="shared" si="33"/>
        <v>0.23521267914707653</v>
      </c>
      <c r="T896" s="9">
        <v>0.5302348779225986</v>
      </c>
    </row>
    <row r="897" spans="18:20" x14ac:dyDescent="0.25">
      <c r="R897">
        <v>832.88401570591043</v>
      </c>
      <c r="S897" s="14">
        <f t="shared" si="33"/>
        <v>-0.18286088335729067</v>
      </c>
      <c r="T897" s="9">
        <v>0.53025004788691554</v>
      </c>
    </row>
    <row r="898" spans="18:20" x14ac:dyDescent="0.25">
      <c r="R898">
        <v>802.13539525872034</v>
      </c>
      <c r="S898" s="14">
        <f t="shared" si="33"/>
        <v>-0.22047786334610128</v>
      </c>
      <c r="T898" s="9">
        <v>0.53090258286526948</v>
      </c>
    </row>
    <row r="899" spans="18:20" x14ac:dyDescent="0.25">
      <c r="R899">
        <v>1137.9031402256405</v>
      </c>
      <c r="S899" s="14">
        <f t="shared" si="33"/>
        <v>0.12918721804451125</v>
      </c>
      <c r="T899" s="9">
        <v>0.53358973309274282</v>
      </c>
    </row>
    <row r="900" spans="18:20" x14ac:dyDescent="0.25">
      <c r="R900">
        <v>1356.344766119342</v>
      </c>
      <c r="S900" s="14">
        <f t="shared" ref="S900:S963" si="34">+LN(R900/$B$2)</f>
        <v>0.30479340950196498</v>
      </c>
      <c r="T900" s="9">
        <v>0.53368424762976985</v>
      </c>
    </row>
    <row r="901" spans="18:20" x14ac:dyDescent="0.25">
      <c r="R901">
        <v>870.8471433441</v>
      </c>
      <c r="S901" s="14">
        <f t="shared" si="34"/>
        <v>-0.13828881311735383</v>
      </c>
      <c r="T901" s="9">
        <v>0.53595719747203296</v>
      </c>
    </row>
    <row r="902" spans="18:20" x14ac:dyDescent="0.25">
      <c r="R902">
        <v>1216.4365779788966</v>
      </c>
      <c r="S902" s="14">
        <f t="shared" si="34"/>
        <v>0.19592574705203702</v>
      </c>
      <c r="T902" s="9">
        <v>0.53669768778192994</v>
      </c>
    </row>
    <row r="903" spans="18:20" x14ac:dyDescent="0.25">
      <c r="R903">
        <v>682.31205088373792</v>
      </c>
      <c r="S903" s="14">
        <f t="shared" si="34"/>
        <v>-0.38226817316850215</v>
      </c>
      <c r="T903" s="9">
        <v>0.53798062496190802</v>
      </c>
    </row>
    <row r="904" spans="18:20" x14ac:dyDescent="0.25">
      <c r="R904">
        <v>1015.9009056856135</v>
      </c>
      <c r="S904" s="14">
        <f t="shared" si="34"/>
        <v>1.5775810625559779E-2</v>
      </c>
      <c r="T904" s="9">
        <v>0.54104159186279799</v>
      </c>
    </row>
    <row r="905" spans="18:20" x14ac:dyDescent="0.25">
      <c r="R905">
        <v>1163.0001786304772</v>
      </c>
      <c r="S905" s="14">
        <f t="shared" si="34"/>
        <v>0.15100302713107888</v>
      </c>
      <c r="T905" s="9">
        <v>0.5423091021959705</v>
      </c>
    </row>
    <row r="906" spans="18:20" x14ac:dyDescent="0.25">
      <c r="R906">
        <v>1321.8780396724571</v>
      </c>
      <c r="S906" s="14">
        <f t="shared" si="34"/>
        <v>0.27905348276566871</v>
      </c>
      <c r="T906" s="9">
        <v>0.54233850410228601</v>
      </c>
    </row>
    <row r="907" spans="18:20" x14ac:dyDescent="0.25">
      <c r="R907">
        <v>1221.1901791880373</v>
      </c>
      <c r="S907" s="14">
        <f t="shared" si="34"/>
        <v>0.19982593991047887</v>
      </c>
      <c r="T907" s="9">
        <v>0.54235507639477376</v>
      </c>
    </row>
    <row r="908" spans="18:20" x14ac:dyDescent="0.25">
      <c r="R908">
        <v>919.8458296387173</v>
      </c>
      <c r="S908" s="14">
        <f t="shared" si="34"/>
        <v>-8.3549199461213253E-2</v>
      </c>
      <c r="T908" s="9">
        <v>0.54277869806985513</v>
      </c>
    </row>
    <row r="909" spans="18:20" x14ac:dyDescent="0.25">
      <c r="R909">
        <v>1228.9173506489883</v>
      </c>
      <c r="S909" s="14">
        <f t="shared" si="34"/>
        <v>0.20613357905404384</v>
      </c>
      <c r="T909" s="9">
        <v>0.54495209252819932</v>
      </c>
    </row>
    <row r="910" spans="18:20" x14ac:dyDescent="0.25">
      <c r="R910">
        <v>1195.4449771807006</v>
      </c>
      <c r="S910" s="14">
        <f t="shared" si="34"/>
        <v>0.17851848191410988</v>
      </c>
      <c r="T910" s="9">
        <v>0.54541177877243929</v>
      </c>
    </row>
    <row r="911" spans="18:20" x14ac:dyDescent="0.25">
      <c r="R911">
        <v>1050.2263667652271</v>
      </c>
      <c r="S911" s="14">
        <f t="shared" si="34"/>
        <v>4.90057283292634E-2</v>
      </c>
      <c r="T911" s="9">
        <v>0.54544984338508207</v>
      </c>
    </row>
    <row r="912" spans="18:20" x14ac:dyDescent="0.25">
      <c r="R912">
        <v>856.45976623657953</v>
      </c>
      <c r="S912" s="14">
        <f t="shared" si="34"/>
        <v>-0.15494793694292802</v>
      </c>
      <c r="T912" s="9">
        <v>0.54984356817215785</v>
      </c>
    </row>
    <row r="913" spans="18:20" x14ac:dyDescent="0.25">
      <c r="R913">
        <v>1028.8584798268209</v>
      </c>
      <c r="S913" s="14">
        <f t="shared" si="34"/>
        <v>2.8449915641193323E-2</v>
      </c>
      <c r="T913" s="9">
        <v>0.54989873206290751</v>
      </c>
    </row>
    <row r="914" spans="18:20" x14ac:dyDescent="0.25">
      <c r="R914">
        <v>2010.9336656065191</v>
      </c>
      <c r="S914" s="14">
        <f t="shared" si="34"/>
        <v>0.69859912447149419</v>
      </c>
      <c r="T914" s="9">
        <v>0.55282787971630631</v>
      </c>
    </row>
    <row r="915" spans="18:20" x14ac:dyDescent="0.25">
      <c r="R915">
        <v>1327.7141480298881</v>
      </c>
      <c r="S915" s="14">
        <f t="shared" si="34"/>
        <v>0.2834587779071468</v>
      </c>
      <c r="T915" s="9">
        <v>0.55363038529504971</v>
      </c>
    </row>
    <row r="916" spans="18:20" x14ac:dyDescent="0.25">
      <c r="R916">
        <v>1554.9365562593171</v>
      </c>
      <c r="S916" s="14">
        <f t="shared" si="34"/>
        <v>0.44143474496562507</v>
      </c>
      <c r="T916" s="9">
        <v>0.55380760130874185</v>
      </c>
    </row>
    <row r="917" spans="18:20" x14ac:dyDescent="0.25">
      <c r="R917">
        <v>714.5637116504497</v>
      </c>
      <c r="S917" s="14">
        <f t="shared" si="34"/>
        <v>-0.33608311602782215</v>
      </c>
      <c r="T917" s="9">
        <v>0.55486596441055203</v>
      </c>
    </row>
    <row r="918" spans="18:20" x14ac:dyDescent="0.25">
      <c r="R918">
        <v>1034.8012352663202</v>
      </c>
      <c r="S918" s="14">
        <f t="shared" si="34"/>
        <v>3.4209365053725224E-2</v>
      </c>
      <c r="T918" s="9">
        <v>0.55567956935305773</v>
      </c>
    </row>
    <row r="919" spans="18:20" x14ac:dyDescent="0.25">
      <c r="R919">
        <v>1072.9127596364585</v>
      </c>
      <c r="S919" s="14">
        <f t="shared" si="34"/>
        <v>7.0377155251285892E-2</v>
      </c>
      <c r="T919" s="9">
        <v>0.55599065795670377</v>
      </c>
    </row>
    <row r="920" spans="18:20" x14ac:dyDescent="0.25">
      <c r="R920">
        <v>1059.5492199167115</v>
      </c>
      <c r="S920" s="14">
        <f t="shared" si="34"/>
        <v>5.7843553443981469E-2</v>
      </c>
      <c r="T920" s="9">
        <v>0.56039689276890114</v>
      </c>
    </row>
    <row r="921" spans="18:20" x14ac:dyDescent="0.25">
      <c r="R921">
        <v>1725.3843605703478</v>
      </c>
      <c r="S921" s="14">
        <f t="shared" si="34"/>
        <v>0.54544984338508207</v>
      </c>
      <c r="T921" s="9">
        <v>0.56147345498142898</v>
      </c>
    </row>
    <row r="922" spans="18:20" x14ac:dyDescent="0.25">
      <c r="R922">
        <v>1352.6376503270651</v>
      </c>
      <c r="S922" s="14">
        <f t="shared" si="34"/>
        <v>0.30205650129330747</v>
      </c>
      <c r="T922" s="9">
        <v>0.5651728656003363</v>
      </c>
    </row>
    <row r="923" spans="18:20" x14ac:dyDescent="0.25">
      <c r="R923">
        <v>1557.4777364506347</v>
      </c>
      <c r="S923" s="14">
        <f t="shared" si="34"/>
        <v>0.44306767716358736</v>
      </c>
      <c r="T923" s="9">
        <v>0.56789269888355454</v>
      </c>
    </row>
    <row r="924" spans="18:20" x14ac:dyDescent="0.25">
      <c r="R924">
        <v>1196.2789568921175</v>
      </c>
      <c r="S924" s="14">
        <f t="shared" si="34"/>
        <v>0.17921586988045204</v>
      </c>
      <c r="T924" s="9">
        <v>0.57202216705855058</v>
      </c>
    </row>
    <row r="925" spans="18:20" x14ac:dyDescent="0.25">
      <c r="R925">
        <v>706.24301786168758</v>
      </c>
      <c r="S925" s="14">
        <f t="shared" si="34"/>
        <v>-0.34779588278389506</v>
      </c>
      <c r="T925" s="9">
        <v>0.5723928390552836</v>
      </c>
    </row>
    <row r="926" spans="18:20" x14ac:dyDescent="0.25">
      <c r="R926">
        <v>2340.2238095505409</v>
      </c>
      <c r="S926" s="14">
        <f t="shared" si="34"/>
        <v>0.85024656990297709</v>
      </c>
      <c r="T926" s="9">
        <v>0.57249895304859477</v>
      </c>
    </row>
    <row r="927" spans="18:20" x14ac:dyDescent="0.25">
      <c r="R927">
        <v>1005.3767965810832</v>
      </c>
      <c r="S927" s="14">
        <f t="shared" si="34"/>
        <v>5.3623932165860434E-3</v>
      </c>
      <c r="T927" s="9">
        <v>0.57488068541073645</v>
      </c>
    </row>
    <row r="928" spans="18:20" x14ac:dyDescent="0.25">
      <c r="R928">
        <v>1725.3186857329542</v>
      </c>
      <c r="S928" s="14">
        <f t="shared" si="34"/>
        <v>0.54541177877243929</v>
      </c>
      <c r="T928" s="9">
        <v>0.57574942977308341</v>
      </c>
    </row>
    <row r="929" spans="18:20" x14ac:dyDescent="0.25">
      <c r="R929">
        <v>1185.703452579193</v>
      </c>
      <c r="S929" s="14">
        <f t="shared" si="34"/>
        <v>0.17033622932650808</v>
      </c>
      <c r="T929" s="9">
        <v>0.57619387836463809</v>
      </c>
    </row>
    <row r="930" spans="18:20" x14ac:dyDescent="0.25">
      <c r="R930">
        <v>1071.9016441060428</v>
      </c>
      <c r="S930" s="14">
        <f t="shared" si="34"/>
        <v>6.9434308538251041E-2</v>
      </c>
      <c r="T930" s="9">
        <v>0.5769151782469828</v>
      </c>
    </row>
    <row r="931" spans="18:20" x14ac:dyDescent="0.25">
      <c r="R931">
        <v>2437.8017829358791</v>
      </c>
      <c r="S931" s="14">
        <f t="shared" si="34"/>
        <v>0.89109672461019018</v>
      </c>
      <c r="T931" s="9">
        <v>0.57694050753609372</v>
      </c>
    </row>
    <row r="932" spans="18:20" x14ac:dyDescent="0.25">
      <c r="R932">
        <v>1446.7566811382344</v>
      </c>
      <c r="S932" s="14">
        <f t="shared" si="34"/>
        <v>0.36932427949345104</v>
      </c>
      <c r="T932" s="9">
        <v>0.5772775038522775</v>
      </c>
    </row>
    <row r="933" spans="18:20" x14ac:dyDescent="0.25">
      <c r="R933">
        <v>1236.0879016983893</v>
      </c>
      <c r="S933" s="14">
        <f t="shared" si="34"/>
        <v>0.21195147438569825</v>
      </c>
      <c r="T933" s="9">
        <v>0.58362653367161865</v>
      </c>
    </row>
    <row r="934" spans="18:20" x14ac:dyDescent="0.25">
      <c r="R934">
        <v>1072.5982220859848</v>
      </c>
      <c r="S934" s="14">
        <f t="shared" si="34"/>
        <v>7.0083949991180922E-2</v>
      </c>
      <c r="T934" s="9">
        <v>0.58631005207842524</v>
      </c>
    </row>
    <row r="935" spans="18:20" x14ac:dyDescent="0.25">
      <c r="R935">
        <v>584.51670593037215</v>
      </c>
      <c r="S935" s="14">
        <f t="shared" si="34"/>
        <v>-0.53696991690382778</v>
      </c>
      <c r="T935" s="9">
        <v>0.58785001465862363</v>
      </c>
    </row>
    <row r="936" spans="18:20" x14ac:dyDescent="0.25">
      <c r="R936">
        <v>917.40502425343072</v>
      </c>
      <c r="S936" s="14">
        <f t="shared" si="34"/>
        <v>-8.6206220211617418E-2</v>
      </c>
      <c r="T936" s="9">
        <v>0.59147938552060453</v>
      </c>
    </row>
    <row r="937" spans="18:20" x14ac:dyDescent="0.25">
      <c r="R937">
        <v>1099.9543828282419</v>
      </c>
      <c r="S937" s="14">
        <f t="shared" si="34"/>
        <v>9.5268708788270415E-2</v>
      </c>
      <c r="T937" s="9">
        <v>0.59224050240748549</v>
      </c>
    </row>
    <row r="938" spans="18:20" x14ac:dyDescent="0.25">
      <c r="R938">
        <v>1532.8658896975053</v>
      </c>
      <c r="S938" s="14">
        <f t="shared" si="34"/>
        <v>0.42713911380424141</v>
      </c>
      <c r="T938" s="9">
        <v>0.59293095158915077</v>
      </c>
    </row>
    <row r="939" spans="18:20" x14ac:dyDescent="0.25">
      <c r="R939">
        <v>1410.7507855800438</v>
      </c>
      <c r="S939" s="14">
        <f t="shared" si="34"/>
        <v>0.34412203471972636</v>
      </c>
      <c r="T939" s="9">
        <v>0.59501772791555929</v>
      </c>
    </row>
    <row r="940" spans="18:20" x14ac:dyDescent="0.25">
      <c r="R940">
        <v>794.28972743860368</v>
      </c>
      <c r="S940" s="14">
        <f t="shared" si="34"/>
        <v>-0.23030698827497009</v>
      </c>
      <c r="T940" s="9">
        <v>0.60254136228996935</v>
      </c>
    </row>
    <row r="941" spans="18:20" x14ac:dyDescent="0.25">
      <c r="R941">
        <v>1135.4483811419066</v>
      </c>
      <c r="S941" s="14">
        <f t="shared" si="34"/>
        <v>0.12702762238610613</v>
      </c>
      <c r="T941" s="9">
        <v>0.60426007953991523</v>
      </c>
    </row>
    <row r="942" spans="18:20" x14ac:dyDescent="0.25">
      <c r="R942">
        <v>861.36322347911016</v>
      </c>
      <c r="S942" s="14">
        <f t="shared" si="34"/>
        <v>-0.14923900116823155</v>
      </c>
      <c r="T942" s="9">
        <v>0.60493897266167918</v>
      </c>
    </row>
    <row r="943" spans="18:20" x14ac:dyDescent="0.25">
      <c r="R943">
        <v>1041.4187678892663</v>
      </c>
      <c r="S943" s="14">
        <f t="shared" si="34"/>
        <v>4.0583983371544431E-2</v>
      </c>
      <c r="T943" s="9">
        <v>0.60524553024179462</v>
      </c>
    </row>
    <row r="944" spans="18:20" x14ac:dyDescent="0.25">
      <c r="R944">
        <v>774.59473996429699</v>
      </c>
      <c r="S944" s="14">
        <f t="shared" si="34"/>
        <v>-0.25541530257223483</v>
      </c>
      <c r="T944" s="9">
        <v>0.60627032948190718</v>
      </c>
    </row>
    <row r="945" spans="18:20" x14ac:dyDescent="0.25">
      <c r="R945">
        <v>1101.9898611586066</v>
      </c>
      <c r="S945" s="14">
        <f t="shared" si="34"/>
        <v>9.7117510287860268E-2</v>
      </c>
      <c r="T945" s="9">
        <v>0.60675216622438111</v>
      </c>
    </row>
    <row r="946" spans="18:20" x14ac:dyDescent="0.25">
      <c r="R946">
        <v>844.63894222329748</v>
      </c>
      <c r="S946" s="14">
        <f t="shared" si="34"/>
        <v>-0.16884603024790509</v>
      </c>
      <c r="T946" s="9">
        <v>0.6067687724116323</v>
      </c>
    </row>
    <row r="947" spans="18:20" x14ac:dyDescent="0.25">
      <c r="R947">
        <v>973.05892358536858</v>
      </c>
      <c r="S947" s="14">
        <f t="shared" si="34"/>
        <v>-2.7310639960290602E-2</v>
      </c>
      <c r="T947" s="9">
        <v>0.61170275506412797</v>
      </c>
    </row>
    <row r="948" spans="18:20" x14ac:dyDescent="0.25">
      <c r="R948">
        <v>779.17827682780012</v>
      </c>
      <c r="S948" s="14">
        <f t="shared" si="34"/>
        <v>-0.24951540585685791</v>
      </c>
      <c r="T948" s="9">
        <v>0.61512883954478415</v>
      </c>
    </row>
    <row r="949" spans="18:20" x14ac:dyDescent="0.25">
      <c r="R949">
        <v>1944.9249479705388</v>
      </c>
      <c r="S949" s="14">
        <f t="shared" si="34"/>
        <v>0.6652233891642293</v>
      </c>
      <c r="T949" s="9">
        <v>0.61753732883835832</v>
      </c>
    </row>
    <row r="950" spans="18:20" x14ac:dyDescent="0.25">
      <c r="R950">
        <v>1124.6491500244363</v>
      </c>
      <c r="S950" s="14">
        <f t="shared" si="34"/>
        <v>0.11747112037092258</v>
      </c>
      <c r="T950" s="9">
        <v>0.61933522374766214</v>
      </c>
    </row>
    <row r="951" spans="18:20" x14ac:dyDescent="0.25">
      <c r="R951">
        <v>725.87108336693916</v>
      </c>
      <c r="S951" s="14">
        <f t="shared" si="34"/>
        <v>-0.3203828510448774</v>
      </c>
      <c r="T951" s="9">
        <v>0.62333309715740748</v>
      </c>
    </row>
    <row r="952" spans="18:20" x14ac:dyDescent="0.25">
      <c r="R952">
        <v>1516.0111168470612</v>
      </c>
      <c r="S952" s="14">
        <f t="shared" si="34"/>
        <v>0.41608262020586684</v>
      </c>
      <c r="T952" s="9">
        <v>0.62509217427638264</v>
      </c>
    </row>
    <row r="953" spans="18:20" x14ac:dyDescent="0.25">
      <c r="R953">
        <v>1258.2366991960532</v>
      </c>
      <c r="S953" s="14">
        <f t="shared" si="34"/>
        <v>0.22971129574308027</v>
      </c>
      <c r="T953" s="9">
        <v>0.62513612973515409</v>
      </c>
    </row>
    <row r="954" spans="18:20" x14ac:dyDescent="0.25">
      <c r="R954">
        <v>577.79330260794484</v>
      </c>
      <c r="S954" s="14">
        <f t="shared" si="34"/>
        <v>-0.54853908221146097</v>
      </c>
      <c r="T954" s="9">
        <v>0.63279712343345051</v>
      </c>
    </row>
    <row r="955" spans="18:20" x14ac:dyDescent="0.25">
      <c r="R955">
        <v>831.26109306453441</v>
      </c>
      <c r="S955" s="14">
        <f t="shared" si="34"/>
        <v>-0.18481134206107597</v>
      </c>
      <c r="T955" s="9">
        <v>0.63311185189806063</v>
      </c>
    </row>
    <row r="956" spans="18:20" x14ac:dyDescent="0.25">
      <c r="R956">
        <v>712.69309879628258</v>
      </c>
      <c r="S956" s="14">
        <f t="shared" si="34"/>
        <v>-0.33870438770306238</v>
      </c>
      <c r="T956" s="9">
        <v>0.63328543852027208</v>
      </c>
    </row>
    <row r="957" spans="18:20" x14ac:dyDescent="0.25">
      <c r="R957">
        <v>1274.6487015054704</v>
      </c>
      <c r="S957" s="14">
        <f t="shared" si="34"/>
        <v>0.24267061241450905</v>
      </c>
      <c r="T957" s="9">
        <v>0.63609240274003409</v>
      </c>
    </row>
    <row r="958" spans="18:20" x14ac:dyDescent="0.25">
      <c r="R958">
        <v>875.17714475966886</v>
      </c>
      <c r="S958" s="14">
        <f t="shared" si="34"/>
        <v>-0.13332896196108468</v>
      </c>
      <c r="T958" s="9">
        <v>0.63871803951025319</v>
      </c>
    </row>
    <row r="959" spans="18:20" x14ac:dyDescent="0.25">
      <c r="R959">
        <v>1004.8440822805378</v>
      </c>
      <c r="S959" s="14">
        <f t="shared" si="34"/>
        <v>4.8323874658575423E-3</v>
      </c>
      <c r="T959" s="9">
        <v>0.64315698810482069</v>
      </c>
    </row>
    <row r="960" spans="18:20" x14ac:dyDescent="0.25">
      <c r="R960">
        <v>1275.9404393643711</v>
      </c>
      <c r="S960" s="14">
        <f t="shared" si="34"/>
        <v>0.24368350621903506</v>
      </c>
      <c r="T960" s="9">
        <v>0.64357274916826834</v>
      </c>
    </row>
    <row r="961" spans="18:20" x14ac:dyDescent="0.25">
      <c r="R961">
        <v>1724.5257627280546</v>
      </c>
      <c r="S961" s="14">
        <f t="shared" si="34"/>
        <v>0.54495209252819932</v>
      </c>
      <c r="T961" s="9">
        <v>0.64555676185438926</v>
      </c>
    </row>
    <row r="962" spans="18:20" x14ac:dyDescent="0.25">
      <c r="R962">
        <v>1416.5629399391003</v>
      </c>
      <c r="S962" s="14">
        <f t="shared" si="34"/>
        <v>0.3482334727210662</v>
      </c>
      <c r="T962" s="9">
        <v>0.64839972133123291</v>
      </c>
    </row>
    <row r="963" spans="18:20" x14ac:dyDescent="0.25">
      <c r="R963">
        <v>842.55338962086182</v>
      </c>
      <c r="S963" s="14">
        <f t="shared" si="34"/>
        <v>-0.17131824829357803</v>
      </c>
      <c r="T963" s="9">
        <v>0.65285749062072385</v>
      </c>
    </row>
    <row r="964" spans="18:20" x14ac:dyDescent="0.25">
      <c r="R964">
        <v>588.71010968990743</v>
      </c>
      <c r="S964" s="14">
        <f t="shared" ref="S964:S1003" si="35">+LN(R964/$B$2)</f>
        <v>-0.52982139018912733</v>
      </c>
      <c r="T964" s="9">
        <v>0.65996499348451088</v>
      </c>
    </row>
    <row r="965" spans="18:20" x14ac:dyDescent="0.25">
      <c r="R965">
        <v>1426.595834911775</v>
      </c>
      <c r="S965" s="14">
        <f t="shared" si="35"/>
        <v>0.35529107126674597</v>
      </c>
      <c r="T965" s="9">
        <v>0.6652233891642293</v>
      </c>
    </row>
    <row r="966" spans="18:20" x14ac:dyDescent="0.25">
      <c r="R966">
        <v>962.96737116397469</v>
      </c>
      <c r="S966" s="14">
        <f t="shared" si="35"/>
        <v>-3.77357502461204E-2</v>
      </c>
      <c r="T966" s="9">
        <v>0.66588016826011687</v>
      </c>
    </row>
    <row r="967" spans="18:20" x14ac:dyDescent="0.25">
      <c r="R967">
        <v>972.71888184666045</v>
      </c>
      <c r="S967" s="14">
        <f t="shared" si="35"/>
        <v>-2.7660157506662612E-2</v>
      </c>
      <c r="T967" s="9">
        <v>0.66631010826710835</v>
      </c>
    </row>
    <row r="968" spans="18:20" x14ac:dyDescent="0.25">
      <c r="R968">
        <v>1254.8586321890982</v>
      </c>
      <c r="S968" s="14">
        <f t="shared" si="35"/>
        <v>0.22702292256494677</v>
      </c>
      <c r="T968" s="9">
        <v>0.6680404403248329</v>
      </c>
    </row>
    <row r="969" spans="18:20" x14ac:dyDescent="0.25">
      <c r="R969">
        <v>1183.6578190982916</v>
      </c>
      <c r="S969" s="14">
        <f t="shared" si="35"/>
        <v>0.16860949055211311</v>
      </c>
      <c r="T969" s="9">
        <v>0.6780929698284055</v>
      </c>
    </row>
    <row r="970" spans="18:20" x14ac:dyDescent="0.25">
      <c r="R970">
        <v>1903.2686480664981</v>
      </c>
      <c r="S970" s="14">
        <f t="shared" si="35"/>
        <v>0.64357274916826834</v>
      </c>
      <c r="T970" s="9">
        <v>0.68234975114869967</v>
      </c>
    </row>
    <row r="971" spans="18:20" x14ac:dyDescent="0.25">
      <c r="R971">
        <v>1085.3248786161403</v>
      </c>
      <c r="S971" s="14">
        <f t="shared" si="35"/>
        <v>8.1879369468998417E-2</v>
      </c>
      <c r="T971" s="9">
        <v>0.69847806784056543</v>
      </c>
    </row>
    <row r="972" spans="18:20" x14ac:dyDescent="0.25">
      <c r="R972">
        <v>981.53521948354955</v>
      </c>
      <c r="S972" s="14">
        <f t="shared" si="35"/>
        <v>-1.8637382584349129E-2</v>
      </c>
      <c r="T972" s="9">
        <v>0.69859912447149419</v>
      </c>
    </row>
    <row r="973" spans="18:20" x14ac:dyDescent="0.25">
      <c r="R973">
        <v>1256.2345843342898</v>
      </c>
      <c r="S973" s="14">
        <f t="shared" si="35"/>
        <v>0.22811882157327268</v>
      </c>
      <c r="T973" s="9">
        <v>0.70512520422840153</v>
      </c>
    </row>
    <row r="974" spans="18:20" x14ac:dyDescent="0.25">
      <c r="R974">
        <v>996.25230208367714</v>
      </c>
      <c r="S974" s="14">
        <f t="shared" si="35"/>
        <v>-3.7547381313962373E-3</v>
      </c>
      <c r="T974" s="9">
        <v>0.71334163902921577</v>
      </c>
    </row>
    <row r="975" spans="18:20" x14ac:dyDescent="0.25">
      <c r="R975">
        <v>1175.305210971266</v>
      </c>
      <c r="S975" s="14">
        <f t="shared" si="35"/>
        <v>0.16152786788398701</v>
      </c>
      <c r="T975" s="9">
        <v>0.71631597015306547</v>
      </c>
    </row>
    <row r="976" spans="18:20" x14ac:dyDescent="0.25">
      <c r="R976">
        <v>1210.474050333868</v>
      </c>
      <c r="S976" s="14">
        <f t="shared" si="35"/>
        <v>0.19101206001945456</v>
      </c>
      <c r="T976" s="9">
        <v>0.726481666215678</v>
      </c>
    </row>
    <row r="977" spans="18:20" x14ac:dyDescent="0.25">
      <c r="R977">
        <v>1440.1409013749369</v>
      </c>
      <c r="S977" s="14">
        <f t="shared" si="35"/>
        <v>0.36474095697812814</v>
      </c>
      <c r="T977" s="9">
        <v>0.72754235534281209</v>
      </c>
    </row>
    <row r="978" spans="18:20" x14ac:dyDescent="0.25">
      <c r="R978">
        <v>1505.6903281091836</v>
      </c>
      <c r="S978" s="14">
        <f t="shared" si="35"/>
        <v>0.40925148280838658</v>
      </c>
      <c r="T978" s="9">
        <v>0.73073425391729219</v>
      </c>
    </row>
    <row r="979" spans="18:20" x14ac:dyDescent="0.25">
      <c r="R979">
        <v>1154.4615449570481</v>
      </c>
      <c r="S979" s="14">
        <f t="shared" si="35"/>
        <v>0.14363404042877304</v>
      </c>
      <c r="T979" s="9">
        <v>0.73385555551682735</v>
      </c>
    </row>
    <row r="980" spans="18:20" x14ac:dyDescent="0.25">
      <c r="R980">
        <v>1185.1980129957676</v>
      </c>
      <c r="S980" s="14">
        <f t="shared" si="35"/>
        <v>0.16990986020200308</v>
      </c>
      <c r="T980" s="9">
        <v>0.74570769021651462</v>
      </c>
    </row>
    <row r="981" spans="18:20" x14ac:dyDescent="0.25">
      <c r="R981">
        <v>1593.3013103195037</v>
      </c>
      <c r="S981" s="14">
        <f t="shared" si="35"/>
        <v>0.46580815950745041</v>
      </c>
      <c r="T981" s="9">
        <v>0.74596795331593246</v>
      </c>
    </row>
    <row r="982" spans="18:20" x14ac:dyDescent="0.25">
      <c r="R982">
        <v>1651.2684159376097</v>
      </c>
      <c r="S982" s="14">
        <f t="shared" si="35"/>
        <v>0.50154372951748138</v>
      </c>
      <c r="T982" s="9">
        <v>0.77165376516670003</v>
      </c>
    </row>
    <row r="983" spans="18:20" x14ac:dyDescent="0.25">
      <c r="R983">
        <v>1058.9764507162527</v>
      </c>
      <c r="S983" s="14">
        <f t="shared" si="35"/>
        <v>5.7302829088025538E-2</v>
      </c>
      <c r="T983" s="9">
        <v>0.77575385528452045</v>
      </c>
    </row>
    <row r="984" spans="18:20" x14ac:dyDescent="0.25">
      <c r="R984">
        <v>809.74557687635058</v>
      </c>
      <c r="S984" s="14">
        <f t="shared" si="35"/>
        <v>-0.21103518327800272</v>
      </c>
      <c r="T984" s="9">
        <v>0.77678269164195901</v>
      </c>
    </row>
    <row r="985" spans="18:20" x14ac:dyDescent="0.25">
      <c r="R985">
        <v>1315.0898796076954</v>
      </c>
      <c r="S985" s="14">
        <f t="shared" si="35"/>
        <v>0.27390501280556179</v>
      </c>
      <c r="T985" s="9">
        <v>0.78175870263291569</v>
      </c>
    </row>
    <row r="986" spans="18:20" x14ac:dyDescent="0.25">
      <c r="R986">
        <v>1069.0760090722217</v>
      </c>
      <c r="S986" s="14">
        <f t="shared" si="35"/>
        <v>6.6794732482678587E-2</v>
      </c>
      <c r="T986" s="9">
        <v>0.79085833196520483</v>
      </c>
    </row>
    <row r="987" spans="18:20" x14ac:dyDescent="0.25">
      <c r="R987">
        <v>1739.5568298456897</v>
      </c>
      <c r="S987" s="14">
        <f t="shared" si="35"/>
        <v>0.55363038529504971</v>
      </c>
      <c r="T987" s="9">
        <v>0.81162184784265989</v>
      </c>
    </row>
    <row r="988" spans="18:20" x14ac:dyDescent="0.25">
      <c r="R988">
        <v>782.76471528715831</v>
      </c>
      <c r="S988" s="14">
        <f t="shared" si="35"/>
        <v>-0.24492311947975456</v>
      </c>
      <c r="T988" s="9">
        <v>0.81985665804242303</v>
      </c>
    </row>
    <row r="989" spans="18:20" x14ac:dyDescent="0.25">
      <c r="R989">
        <v>1179.4282467928069</v>
      </c>
      <c r="S989" s="14">
        <f t="shared" si="35"/>
        <v>0.16502978443550895</v>
      </c>
      <c r="T989" s="9">
        <v>0.83533770328237156</v>
      </c>
    </row>
    <row r="990" spans="18:20" x14ac:dyDescent="0.25">
      <c r="R990">
        <v>977.23325079879226</v>
      </c>
      <c r="S990" s="14">
        <f t="shared" si="35"/>
        <v>-2.3029913572048134E-2</v>
      </c>
      <c r="T990" s="9">
        <v>0.84019652673540013</v>
      </c>
    </row>
    <row r="991" spans="18:20" x14ac:dyDescent="0.25">
      <c r="R991">
        <v>1358.7137550974833</v>
      </c>
      <c r="S991" s="14">
        <f t="shared" si="35"/>
        <v>0.30653848391624811</v>
      </c>
      <c r="T991" s="9">
        <v>0.84097088775184559</v>
      </c>
    </row>
    <row r="992" spans="18:20" x14ac:dyDescent="0.25">
      <c r="R992">
        <v>1239.1488526023238</v>
      </c>
      <c r="S992" s="14">
        <f t="shared" si="35"/>
        <v>0.21442473473862408</v>
      </c>
      <c r="T992" s="9">
        <v>0.84927701184775017</v>
      </c>
    </row>
    <row r="993" spans="18:20" x14ac:dyDescent="0.25">
      <c r="R993">
        <v>714.62299600439655</v>
      </c>
      <c r="S993" s="14">
        <f t="shared" si="35"/>
        <v>-0.33600015366375402</v>
      </c>
      <c r="T993" s="9">
        <v>0.85024656990297709</v>
      </c>
    </row>
    <row r="994" spans="18:20" x14ac:dyDescent="0.25">
      <c r="R994">
        <v>1029.9886231041971</v>
      </c>
      <c r="S994" s="14">
        <f t="shared" si="35"/>
        <v>2.9547756650636293E-2</v>
      </c>
      <c r="T994" s="9">
        <v>0.85552892307016593</v>
      </c>
    </row>
    <row r="995" spans="18:20" x14ac:dyDescent="0.25">
      <c r="R995">
        <v>745.92277880933818</v>
      </c>
      <c r="S995" s="14">
        <f t="shared" si="35"/>
        <v>-0.29313319779668945</v>
      </c>
      <c r="T995" s="9">
        <v>0.86146458501791456</v>
      </c>
    </row>
    <row r="996" spans="18:20" x14ac:dyDescent="0.25">
      <c r="R996">
        <v>1500.7946751799018</v>
      </c>
      <c r="S996" s="14">
        <f t="shared" si="35"/>
        <v>0.40599475127572371</v>
      </c>
      <c r="T996" s="9">
        <v>0.86881749895480709</v>
      </c>
    </row>
    <row r="997" spans="18:20" x14ac:dyDescent="0.25">
      <c r="R997">
        <v>1128.3516723621005</v>
      </c>
      <c r="S997" s="14">
        <f t="shared" si="35"/>
        <v>0.12075787076531758</v>
      </c>
      <c r="T997" s="9">
        <v>0.87692195375366544</v>
      </c>
    </row>
    <row r="998" spans="18:20" x14ac:dyDescent="0.25">
      <c r="R998">
        <v>893.88824882290191</v>
      </c>
      <c r="S998" s="14">
        <f t="shared" si="35"/>
        <v>-0.11217451293860309</v>
      </c>
      <c r="T998" s="9">
        <v>0.89109672461019018</v>
      </c>
    </row>
    <row r="999" spans="18:20" x14ac:dyDescent="0.25">
      <c r="R999">
        <v>1109.1048057471755</v>
      </c>
      <c r="S999" s="14">
        <f t="shared" si="35"/>
        <v>0.10355320863438688</v>
      </c>
      <c r="T999" s="9">
        <v>0.91439763450665712</v>
      </c>
    </row>
    <row r="1000" spans="18:20" x14ac:dyDescent="0.25">
      <c r="R1000">
        <v>1614.7195174363601</v>
      </c>
      <c r="S1000" s="14">
        <f t="shared" si="35"/>
        <v>0.47916126817762755</v>
      </c>
      <c r="T1000" s="9">
        <v>0.92124394248507413</v>
      </c>
    </row>
    <row r="1001" spans="18:20" x14ac:dyDescent="0.25">
      <c r="R1001">
        <v>1455.8199882419817</v>
      </c>
      <c r="S1001" s="14">
        <f t="shared" si="35"/>
        <v>0.37556930768193736</v>
      </c>
      <c r="T1001" s="9">
        <v>0.97163397534905072</v>
      </c>
    </row>
    <row r="1002" spans="18:20" x14ac:dyDescent="0.25">
      <c r="R1002">
        <v>724.27240601986171</v>
      </c>
      <c r="S1002" s="14">
        <f t="shared" si="35"/>
        <v>-0.3225877059525834</v>
      </c>
      <c r="T1002" s="9">
        <v>1.0842443114131255</v>
      </c>
    </row>
    <row r="1003" spans="18:20" x14ac:dyDescent="0.25">
      <c r="R1003">
        <v>1470.6632135031091</v>
      </c>
      <c r="S1003" s="14">
        <f t="shared" si="35"/>
        <v>0.3857134646943986</v>
      </c>
      <c r="T1003" s="9">
        <v>1.1736753061360201</v>
      </c>
    </row>
  </sheetData>
  <sortState xmlns:xlrd2="http://schemas.microsoft.com/office/spreadsheetml/2017/richdata2" ref="T4:T1003">
    <sortCondition ref="T4:T1003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6</vt:lpstr>
      <vt:lpstr>7</vt:lpstr>
      <vt:lpstr>8</vt:lpstr>
    </vt:vector>
  </TitlesOfParts>
  <Company>BKAE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eberlin</dc:creator>
  <cp:lastModifiedBy>Dömötör Barbara Mária</cp:lastModifiedBy>
  <dcterms:created xsi:type="dcterms:W3CDTF">2005-09-15T08:23:12Z</dcterms:created>
  <dcterms:modified xsi:type="dcterms:W3CDTF">2024-04-11T07:51:45Z</dcterms:modified>
</cp:coreProperties>
</file>